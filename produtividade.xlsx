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B68C134E-490D-4734-8BD4-661AA7E4C114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08" i="1" l="1"/>
  <c r="I4508" i="1"/>
  <c r="K4508" i="1" s="1"/>
  <c r="L4508" i="1" s="1"/>
  <c r="J4507" i="1"/>
  <c r="I4507" i="1"/>
  <c r="K4507" i="1" s="1"/>
  <c r="L4507" i="1" s="1"/>
  <c r="J4506" i="1"/>
  <c r="I4506" i="1"/>
  <c r="K4506" i="1" s="1"/>
  <c r="L4506" i="1" s="1"/>
  <c r="L4505" i="1"/>
  <c r="J4504" i="1"/>
  <c r="I4504" i="1"/>
  <c r="K4504" i="1" s="1"/>
  <c r="L4504" i="1" s="1"/>
  <c r="J4503" i="1"/>
  <c r="I4503" i="1"/>
  <c r="K4503" i="1" s="1"/>
  <c r="L4503" i="1" s="1"/>
  <c r="J4502" i="1"/>
  <c r="I4502" i="1"/>
  <c r="K4502" i="1" s="1"/>
  <c r="L4502" i="1" s="1"/>
  <c r="J4501" i="1"/>
  <c r="I4501" i="1"/>
  <c r="K4501" i="1" s="1"/>
  <c r="L4501" i="1" s="1"/>
  <c r="J4500" i="1"/>
  <c r="I4500" i="1"/>
  <c r="K4500" i="1" s="1"/>
  <c r="L4500" i="1" s="1"/>
  <c r="J4499" i="1"/>
  <c r="I4499" i="1"/>
  <c r="K4499" i="1" s="1"/>
  <c r="L4499" i="1" s="1"/>
  <c r="J4498" i="1"/>
  <c r="I4498" i="1"/>
  <c r="K4498" i="1" s="1"/>
  <c r="L4498" i="1" s="1"/>
  <c r="J4497" i="1"/>
  <c r="I4497" i="1"/>
  <c r="K4497" i="1" s="1"/>
  <c r="L4497" i="1" s="1"/>
  <c r="J4496" i="1"/>
  <c r="I4496" i="1"/>
  <c r="K4496" i="1" s="1"/>
  <c r="L4496" i="1" s="1"/>
  <c r="J4495" i="1"/>
  <c r="I4495" i="1"/>
  <c r="K4495" i="1" s="1"/>
  <c r="L4495" i="1" s="1"/>
  <c r="J4494" i="1"/>
  <c r="I4494" i="1"/>
  <c r="K4494" i="1" s="1"/>
  <c r="L4494" i="1" s="1"/>
  <c r="J4493" i="1"/>
  <c r="I4493" i="1"/>
  <c r="K4493" i="1" s="1"/>
  <c r="L4493" i="1" s="1"/>
  <c r="J4492" i="1"/>
  <c r="I4492" i="1"/>
  <c r="K4492" i="1" s="1"/>
  <c r="L4492" i="1" s="1"/>
  <c r="J4491" i="1"/>
  <c r="I4491" i="1"/>
  <c r="K4491" i="1" s="1"/>
  <c r="L4491" i="1" s="1"/>
  <c r="J4490" i="1"/>
  <c r="I4490" i="1"/>
  <c r="K4490" i="1" s="1"/>
  <c r="L4490" i="1" s="1"/>
  <c r="J4489" i="1"/>
  <c r="I4489" i="1"/>
  <c r="K4489" i="1" s="1"/>
  <c r="L4489" i="1" s="1"/>
  <c r="J4488" i="1"/>
  <c r="I4488" i="1"/>
  <c r="K4488" i="1" s="1"/>
  <c r="L4488" i="1" s="1"/>
  <c r="J4487" i="1"/>
  <c r="I4487" i="1"/>
  <c r="K4487" i="1" s="1"/>
  <c r="L4487" i="1" s="1"/>
  <c r="J4486" i="1"/>
  <c r="I4486" i="1"/>
  <c r="K4486" i="1" s="1"/>
  <c r="L4486" i="1" s="1"/>
  <c r="J4485" i="1"/>
  <c r="I4485" i="1"/>
  <c r="K4485" i="1" s="1"/>
  <c r="L4485" i="1" s="1"/>
  <c r="J4484" i="1"/>
  <c r="I4484" i="1"/>
  <c r="K4484" i="1" s="1"/>
  <c r="L4484" i="1" s="1"/>
  <c r="J4483" i="1"/>
  <c r="I4483" i="1"/>
  <c r="K4483" i="1" s="1"/>
  <c r="L4483" i="1" s="1"/>
  <c r="J4482" i="1"/>
  <c r="I4482" i="1"/>
  <c r="K4482" i="1" s="1"/>
  <c r="L4482" i="1" s="1"/>
  <c r="J4481" i="1"/>
  <c r="I4481" i="1"/>
  <c r="K4481" i="1" s="1"/>
  <c r="L4481" i="1" s="1"/>
  <c r="J4480" i="1"/>
  <c r="I4480" i="1"/>
  <c r="K4480" i="1" s="1"/>
  <c r="L4480" i="1" s="1"/>
  <c r="L4479" i="1"/>
  <c r="J4478" i="1"/>
  <c r="I4478" i="1"/>
  <c r="K4478" i="1" s="1"/>
  <c r="L4478" i="1" s="1"/>
  <c r="J4477" i="1"/>
  <c r="I4477" i="1"/>
  <c r="K4477" i="1" s="1"/>
  <c r="L4477" i="1" s="1"/>
  <c r="J4476" i="1"/>
  <c r="I4476" i="1"/>
  <c r="K4476" i="1" s="1"/>
  <c r="L4476" i="1" s="1"/>
  <c r="J4475" i="1"/>
  <c r="I4475" i="1"/>
  <c r="K4475" i="1" s="1"/>
  <c r="L4475" i="1" s="1"/>
  <c r="J4474" i="1"/>
  <c r="I4474" i="1"/>
  <c r="K4474" i="1" s="1"/>
  <c r="L4474" i="1" s="1"/>
  <c r="L4473" i="1"/>
  <c r="J4472" i="1"/>
  <c r="I4472" i="1"/>
  <c r="K4472" i="1" s="1"/>
  <c r="L4472" i="1" s="1"/>
  <c r="L4471" i="1"/>
  <c r="L4470" i="1"/>
  <c r="L4469" i="1"/>
  <c r="L4468" i="1"/>
  <c r="L4467" i="1"/>
  <c r="L4466" i="1"/>
  <c r="J4465" i="1"/>
  <c r="I4465" i="1"/>
  <c r="K4465" i="1" s="1"/>
  <c r="L446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L4405" i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83" i="1"/>
  <c r="I4383" i="1"/>
  <c r="K4383" i="1" s="1"/>
  <c r="L4383" i="1" s="1"/>
  <c r="J4382" i="1"/>
  <c r="I4382" i="1"/>
  <c r="K4382" i="1" s="1"/>
  <c r="L4382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76" i="1"/>
  <c r="I4376" i="1"/>
  <c r="K4376" i="1" s="1"/>
  <c r="L4376" i="1" s="1"/>
  <c r="J4364" i="1"/>
  <c r="I4364" i="1"/>
  <c r="K4364" i="1" s="1"/>
  <c r="L4364" i="1" s="1"/>
  <c r="L4363" i="1"/>
  <c r="J4362" i="1"/>
  <c r="I4362" i="1"/>
  <c r="K4362" i="1" s="1"/>
  <c r="L4362" i="1" s="1"/>
  <c r="J4361" i="1"/>
  <c r="I4361" i="1"/>
  <c r="K4361" i="1" s="1"/>
  <c r="L4361" i="1" s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L4357" i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L4353" i="1"/>
  <c r="L4352" i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L4346" i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L4342" i="1"/>
  <c r="L4341" i="1"/>
  <c r="J4340" i="1"/>
  <c r="I4340" i="1"/>
  <c r="K4340" i="1" s="1"/>
  <c r="L4340" i="1" s="1"/>
  <c r="J4339" i="1"/>
  <c r="I4339" i="1"/>
  <c r="K4339" i="1" s="1"/>
  <c r="L4339" i="1" s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L4330" i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L4326" i="1"/>
  <c r="J4325" i="1"/>
  <c r="I4325" i="1"/>
  <c r="K4325" i="1" s="1"/>
  <c r="L4325" i="1" s="1"/>
  <c r="L4324" i="1"/>
  <c r="L4323" i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L4319" i="1"/>
  <c r="J4318" i="1"/>
  <c r="I4318" i="1"/>
  <c r="K4318" i="1" s="1"/>
  <c r="L4318" i="1" s="1"/>
  <c r="L4317" i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J4312" i="1"/>
  <c r="I4312" i="1"/>
  <c r="K4312" i="1" s="1"/>
  <c r="L4312" i="1" s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L4307" i="1"/>
  <c r="J4306" i="1"/>
  <c r="I4306" i="1"/>
  <c r="K4306" i="1" s="1"/>
  <c r="L4306" i="1" s="1"/>
  <c r="L4305" i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L4296" i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L4280" i="1"/>
  <c r="L4279" i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L4275" i="1"/>
  <c r="J4274" i="1"/>
  <c r="I4274" i="1"/>
  <c r="K4274" i="1" s="1"/>
  <c r="L4274" i="1" s="1"/>
  <c r="L4273" i="1"/>
  <c r="J4272" i="1"/>
  <c r="I4272" i="1"/>
  <c r="K4272" i="1" s="1"/>
  <c r="L4272" i="1" s="1"/>
  <c r="L4271" i="1"/>
  <c r="J4270" i="1"/>
  <c r="I4270" i="1"/>
  <c r="K4270" i="1" s="1"/>
  <c r="L4270" i="1" s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L4263" i="1"/>
  <c r="J4262" i="1"/>
  <c r="I4262" i="1"/>
  <c r="K4262" i="1" s="1"/>
  <c r="L4262" i="1" s="1"/>
  <c r="L4261" i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L4257" i="1"/>
  <c r="L4256" i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L4252" i="1"/>
  <c r="J4251" i="1"/>
  <c r="I4251" i="1"/>
  <c r="K4251" i="1" s="1"/>
  <c r="L4251" i="1" s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L4244" i="1"/>
  <c r="L4243" i="1"/>
  <c r="J4242" i="1"/>
  <c r="I4242" i="1"/>
  <c r="K4242" i="1" s="1"/>
  <c r="L4242" i="1" s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L4236" i="1"/>
  <c r="L4235" i="1"/>
  <c r="J4234" i="1"/>
  <c r="I4234" i="1"/>
  <c r="K4234" i="1" s="1"/>
  <c r="L4234" i="1" s="1"/>
  <c r="J4233" i="1"/>
  <c r="I4233" i="1"/>
  <c r="K4233" i="1" s="1"/>
  <c r="L4233" i="1" s="1"/>
  <c r="J4232" i="1"/>
  <c r="I4232" i="1"/>
  <c r="K4232" i="1" s="1"/>
  <c r="L4232" i="1" s="1"/>
  <c r="L4231" i="1"/>
  <c r="J4230" i="1"/>
  <c r="I4230" i="1"/>
  <c r="K4230" i="1" s="1"/>
  <c r="L4230" i="1" s="1"/>
  <c r="L4229" i="1"/>
  <c r="J4228" i="1"/>
  <c r="I4228" i="1"/>
  <c r="K4228" i="1" s="1"/>
  <c r="L4228" i="1" s="1"/>
  <c r="L4227" i="1"/>
  <c r="J4226" i="1"/>
  <c r="I4226" i="1"/>
  <c r="K4226" i="1" s="1"/>
  <c r="L4226" i="1" s="1"/>
  <c r="J4225" i="1"/>
  <c r="I4225" i="1"/>
  <c r="K4225" i="1" s="1"/>
  <c r="L4225" i="1" s="1"/>
  <c r="J4224" i="1"/>
  <c r="I4224" i="1"/>
  <c r="K4224" i="1" s="1"/>
  <c r="L4224" i="1" s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L4219" i="1"/>
  <c r="J4218" i="1"/>
  <c r="I4218" i="1"/>
  <c r="K4218" i="1" s="1"/>
  <c r="L4218" i="1" s="1"/>
  <c r="L4217" i="1"/>
  <c r="J4216" i="1"/>
  <c r="I4216" i="1"/>
  <c r="K4216" i="1" s="1"/>
  <c r="L4216" i="1" s="1"/>
  <c r="J4215" i="1"/>
  <c r="I4215" i="1"/>
  <c r="K4215" i="1" s="1"/>
  <c r="L4215" i="1" s="1"/>
  <c r="J4214" i="1"/>
  <c r="I4214" i="1"/>
  <c r="K4214" i="1" s="1"/>
  <c r="L4214" i="1" s="1"/>
  <c r="L4213" i="1"/>
  <c r="L4212" i="1"/>
  <c r="J4211" i="1"/>
  <c r="I4211" i="1"/>
  <c r="K4211" i="1" s="1"/>
  <c r="L4211" i="1" s="1"/>
  <c r="J4210" i="1"/>
  <c r="I4210" i="1"/>
  <c r="K4210" i="1" s="1"/>
  <c r="L4210" i="1" s="1"/>
  <c r="J4209" i="1"/>
  <c r="I4209" i="1"/>
  <c r="K4209" i="1" s="1"/>
  <c r="L4209" i="1" s="1"/>
  <c r="L4208" i="1"/>
  <c r="J4207" i="1"/>
  <c r="I4207" i="1"/>
  <c r="K4207" i="1" s="1"/>
  <c r="L4207" i="1" s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L4192" i="1"/>
  <c r="L4191" i="1"/>
  <c r="J4190" i="1"/>
  <c r="I4190" i="1"/>
  <c r="K4190" i="1" s="1"/>
  <c r="L4190" i="1" s="1"/>
  <c r="J4189" i="1"/>
  <c r="I4189" i="1"/>
  <c r="K4189" i="1" s="1"/>
  <c r="L4189" i="1" s="1"/>
  <c r="J4188" i="1"/>
  <c r="I4188" i="1"/>
  <c r="K4188" i="1" s="1"/>
  <c r="L4188" i="1" s="1"/>
  <c r="L4187" i="1"/>
  <c r="J4186" i="1"/>
  <c r="I4186" i="1"/>
  <c r="K4186" i="1" s="1"/>
  <c r="L4186" i="1" s="1"/>
  <c r="L4185" i="1"/>
  <c r="J4184" i="1"/>
  <c r="I4184" i="1"/>
  <c r="K4184" i="1" s="1"/>
  <c r="L4184" i="1" s="1"/>
  <c r="L4183" i="1"/>
  <c r="J4182" i="1"/>
  <c r="I4182" i="1"/>
  <c r="K4182" i="1" s="1"/>
  <c r="L4182" i="1" s="1"/>
  <c r="J4181" i="1"/>
  <c r="I4181" i="1"/>
  <c r="K4181" i="1" s="1"/>
  <c r="L4181" i="1" s="1"/>
  <c r="L4180" i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L4175" i="1"/>
  <c r="J4174" i="1"/>
  <c r="I4174" i="1"/>
  <c r="K4174" i="1" s="1"/>
  <c r="L4174" i="1" s="1"/>
  <c r="L4173" i="1"/>
  <c r="J4172" i="1"/>
  <c r="I4172" i="1"/>
  <c r="K4172" i="1" s="1"/>
  <c r="L4172" i="1" s="1"/>
  <c r="J4171" i="1"/>
  <c r="I4171" i="1"/>
  <c r="K4171" i="1" s="1"/>
  <c r="L4171" i="1" s="1"/>
  <c r="J4170" i="1"/>
  <c r="I4170" i="1"/>
  <c r="K4170" i="1" s="1"/>
  <c r="L4170" i="1" s="1"/>
  <c r="L4169" i="1"/>
  <c r="L4168" i="1"/>
  <c r="J4167" i="1"/>
  <c r="I4167" i="1"/>
  <c r="K4167" i="1" s="1"/>
  <c r="L4167" i="1" s="1"/>
  <c r="J4166" i="1"/>
  <c r="I4166" i="1"/>
  <c r="K4166" i="1" s="1"/>
  <c r="L4166" i="1" s="1"/>
  <c r="J4165" i="1"/>
  <c r="I4165" i="1"/>
  <c r="K4165" i="1" s="1"/>
  <c r="L4165" i="1" s="1"/>
  <c r="L4164" i="1"/>
  <c r="J4163" i="1"/>
  <c r="I4163" i="1"/>
  <c r="K4163" i="1" s="1"/>
  <c r="L4163" i="1" s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L4153" i="1"/>
  <c r="J4152" i="1"/>
  <c r="I4152" i="1"/>
  <c r="K4152" i="1" s="1"/>
  <c r="L4152" i="1" s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L4148" i="1"/>
  <c r="L4147" i="1"/>
  <c r="J4146" i="1"/>
  <c r="I4146" i="1"/>
  <c r="K4146" i="1" s="1"/>
  <c r="L4146" i="1" s="1"/>
  <c r="J4145" i="1"/>
  <c r="I4145" i="1"/>
  <c r="K4145" i="1" s="1"/>
  <c r="L4145" i="1" s="1"/>
  <c r="J4144" i="1"/>
  <c r="I4144" i="1"/>
  <c r="K4144" i="1" s="1"/>
  <c r="L4144" i="1" s="1"/>
  <c r="L4143" i="1"/>
  <c r="J4142" i="1"/>
  <c r="I4142" i="1"/>
  <c r="K4142" i="1" s="1"/>
  <c r="L4142" i="1" s="1"/>
  <c r="L4141" i="1"/>
  <c r="J4140" i="1"/>
  <c r="I4140" i="1"/>
  <c r="K4140" i="1" s="1"/>
  <c r="L4140" i="1" s="1"/>
  <c r="L4139" i="1"/>
  <c r="J4138" i="1"/>
  <c r="I4138" i="1"/>
  <c r="K4138" i="1" s="1"/>
  <c r="L4138" i="1" s="1"/>
  <c r="L4137" i="1"/>
  <c r="J4136" i="1"/>
  <c r="I4136" i="1"/>
  <c r="K4136" i="1" s="1"/>
  <c r="L4136" i="1" s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L4131" i="1"/>
  <c r="J4130" i="1"/>
  <c r="I4130" i="1"/>
  <c r="K4130" i="1" s="1"/>
  <c r="L4130" i="1" s="1"/>
  <c r="L4129" i="1"/>
  <c r="J4128" i="1"/>
  <c r="I4128" i="1"/>
  <c r="K4128" i="1" s="1"/>
  <c r="L4128" i="1" s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L4120" i="1"/>
  <c r="J4119" i="1"/>
  <c r="I4119" i="1"/>
  <c r="K4119" i="1" s="1"/>
  <c r="L4119" i="1" s="1"/>
  <c r="L4118" i="1"/>
  <c r="J4117" i="1"/>
  <c r="I4117" i="1"/>
  <c r="K4117" i="1" s="1"/>
  <c r="L4117" i="1" s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L4104" i="1"/>
  <c r="L4103" i="1"/>
  <c r="J4102" i="1"/>
  <c r="I4102" i="1"/>
  <c r="K4102" i="1" s="1"/>
  <c r="L4102" i="1" s="1"/>
  <c r="J4101" i="1"/>
  <c r="I4101" i="1"/>
  <c r="K4101" i="1" s="1"/>
  <c r="L4101" i="1" s="1"/>
  <c r="J4100" i="1"/>
  <c r="I4100" i="1"/>
  <c r="K4100" i="1" s="1"/>
  <c r="L4100" i="1" s="1"/>
  <c r="L4099" i="1"/>
  <c r="J4098" i="1"/>
  <c r="I4098" i="1"/>
  <c r="K4098" i="1" s="1"/>
  <c r="L4098" i="1" s="1"/>
  <c r="L4097" i="1"/>
  <c r="J4096" i="1"/>
  <c r="I4096" i="1"/>
  <c r="K4096" i="1" s="1"/>
  <c r="L4096" i="1" s="1"/>
  <c r="L4095" i="1"/>
  <c r="J4094" i="1"/>
  <c r="I4094" i="1"/>
  <c r="K4094" i="1" s="1"/>
  <c r="L4094" i="1" s="1"/>
  <c r="L4093" i="1"/>
  <c r="J4092" i="1"/>
  <c r="I4092" i="1"/>
  <c r="K4092" i="1" s="1"/>
  <c r="L4092" i="1" s="1"/>
  <c r="J4091" i="1"/>
  <c r="I4091" i="1"/>
  <c r="K4091" i="1" s="1"/>
  <c r="L4091" i="1" s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L4087" i="1"/>
  <c r="J4086" i="1"/>
  <c r="I4086" i="1"/>
  <c r="K4086" i="1" s="1"/>
  <c r="L4086" i="1" s="1"/>
  <c r="L4085" i="1"/>
  <c r="J4084" i="1"/>
  <c r="I4084" i="1"/>
  <c r="K4084" i="1" s="1"/>
  <c r="L4084" i="1" s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L4079" i="1"/>
  <c r="J4078" i="1"/>
  <c r="I4078" i="1"/>
  <c r="K4078" i="1" s="1"/>
  <c r="L4078" i="1" s="1"/>
  <c r="J4077" i="1"/>
  <c r="I4077" i="1"/>
  <c r="K4077" i="1" s="1"/>
  <c r="L4077" i="1" s="1"/>
  <c r="L4076" i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L4059" i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L4055" i="1"/>
  <c r="J4054" i="1"/>
  <c r="I4054" i="1"/>
  <c r="K4054" i="1" s="1"/>
  <c r="L4054" i="1" s="1"/>
  <c r="L4053" i="1"/>
  <c r="J4052" i="1"/>
  <c r="I4052" i="1"/>
  <c r="K4052" i="1" s="1"/>
  <c r="L4052" i="1" s="1"/>
  <c r="L4051" i="1"/>
  <c r="J4050" i="1"/>
  <c r="I4050" i="1"/>
  <c r="K4050" i="1" s="1"/>
  <c r="L4050" i="1" s="1"/>
  <c r="L4049" i="1"/>
  <c r="J4048" i="1"/>
  <c r="I4048" i="1"/>
  <c r="K4048" i="1" s="1"/>
  <c r="L4048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L4043" i="1"/>
  <c r="J4042" i="1"/>
  <c r="I4042" i="1"/>
  <c r="K4042" i="1" s="1"/>
  <c r="L4042" i="1" s="1"/>
  <c r="L4041" i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L4032" i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L4015" i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L4011" i="1"/>
  <c r="J4010" i="1"/>
  <c r="I4010" i="1"/>
  <c r="K4010" i="1" s="1"/>
  <c r="L4010" i="1" s="1"/>
  <c r="L4009" i="1"/>
  <c r="J4008" i="1"/>
  <c r="I4008" i="1"/>
  <c r="K4008" i="1" s="1"/>
  <c r="L4008" i="1" s="1"/>
  <c r="L4007" i="1"/>
  <c r="J4006" i="1"/>
  <c r="I4006" i="1"/>
  <c r="K4006" i="1" s="1"/>
  <c r="L4006" i="1" s="1"/>
  <c r="L4005" i="1"/>
  <c r="L4004" i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L3999" i="1"/>
  <c r="J3998" i="1"/>
  <c r="I3998" i="1"/>
  <c r="K3998" i="1" s="1"/>
  <c r="L3998" i="1" s="1"/>
  <c r="L3997" i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L3988" i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L3982" i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L3977" i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L3971" i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L3965" i="1"/>
  <c r="J3964" i="1"/>
  <c r="I3964" i="1"/>
  <c r="K3964" i="1" s="1"/>
  <c r="L3964" i="1" s="1"/>
  <c r="L3963" i="1"/>
  <c r="J3962" i="1"/>
  <c r="I3962" i="1"/>
  <c r="K3962" i="1" s="1"/>
  <c r="L3962" i="1" s="1"/>
  <c r="L3961" i="1"/>
  <c r="L3960" i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L3955" i="1"/>
  <c r="J3954" i="1"/>
  <c r="I3954" i="1"/>
  <c r="K3954" i="1" s="1"/>
  <c r="L3954" i="1" s="1"/>
  <c r="L3953" i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L3944" i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L3930" i="1"/>
  <c r="J3929" i="1"/>
  <c r="I3929" i="1"/>
  <c r="K3929" i="1" s="1"/>
  <c r="L3929" i="1" s="1"/>
  <c r="J3928" i="1"/>
  <c r="I3928" i="1"/>
  <c r="K3928" i="1" s="1"/>
  <c r="L3928" i="1" s="1"/>
  <c r="L3927" i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L3921" i="1"/>
  <c r="J3920" i="1"/>
  <c r="I3920" i="1"/>
  <c r="K3920" i="1" s="1"/>
  <c r="L3920" i="1" s="1"/>
  <c r="L3919" i="1"/>
  <c r="J3918" i="1"/>
  <c r="I3918" i="1"/>
  <c r="K3918" i="1" s="1"/>
  <c r="L3918" i="1" s="1"/>
  <c r="L3917" i="1"/>
  <c r="L3916" i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L3911" i="1"/>
  <c r="J3910" i="1"/>
  <c r="I3910" i="1"/>
  <c r="K3910" i="1" s="1"/>
  <c r="L3910" i="1" s="1"/>
  <c r="L3909" i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L3900" i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L3883" i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L3877" i="1"/>
  <c r="J3876" i="1"/>
  <c r="I3876" i="1"/>
  <c r="K3876" i="1" s="1"/>
  <c r="L3876" i="1" s="1"/>
  <c r="L3875" i="1"/>
  <c r="J3874" i="1"/>
  <c r="I3874" i="1"/>
  <c r="K3874" i="1" s="1"/>
  <c r="L3874" i="1" s="1"/>
  <c r="L3873" i="1"/>
  <c r="L3872" i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L3867" i="1"/>
  <c r="J3866" i="1"/>
  <c r="I3866" i="1"/>
  <c r="K3866" i="1" s="1"/>
  <c r="L3866" i="1" s="1"/>
  <c r="L3865" i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L3856" i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L3839" i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L3833" i="1"/>
  <c r="J3832" i="1"/>
  <c r="I3832" i="1"/>
  <c r="K3832" i="1" s="1"/>
  <c r="L3832" i="1" s="1"/>
  <c r="L3831" i="1"/>
  <c r="J3830" i="1"/>
  <c r="I3830" i="1"/>
  <c r="K3830" i="1" s="1"/>
  <c r="L3830" i="1" s="1"/>
  <c r="L3829" i="1"/>
  <c r="L3828" i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L3823" i="1"/>
  <c r="J3822" i="1"/>
  <c r="I3822" i="1"/>
  <c r="K3822" i="1" s="1"/>
  <c r="L3822" i="1" s="1"/>
  <c r="L3821" i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L3812" i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L3798" i="1"/>
  <c r="J3797" i="1"/>
  <c r="I3797" i="1"/>
  <c r="K3797" i="1" s="1"/>
  <c r="L3797" i="1" s="1"/>
  <c r="J3796" i="1"/>
  <c r="I3796" i="1"/>
  <c r="K3796" i="1" s="1"/>
  <c r="L3796" i="1" s="1"/>
  <c r="L3795" i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L3789" i="1"/>
  <c r="J3788" i="1"/>
  <c r="I3788" i="1"/>
  <c r="K3788" i="1" s="1"/>
  <c r="L3788" i="1" s="1"/>
  <c r="L3787" i="1"/>
  <c r="J3786" i="1"/>
  <c r="I3786" i="1"/>
  <c r="K3786" i="1" s="1"/>
  <c r="L3786" i="1" s="1"/>
  <c r="L3785" i="1"/>
  <c r="L3784" i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L3779" i="1"/>
  <c r="J3778" i="1"/>
  <c r="I3778" i="1"/>
  <c r="K3778" i="1" s="1"/>
  <c r="L3778" i="1" s="1"/>
  <c r="L3777" i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L3768" i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L3751" i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L3745" i="1"/>
  <c r="J3744" i="1"/>
  <c r="I3744" i="1"/>
  <c r="K3744" i="1" s="1"/>
  <c r="L3744" i="1" s="1"/>
  <c r="L3743" i="1"/>
  <c r="J3742" i="1"/>
  <c r="I3742" i="1"/>
  <c r="K3742" i="1" s="1"/>
  <c r="L3742" i="1" s="1"/>
  <c r="L3741" i="1"/>
  <c r="L3740" i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L3735" i="1"/>
  <c r="J3734" i="1"/>
  <c r="I3734" i="1"/>
  <c r="K3734" i="1" s="1"/>
  <c r="L3734" i="1" s="1"/>
  <c r="L3733" i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L3724" i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L3708" i="1"/>
  <c r="L3707" i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L3701" i="1"/>
  <c r="J3700" i="1"/>
  <c r="I3700" i="1"/>
  <c r="K3700" i="1" s="1"/>
  <c r="L3700" i="1" s="1"/>
  <c r="L3699" i="1"/>
  <c r="J3698" i="1"/>
  <c r="I3698" i="1"/>
  <c r="K3698" i="1" s="1"/>
  <c r="L3698" i="1" s="1"/>
  <c r="L3697" i="1"/>
  <c r="L3696" i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L3691" i="1"/>
  <c r="J3690" i="1"/>
  <c r="I3690" i="1"/>
  <c r="K3690" i="1" s="1"/>
  <c r="L3690" i="1" s="1"/>
  <c r="L3689" i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L3680" i="1"/>
  <c r="J3679" i="1"/>
  <c r="I3679" i="1"/>
  <c r="K3679" i="1" s="1"/>
  <c r="L3679" i="1" s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L3619" i="1"/>
  <c r="J3618" i="1"/>
  <c r="I3618" i="1"/>
  <c r="K3618" i="1" s="1"/>
  <c r="L3618" i="1" s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L3613" i="1"/>
  <c r="J3612" i="1"/>
  <c r="I3612" i="1"/>
  <c r="K3612" i="1" s="1"/>
  <c r="L3612" i="1" s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L3608" i="1"/>
  <c r="J3607" i="1"/>
  <c r="I3607" i="1"/>
  <c r="K3607" i="1" s="1"/>
  <c r="L3607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L3603" i="1"/>
  <c r="J3602" i="1"/>
  <c r="I3602" i="1"/>
  <c r="K3602" i="1" s="1"/>
  <c r="L3602" i="1" s="1"/>
  <c r="L3601" i="1"/>
  <c r="J3600" i="1"/>
  <c r="I3600" i="1"/>
  <c r="K3600" i="1" s="1"/>
  <c r="L3600" i="1" s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L3592" i="1"/>
  <c r="J3591" i="1"/>
  <c r="I3591" i="1"/>
  <c r="K3591" i="1" s="1"/>
  <c r="L3591" i="1" s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3585" i="1"/>
  <c r="I3585" i="1"/>
  <c r="K3585" i="1" s="1"/>
  <c r="L358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3580" i="1"/>
  <c r="I3580" i="1"/>
  <c r="K3580" i="1" s="1"/>
  <c r="L3580" i="1" s="1"/>
  <c r="J3579" i="1"/>
  <c r="I3579" i="1"/>
  <c r="K3579" i="1" s="1"/>
  <c r="L3579" i="1" s="1"/>
  <c r="L3578" i="1"/>
  <c r="J3577" i="1"/>
  <c r="I3577" i="1"/>
  <c r="K3577" i="1" s="1"/>
  <c r="L3577" i="1" s="1"/>
  <c r="J3576" i="1"/>
  <c r="I3576" i="1"/>
  <c r="K3576" i="1" s="1"/>
  <c r="L3576" i="1" s="1"/>
  <c r="L3575" i="1"/>
  <c r="J3574" i="1"/>
  <c r="I3574" i="1"/>
  <c r="K3574" i="1" s="1"/>
  <c r="L3574" i="1" s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L3569" i="1"/>
  <c r="J3568" i="1"/>
  <c r="I3568" i="1"/>
  <c r="K3568" i="1" s="1"/>
  <c r="L3568" i="1" s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L3564" i="1"/>
  <c r="J3563" i="1"/>
  <c r="I3563" i="1"/>
  <c r="K3563" i="1" s="1"/>
  <c r="L3563" i="1" s="1"/>
  <c r="J3562" i="1"/>
  <c r="I3562" i="1"/>
  <c r="K3562" i="1" s="1"/>
  <c r="L3562" i="1" s="1"/>
  <c r="J3561" i="1"/>
  <c r="I3561" i="1"/>
  <c r="K3561" i="1" s="1"/>
  <c r="L3561" i="1" s="1"/>
  <c r="L3560" i="1"/>
  <c r="L3559" i="1"/>
  <c r="J3558" i="1"/>
  <c r="I3558" i="1"/>
  <c r="K3558" i="1" s="1"/>
  <c r="L3558" i="1" s="1"/>
  <c r="L3557" i="1"/>
  <c r="J3556" i="1"/>
  <c r="I3556" i="1"/>
  <c r="K3556" i="1" s="1"/>
  <c r="L3556" i="1" s="1"/>
  <c r="J3555" i="1"/>
  <c r="I3555" i="1"/>
  <c r="K3555" i="1" s="1"/>
  <c r="L3555" i="1" s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L3548" i="1"/>
  <c r="J3547" i="1"/>
  <c r="I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K3532" i="1" s="1"/>
  <c r="L3532" i="1" s="1"/>
  <c r="L3531" i="1"/>
  <c r="J3530" i="1"/>
  <c r="I3530" i="1"/>
  <c r="J3529" i="1"/>
  <c r="I3529" i="1"/>
  <c r="J3528" i="1"/>
  <c r="I3528" i="1"/>
  <c r="J3527" i="1"/>
  <c r="I3527" i="1"/>
  <c r="J3526" i="1"/>
  <c r="I3526" i="1"/>
  <c r="L3525" i="1"/>
  <c r="J3524" i="1"/>
  <c r="I3524" i="1"/>
  <c r="L3523" i="1"/>
  <c r="J3522" i="1"/>
  <c r="I3522" i="1"/>
  <c r="J3521" i="1"/>
  <c r="I3521" i="1"/>
  <c r="J3520" i="1"/>
  <c r="I3520" i="1"/>
  <c r="J3519" i="1"/>
  <c r="I3519" i="1"/>
  <c r="K3519" i="1" s="1"/>
  <c r="L3519" i="1" s="1"/>
  <c r="L3518" i="1"/>
  <c r="J3517" i="1"/>
  <c r="I3517" i="1"/>
  <c r="K3517" i="1" s="1"/>
  <c r="L3517" i="1" s="1"/>
  <c r="J3516" i="1"/>
  <c r="I3516" i="1"/>
  <c r="K3516" i="1" s="1"/>
  <c r="L3516" i="1" s="1"/>
  <c r="L3515" i="1"/>
  <c r="J3514" i="1"/>
  <c r="I3514" i="1"/>
  <c r="K3514" i="1" s="1"/>
  <c r="L3514" i="1" s="1"/>
  <c r="L3513" i="1"/>
  <c r="J3512" i="1"/>
  <c r="I3512" i="1"/>
  <c r="K3512" i="1" s="1"/>
  <c r="L3512" i="1" s="1"/>
  <c r="J3511" i="1"/>
  <c r="I3511" i="1"/>
  <c r="K3511" i="1" s="1"/>
  <c r="L3511" i="1" s="1"/>
  <c r="J3510" i="1"/>
  <c r="I3510" i="1"/>
  <c r="J3509" i="1"/>
  <c r="I3509" i="1"/>
  <c r="K3509" i="1" s="1"/>
  <c r="L3509" i="1" s="1"/>
  <c r="J3508" i="1"/>
  <c r="I3508" i="1"/>
  <c r="K3508" i="1" s="1"/>
  <c r="L3508" i="1" s="1"/>
  <c r="J3507" i="1"/>
  <c r="I3507" i="1"/>
  <c r="K3507" i="1" s="1"/>
  <c r="L3507" i="1" s="1"/>
  <c r="J3506" i="1"/>
  <c r="I3506" i="1"/>
  <c r="J3505" i="1"/>
  <c r="I3505" i="1"/>
  <c r="L3504" i="1"/>
  <c r="J3503" i="1"/>
  <c r="I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K3496" i="1" s="1"/>
  <c r="L3496" i="1" s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L3488" i="1"/>
  <c r="L3487" i="1"/>
  <c r="J3486" i="1"/>
  <c r="I3486" i="1"/>
  <c r="J3485" i="1"/>
  <c r="I3485" i="1"/>
  <c r="J3484" i="1"/>
  <c r="I3484" i="1"/>
  <c r="J3483" i="1"/>
  <c r="I3483" i="1"/>
  <c r="K3483" i="1" s="1"/>
  <c r="L3483" i="1" s="1"/>
  <c r="J3482" i="1"/>
  <c r="I3482" i="1"/>
  <c r="L3481" i="1"/>
  <c r="L3480" i="1"/>
  <c r="J3479" i="1"/>
  <c r="I3479" i="1"/>
  <c r="J3478" i="1"/>
  <c r="I3478" i="1"/>
  <c r="J3477" i="1"/>
  <c r="I3477" i="1"/>
  <c r="L3476" i="1"/>
  <c r="L3475" i="1"/>
  <c r="L3474" i="1"/>
  <c r="J3473" i="1"/>
  <c r="I3473" i="1"/>
  <c r="J3472" i="1"/>
  <c r="I3472" i="1"/>
  <c r="L3471" i="1"/>
  <c r="J3470" i="1"/>
  <c r="I3470" i="1"/>
  <c r="L3469" i="1"/>
  <c r="L3468" i="1"/>
  <c r="J3467" i="1"/>
  <c r="I3467" i="1"/>
  <c r="J3466" i="1"/>
  <c r="I3466" i="1"/>
  <c r="J3465" i="1"/>
  <c r="I3465" i="1"/>
  <c r="J3464" i="1"/>
  <c r="I3464" i="1"/>
  <c r="J3463" i="1"/>
  <c r="I3463" i="1"/>
  <c r="K3463" i="1" s="1"/>
  <c r="L3463" i="1" s="1"/>
  <c r="J3462" i="1"/>
  <c r="I3462" i="1"/>
  <c r="J3461" i="1"/>
  <c r="I3461" i="1"/>
  <c r="L3460" i="1"/>
  <c r="J3459" i="1"/>
  <c r="I3459" i="1"/>
  <c r="J3458" i="1"/>
  <c r="I3458" i="1"/>
  <c r="J3457" i="1"/>
  <c r="I3457" i="1"/>
  <c r="J3456" i="1"/>
  <c r="I3456" i="1"/>
  <c r="J3455" i="1"/>
  <c r="I3455" i="1"/>
  <c r="K3455" i="1" s="1"/>
  <c r="L3455" i="1" s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L3451" i="1"/>
  <c r="L3450" i="1"/>
  <c r="J3449" i="1"/>
  <c r="I3449" i="1"/>
  <c r="K3449" i="1" s="1"/>
  <c r="L3449" i="1" s="1"/>
  <c r="L3448" i="1"/>
  <c r="J3447" i="1"/>
  <c r="I3447" i="1"/>
  <c r="K3447" i="1" s="1"/>
  <c r="L3447" i="1" s="1"/>
  <c r="J3446" i="1"/>
  <c r="I3446" i="1"/>
  <c r="K3446" i="1" s="1"/>
  <c r="L3446" i="1" s="1"/>
  <c r="J3445" i="1"/>
  <c r="I3445" i="1"/>
  <c r="K3445" i="1" s="1"/>
  <c r="L3445" i="1" s="1"/>
  <c r="L3444" i="1"/>
  <c r="L3443" i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L3437" i="1"/>
  <c r="L3436" i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L3427" i="1"/>
  <c r="J3426" i="1"/>
  <c r="I3426" i="1"/>
  <c r="K3426" i="1" s="1"/>
  <c r="L3426" i="1" s="1"/>
  <c r="L3425" i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L3416" i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L3406" i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L3400" i="1"/>
  <c r="L3399" i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L3393" i="1"/>
  <c r="L3392" i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L3383" i="1"/>
  <c r="J3382" i="1"/>
  <c r="I3382" i="1"/>
  <c r="K3382" i="1" s="1"/>
  <c r="L3382" i="1" s="1"/>
  <c r="L3381" i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L3372" i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L3362" i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L3356" i="1"/>
  <c r="L3355" i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L3349" i="1"/>
  <c r="L3348" i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L3339" i="1"/>
  <c r="J3338" i="1"/>
  <c r="I3338" i="1"/>
  <c r="K3338" i="1" s="1"/>
  <c r="L3338" i="1" s="1"/>
  <c r="L3337" i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L3328" i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L3318" i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L3312" i="1"/>
  <c r="L3311" i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L3305" i="1"/>
  <c r="L3304" i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L3300" i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L3295" i="1"/>
  <c r="J3294" i="1"/>
  <c r="I3294" i="1"/>
  <c r="K3294" i="1" s="1"/>
  <c r="L3294" i="1" s="1"/>
  <c r="L3293" i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L3284" i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L3278" i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L3274" i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L3268" i="1"/>
  <c r="L3267" i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L3261" i="1"/>
  <c r="L3260" i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L3251" i="1"/>
  <c r="J3250" i="1"/>
  <c r="I3250" i="1"/>
  <c r="K3250" i="1" s="1"/>
  <c r="L3250" i="1" s="1"/>
  <c r="L3249" i="1"/>
  <c r="J3248" i="1"/>
  <c r="I3248" i="1"/>
  <c r="K3248" i="1" s="1"/>
  <c r="L3248" i="1" s="1"/>
  <c r="J3247" i="1"/>
  <c r="I3247" i="1"/>
  <c r="K3247" i="1" s="1"/>
  <c r="L3247" i="1" s="1"/>
  <c r="L3246" i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L3240" i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L3234" i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L3230" i="1"/>
  <c r="J3229" i="1"/>
  <c r="I3229" i="1"/>
  <c r="K3229" i="1" s="1"/>
  <c r="L3229" i="1" s="1"/>
  <c r="L3228" i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L3224" i="1"/>
  <c r="L3223" i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L3217" i="1"/>
  <c r="L3216" i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L3207" i="1"/>
  <c r="J3206" i="1"/>
  <c r="I3206" i="1"/>
  <c r="K3206" i="1" s="1"/>
  <c r="L3206" i="1" s="1"/>
  <c r="L3205" i="1"/>
  <c r="L3204" i="1"/>
  <c r="J3203" i="1"/>
  <c r="I3203" i="1"/>
  <c r="K3203" i="1" s="1"/>
  <c r="L3203" i="1" s="1"/>
  <c r="L3202" i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L3196" i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L3190" i="1"/>
  <c r="J3189" i="1"/>
  <c r="I3189" i="1"/>
  <c r="K3189" i="1" s="1"/>
  <c r="L3189" i="1" s="1"/>
  <c r="J3188" i="1"/>
  <c r="I3188" i="1"/>
  <c r="K3188" i="1" s="1"/>
  <c r="L3188" i="1" s="1"/>
  <c r="L3187" i="1"/>
  <c r="L3186" i="1"/>
  <c r="J3185" i="1"/>
  <c r="I3185" i="1"/>
  <c r="K3185" i="1" s="1"/>
  <c r="L3185" i="1" s="1"/>
  <c r="L3184" i="1"/>
  <c r="J3183" i="1"/>
  <c r="I3183" i="1"/>
  <c r="K3183" i="1" s="1"/>
  <c r="L3183" i="1" s="1"/>
  <c r="L3182" i="1"/>
  <c r="J3181" i="1"/>
  <c r="I3181" i="1"/>
  <c r="K3181" i="1" s="1"/>
  <c r="L3181" i="1" s="1"/>
  <c r="L3180" i="1"/>
  <c r="L3179" i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L3173" i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L3163" i="1"/>
  <c r="J3162" i="1"/>
  <c r="I3162" i="1"/>
  <c r="K3162" i="1" s="1"/>
  <c r="L3162" i="1" s="1"/>
  <c r="L3161" i="1"/>
  <c r="L3160" i="1"/>
  <c r="J3159" i="1"/>
  <c r="I3159" i="1"/>
  <c r="K3159" i="1" s="1"/>
  <c r="L3159" i="1" s="1"/>
  <c r="L3158" i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L3152" i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L3146" i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L3142" i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L3136" i="1"/>
  <c r="L3135" i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L3129" i="1"/>
  <c r="J3128" i="1"/>
  <c r="I3128" i="1"/>
  <c r="K3128" i="1" s="1"/>
  <c r="L3128" i="1" s="1"/>
  <c r="L3127" i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L3119" i="1"/>
  <c r="J3118" i="1"/>
  <c r="I3118" i="1"/>
  <c r="K3118" i="1" s="1"/>
  <c r="L3118" i="1" s="1"/>
  <c r="L3117" i="1"/>
  <c r="L3116" i="1"/>
  <c r="J3115" i="1"/>
  <c r="I3115" i="1"/>
  <c r="K3115" i="1" s="1"/>
  <c r="L3115" i="1" s="1"/>
  <c r="L3114" i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L3108" i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L3102" i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L3098" i="1"/>
  <c r="L3097" i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L3092" i="1"/>
  <c r="L3091" i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L3085" i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L3075" i="1"/>
  <c r="J3074" i="1"/>
  <c r="I3074" i="1"/>
  <c r="K3074" i="1" s="1"/>
  <c r="L3074" i="1" s="1"/>
  <c r="L3073" i="1"/>
  <c r="L3072" i="1"/>
  <c r="J3071" i="1"/>
  <c r="I3071" i="1"/>
  <c r="K3071" i="1" s="1"/>
  <c r="L3071" i="1" s="1"/>
  <c r="L3070" i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L3064" i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L3058" i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L3054" i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L3048" i="1"/>
  <c r="L3047" i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L3041" i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L3032" i="1"/>
  <c r="L3031" i="1"/>
  <c r="J3030" i="1"/>
  <c r="I3030" i="1"/>
  <c r="K3030" i="1" s="1"/>
  <c r="L3030" i="1" s="1"/>
  <c r="L3029" i="1"/>
  <c r="J3028" i="1"/>
  <c r="I3028" i="1"/>
  <c r="K3028" i="1" s="1"/>
  <c r="L3028" i="1" s="1"/>
  <c r="J3027" i="1"/>
  <c r="I3027" i="1"/>
  <c r="K3027" i="1" s="1"/>
  <c r="L3027" i="1" s="1"/>
  <c r="L3026" i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L3020" i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L3014" i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L3010" i="1"/>
  <c r="J3009" i="1"/>
  <c r="I3009" i="1"/>
  <c r="K3009" i="1" s="1"/>
  <c r="L3009" i="1" s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L3003" i="1"/>
  <c r="J3002" i="1"/>
  <c r="I3002" i="1"/>
  <c r="K3002" i="1" s="1"/>
  <c r="L3002" i="1" s="1"/>
  <c r="L3001" i="1"/>
  <c r="J3000" i="1"/>
  <c r="I3000" i="1"/>
  <c r="K3000" i="1" s="1"/>
  <c r="L3000" i="1" s="1"/>
  <c r="L2999" i="1"/>
  <c r="J2998" i="1"/>
  <c r="I2998" i="1"/>
  <c r="K2998" i="1" s="1"/>
  <c r="L2998" i="1" s="1"/>
  <c r="L2997" i="1"/>
  <c r="J2996" i="1"/>
  <c r="I2996" i="1"/>
  <c r="K2996" i="1" s="1"/>
  <c r="L2996" i="1" s="1"/>
  <c r="L2995" i="1"/>
  <c r="J2994" i="1"/>
  <c r="I2994" i="1"/>
  <c r="K2994" i="1" s="1"/>
  <c r="L2994" i="1" s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L2987" i="1"/>
  <c r="J2986" i="1"/>
  <c r="I2986" i="1"/>
  <c r="K2986" i="1" s="1"/>
  <c r="L2986" i="1" s="1"/>
  <c r="L2985" i="1"/>
  <c r="L2984" i="1"/>
  <c r="J2983" i="1"/>
  <c r="I2983" i="1"/>
  <c r="K2983" i="1" s="1"/>
  <c r="L2983" i="1" s="1"/>
  <c r="L2982" i="1"/>
  <c r="J2981" i="1"/>
  <c r="I2981" i="1"/>
  <c r="K2981" i="1" s="1"/>
  <c r="L2981" i="1" s="1"/>
  <c r="J2980" i="1"/>
  <c r="I2980" i="1"/>
  <c r="K2980" i="1" s="1"/>
  <c r="L2980" i="1" s="1"/>
  <c r="L2979" i="1"/>
  <c r="J2978" i="1"/>
  <c r="I2978" i="1"/>
  <c r="K2978" i="1" s="1"/>
  <c r="L2978" i="1" s="1"/>
  <c r="J2977" i="1"/>
  <c r="I2977" i="1"/>
  <c r="K2977" i="1" s="1"/>
  <c r="L2977" i="1" s="1"/>
  <c r="L2976" i="1"/>
  <c r="J2975" i="1"/>
  <c r="I2975" i="1"/>
  <c r="K2975" i="1" s="1"/>
  <c r="L2975" i="1" s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L2970" i="1"/>
  <c r="J2969" i="1"/>
  <c r="I2969" i="1"/>
  <c r="K2969" i="1" s="1"/>
  <c r="L2969" i="1" s="1"/>
  <c r="J2968" i="1"/>
  <c r="I2968" i="1"/>
  <c r="K2968" i="1" s="1"/>
  <c r="L2968" i="1" s="1"/>
  <c r="J2967" i="1"/>
  <c r="I2967" i="1"/>
  <c r="K2967" i="1" s="1"/>
  <c r="L2967" i="1" s="1"/>
  <c r="L2966" i="1"/>
  <c r="J2965" i="1"/>
  <c r="I2965" i="1"/>
  <c r="K2965" i="1" s="1"/>
  <c r="L2965" i="1" s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L2959" i="1"/>
  <c r="J2958" i="1"/>
  <c r="I2958" i="1"/>
  <c r="K2958" i="1" s="1"/>
  <c r="L2958" i="1" s="1"/>
  <c r="L2957" i="1"/>
  <c r="J2956" i="1"/>
  <c r="I2956" i="1"/>
  <c r="K2956" i="1" s="1"/>
  <c r="L2956" i="1" s="1"/>
  <c r="L2955" i="1"/>
  <c r="J2954" i="1"/>
  <c r="I2954" i="1"/>
  <c r="K2954" i="1" s="1"/>
  <c r="L2954" i="1" s="1"/>
  <c r="L2953" i="1"/>
  <c r="J2952" i="1"/>
  <c r="I2952" i="1"/>
  <c r="K2952" i="1" s="1"/>
  <c r="L2952" i="1" s="1"/>
  <c r="L2951" i="1"/>
  <c r="J2950" i="1"/>
  <c r="I2950" i="1"/>
  <c r="K2950" i="1" s="1"/>
  <c r="L2950" i="1" s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L2943" i="1"/>
  <c r="J2942" i="1"/>
  <c r="I2942" i="1"/>
  <c r="K2942" i="1" s="1"/>
  <c r="L2942" i="1" s="1"/>
  <c r="L2941" i="1"/>
  <c r="L2940" i="1"/>
  <c r="J2939" i="1"/>
  <c r="I2939" i="1"/>
  <c r="K2939" i="1" s="1"/>
  <c r="L2939" i="1" s="1"/>
  <c r="L2938" i="1"/>
  <c r="J2937" i="1"/>
  <c r="I2937" i="1"/>
  <c r="K2937" i="1" s="1"/>
  <c r="L2937" i="1" s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L2932" i="1"/>
  <c r="J2931" i="1"/>
  <c r="I2931" i="1"/>
  <c r="K2931" i="1" s="1"/>
  <c r="L2931" i="1" s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L2926" i="1"/>
  <c r="J2925" i="1"/>
  <c r="I2925" i="1"/>
  <c r="K2925" i="1" s="1"/>
  <c r="L2925" i="1" s="1"/>
  <c r="J2924" i="1"/>
  <c r="I2924" i="1"/>
  <c r="K2924" i="1" s="1"/>
  <c r="L2924" i="1" s="1"/>
  <c r="J2923" i="1"/>
  <c r="I2923" i="1"/>
  <c r="K2923" i="1" s="1"/>
  <c r="L2923" i="1" s="1"/>
  <c r="L2922" i="1"/>
  <c r="J2921" i="1"/>
  <c r="I2921" i="1"/>
  <c r="K2921" i="1" s="1"/>
  <c r="L2921" i="1" s="1"/>
  <c r="J2920" i="1"/>
  <c r="I2920" i="1"/>
  <c r="K2920" i="1" s="1"/>
  <c r="L2920" i="1" s="1"/>
  <c r="J2919" i="1"/>
  <c r="I2919" i="1"/>
  <c r="K2919" i="1" s="1"/>
  <c r="L2919" i="1" s="1"/>
  <c r="L2918" i="1"/>
  <c r="J2917" i="1"/>
  <c r="I2917" i="1"/>
  <c r="K2917" i="1" s="1"/>
  <c r="L2917" i="1" s="1"/>
  <c r="J2916" i="1"/>
  <c r="I2916" i="1"/>
  <c r="K2916" i="1" s="1"/>
  <c r="L2916" i="1" s="1"/>
  <c r="L2915" i="1"/>
  <c r="J2914" i="1"/>
  <c r="I2914" i="1"/>
  <c r="K2914" i="1" s="1"/>
  <c r="L2914" i="1" s="1"/>
  <c r="L2913" i="1"/>
  <c r="J2912" i="1"/>
  <c r="I2912" i="1"/>
  <c r="K2912" i="1" s="1"/>
  <c r="L2912" i="1" s="1"/>
  <c r="L2911" i="1"/>
  <c r="J2910" i="1"/>
  <c r="I2910" i="1"/>
  <c r="K2910" i="1" s="1"/>
  <c r="L2910" i="1" s="1"/>
  <c r="L2909" i="1"/>
  <c r="J2908" i="1"/>
  <c r="I2908" i="1"/>
  <c r="K2908" i="1" s="1"/>
  <c r="L2908" i="1" s="1"/>
  <c r="L2907" i="1"/>
  <c r="J2906" i="1"/>
  <c r="I2906" i="1"/>
  <c r="K2906" i="1" s="1"/>
  <c r="L2906" i="1" s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L2899" i="1"/>
  <c r="J2898" i="1"/>
  <c r="I2898" i="1"/>
  <c r="K2898" i="1" s="1"/>
  <c r="L2898" i="1" s="1"/>
  <c r="L2897" i="1"/>
  <c r="L2896" i="1"/>
  <c r="J2895" i="1"/>
  <c r="I2895" i="1"/>
  <c r="K2895" i="1" s="1"/>
  <c r="L2895" i="1" s="1"/>
  <c r="L2894" i="1"/>
  <c r="J2893" i="1"/>
  <c r="I2893" i="1"/>
  <c r="K2893" i="1" s="1"/>
  <c r="L2893" i="1" s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L2888" i="1"/>
  <c r="J2887" i="1"/>
  <c r="I2887" i="1"/>
  <c r="K2887" i="1" s="1"/>
  <c r="L2887" i="1" s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L2883" i="1"/>
  <c r="L2882" i="1"/>
  <c r="J2881" i="1"/>
  <c r="I2881" i="1"/>
  <c r="K2881" i="1" s="1"/>
  <c r="L2881" i="1" s="1"/>
  <c r="J2880" i="1"/>
  <c r="I2880" i="1"/>
  <c r="K2880" i="1" s="1"/>
  <c r="L2880" i="1" s="1"/>
  <c r="J2879" i="1"/>
  <c r="I2879" i="1"/>
  <c r="K2879" i="1" s="1"/>
  <c r="L2879" i="1" s="1"/>
  <c r="L2878" i="1"/>
  <c r="J2877" i="1"/>
  <c r="I2877" i="1"/>
  <c r="K2877" i="1" s="1"/>
  <c r="L2877" i="1" s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L2871" i="1"/>
  <c r="J2870" i="1"/>
  <c r="I2870" i="1"/>
  <c r="K2870" i="1" s="1"/>
  <c r="L2870" i="1" s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L2865" i="1"/>
  <c r="J2864" i="1"/>
  <c r="I2864" i="1"/>
  <c r="K2864" i="1" s="1"/>
  <c r="L2864" i="1" s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L2855" i="1"/>
  <c r="J2854" i="1"/>
  <c r="I2854" i="1"/>
  <c r="K2854" i="1" s="1"/>
  <c r="L2854" i="1" s="1"/>
  <c r="L2853" i="1"/>
  <c r="J2852" i="1"/>
  <c r="I2852" i="1"/>
  <c r="K2852" i="1" s="1"/>
  <c r="L2852" i="1" s="1"/>
  <c r="J2851" i="1"/>
  <c r="I2851" i="1"/>
  <c r="K2851" i="1" s="1"/>
  <c r="L2851" i="1" s="1"/>
  <c r="L2850" i="1"/>
  <c r="J2849" i="1"/>
  <c r="I2849" i="1"/>
  <c r="K2849" i="1" s="1"/>
  <c r="L2849" i="1" s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L2844" i="1"/>
  <c r="J2843" i="1"/>
  <c r="I2843" i="1"/>
  <c r="K2843" i="1" s="1"/>
  <c r="L2843" i="1" s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L2838" i="1"/>
  <c r="J2837" i="1"/>
  <c r="I2837" i="1"/>
  <c r="K2837" i="1" s="1"/>
  <c r="L2837" i="1" s="1"/>
  <c r="J2836" i="1"/>
  <c r="I2836" i="1"/>
  <c r="K2836" i="1" s="1"/>
  <c r="L2836" i="1" s="1"/>
  <c r="J2835" i="1"/>
  <c r="I2835" i="1"/>
  <c r="K2835" i="1" s="1"/>
  <c r="L2835" i="1" s="1"/>
  <c r="L2834" i="1"/>
  <c r="J2833" i="1"/>
  <c r="I2833" i="1"/>
  <c r="K2833" i="1" s="1"/>
  <c r="L2833" i="1" s="1"/>
  <c r="J2832" i="1"/>
  <c r="I2832" i="1"/>
  <c r="K2832" i="1" s="1"/>
  <c r="L2832" i="1" s="1"/>
  <c r="J2831" i="1"/>
  <c r="I2831" i="1"/>
  <c r="K2831" i="1" s="1"/>
  <c r="L2831" i="1" s="1"/>
  <c r="L2830" i="1"/>
  <c r="J2829" i="1"/>
  <c r="I2829" i="1"/>
  <c r="K2829" i="1" s="1"/>
  <c r="L2829" i="1" s="1"/>
  <c r="J2828" i="1"/>
  <c r="I2828" i="1"/>
  <c r="K2828" i="1" s="1"/>
  <c r="L2828" i="1" s="1"/>
  <c r="L2827" i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L2821" i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L2815" i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L2811" i="1"/>
  <c r="J2810" i="1"/>
  <c r="I2810" i="1"/>
  <c r="K2810" i="1" s="1"/>
  <c r="L2810" i="1" s="1"/>
  <c r="L2809" i="1"/>
  <c r="J2808" i="1"/>
  <c r="I2808" i="1"/>
  <c r="K2808" i="1" s="1"/>
  <c r="L2808" i="1" s="1"/>
  <c r="J2807" i="1"/>
  <c r="I2807" i="1"/>
  <c r="K2807" i="1" s="1"/>
  <c r="L2807" i="1" s="1"/>
  <c r="L2806" i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L2800" i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L2794" i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L2790" i="1"/>
  <c r="J2789" i="1"/>
  <c r="I2789" i="1"/>
  <c r="K2789" i="1" s="1"/>
  <c r="L2789" i="1" s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L2783" i="1"/>
  <c r="J2782" i="1"/>
  <c r="I2782" i="1"/>
  <c r="K2782" i="1" s="1"/>
  <c r="L2782" i="1" s="1"/>
  <c r="L2781" i="1"/>
  <c r="J2780" i="1"/>
  <c r="I2780" i="1"/>
  <c r="K2780" i="1" s="1"/>
  <c r="L2780" i="1" s="1"/>
  <c r="L2779" i="1"/>
  <c r="J2778" i="1"/>
  <c r="I2778" i="1"/>
  <c r="K2778" i="1" s="1"/>
  <c r="L2778" i="1" s="1"/>
  <c r="L2777" i="1"/>
  <c r="J2776" i="1"/>
  <c r="I2776" i="1"/>
  <c r="K2776" i="1" s="1"/>
  <c r="L2776" i="1" s="1"/>
  <c r="L2775" i="1"/>
  <c r="J2774" i="1"/>
  <c r="I2774" i="1"/>
  <c r="K2774" i="1" s="1"/>
  <c r="L2774" i="1" s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L2767" i="1"/>
  <c r="J2766" i="1"/>
  <c r="I2766" i="1"/>
  <c r="K2766" i="1" s="1"/>
  <c r="L2766" i="1" s="1"/>
  <c r="L2765" i="1"/>
  <c r="L2764" i="1"/>
  <c r="J2763" i="1"/>
  <c r="I2763" i="1"/>
  <c r="K2763" i="1" s="1"/>
  <c r="L2763" i="1" s="1"/>
  <c r="L2762" i="1"/>
  <c r="J2761" i="1"/>
  <c r="I2761" i="1"/>
  <c r="K2761" i="1" s="1"/>
  <c r="L2761" i="1" s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L2756" i="1"/>
  <c r="J2755" i="1"/>
  <c r="I2755" i="1"/>
  <c r="K2755" i="1" s="1"/>
  <c r="L2755" i="1" s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L2750" i="1"/>
  <c r="J2749" i="1"/>
  <c r="I2749" i="1"/>
  <c r="K2749" i="1" s="1"/>
  <c r="L2749" i="1" s="1"/>
  <c r="J2748" i="1"/>
  <c r="I2748" i="1"/>
  <c r="K2748" i="1" s="1"/>
  <c r="L2748" i="1" s="1"/>
  <c r="J2747" i="1"/>
  <c r="I2747" i="1"/>
  <c r="K2747" i="1" s="1"/>
  <c r="L2747" i="1" s="1"/>
  <c r="L2746" i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L2739" i="1"/>
  <c r="J2738" i="1"/>
  <c r="I2738" i="1"/>
  <c r="K2738" i="1" s="1"/>
  <c r="L2738" i="1" s="1"/>
  <c r="L2737" i="1"/>
  <c r="J2736" i="1"/>
  <c r="I2736" i="1"/>
  <c r="K2736" i="1" s="1"/>
  <c r="L2736" i="1" s="1"/>
  <c r="L2735" i="1"/>
  <c r="J2734" i="1"/>
  <c r="I2734" i="1"/>
  <c r="K2734" i="1" s="1"/>
  <c r="L2734" i="1" s="1"/>
  <c r="L2733" i="1"/>
  <c r="J2732" i="1"/>
  <c r="I2732" i="1"/>
  <c r="K2732" i="1" s="1"/>
  <c r="L2732" i="1" s="1"/>
  <c r="L2731" i="1"/>
  <c r="J2730" i="1"/>
  <c r="I2730" i="1"/>
  <c r="K2730" i="1" s="1"/>
  <c r="L2730" i="1" s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L2723" i="1"/>
  <c r="J2722" i="1"/>
  <c r="I2722" i="1"/>
  <c r="K2722" i="1" s="1"/>
  <c r="L2722" i="1" s="1"/>
  <c r="L2721" i="1"/>
  <c r="J2720" i="1"/>
  <c r="I2720" i="1"/>
  <c r="K2720" i="1" s="1"/>
  <c r="L2720" i="1" s="1"/>
  <c r="J2719" i="1"/>
  <c r="I2719" i="1"/>
  <c r="K2719" i="1" s="1"/>
  <c r="L2719" i="1" s="1"/>
  <c r="L2718" i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L2712" i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L2706" i="1"/>
  <c r="L2705" i="1"/>
  <c r="L2704" i="1"/>
  <c r="J2703" i="1"/>
  <c r="I2703" i="1"/>
  <c r="K2703" i="1" s="1"/>
  <c r="L2703" i="1" s="1"/>
  <c r="L2702" i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L2695" i="1"/>
  <c r="J2694" i="1"/>
  <c r="I2694" i="1"/>
  <c r="K2694" i="1" s="1"/>
  <c r="L2694" i="1" s="1"/>
  <c r="L2693" i="1"/>
  <c r="L2692" i="1"/>
  <c r="L2691" i="1"/>
  <c r="J2690" i="1"/>
  <c r="I2690" i="1"/>
  <c r="K2690" i="1" s="1"/>
  <c r="L2690" i="1" s="1"/>
  <c r="L2689" i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L2679" i="1"/>
  <c r="J2678" i="1"/>
  <c r="I2678" i="1"/>
  <c r="K2678" i="1" s="1"/>
  <c r="L2678" i="1" s="1"/>
  <c r="L2677" i="1"/>
  <c r="J2676" i="1"/>
  <c r="I2676" i="1"/>
  <c r="K2676" i="1" s="1"/>
  <c r="L2676" i="1" s="1"/>
  <c r="J2675" i="1"/>
  <c r="I2675" i="1"/>
  <c r="K2675" i="1" s="1"/>
  <c r="L2675" i="1" s="1"/>
  <c r="L2674" i="1"/>
  <c r="L2673" i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L2668" i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L2662" i="1"/>
  <c r="L2661" i="1"/>
  <c r="L2660" i="1"/>
  <c r="J2659" i="1"/>
  <c r="I2659" i="1"/>
  <c r="K2659" i="1" s="1"/>
  <c r="L2659" i="1" s="1"/>
  <c r="L2658" i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L2651" i="1"/>
  <c r="J2650" i="1"/>
  <c r="I2650" i="1"/>
  <c r="K2650" i="1" s="1"/>
  <c r="L2650" i="1" s="1"/>
  <c r="J2649" i="1"/>
  <c r="I2649" i="1"/>
  <c r="K2649" i="1" s="1"/>
  <c r="L2649" i="1" s="1"/>
  <c r="L2648" i="1"/>
  <c r="J2647" i="1"/>
  <c r="I2647" i="1"/>
  <c r="K2647" i="1" s="1"/>
  <c r="L2647" i="1" s="1"/>
  <c r="J2646" i="1"/>
  <c r="I2646" i="1"/>
  <c r="K2646" i="1" s="1"/>
  <c r="L2646" i="1" s="1"/>
  <c r="L2645" i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L2635" i="1"/>
  <c r="J2634" i="1"/>
  <c r="I2634" i="1"/>
  <c r="K2634" i="1" s="1"/>
  <c r="L2634" i="1" s="1"/>
  <c r="L2633" i="1"/>
  <c r="J2632" i="1"/>
  <c r="I2632" i="1"/>
  <c r="K2632" i="1" s="1"/>
  <c r="L2632" i="1" s="1"/>
  <c r="J2631" i="1"/>
  <c r="I2631" i="1"/>
  <c r="K2631" i="1" s="1"/>
  <c r="L2631" i="1" s="1"/>
  <c r="L2630" i="1"/>
  <c r="L2629" i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L2624" i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L2618" i="1"/>
  <c r="L2617" i="1"/>
  <c r="L2616" i="1"/>
  <c r="J2615" i="1"/>
  <c r="I2615" i="1"/>
  <c r="K2615" i="1" s="1"/>
  <c r="L2615" i="1" s="1"/>
  <c r="L2614" i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L2607" i="1"/>
  <c r="J2606" i="1"/>
  <c r="I2606" i="1"/>
  <c r="K2606" i="1" s="1"/>
  <c r="L2606" i="1" s="1"/>
  <c r="J2605" i="1"/>
  <c r="I2605" i="1"/>
  <c r="K2605" i="1" s="1"/>
  <c r="L2605" i="1" s="1"/>
  <c r="L2604" i="1"/>
  <c r="J2603" i="1"/>
  <c r="I2603" i="1"/>
  <c r="K2603" i="1" s="1"/>
  <c r="L2603" i="1" s="1"/>
  <c r="J2602" i="1"/>
  <c r="I2602" i="1"/>
  <c r="K2602" i="1" s="1"/>
  <c r="L2602" i="1" s="1"/>
  <c r="L2601" i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L2596" i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L2591" i="1"/>
  <c r="J2590" i="1"/>
  <c r="I2590" i="1"/>
  <c r="K2590" i="1" s="1"/>
  <c r="L2590" i="1" s="1"/>
  <c r="L2589" i="1"/>
  <c r="J2588" i="1"/>
  <c r="I2588" i="1"/>
  <c r="K2588" i="1" s="1"/>
  <c r="L2588" i="1" s="1"/>
  <c r="J2587" i="1"/>
  <c r="I2587" i="1"/>
  <c r="K2587" i="1" s="1"/>
  <c r="L2587" i="1" s="1"/>
  <c r="L2586" i="1"/>
  <c r="J2585" i="1"/>
  <c r="I2585" i="1"/>
  <c r="K2585" i="1" s="1"/>
  <c r="L2585" i="1" s="1"/>
  <c r="J2584" i="1"/>
  <c r="I2584" i="1"/>
  <c r="K2584" i="1" s="1"/>
  <c r="L2584" i="1" s="1"/>
  <c r="L2583" i="1"/>
  <c r="J2582" i="1"/>
  <c r="I2582" i="1"/>
  <c r="K2582" i="1" s="1"/>
  <c r="L2582" i="1" s="1"/>
  <c r="J2581" i="1"/>
  <c r="I2581" i="1"/>
  <c r="K2581" i="1" s="1"/>
  <c r="L2581" i="1" s="1"/>
  <c r="L2580" i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L2574" i="1"/>
  <c r="L2573" i="1"/>
  <c r="L2572" i="1"/>
  <c r="L2571" i="1"/>
  <c r="L2570" i="1"/>
  <c r="J2569" i="1"/>
  <c r="I2569" i="1"/>
  <c r="J2568" i="1"/>
  <c r="I2568" i="1"/>
  <c r="J2567" i="1"/>
  <c r="I2567" i="1"/>
  <c r="J2566" i="1"/>
  <c r="I2566" i="1"/>
  <c r="J2565" i="1"/>
  <c r="I2565" i="1"/>
  <c r="J2564" i="1"/>
  <c r="I2564" i="1"/>
  <c r="L2563" i="1"/>
  <c r="J2562" i="1"/>
  <c r="I2562" i="1"/>
  <c r="J2561" i="1"/>
  <c r="I2561" i="1"/>
  <c r="L2560" i="1"/>
  <c r="L2559" i="1"/>
  <c r="J2558" i="1"/>
  <c r="I2558" i="1"/>
  <c r="L2557" i="1"/>
  <c r="J2556" i="1"/>
  <c r="I2556" i="1"/>
  <c r="J2555" i="1"/>
  <c r="I2555" i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L2547" i="1"/>
  <c r="J2546" i="1"/>
  <c r="I2546" i="1"/>
  <c r="L2545" i="1"/>
  <c r="J2544" i="1"/>
  <c r="I2544" i="1"/>
  <c r="J2543" i="1"/>
  <c r="I2543" i="1"/>
  <c r="L2542" i="1"/>
  <c r="J2541" i="1"/>
  <c r="I2541" i="1"/>
  <c r="J2540" i="1"/>
  <c r="I2540" i="1"/>
  <c r="J2539" i="1"/>
  <c r="I2539" i="1"/>
  <c r="J2538" i="1"/>
  <c r="I2538" i="1"/>
  <c r="J2537" i="1"/>
  <c r="I2537" i="1"/>
  <c r="L2536" i="1"/>
  <c r="J2535" i="1"/>
  <c r="I2535" i="1"/>
  <c r="J2534" i="1"/>
  <c r="I2534" i="1"/>
  <c r="J2533" i="1"/>
  <c r="I2533" i="1"/>
  <c r="J2532" i="1"/>
  <c r="I2532" i="1"/>
  <c r="J2531" i="1"/>
  <c r="I2531" i="1"/>
  <c r="L2530" i="1"/>
  <c r="L2529" i="1"/>
  <c r="L2528" i="1"/>
  <c r="L2527" i="1"/>
  <c r="L2526" i="1"/>
  <c r="J2525" i="1"/>
  <c r="I2525" i="1"/>
  <c r="J2524" i="1"/>
  <c r="I2524" i="1"/>
  <c r="J2523" i="1"/>
  <c r="I2523" i="1"/>
  <c r="J2522" i="1"/>
  <c r="I2522" i="1"/>
  <c r="J2521" i="1"/>
  <c r="I2521" i="1"/>
  <c r="J2520" i="1"/>
  <c r="I2520" i="1"/>
  <c r="L2519" i="1"/>
  <c r="J2518" i="1"/>
  <c r="I2518" i="1"/>
  <c r="J2517" i="1"/>
  <c r="I2517" i="1"/>
  <c r="L2516" i="1"/>
  <c r="L2515" i="1"/>
  <c r="J2514" i="1"/>
  <c r="I2514" i="1"/>
  <c r="L2513" i="1"/>
  <c r="J2512" i="1"/>
  <c r="I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L2503" i="1"/>
  <c r="J2502" i="1"/>
  <c r="I2502" i="1"/>
  <c r="L2501" i="1"/>
  <c r="J2500" i="1"/>
  <c r="I2500" i="1"/>
  <c r="J2499" i="1"/>
  <c r="I2499" i="1"/>
  <c r="L2498" i="1"/>
  <c r="J2497" i="1"/>
  <c r="I2497" i="1"/>
  <c r="J2496" i="1"/>
  <c r="I2496" i="1"/>
  <c r="J2495" i="1"/>
  <c r="I2495" i="1"/>
  <c r="J2494" i="1"/>
  <c r="I2494" i="1"/>
  <c r="J2493" i="1"/>
  <c r="I2493" i="1"/>
  <c r="L2492" i="1"/>
  <c r="J2491" i="1"/>
  <c r="I2491" i="1"/>
  <c r="J2490" i="1"/>
  <c r="I2490" i="1"/>
  <c r="J2489" i="1"/>
  <c r="I2489" i="1"/>
  <c r="J2488" i="1"/>
  <c r="I2488" i="1"/>
  <c r="J2487" i="1"/>
  <c r="I2487" i="1"/>
  <c r="L2486" i="1"/>
  <c r="L2485" i="1"/>
  <c r="L2484" i="1"/>
  <c r="L2483" i="1"/>
  <c r="L2482" i="1"/>
  <c r="J2481" i="1"/>
  <c r="I2481" i="1"/>
  <c r="J2480" i="1"/>
  <c r="I2480" i="1"/>
  <c r="J2479" i="1"/>
  <c r="I2479" i="1"/>
  <c r="J2478" i="1"/>
  <c r="I2478" i="1"/>
  <c r="J2477" i="1"/>
  <c r="I2477" i="1"/>
  <c r="J2476" i="1"/>
  <c r="I2476" i="1"/>
  <c r="L2475" i="1"/>
  <c r="J2474" i="1"/>
  <c r="I2474" i="1"/>
  <c r="J2473" i="1"/>
  <c r="I2473" i="1"/>
  <c r="L2472" i="1"/>
  <c r="L2471" i="1"/>
  <c r="J2470" i="1"/>
  <c r="I2470" i="1"/>
  <c r="L2469" i="1"/>
  <c r="L2468" i="1"/>
  <c r="J2467" i="1"/>
  <c r="I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L2459" i="1"/>
  <c r="J2458" i="1"/>
  <c r="I2458" i="1"/>
  <c r="L2457" i="1"/>
  <c r="J2456" i="1"/>
  <c r="I2456" i="1"/>
  <c r="J2455" i="1"/>
  <c r="I2455" i="1"/>
  <c r="L2454" i="1"/>
  <c r="J2453" i="1"/>
  <c r="I2453" i="1"/>
  <c r="J2452" i="1"/>
  <c r="I2452" i="1"/>
  <c r="J2451" i="1"/>
  <c r="I2451" i="1"/>
  <c r="J2450" i="1"/>
  <c r="I2450" i="1"/>
  <c r="J2449" i="1"/>
  <c r="I2449" i="1"/>
  <c r="L2448" i="1"/>
  <c r="J2447" i="1"/>
  <c r="I2447" i="1"/>
  <c r="J2446" i="1"/>
  <c r="I2446" i="1"/>
  <c r="J2445" i="1"/>
  <c r="I2445" i="1"/>
  <c r="J2444" i="1"/>
  <c r="I2444" i="1"/>
  <c r="L2443" i="1"/>
  <c r="L2442" i="1"/>
  <c r="L2441" i="1"/>
  <c r="L2440" i="1"/>
  <c r="L2439" i="1"/>
  <c r="L2438" i="1"/>
  <c r="J2437" i="1"/>
  <c r="I2437" i="1"/>
  <c r="J2436" i="1"/>
  <c r="I2436" i="1"/>
  <c r="J2435" i="1"/>
  <c r="I2435" i="1"/>
  <c r="J2434" i="1"/>
  <c r="I2434" i="1"/>
  <c r="J2433" i="1"/>
  <c r="I2433" i="1"/>
  <c r="J2432" i="1"/>
  <c r="I2432" i="1"/>
  <c r="L2431" i="1"/>
  <c r="J2430" i="1"/>
  <c r="I2430" i="1"/>
  <c r="J2429" i="1"/>
  <c r="I2429" i="1"/>
  <c r="L2428" i="1"/>
  <c r="J2427" i="1"/>
  <c r="I2427" i="1"/>
  <c r="J2426" i="1"/>
  <c r="I2426" i="1"/>
  <c r="L2425" i="1"/>
  <c r="J2424" i="1"/>
  <c r="I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L2415" i="1"/>
  <c r="J2414" i="1"/>
  <c r="I2414" i="1"/>
  <c r="L2413" i="1"/>
  <c r="L2412" i="1"/>
  <c r="J2411" i="1"/>
  <c r="I2411" i="1"/>
  <c r="L2410" i="1"/>
  <c r="J2409" i="1"/>
  <c r="I2409" i="1"/>
  <c r="J2408" i="1"/>
  <c r="I2408" i="1"/>
  <c r="J2407" i="1"/>
  <c r="I2407" i="1"/>
  <c r="J2406" i="1"/>
  <c r="I2406" i="1"/>
  <c r="J2405" i="1"/>
  <c r="I2405" i="1"/>
  <c r="L2404" i="1"/>
  <c r="J2403" i="1"/>
  <c r="I2403" i="1"/>
  <c r="J2402" i="1"/>
  <c r="I2402" i="1"/>
  <c r="J2401" i="1"/>
  <c r="I2401" i="1"/>
  <c r="J2400" i="1"/>
  <c r="I2400" i="1"/>
  <c r="L2399" i="1"/>
  <c r="L2398" i="1"/>
  <c r="L2397" i="1"/>
  <c r="L2396" i="1"/>
  <c r="L2395" i="1"/>
  <c r="L2394" i="1"/>
  <c r="J2393" i="1"/>
  <c r="I2393" i="1"/>
  <c r="J2392" i="1"/>
  <c r="I2392" i="1"/>
  <c r="J2391" i="1"/>
  <c r="I2391" i="1"/>
  <c r="J2390" i="1"/>
  <c r="I2390" i="1"/>
  <c r="J2389" i="1"/>
  <c r="I2389" i="1"/>
  <c r="L2388" i="1"/>
  <c r="L2387" i="1"/>
  <c r="J2386" i="1"/>
  <c r="I2386" i="1"/>
  <c r="J2385" i="1"/>
  <c r="I2385" i="1"/>
  <c r="L2384" i="1"/>
  <c r="J2383" i="1"/>
  <c r="I2383" i="1"/>
  <c r="J2382" i="1"/>
  <c r="I2382" i="1"/>
  <c r="L2381" i="1"/>
  <c r="J2380" i="1"/>
  <c r="I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K2373" i="1" s="1"/>
  <c r="L2373" i="1" s="1"/>
  <c r="J2372" i="1"/>
  <c r="I2372" i="1"/>
  <c r="L2371" i="1"/>
  <c r="J2370" i="1"/>
  <c r="I2370" i="1"/>
  <c r="L2369" i="1"/>
  <c r="L2368" i="1"/>
  <c r="L2367" i="1"/>
  <c r="L2366" i="1"/>
  <c r="J2365" i="1"/>
  <c r="I2365" i="1"/>
  <c r="J2364" i="1"/>
  <c r="I2364" i="1"/>
  <c r="K2364" i="1" s="1"/>
  <c r="L2364" i="1" s="1"/>
  <c r="J2363" i="1"/>
  <c r="I2363" i="1"/>
  <c r="J2362" i="1"/>
  <c r="I2362" i="1"/>
  <c r="K2362" i="1" s="1"/>
  <c r="L2362" i="1" s="1"/>
  <c r="J2361" i="1"/>
  <c r="I2361" i="1"/>
  <c r="L2360" i="1"/>
  <c r="J2359" i="1"/>
  <c r="I2359" i="1"/>
  <c r="K2359" i="1" s="1"/>
  <c r="L2359" i="1" s="1"/>
  <c r="J2358" i="1"/>
  <c r="I2358" i="1"/>
  <c r="J2357" i="1"/>
  <c r="I2357" i="1"/>
  <c r="K2357" i="1" s="1"/>
  <c r="L2357" i="1" s="1"/>
  <c r="J2356" i="1"/>
  <c r="I2356" i="1"/>
  <c r="J2355" i="1"/>
  <c r="I2355" i="1"/>
  <c r="K2355" i="1" s="1"/>
  <c r="L2355" i="1" s="1"/>
  <c r="L2354" i="1"/>
  <c r="L2353" i="1"/>
  <c r="L2352" i="1"/>
  <c r="L2351" i="1"/>
  <c r="L2350" i="1"/>
  <c r="J2349" i="1"/>
  <c r="I2349" i="1"/>
  <c r="J2348" i="1"/>
  <c r="I2348" i="1"/>
  <c r="K2348" i="1" s="1"/>
  <c r="L2348" i="1" s="1"/>
  <c r="J2347" i="1"/>
  <c r="I2347" i="1"/>
  <c r="J2346" i="1"/>
  <c r="I2346" i="1"/>
  <c r="K2346" i="1" s="1"/>
  <c r="L2346" i="1" s="1"/>
  <c r="J2345" i="1"/>
  <c r="I2345" i="1"/>
  <c r="L2344" i="1"/>
  <c r="L2343" i="1"/>
  <c r="J2342" i="1"/>
  <c r="I2342" i="1"/>
  <c r="K2342" i="1" s="1"/>
  <c r="L2342" i="1" s="1"/>
  <c r="J2341" i="1"/>
  <c r="I2341" i="1"/>
  <c r="L2340" i="1"/>
  <c r="J2339" i="1"/>
  <c r="I2339" i="1"/>
  <c r="K2339" i="1" s="1"/>
  <c r="L2339" i="1" s="1"/>
  <c r="J2338" i="1"/>
  <c r="I2338" i="1"/>
  <c r="L2337" i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L2327" i="1"/>
  <c r="J2326" i="1"/>
  <c r="I2326" i="1"/>
  <c r="K2326" i="1" s="1"/>
  <c r="L2326" i="1" s="1"/>
  <c r="L2325" i="1"/>
  <c r="J2324" i="1"/>
  <c r="I2324" i="1"/>
  <c r="K2324" i="1" s="1"/>
  <c r="L2324" i="1" s="1"/>
  <c r="J2323" i="1"/>
  <c r="I2323" i="1"/>
  <c r="K2323" i="1" s="1"/>
  <c r="L2323" i="1" s="1"/>
  <c r="L2322" i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L2316" i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L2310" i="1"/>
  <c r="L2309" i="1"/>
  <c r="L2308" i="1"/>
  <c r="L2307" i="1"/>
  <c r="L2306" i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L2300" i="1"/>
  <c r="L2299" i="1"/>
  <c r="J2298" i="1"/>
  <c r="I2298" i="1"/>
  <c r="K2298" i="1" s="1"/>
  <c r="L2298" i="1" s="1"/>
  <c r="J2297" i="1"/>
  <c r="I2297" i="1"/>
  <c r="K2297" i="1" s="1"/>
  <c r="L2297" i="1" s="1"/>
  <c r="L2296" i="1"/>
  <c r="J2295" i="1"/>
  <c r="I2295" i="1"/>
  <c r="K2295" i="1" s="1"/>
  <c r="L2295" i="1" s="1"/>
  <c r="J2294" i="1"/>
  <c r="I2294" i="1"/>
  <c r="K2294" i="1" s="1"/>
  <c r="L2294" i="1" s="1"/>
  <c r="L2293" i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L2283" i="1"/>
  <c r="J2282" i="1"/>
  <c r="I2282" i="1"/>
  <c r="K2282" i="1" s="1"/>
  <c r="L2282" i="1" s="1"/>
  <c r="L2281" i="1"/>
  <c r="J2280" i="1"/>
  <c r="I2280" i="1"/>
  <c r="K2280" i="1" s="1"/>
  <c r="L2280" i="1" s="1"/>
  <c r="J2279" i="1"/>
  <c r="I2279" i="1"/>
  <c r="K2279" i="1" s="1"/>
  <c r="L2279" i="1" s="1"/>
  <c r="L2278" i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L2272" i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L2266" i="1"/>
  <c r="L2265" i="1"/>
  <c r="L2264" i="1"/>
  <c r="L2263" i="1"/>
  <c r="L2262" i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L2256" i="1"/>
  <c r="L2255" i="1"/>
  <c r="J2254" i="1"/>
  <c r="I2254" i="1"/>
  <c r="K2254" i="1" s="1"/>
  <c r="L2254" i="1" s="1"/>
  <c r="J2253" i="1"/>
  <c r="I2253" i="1"/>
  <c r="K2253" i="1" s="1"/>
  <c r="L2253" i="1" s="1"/>
  <c r="L2252" i="1"/>
  <c r="J2251" i="1"/>
  <c r="I2251" i="1"/>
  <c r="K2251" i="1" s="1"/>
  <c r="L2251" i="1" s="1"/>
  <c r="J2250" i="1"/>
  <c r="I2250" i="1"/>
  <c r="K2250" i="1" s="1"/>
  <c r="L2250" i="1" s="1"/>
  <c r="L2249" i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L2239" i="1"/>
  <c r="J2238" i="1"/>
  <c r="I2238" i="1"/>
  <c r="K2238" i="1" s="1"/>
  <c r="L2238" i="1" s="1"/>
  <c r="L2237" i="1"/>
  <c r="J2236" i="1"/>
  <c r="I2236" i="1"/>
  <c r="K2236" i="1" s="1"/>
  <c r="L2236" i="1" s="1"/>
  <c r="J2235" i="1"/>
  <c r="I2235" i="1"/>
  <c r="K2235" i="1" s="1"/>
  <c r="L2235" i="1" s="1"/>
  <c r="L2234" i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L2228" i="1"/>
  <c r="J2227" i="1"/>
  <c r="I2227" i="1"/>
  <c r="K2227" i="1" s="1"/>
  <c r="L2227" i="1" s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J2200" i="1"/>
  <c r="I2200" i="1"/>
  <c r="K2200" i="1" s="1"/>
  <c r="L2200" i="1" s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L2178" i="1"/>
  <c r="L2177" i="1"/>
  <c r="L2176" i="1"/>
  <c r="L2175" i="1"/>
  <c r="L2174" i="1"/>
  <c r="L2173" i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L2168" i="1"/>
  <c r="L2167" i="1"/>
  <c r="J2166" i="1"/>
  <c r="I2166" i="1"/>
  <c r="K2166" i="1" s="1"/>
  <c r="L2166" i="1" s="1"/>
  <c r="J2165" i="1"/>
  <c r="I2165" i="1"/>
  <c r="K2165" i="1" s="1"/>
  <c r="L2165" i="1" s="1"/>
  <c r="L2164" i="1"/>
  <c r="J2163" i="1"/>
  <c r="I2163" i="1"/>
  <c r="K2163" i="1" s="1"/>
  <c r="L2163" i="1" s="1"/>
  <c r="L2162" i="1"/>
  <c r="L2161" i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L2151" i="1"/>
  <c r="J2150" i="1"/>
  <c r="I2150" i="1"/>
  <c r="K2150" i="1" s="1"/>
  <c r="L2150" i="1" s="1"/>
  <c r="L2149" i="1"/>
  <c r="J2148" i="1"/>
  <c r="I2148" i="1"/>
  <c r="K2148" i="1" s="1"/>
  <c r="L2148" i="1" s="1"/>
  <c r="J2147" i="1"/>
  <c r="I2147" i="1"/>
  <c r="K2147" i="1" s="1"/>
  <c r="L2147" i="1" s="1"/>
  <c r="L2146" i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L2140" i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L2134" i="1"/>
  <c r="L2133" i="1"/>
  <c r="L2132" i="1"/>
  <c r="L2131" i="1"/>
  <c r="L2130" i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L2124" i="1"/>
  <c r="L2123" i="1"/>
  <c r="J2122" i="1"/>
  <c r="I2122" i="1"/>
  <c r="K2122" i="1" s="1"/>
  <c r="L2122" i="1" s="1"/>
  <c r="J2121" i="1"/>
  <c r="I2121" i="1"/>
  <c r="K2121" i="1" s="1"/>
  <c r="L2121" i="1" s="1"/>
  <c r="L2120" i="1"/>
  <c r="J2119" i="1"/>
  <c r="I2119" i="1"/>
  <c r="K2119" i="1" s="1"/>
  <c r="L2119" i="1" s="1"/>
  <c r="J2118" i="1"/>
  <c r="I2118" i="1"/>
  <c r="K2118" i="1" s="1"/>
  <c r="L2118" i="1" s="1"/>
  <c r="L2117" i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L2107" i="1"/>
  <c r="J2106" i="1"/>
  <c r="I2106" i="1"/>
  <c r="K2106" i="1" s="1"/>
  <c r="L2106" i="1" s="1"/>
  <c r="L2105" i="1"/>
  <c r="J2104" i="1"/>
  <c r="I2104" i="1"/>
  <c r="K2104" i="1" s="1"/>
  <c r="L2104" i="1" s="1"/>
  <c r="J2103" i="1"/>
  <c r="I2103" i="1"/>
  <c r="K2103" i="1" s="1"/>
  <c r="L2103" i="1" s="1"/>
  <c r="L2102" i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L2096" i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L2090" i="1"/>
  <c r="L2089" i="1"/>
  <c r="L2088" i="1"/>
  <c r="L2087" i="1"/>
  <c r="L2086" i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L2080" i="1"/>
  <c r="L2079" i="1"/>
  <c r="J2078" i="1"/>
  <c r="I2078" i="1"/>
  <c r="K2078" i="1" s="1"/>
  <c r="L2078" i="1" s="1"/>
  <c r="J2077" i="1"/>
  <c r="I2077" i="1"/>
  <c r="K2077" i="1" s="1"/>
  <c r="L2077" i="1" s="1"/>
  <c r="L2076" i="1"/>
  <c r="J2075" i="1"/>
  <c r="I2075" i="1"/>
  <c r="K2075" i="1" s="1"/>
  <c r="L2075" i="1" s="1"/>
  <c r="J2074" i="1"/>
  <c r="I2074" i="1"/>
  <c r="K2074" i="1" s="1"/>
  <c r="L2074" i="1" s="1"/>
  <c r="L2073" i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L2063" i="1"/>
  <c r="J2062" i="1"/>
  <c r="I2062" i="1"/>
  <c r="K2062" i="1" s="1"/>
  <c r="L2062" i="1" s="1"/>
  <c r="L2061" i="1"/>
  <c r="J2060" i="1"/>
  <c r="I2060" i="1"/>
  <c r="K2060" i="1" s="1"/>
  <c r="L2060" i="1" s="1"/>
  <c r="J2059" i="1"/>
  <c r="I2059" i="1"/>
  <c r="K2059" i="1" s="1"/>
  <c r="L2059" i="1" s="1"/>
  <c r="L2058" i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L2052" i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L2046" i="1"/>
  <c r="L2045" i="1"/>
  <c r="L2044" i="1"/>
  <c r="L2043" i="1"/>
  <c r="L2042" i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L2036" i="1"/>
  <c r="L2035" i="1"/>
  <c r="J2034" i="1"/>
  <c r="I2034" i="1"/>
  <c r="K2034" i="1" s="1"/>
  <c r="L2034" i="1" s="1"/>
  <c r="J2033" i="1"/>
  <c r="I2033" i="1"/>
  <c r="K2033" i="1" s="1"/>
  <c r="L2033" i="1" s="1"/>
  <c r="L2032" i="1"/>
  <c r="J2031" i="1"/>
  <c r="I2031" i="1"/>
  <c r="K2031" i="1" s="1"/>
  <c r="L2031" i="1" s="1"/>
  <c r="J2030" i="1"/>
  <c r="I2030" i="1"/>
  <c r="K2030" i="1" s="1"/>
  <c r="L2030" i="1" s="1"/>
  <c r="L2029" i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L2019" i="1"/>
  <c r="J2018" i="1"/>
  <c r="I2018" i="1"/>
  <c r="K2018" i="1" s="1"/>
  <c r="L2018" i="1" s="1"/>
  <c r="L2017" i="1"/>
  <c r="J2016" i="1"/>
  <c r="I2016" i="1"/>
  <c r="K2016" i="1" s="1"/>
  <c r="L2016" i="1" s="1"/>
  <c r="J2015" i="1"/>
  <c r="I2015" i="1"/>
  <c r="K2015" i="1" s="1"/>
  <c r="L2015" i="1" s="1"/>
  <c r="L2014" i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L2008" i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L2002" i="1"/>
  <c r="L2001" i="1"/>
  <c r="L2000" i="1"/>
  <c r="L1999" i="1"/>
  <c r="L1998" i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L1994" i="1"/>
  <c r="J1993" i="1"/>
  <c r="I1993" i="1"/>
  <c r="K1993" i="1" s="1"/>
  <c r="L1993" i="1" s="1"/>
  <c r="L1992" i="1"/>
  <c r="L1991" i="1"/>
  <c r="J1990" i="1"/>
  <c r="I1990" i="1"/>
  <c r="K1990" i="1" s="1"/>
  <c r="L1990" i="1" s="1"/>
  <c r="J1989" i="1"/>
  <c r="I1989" i="1"/>
  <c r="K1989" i="1" s="1"/>
  <c r="L1989" i="1" s="1"/>
  <c r="L1988" i="1"/>
  <c r="J1987" i="1"/>
  <c r="I1987" i="1"/>
  <c r="K1987" i="1" s="1"/>
  <c r="L1987" i="1" s="1"/>
  <c r="J1986" i="1"/>
  <c r="I1986" i="1"/>
  <c r="K1986" i="1" s="1"/>
  <c r="L1986" i="1" s="1"/>
  <c r="L1985" i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L1975" i="1"/>
  <c r="J1974" i="1"/>
  <c r="I1974" i="1"/>
  <c r="K1974" i="1" s="1"/>
  <c r="L1974" i="1" s="1"/>
  <c r="L1973" i="1"/>
  <c r="J1972" i="1"/>
  <c r="I1972" i="1"/>
  <c r="K1972" i="1" s="1"/>
  <c r="L1972" i="1" s="1"/>
  <c r="J1971" i="1"/>
  <c r="I1971" i="1"/>
  <c r="K1971" i="1" s="1"/>
  <c r="L1971" i="1" s="1"/>
  <c r="L1970" i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L1964" i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L1958" i="1"/>
  <c r="L1957" i="1"/>
  <c r="L1956" i="1"/>
  <c r="L1955" i="1"/>
  <c r="L1954" i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L1950" i="1"/>
  <c r="J1949" i="1"/>
  <c r="I1949" i="1"/>
  <c r="K1949" i="1" s="1"/>
  <c r="L1949" i="1" s="1"/>
  <c r="J1948" i="1"/>
  <c r="I1948" i="1"/>
  <c r="K1948" i="1" s="1"/>
  <c r="L1948" i="1" s="1"/>
  <c r="L1947" i="1"/>
  <c r="J1946" i="1"/>
  <c r="I1946" i="1"/>
  <c r="K1946" i="1" s="1"/>
  <c r="L1946" i="1" s="1"/>
  <c r="J1945" i="1"/>
  <c r="I1945" i="1"/>
  <c r="K1945" i="1" s="1"/>
  <c r="L1945" i="1" s="1"/>
  <c r="L1944" i="1"/>
  <c r="J1943" i="1"/>
  <c r="I1943" i="1"/>
  <c r="K1943" i="1" s="1"/>
  <c r="L1943" i="1" s="1"/>
  <c r="J1942" i="1"/>
  <c r="I1942" i="1"/>
  <c r="K1942" i="1" s="1"/>
  <c r="L1942" i="1" s="1"/>
  <c r="L1941" i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L1931" i="1"/>
  <c r="J1930" i="1"/>
  <c r="I1930" i="1"/>
  <c r="K1930" i="1" s="1"/>
  <c r="L1930" i="1" s="1"/>
  <c r="L1929" i="1"/>
  <c r="J1928" i="1"/>
  <c r="I1928" i="1"/>
  <c r="K1928" i="1" s="1"/>
  <c r="L1928" i="1" s="1"/>
  <c r="J1927" i="1"/>
  <c r="I1927" i="1"/>
  <c r="K1927" i="1" s="1"/>
  <c r="L1927" i="1" s="1"/>
  <c r="L1926" i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L1920" i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L1914" i="1"/>
  <c r="L1913" i="1"/>
  <c r="L1912" i="1"/>
  <c r="L1911" i="1"/>
  <c r="L1910" i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L1903" i="1"/>
  <c r="J1902" i="1"/>
  <c r="I1902" i="1"/>
  <c r="K1902" i="1" s="1"/>
  <c r="L1902" i="1" s="1"/>
  <c r="J1901" i="1"/>
  <c r="I1901" i="1"/>
  <c r="K1901" i="1" s="1"/>
  <c r="L1901" i="1" s="1"/>
  <c r="L1900" i="1"/>
  <c r="J1899" i="1"/>
  <c r="I1899" i="1"/>
  <c r="K1899" i="1" s="1"/>
  <c r="L1899" i="1" s="1"/>
  <c r="J1898" i="1"/>
  <c r="I1898" i="1"/>
  <c r="K1898" i="1" s="1"/>
  <c r="L1898" i="1" s="1"/>
  <c r="L1897" i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L1892" i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L1887" i="1"/>
  <c r="J1886" i="1"/>
  <c r="I1886" i="1"/>
  <c r="K1886" i="1" s="1"/>
  <c r="L1886" i="1" s="1"/>
  <c r="L1885" i="1"/>
  <c r="J1884" i="1"/>
  <c r="I1884" i="1"/>
  <c r="K1884" i="1" s="1"/>
  <c r="L1884" i="1" s="1"/>
  <c r="J1883" i="1"/>
  <c r="I1883" i="1"/>
  <c r="K1883" i="1" s="1"/>
  <c r="L1883" i="1" s="1"/>
  <c r="L1882" i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L1876" i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L1870" i="1"/>
  <c r="L1869" i="1"/>
  <c r="L1868" i="1"/>
  <c r="J1867" i="1"/>
  <c r="I1867" i="1"/>
  <c r="K1867" i="1" s="1"/>
  <c r="L1867" i="1" s="1"/>
  <c r="L1866" i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L1859" i="1"/>
  <c r="J1858" i="1"/>
  <c r="I1858" i="1"/>
  <c r="K1858" i="1" s="1"/>
  <c r="L1858" i="1" s="1"/>
  <c r="J1857" i="1"/>
  <c r="I1857" i="1"/>
  <c r="K1857" i="1" s="1"/>
  <c r="L1857" i="1" s="1"/>
  <c r="L1856" i="1"/>
  <c r="J1855" i="1"/>
  <c r="I1855" i="1"/>
  <c r="K1855" i="1" s="1"/>
  <c r="L1855" i="1" s="1"/>
  <c r="J1854" i="1"/>
  <c r="I1854" i="1"/>
  <c r="K1854" i="1" s="1"/>
  <c r="L1854" i="1" s="1"/>
  <c r="L1853" i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L1843" i="1"/>
  <c r="J1842" i="1"/>
  <c r="I1842" i="1"/>
  <c r="K1842" i="1" s="1"/>
  <c r="L1842" i="1" s="1"/>
  <c r="L1841" i="1"/>
  <c r="J1840" i="1"/>
  <c r="I1840" i="1"/>
  <c r="K1840" i="1" s="1"/>
  <c r="L1840" i="1" s="1"/>
  <c r="J1839" i="1"/>
  <c r="I1839" i="1"/>
  <c r="K1839" i="1" s="1"/>
  <c r="L1839" i="1" s="1"/>
  <c r="L1838" i="1"/>
  <c r="J1837" i="1"/>
  <c r="I1837" i="1"/>
  <c r="K1837" i="1" s="1"/>
  <c r="L1837" i="1" s="1"/>
  <c r="J1836" i="1"/>
  <c r="I1836" i="1"/>
  <c r="K1836" i="1" s="1"/>
  <c r="L1836" i="1" s="1"/>
  <c r="L1835" i="1"/>
  <c r="J1834" i="1"/>
  <c r="I1834" i="1"/>
  <c r="K1834" i="1" s="1"/>
  <c r="L1834" i="1" s="1"/>
  <c r="J1833" i="1"/>
  <c r="I1833" i="1"/>
  <c r="K1833" i="1" s="1"/>
  <c r="L1833" i="1" s="1"/>
  <c r="L1832" i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L1826" i="1"/>
  <c r="L1825" i="1"/>
  <c r="L1824" i="1"/>
  <c r="L1823" i="1"/>
  <c r="L1822" i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L1815" i="1"/>
  <c r="J1814" i="1"/>
  <c r="I1814" i="1"/>
  <c r="K1814" i="1" s="1"/>
  <c r="L1814" i="1" s="1"/>
  <c r="J1813" i="1"/>
  <c r="I1813" i="1"/>
  <c r="K1813" i="1" s="1"/>
  <c r="L1813" i="1" s="1"/>
  <c r="L1812" i="1"/>
  <c r="J1811" i="1"/>
  <c r="I1811" i="1"/>
  <c r="K1811" i="1" s="1"/>
  <c r="L1811" i="1" s="1"/>
  <c r="J1810" i="1"/>
  <c r="I1810" i="1"/>
  <c r="K1810" i="1" s="1"/>
  <c r="L1810" i="1" s="1"/>
  <c r="L1809" i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L1799" i="1"/>
  <c r="J1798" i="1"/>
  <c r="I1798" i="1"/>
  <c r="K1798" i="1" s="1"/>
  <c r="L1798" i="1" s="1"/>
  <c r="L1797" i="1"/>
  <c r="J1796" i="1"/>
  <c r="I1796" i="1"/>
  <c r="K1796" i="1" s="1"/>
  <c r="L1796" i="1" s="1"/>
  <c r="J1795" i="1"/>
  <c r="I1795" i="1"/>
  <c r="K1795" i="1" s="1"/>
  <c r="L1795" i="1" s="1"/>
  <c r="L1794" i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L1788" i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L1782" i="1"/>
  <c r="L1781" i="1"/>
  <c r="L1780" i="1"/>
  <c r="J1779" i="1"/>
  <c r="I1779" i="1"/>
  <c r="K1779" i="1" s="1"/>
  <c r="L1779" i="1" s="1"/>
  <c r="L1778" i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L1771" i="1"/>
  <c r="J1770" i="1"/>
  <c r="I1770" i="1"/>
  <c r="K1770" i="1" s="1"/>
  <c r="L1770" i="1" s="1"/>
  <c r="J1769" i="1"/>
  <c r="I1769" i="1"/>
  <c r="K1769" i="1" s="1"/>
  <c r="L1769" i="1" s="1"/>
  <c r="L1768" i="1"/>
  <c r="J1767" i="1"/>
  <c r="I1767" i="1"/>
  <c r="K1767" i="1" s="1"/>
  <c r="L1767" i="1" s="1"/>
  <c r="J1766" i="1"/>
  <c r="I1766" i="1"/>
  <c r="K1766" i="1" s="1"/>
  <c r="L1766" i="1" s="1"/>
  <c r="L1765" i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L1755" i="1"/>
  <c r="J1754" i="1"/>
  <c r="I1754" i="1"/>
  <c r="K1754" i="1" s="1"/>
  <c r="L1754" i="1" s="1"/>
  <c r="L1753" i="1"/>
  <c r="J1752" i="1"/>
  <c r="I1752" i="1"/>
  <c r="K1752" i="1" s="1"/>
  <c r="L1752" i="1" s="1"/>
  <c r="J1751" i="1"/>
  <c r="I1751" i="1"/>
  <c r="K1751" i="1" s="1"/>
  <c r="L1751" i="1" s="1"/>
  <c r="L1750" i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L1744" i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L1738" i="1"/>
  <c r="L1737" i="1"/>
  <c r="L1736" i="1"/>
  <c r="J1735" i="1"/>
  <c r="I1735" i="1"/>
  <c r="K1735" i="1" s="1"/>
  <c r="L1735" i="1" s="1"/>
  <c r="L1734" i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L1728" i="1"/>
  <c r="L1727" i="1"/>
  <c r="J1726" i="1"/>
  <c r="I1726" i="1"/>
  <c r="K1726" i="1" s="1"/>
  <c r="L1726" i="1" s="1"/>
  <c r="J1725" i="1"/>
  <c r="I1725" i="1"/>
  <c r="K1725" i="1" s="1"/>
  <c r="L1725" i="1" s="1"/>
  <c r="L1724" i="1"/>
  <c r="J1723" i="1"/>
  <c r="I1723" i="1"/>
  <c r="K1723" i="1" s="1"/>
  <c r="L1723" i="1" s="1"/>
  <c r="J1722" i="1"/>
  <c r="I1722" i="1"/>
  <c r="K1722" i="1" s="1"/>
  <c r="L1722" i="1" s="1"/>
  <c r="L1721" i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L1716" i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L1712" i="1"/>
  <c r="L1711" i="1"/>
  <c r="J1710" i="1"/>
  <c r="I1710" i="1"/>
  <c r="K1710" i="1" s="1"/>
  <c r="L1710" i="1" s="1"/>
  <c r="L1709" i="1"/>
  <c r="J1708" i="1"/>
  <c r="I1708" i="1"/>
  <c r="K1708" i="1" s="1"/>
  <c r="L1708" i="1" s="1"/>
  <c r="J1707" i="1"/>
  <c r="I1707" i="1"/>
  <c r="K1707" i="1" s="1"/>
  <c r="L1707" i="1" s="1"/>
  <c r="L1706" i="1"/>
  <c r="J1705" i="1"/>
  <c r="I1705" i="1"/>
  <c r="K1705" i="1" s="1"/>
  <c r="L1705" i="1" s="1"/>
  <c r="J1704" i="1"/>
  <c r="I1704" i="1"/>
  <c r="K1704" i="1" s="1"/>
  <c r="L1704" i="1" s="1"/>
  <c r="L1703" i="1"/>
  <c r="J1702" i="1"/>
  <c r="I1702" i="1"/>
  <c r="K1702" i="1" s="1"/>
  <c r="L1702" i="1" s="1"/>
  <c r="J1701" i="1"/>
  <c r="I1701" i="1"/>
  <c r="K1701" i="1" s="1"/>
  <c r="L1701" i="1" s="1"/>
  <c r="L1700" i="1"/>
  <c r="J1699" i="1"/>
  <c r="I1699" i="1"/>
  <c r="K1699" i="1" s="1"/>
  <c r="L1699" i="1" s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L1694" i="1"/>
  <c r="L1693" i="1"/>
  <c r="L1692" i="1"/>
  <c r="J1691" i="1"/>
  <c r="I1691" i="1"/>
  <c r="K1691" i="1" s="1"/>
  <c r="L1691" i="1" s="1"/>
  <c r="L1690" i="1"/>
  <c r="J1689" i="1"/>
  <c r="I1689" i="1"/>
  <c r="K1689" i="1" s="1"/>
  <c r="L1689" i="1" s="1"/>
  <c r="J1688" i="1"/>
  <c r="I1688" i="1"/>
  <c r="K1688" i="1" s="1"/>
  <c r="L1688" i="1" s="1"/>
  <c r="L1687" i="1"/>
  <c r="J1686" i="1"/>
  <c r="I1686" i="1"/>
  <c r="K1686" i="1" s="1"/>
  <c r="L1686" i="1" s="1"/>
  <c r="J1685" i="1"/>
  <c r="I1685" i="1"/>
  <c r="K1685" i="1" s="1"/>
  <c r="L1685" i="1" s="1"/>
  <c r="J1684" i="1"/>
  <c r="I1684" i="1"/>
  <c r="K1684" i="1" s="1"/>
  <c r="L1684" i="1" s="1"/>
  <c r="L1683" i="1"/>
  <c r="J1682" i="1"/>
  <c r="I1682" i="1"/>
  <c r="K1682" i="1" s="1"/>
  <c r="L1682" i="1" s="1"/>
  <c r="J1681" i="1"/>
  <c r="I1681" i="1"/>
  <c r="K1681" i="1" s="1"/>
  <c r="L1681" i="1" s="1"/>
  <c r="L1680" i="1"/>
  <c r="J1679" i="1"/>
  <c r="I1679" i="1"/>
  <c r="K1679" i="1" s="1"/>
  <c r="L1679" i="1" s="1"/>
  <c r="J1678" i="1"/>
  <c r="I1678" i="1"/>
  <c r="K1678" i="1" s="1"/>
  <c r="L1678" i="1" s="1"/>
  <c r="L1677" i="1"/>
  <c r="J1676" i="1"/>
  <c r="I1676" i="1"/>
  <c r="K1676" i="1" s="1"/>
  <c r="L1676" i="1" s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L1667" i="1"/>
  <c r="J1666" i="1"/>
  <c r="I1666" i="1"/>
  <c r="K1666" i="1" s="1"/>
  <c r="L1666" i="1" s="1"/>
  <c r="L1665" i="1"/>
  <c r="J1664" i="1"/>
  <c r="I1664" i="1"/>
  <c r="K1664" i="1" s="1"/>
  <c r="L1664" i="1" s="1"/>
  <c r="J1663" i="1"/>
  <c r="I1663" i="1"/>
  <c r="K1663" i="1" s="1"/>
  <c r="L1663" i="1" s="1"/>
  <c r="L1662" i="1"/>
  <c r="J1661" i="1"/>
  <c r="I1661" i="1"/>
  <c r="K1661" i="1" s="1"/>
  <c r="L1661" i="1" s="1"/>
  <c r="J1660" i="1"/>
  <c r="I1660" i="1"/>
  <c r="K1660" i="1" s="1"/>
  <c r="L1660" i="1" s="1"/>
  <c r="L1659" i="1"/>
  <c r="J1658" i="1"/>
  <c r="I1658" i="1"/>
  <c r="K1658" i="1" s="1"/>
  <c r="L1658" i="1" s="1"/>
  <c r="J1657" i="1"/>
  <c r="I1657" i="1"/>
  <c r="K1657" i="1" s="1"/>
  <c r="L1657" i="1" s="1"/>
  <c r="L1656" i="1"/>
  <c r="J1655" i="1"/>
  <c r="I1655" i="1"/>
  <c r="K1655" i="1" s="1"/>
  <c r="L1655" i="1" s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L1650" i="1"/>
  <c r="L1649" i="1"/>
  <c r="L1648" i="1"/>
  <c r="J1647" i="1"/>
  <c r="I1647" i="1"/>
  <c r="K1647" i="1" s="1"/>
  <c r="L1647" i="1" s="1"/>
  <c r="L1646" i="1"/>
  <c r="J1645" i="1"/>
  <c r="I1645" i="1"/>
  <c r="K1645" i="1" s="1"/>
  <c r="L1645" i="1" s="1"/>
  <c r="J1644" i="1"/>
  <c r="I1644" i="1"/>
  <c r="K1644" i="1" s="1"/>
  <c r="L1644" i="1" s="1"/>
  <c r="L1643" i="1"/>
  <c r="J1642" i="1"/>
  <c r="I1642" i="1"/>
  <c r="K1642" i="1" s="1"/>
  <c r="L1642" i="1" s="1"/>
  <c r="J1641" i="1"/>
  <c r="I1641" i="1"/>
  <c r="K1641" i="1" s="1"/>
  <c r="L1641" i="1" s="1"/>
  <c r="J1640" i="1"/>
  <c r="I1640" i="1"/>
  <c r="K1640" i="1" s="1"/>
  <c r="L1640" i="1" s="1"/>
  <c r="L1639" i="1"/>
  <c r="J1638" i="1"/>
  <c r="I1638" i="1"/>
  <c r="K1638" i="1" s="1"/>
  <c r="L1638" i="1" s="1"/>
  <c r="J1637" i="1"/>
  <c r="I1637" i="1"/>
  <c r="K1637" i="1" s="1"/>
  <c r="L1637" i="1" s="1"/>
  <c r="L1636" i="1"/>
  <c r="J1635" i="1"/>
  <c r="I1635" i="1"/>
  <c r="K1635" i="1" s="1"/>
  <c r="L1635" i="1" s="1"/>
  <c r="J1634" i="1"/>
  <c r="I1634" i="1"/>
  <c r="K1634" i="1" s="1"/>
  <c r="L1634" i="1" s="1"/>
  <c r="L1633" i="1"/>
  <c r="J1632" i="1"/>
  <c r="I1632" i="1"/>
  <c r="K1632" i="1" s="1"/>
  <c r="L1632" i="1" s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L1623" i="1"/>
  <c r="J1622" i="1"/>
  <c r="I1622" i="1"/>
  <c r="K1622" i="1" s="1"/>
  <c r="L1622" i="1" s="1"/>
  <c r="L1621" i="1"/>
  <c r="J1620" i="1"/>
  <c r="I1620" i="1"/>
  <c r="K1620" i="1" s="1"/>
  <c r="L1620" i="1" s="1"/>
  <c r="J1619" i="1"/>
  <c r="I1619" i="1"/>
  <c r="K1619" i="1" s="1"/>
  <c r="L1619" i="1" s="1"/>
  <c r="L1618" i="1"/>
  <c r="J1617" i="1"/>
  <c r="I1617" i="1"/>
  <c r="K1617" i="1" s="1"/>
  <c r="L1617" i="1" s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L1612" i="1"/>
  <c r="J1611" i="1"/>
  <c r="I1611" i="1"/>
  <c r="K1611" i="1" s="1"/>
  <c r="L1611" i="1" s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L1606" i="1"/>
  <c r="L1605" i="1"/>
  <c r="L1604" i="1"/>
  <c r="J1603" i="1"/>
  <c r="I1603" i="1"/>
  <c r="K1603" i="1" s="1"/>
  <c r="L1603" i="1" s="1"/>
  <c r="L1602" i="1"/>
  <c r="J1601" i="1"/>
  <c r="I1601" i="1"/>
  <c r="K1601" i="1" s="1"/>
  <c r="L1601" i="1" s="1"/>
  <c r="J1600" i="1"/>
  <c r="I1600" i="1"/>
  <c r="K1600" i="1" s="1"/>
  <c r="L1600" i="1" s="1"/>
  <c r="L1599" i="1"/>
  <c r="L1598" i="1"/>
  <c r="J1597" i="1"/>
  <c r="I1597" i="1"/>
  <c r="K1597" i="1" s="1"/>
  <c r="L1597" i="1" s="1"/>
  <c r="J1596" i="1"/>
  <c r="I1596" i="1"/>
  <c r="K1596" i="1" s="1"/>
  <c r="L1596" i="1" s="1"/>
  <c r="L1595" i="1"/>
  <c r="J1594" i="1"/>
  <c r="I1594" i="1"/>
  <c r="K1594" i="1" s="1"/>
  <c r="L1594" i="1" s="1"/>
  <c r="J1593" i="1"/>
  <c r="I1593" i="1"/>
  <c r="K1593" i="1" s="1"/>
  <c r="L1593" i="1" s="1"/>
  <c r="L1592" i="1"/>
  <c r="J1591" i="1"/>
  <c r="I1591" i="1"/>
  <c r="K1591" i="1" s="1"/>
  <c r="L1591" i="1" s="1"/>
  <c r="J1590" i="1"/>
  <c r="I1590" i="1"/>
  <c r="K1590" i="1" s="1"/>
  <c r="L1590" i="1" s="1"/>
  <c r="L1589" i="1"/>
  <c r="J1588" i="1"/>
  <c r="I1588" i="1"/>
  <c r="K1588" i="1" s="1"/>
  <c r="L1588" i="1" s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L1579" i="1"/>
  <c r="J1578" i="1"/>
  <c r="I1578" i="1"/>
  <c r="K1578" i="1" s="1"/>
  <c r="L1578" i="1" s="1"/>
  <c r="L1577" i="1"/>
  <c r="J1576" i="1"/>
  <c r="I1576" i="1"/>
  <c r="K1576" i="1" s="1"/>
  <c r="L1576" i="1" s="1"/>
  <c r="J1575" i="1"/>
  <c r="I1575" i="1"/>
  <c r="K1575" i="1" s="1"/>
  <c r="L1575" i="1" s="1"/>
  <c r="L1574" i="1"/>
  <c r="J1573" i="1"/>
  <c r="I1573" i="1"/>
  <c r="K1573" i="1" s="1"/>
  <c r="L1573" i="1" s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L1568" i="1"/>
  <c r="J1567" i="1"/>
  <c r="I1567" i="1"/>
  <c r="K1567" i="1" s="1"/>
  <c r="L1567" i="1" s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L1563" i="1"/>
  <c r="L1562" i="1"/>
  <c r="L1561" i="1"/>
  <c r="L1560" i="1"/>
  <c r="J1559" i="1"/>
  <c r="I1559" i="1"/>
  <c r="K1559" i="1" s="1"/>
  <c r="L1559" i="1" s="1"/>
  <c r="L1558" i="1"/>
  <c r="J1557" i="1"/>
  <c r="I1557" i="1"/>
  <c r="K1557" i="1" s="1"/>
  <c r="L1557" i="1" s="1"/>
  <c r="J1556" i="1"/>
  <c r="I1556" i="1"/>
  <c r="K1556" i="1" s="1"/>
  <c r="L1556" i="1" s="1"/>
  <c r="L1555" i="1"/>
  <c r="J1554" i="1"/>
  <c r="I1554" i="1"/>
  <c r="K1554" i="1" s="1"/>
  <c r="L1554" i="1" s="1"/>
  <c r="J1553" i="1"/>
  <c r="I1553" i="1"/>
  <c r="K1553" i="1" s="1"/>
  <c r="L1553" i="1" s="1"/>
  <c r="J1552" i="1"/>
  <c r="I1552" i="1"/>
  <c r="K1552" i="1" s="1"/>
  <c r="L1552" i="1" s="1"/>
  <c r="L1551" i="1"/>
  <c r="J1550" i="1"/>
  <c r="I1550" i="1"/>
  <c r="K1550" i="1" s="1"/>
  <c r="L1550" i="1" s="1"/>
  <c r="J1549" i="1"/>
  <c r="I1549" i="1"/>
  <c r="K1549" i="1" s="1"/>
  <c r="L1549" i="1" s="1"/>
  <c r="L1548" i="1"/>
  <c r="J1547" i="1"/>
  <c r="I1547" i="1"/>
  <c r="K1547" i="1" s="1"/>
  <c r="L1547" i="1" s="1"/>
  <c r="J1546" i="1"/>
  <c r="I1546" i="1"/>
  <c r="K1546" i="1" s="1"/>
  <c r="L1546" i="1" s="1"/>
  <c r="L1545" i="1"/>
  <c r="J1544" i="1"/>
  <c r="I1544" i="1"/>
  <c r="K1544" i="1" s="1"/>
  <c r="L1544" i="1" s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L1536" i="1"/>
  <c r="L1535" i="1"/>
  <c r="J1534" i="1"/>
  <c r="I1534" i="1"/>
  <c r="K1534" i="1" s="1"/>
  <c r="L1534" i="1" s="1"/>
  <c r="L1533" i="1"/>
  <c r="J1532" i="1"/>
  <c r="I1532" i="1"/>
  <c r="K1532" i="1" s="1"/>
  <c r="L1532" i="1" s="1"/>
  <c r="J1531" i="1"/>
  <c r="I1531" i="1"/>
  <c r="K1531" i="1" s="1"/>
  <c r="L1531" i="1" s="1"/>
  <c r="L1530" i="1"/>
  <c r="J1529" i="1"/>
  <c r="I1529" i="1"/>
  <c r="K1529" i="1" s="1"/>
  <c r="L1529" i="1" s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L1524" i="1"/>
  <c r="J1523" i="1"/>
  <c r="I1523" i="1"/>
  <c r="K1523" i="1" s="1"/>
  <c r="L1523" i="1" s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L1519" i="1"/>
  <c r="L1518" i="1"/>
  <c r="L1517" i="1"/>
  <c r="L1516" i="1"/>
  <c r="J1515" i="1"/>
  <c r="I1515" i="1"/>
  <c r="K1515" i="1" s="1"/>
  <c r="L1515" i="1" s="1"/>
  <c r="L1514" i="1"/>
  <c r="J1513" i="1"/>
  <c r="I1513" i="1"/>
  <c r="K1513" i="1" s="1"/>
  <c r="L1513" i="1" s="1"/>
  <c r="J1512" i="1"/>
  <c r="I1512" i="1"/>
  <c r="K1512" i="1" s="1"/>
  <c r="L1512" i="1" s="1"/>
  <c r="L1511" i="1"/>
  <c r="L1510" i="1"/>
  <c r="J1509" i="1"/>
  <c r="I1509" i="1"/>
  <c r="K1509" i="1" s="1"/>
  <c r="L1509" i="1" s="1"/>
  <c r="J1508" i="1"/>
  <c r="I1508" i="1"/>
  <c r="K1508" i="1" s="1"/>
  <c r="L1508" i="1" s="1"/>
  <c r="L1507" i="1"/>
  <c r="J1506" i="1"/>
  <c r="I1506" i="1"/>
  <c r="K1506" i="1" s="1"/>
  <c r="L1506" i="1" s="1"/>
  <c r="J1505" i="1"/>
  <c r="I1505" i="1"/>
  <c r="K1505" i="1" s="1"/>
  <c r="L1505" i="1" s="1"/>
  <c r="L1504" i="1"/>
  <c r="J1503" i="1"/>
  <c r="I1503" i="1"/>
  <c r="K1503" i="1" s="1"/>
  <c r="L1503" i="1" s="1"/>
  <c r="J1502" i="1"/>
  <c r="I1502" i="1"/>
  <c r="K1502" i="1" s="1"/>
  <c r="L1502" i="1" s="1"/>
  <c r="L1501" i="1"/>
  <c r="J1500" i="1"/>
  <c r="I1500" i="1"/>
  <c r="K1500" i="1" s="1"/>
  <c r="L1500" i="1" s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L1492" i="1"/>
  <c r="L1491" i="1"/>
  <c r="J1490" i="1"/>
  <c r="I1490" i="1"/>
  <c r="K1490" i="1" s="1"/>
  <c r="L1490" i="1" s="1"/>
  <c r="L1489" i="1"/>
  <c r="J1488" i="1"/>
  <c r="I1488" i="1"/>
  <c r="K1488" i="1" s="1"/>
  <c r="L1488" i="1" s="1"/>
  <c r="J1487" i="1"/>
  <c r="I1487" i="1"/>
  <c r="K1487" i="1" s="1"/>
  <c r="L1487" i="1" s="1"/>
  <c r="L1486" i="1"/>
  <c r="J1485" i="1"/>
  <c r="I1485" i="1"/>
  <c r="K1485" i="1" s="1"/>
  <c r="L1485" i="1" s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L1480" i="1"/>
  <c r="J1479" i="1"/>
  <c r="I1479" i="1"/>
  <c r="K1479" i="1" s="1"/>
  <c r="L1479" i="1" s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L1475" i="1"/>
  <c r="L1474" i="1"/>
  <c r="L1473" i="1"/>
  <c r="L1472" i="1"/>
  <c r="J1471" i="1"/>
  <c r="I1471" i="1"/>
  <c r="K1471" i="1" s="1"/>
  <c r="L1471" i="1" s="1"/>
  <c r="L1470" i="1"/>
  <c r="J1469" i="1"/>
  <c r="I1469" i="1"/>
  <c r="K1469" i="1" s="1"/>
  <c r="L1469" i="1" s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L1463" i="1"/>
  <c r="J1462" i="1"/>
  <c r="I1462" i="1"/>
  <c r="K1462" i="1" s="1"/>
  <c r="L1462" i="1" s="1"/>
  <c r="J1461" i="1"/>
  <c r="I1461" i="1"/>
  <c r="K1461" i="1" s="1"/>
  <c r="L1461" i="1" s="1"/>
  <c r="L1460" i="1"/>
  <c r="J1459" i="1"/>
  <c r="I1459" i="1"/>
  <c r="K1459" i="1" s="1"/>
  <c r="L1459" i="1" s="1"/>
  <c r="J1458" i="1"/>
  <c r="I1458" i="1"/>
  <c r="K1458" i="1" s="1"/>
  <c r="L1458" i="1" s="1"/>
  <c r="L1457" i="1"/>
  <c r="J1456" i="1"/>
  <c r="I1456" i="1"/>
  <c r="K1456" i="1" s="1"/>
  <c r="L1456" i="1" s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L1448" i="1"/>
  <c r="L1447" i="1"/>
  <c r="J1446" i="1"/>
  <c r="I1446" i="1"/>
  <c r="K1446" i="1" s="1"/>
  <c r="L1446" i="1" s="1"/>
  <c r="L1445" i="1"/>
  <c r="J1444" i="1"/>
  <c r="I1444" i="1"/>
  <c r="K1444" i="1" s="1"/>
  <c r="L1444" i="1" s="1"/>
  <c r="J1443" i="1"/>
  <c r="I1443" i="1"/>
  <c r="K1443" i="1" s="1"/>
  <c r="L1443" i="1" s="1"/>
  <c r="L1442" i="1"/>
  <c r="J1441" i="1"/>
  <c r="I1441" i="1"/>
  <c r="K1441" i="1" s="1"/>
  <c r="L1441" i="1" s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L1436" i="1"/>
  <c r="J1435" i="1"/>
  <c r="I1435" i="1"/>
  <c r="K1435" i="1" s="1"/>
  <c r="L1435" i="1" s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L1431" i="1"/>
  <c r="L1430" i="1"/>
  <c r="L1429" i="1"/>
  <c r="L1428" i="1"/>
  <c r="J1427" i="1"/>
  <c r="I1427" i="1"/>
  <c r="K1427" i="1" s="1"/>
  <c r="L1427" i="1" s="1"/>
  <c r="L1426" i="1"/>
  <c r="J1425" i="1"/>
  <c r="I1425" i="1"/>
  <c r="K1425" i="1" s="1"/>
  <c r="L1425" i="1" s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L1419" i="1"/>
  <c r="J1418" i="1"/>
  <c r="I1418" i="1"/>
  <c r="K1418" i="1" s="1"/>
  <c r="L1418" i="1" s="1"/>
  <c r="J1417" i="1"/>
  <c r="I1417" i="1"/>
  <c r="K1417" i="1" s="1"/>
  <c r="L1417" i="1" s="1"/>
  <c r="L1416" i="1"/>
  <c r="J1415" i="1"/>
  <c r="I1415" i="1"/>
  <c r="K1415" i="1" s="1"/>
  <c r="L1415" i="1" s="1"/>
  <c r="J1414" i="1"/>
  <c r="I1414" i="1"/>
  <c r="K1414" i="1" s="1"/>
  <c r="L1414" i="1" s="1"/>
  <c r="L1413" i="1"/>
  <c r="J1412" i="1"/>
  <c r="I1412" i="1"/>
  <c r="K1412" i="1" s="1"/>
  <c r="L1412" i="1" s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L1404" i="1"/>
  <c r="L1403" i="1"/>
  <c r="J1402" i="1"/>
  <c r="I1402" i="1"/>
  <c r="K1402" i="1" s="1"/>
  <c r="L1402" i="1" s="1"/>
  <c r="L1401" i="1"/>
  <c r="J1400" i="1"/>
  <c r="I1400" i="1"/>
  <c r="K1400" i="1" s="1"/>
  <c r="L1400" i="1" s="1"/>
  <c r="J1399" i="1"/>
  <c r="I1399" i="1"/>
  <c r="K1399" i="1" s="1"/>
  <c r="L1399" i="1" s="1"/>
  <c r="L1398" i="1"/>
  <c r="J1397" i="1"/>
  <c r="I1397" i="1"/>
  <c r="K1397" i="1" s="1"/>
  <c r="L1397" i="1" s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L1392" i="1"/>
  <c r="J1391" i="1"/>
  <c r="I1391" i="1"/>
  <c r="K1391" i="1" s="1"/>
  <c r="L1391" i="1" s="1"/>
  <c r="J1390" i="1"/>
  <c r="I1390" i="1"/>
  <c r="K1390" i="1" s="1"/>
  <c r="L1390" i="1" s="1"/>
  <c r="J1389" i="1"/>
  <c r="I1389" i="1"/>
  <c r="K1389" i="1" s="1"/>
  <c r="L1389" i="1" s="1"/>
  <c r="J1388" i="1"/>
  <c r="I1388" i="1"/>
  <c r="K1388" i="1" s="1"/>
  <c r="L1388" i="1" s="1"/>
  <c r="L1387" i="1"/>
  <c r="L1386" i="1"/>
  <c r="L1385" i="1"/>
  <c r="L1384" i="1"/>
  <c r="J1383" i="1"/>
  <c r="I1383" i="1"/>
  <c r="K1383" i="1" s="1"/>
  <c r="L1383" i="1" s="1"/>
  <c r="L1382" i="1"/>
  <c r="J1381" i="1"/>
  <c r="I1381" i="1"/>
  <c r="K1381" i="1" s="1"/>
  <c r="L1381" i="1" s="1"/>
  <c r="J1380" i="1"/>
  <c r="I1380" i="1"/>
  <c r="K1380" i="1" s="1"/>
  <c r="L1380" i="1" s="1"/>
  <c r="J1379" i="1"/>
  <c r="I1379" i="1"/>
  <c r="K1379" i="1" s="1"/>
  <c r="L1379" i="1" s="1"/>
  <c r="J1378" i="1"/>
  <c r="I1378" i="1"/>
  <c r="K1378" i="1" s="1"/>
  <c r="L1378" i="1" s="1"/>
  <c r="J1377" i="1"/>
  <c r="I1377" i="1"/>
  <c r="K1377" i="1" s="1"/>
  <c r="L1377" i="1" s="1"/>
  <c r="J1376" i="1"/>
  <c r="I1376" i="1"/>
  <c r="K1376" i="1" s="1"/>
  <c r="L1376" i="1" s="1"/>
  <c r="L1375" i="1"/>
  <c r="J1374" i="1"/>
  <c r="I1374" i="1"/>
  <c r="K1374" i="1" s="1"/>
  <c r="L1374" i="1" s="1"/>
  <c r="J1373" i="1"/>
  <c r="I1373" i="1"/>
  <c r="K1373" i="1" s="1"/>
  <c r="L1373" i="1" s="1"/>
  <c r="L1372" i="1"/>
  <c r="J1371" i="1"/>
  <c r="I1371" i="1"/>
  <c r="K1371" i="1" s="1"/>
  <c r="L1371" i="1" s="1"/>
  <c r="J1370" i="1"/>
  <c r="I1370" i="1"/>
  <c r="K1370" i="1" s="1"/>
  <c r="L1370" i="1" s="1"/>
  <c r="L1369" i="1"/>
  <c r="L1368" i="1"/>
  <c r="J1367" i="1"/>
  <c r="I1367" i="1"/>
  <c r="K1367" i="1" s="1"/>
  <c r="L1367" i="1" s="1"/>
  <c r="J1366" i="1"/>
  <c r="I1366" i="1"/>
  <c r="K1366" i="1" s="1"/>
  <c r="L1366" i="1" s="1"/>
  <c r="J1365" i="1"/>
  <c r="I1365" i="1"/>
  <c r="K1365" i="1" s="1"/>
  <c r="L1365" i="1" s="1"/>
  <c r="J1364" i="1"/>
  <c r="I1364" i="1"/>
  <c r="K1364" i="1" s="1"/>
  <c r="L1364" i="1" s="1"/>
  <c r="J1363" i="1"/>
  <c r="I1363" i="1"/>
  <c r="K1363" i="1" s="1"/>
  <c r="L1363" i="1" s="1"/>
  <c r="J1362" i="1"/>
  <c r="I1362" i="1"/>
  <c r="K1362" i="1" s="1"/>
  <c r="L1362" i="1" s="1"/>
  <c r="J1361" i="1"/>
  <c r="I1361" i="1"/>
  <c r="K1361" i="1" s="1"/>
  <c r="L1361" i="1" s="1"/>
  <c r="L1360" i="1"/>
  <c r="L1359" i="1"/>
  <c r="J1358" i="1"/>
  <c r="I1358" i="1"/>
  <c r="K1358" i="1" s="1"/>
  <c r="L1358" i="1" s="1"/>
  <c r="L1357" i="1"/>
  <c r="J1356" i="1"/>
  <c r="I1356" i="1"/>
  <c r="K1356" i="1" s="1"/>
  <c r="L1356" i="1" s="1"/>
  <c r="J1355" i="1"/>
  <c r="I1355" i="1"/>
  <c r="K1355" i="1" s="1"/>
  <c r="L1355" i="1" s="1"/>
  <c r="L1354" i="1"/>
  <c r="J1353" i="1"/>
  <c r="I1353" i="1"/>
  <c r="K1353" i="1" s="1"/>
  <c r="L1353" i="1" s="1"/>
  <c r="J1352" i="1"/>
  <c r="I1352" i="1"/>
  <c r="K1352" i="1" s="1"/>
  <c r="L1352" i="1" s="1"/>
  <c r="J1351" i="1"/>
  <c r="I1351" i="1"/>
  <c r="K1351" i="1" s="1"/>
  <c r="L1351" i="1" s="1"/>
  <c r="J1350" i="1"/>
  <c r="I1350" i="1"/>
  <c r="K1350" i="1" s="1"/>
  <c r="L1350" i="1" s="1"/>
  <c r="J1349" i="1"/>
  <c r="I1349" i="1"/>
  <c r="K1349" i="1" s="1"/>
  <c r="L1349" i="1" s="1"/>
  <c r="L1348" i="1"/>
  <c r="J1347" i="1"/>
  <c r="I1347" i="1"/>
  <c r="K1347" i="1" s="1"/>
  <c r="L1347" i="1" s="1"/>
  <c r="J1346" i="1"/>
  <c r="I1346" i="1"/>
  <c r="K1346" i="1" s="1"/>
  <c r="L1346" i="1" s="1"/>
  <c r="J1345" i="1"/>
  <c r="I1345" i="1"/>
  <c r="K1345" i="1" s="1"/>
  <c r="L1345" i="1" s="1"/>
  <c r="J1344" i="1"/>
  <c r="I1344" i="1"/>
  <c r="K1344" i="1" s="1"/>
  <c r="L1344" i="1" s="1"/>
  <c r="L1343" i="1"/>
  <c r="L1342" i="1"/>
  <c r="L1341" i="1"/>
  <c r="L1340" i="1"/>
  <c r="J1339" i="1"/>
  <c r="I1339" i="1"/>
  <c r="K1339" i="1" s="1"/>
  <c r="L1339" i="1" s="1"/>
  <c r="L1338" i="1"/>
  <c r="L1337" i="1"/>
  <c r="J1336" i="1"/>
  <c r="I1336" i="1"/>
  <c r="K1336" i="1" s="1"/>
  <c r="L1336" i="1" s="1"/>
  <c r="J1335" i="1"/>
  <c r="I1335" i="1"/>
  <c r="K1335" i="1" s="1"/>
  <c r="L1335" i="1" s="1"/>
  <c r="J1334" i="1"/>
  <c r="I1334" i="1"/>
  <c r="K1334" i="1" s="1"/>
  <c r="L1334" i="1" s="1"/>
  <c r="J1333" i="1"/>
  <c r="I1333" i="1"/>
  <c r="K1333" i="1" s="1"/>
  <c r="L1333" i="1" s="1"/>
  <c r="J1332" i="1"/>
  <c r="I1332" i="1"/>
  <c r="K1332" i="1" s="1"/>
  <c r="L1332" i="1" s="1"/>
  <c r="L1331" i="1"/>
  <c r="J1330" i="1"/>
  <c r="I1330" i="1"/>
  <c r="K1330" i="1" s="1"/>
  <c r="L1330" i="1" s="1"/>
  <c r="J1329" i="1"/>
  <c r="I1329" i="1"/>
  <c r="K1329" i="1" s="1"/>
  <c r="L1329" i="1" s="1"/>
  <c r="L1328" i="1"/>
  <c r="J1327" i="1"/>
  <c r="I1327" i="1"/>
  <c r="K1327" i="1" s="1"/>
  <c r="L1327" i="1" s="1"/>
  <c r="J1326" i="1"/>
  <c r="I1326" i="1"/>
  <c r="K1326" i="1" s="1"/>
  <c r="L1326" i="1" s="1"/>
  <c r="L1325" i="1"/>
  <c r="J1324" i="1"/>
  <c r="I1324" i="1"/>
  <c r="K1324" i="1" s="1"/>
  <c r="L1324" i="1" s="1"/>
  <c r="J1323" i="1"/>
  <c r="I1323" i="1"/>
  <c r="K1323" i="1" s="1"/>
  <c r="L1323" i="1" s="1"/>
  <c r="J1322" i="1"/>
  <c r="I1322" i="1"/>
  <c r="K1322" i="1" s="1"/>
  <c r="L1322" i="1" s="1"/>
  <c r="J1321" i="1"/>
  <c r="I1321" i="1"/>
  <c r="K1321" i="1" s="1"/>
  <c r="L1321" i="1" s="1"/>
  <c r="J1320" i="1"/>
  <c r="I1320" i="1"/>
  <c r="K1320" i="1" s="1"/>
  <c r="L1320" i="1" s="1"/>
  <c r="J1319" i="1"/>
  <c r="I1319" i="1"/>
  <c r="K1319" i="1" s="1"/>
  <c r="L1319" i="1" s="1"/>
  <c r="J1318" i="1"/>
  <c r="I1318" i="1"/>
  <c r="K1318" i="1" s="1"/>
  <c r="L1318" i="1" s="1"/>
  <c r="J1317" i="1"/>
  <c r="I1317" i="1"/>
  <c r="K1317" i="1" s="1"/>
  <c r="L1317" i="1" s="1"/>
  <c r="L1316" i="1"/>
  <c r="L1315" i="1"/>
  <c r="J1314" i="1"/>
  <c r="I1314" i="1"/>
  <c r="K1314" i="1" s="1"/>
  <c r="L1314" i="1" s="1"/>
  <c r="L1313" i="1"/>
  <c r="J1312" i="1"/>
  <c r="I1312" i="1"/>
  <c r="K1312" i="1" s="1"/>
  <c r="L1312" i="1" s="1"/>
  <c r="J1311" i="1"/>
  <c r="I1311" i="1"/>
  <c r="K1311" i="1" s="1"/>
  <c r="L1311" i="1" s="1"/>
  <c r="L1310" i="1"/>
  <c r="J1309" i="1"/>
  <c r="I1309" i="1"/>
  <c r="K1309" i="1" s="1"/>
  <c r="L1309" i="1" s="1"/>
  <c r="J1308" i="1"/>
  <c r="I1308" i="1"/>
  <c r="K1308" i="1" s="1"/>
  <c r="L1308" i="1" s="1"/>
  <c r="J1307" i="1"/>
  <c r="I1307" i="1"/>
  <c r="K1307" i="1" s="1"/>
  <c r="L1307" i="1" s="1"/>
  <c r="J1306" i="1"/>
  <c r="I1306" i="1"/>
  <c r="K1306" i="1" s="1"/>
  <c r="L1306" i="1" s="1"/>
  <c r="J1305" i="1"/>
  <c r="I1305" i="1"/>
  <c r="K1305" i="1" s="1"/>
  <c r="L1305" i="1" s="1"/>
  <c r="L1304" i="1"/>
  <c r="J1303" i="1"/>
  <c r="I1303" i="1"/>
  <c r="K1303" i="1" s="1"/>
  <c r="L1303" i="1" s="1"/>
  <c r="J1302" i="1"/>
  <c r="I1302" i="1"/>
  <c r="K1302" i="1" s="1"/>
  <c r="L1302" i="1" s="1"/>
  <c r="J1301" i="1"/>
  <c r="I1301" i="1"/>
  <c r="K1301" i="1" s="1"/>
  <c r="L1301" i="1" s="1"/>
  <c r="L1300" i="1"/>
  <c r="L1299" i="1"/>
  <c r="L1298" i="1"/>
  <c r="L1297" i="1"/>
  <c r="L1296" i="1"/>
  <c r="J1295" i="1"/>
  <c r="I1295" i="1"/>
  <c r="K1295" i="1" s="1"/>
  <c r="L1295" i="1" s="1"/>
  <c r="L1294" i="1"/>
  <c r="J1293" i="1"/>
  <c r="I1293" i="1"/>
  <c r="K1293" i="1" s="1"/>
  <c r="L1293" i="1" s="1"/>
  <c r="J1292" i="1"/>
  <c r="I1292" i="1"/>
  <c r="K1292" i="1" s="1"/>
  <c r="L1292" i="1" s="1"/>
  <c r="J1291" i="1"/>
  <c r="I1291" i="1"/>
  <c r="K1291" i="1" s="1"/>
  <c r="L1291" i="1" s="1"/>
  <c r="J1290" i="1"/>
  <c r="I1290" i="1"/>
  <c r="K1290" i="1" s="1"/>
  <c r="L1290" i="1" s="1"/>
  <c r="J1289" i="1"/>
  <c r="I1289" i="1"/>
  <c r="K1289" i="1" s="1"/>
  <c r="L1289" i="1" s="1"/>
  <c r="J1288" i="1"/>
  <c r="I1288" i="1"/>
  <c r="K1288" i="1" s="1"/>
  <c r="L1288" i="1" s="1"/>
  <c r="L1287" i="1"/>
  <c r="J1286" i="1"/>
  <c r="I1286" i="1"/>
  <c r="K1286" i="1" s="1"/>
  <c r="L1286" i="1" s="1"/>
  <c r="J1285" i="1"/>
  <c r="I1285" i="1"/>
  <c r="K1285" i="1" s="1"/>
  <c r="L1285" i="1" s="1"/>
  <c r="L1284" i="1"/>
  <c r="J1283" i="1"/>
  <c r="I1283" i="1"/>
  <c r="K1283" i="1" s="1"/>
  <c r="L1283" i="1" s="1"/>
  <c r="J1282" i="1"/>
  <c r="I1282" i="1"/>
  <c r="K1282" i="1" s="1"/>
  <c r="L1282" i="1" s="1"/>
  <c r="L1281" i="1"/>
  <c r="J1280" i="1"/>
  <c r="I1280" i="1"/>
  <c r="K1280" i="1" s="1"/>
  <c r="L1280" i="1" s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J1275" i="1"/>
  <c r="I1275" i="1"/>
  <c r="J1274" i="1"/>
  <c r="I1274" i="1"/>
  <c r="J1273" i="1"/>
  <c r="I1273" i="1"/>
  <c r="L1272" i="1"/>
  <c r="L1271" i="1"/>
  <c r="J1270" i="1"/>
  <c r="I1270" i="1"/>
  <c r="L1269" i="1"/>
  <c r="J1268" i="1"/>
  <c r="I1268" i="1"/>
  <c r="J1267" i="1"/>
  <c r="I1267" i="1"/>
  <c r="L1266" i="1"/>
  <c r="J1265" i="1"/>
  <c r="I1265" i="1"/>
  <c r="J1264" i="1"/>
  <c r="I1264" i="1"/>
  <c r="J1263" i="1"/>
  <c r="I1263" i="1"/>
  <c r="J1262" i="1"/>
  <c r="I1262" i="1"/>
  <c r="J1261" i="1"/>
  <c r="I1261" i="1"/>
  <c r="L1260" i="1"/>
  <c r="J1259" i="1"/>
  <c r="I1259" i="1"/>
  <c r="J1258" i="1"/>
  <c r="I1258" i="1"/>
  <c r="J1257" i="1"/>
  <c r="I1257" i="1"/>
  <c r="J1256" i="1"/>
  <c r="I1256" i="1"/>
  <c r="L1255" i="1"/>
  <c r="L1254" i="1"/>
  <c r="L1253" i="1"/>
  <c r="L1252" i="1"/>
  <c r="L1251" i="1"/>
  <c r="L1250" i="1"/>
  <c r="J1249" i="1"/>
  <c r="I1249" i="1"/>
  <c r="J1248" i="1"/>
  <c r="I1248" i="1"/>
  <c r="L1247" i="1"/>
  <c r="J1246" i="1"/>
  <c r="I1246" i="1"/>
  <c r="J1245" i="1"/>
  <c r="I1245" i="1"/>
  <c r="J1244" i="1"/>
  <c r="I1244" i="1"/>
  <c r="L1243" i="1"/>
  <c r="J1242" i="1"/>
  <c r="I1242" i="1"/>
  <c r="J1241" i="1"/>
  <c r="I1241" i="1"/>
  <c r="L1240" i="1"/>
  <c r="J1239" i="1"/>
  <c r="I1239" i="1"/>
  <c r="J1238" i="1"/>
  <c r="I1238" i="1"/>
  <c r="L1237" i="1"/>
  <c r="J1236" i="1"/>
  <c r="I1236" i="1"/>
  <c r="J1235" i="1"/>
  <c r="I1235" i="1"/>
  <c r="J1234" i="1"/>
  <c r="I1234" i="1"/>
  <c r="J1233" i="1"/>
  <c r="I1233" i="1"/>
  <c r="J1232" i="1"/>
  <c r="I1232" i="1"/>
  <c r="J1231" i="1"/>
  <c r="I1231" i="1"/>
  <c r="J1230" i="1"/>
  <c r="I1230" i="1"/>
  <c r="J1229" i="1"/>
  <c r="I1229" i="1"/>
  <c r="L1228" i="1"/>
  <c r="L1227" i="1"/>
  <c r="J1226" i="1"/>
  <c r="I1226" i="1"/>
  <c r="L1225" i="1"/>
  <c r="J1224" i="1"/>
  <c r="I1224" i="1"/>
  <c r="J1223" i="1"/>
  <c r="I1223" i="1"/>
  <c r="L1222" i="1"/>
  <c r="J1221" i="1"/>
  <c r="I1221" i="1"/>
  <c r="K1221" i="1" s="1"/>
  <c r="L1221" i="1" s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L1216" i="1"/>
  <c r="J1215" i="1"/>
  <c r="I1215" i="1"/>
  <c r="K1215" i="1" s="1"/>
  <c r="L1215" i="1" s="1"/>
  <c r="J1214" i="1"/>
  <c r="I1214" i="1"/>
  <c r="K1214" i="1" s="1"/>
  <c r="L1214" i="1" s="1"/>
  <c r="J1213" i="1"/>
  <c r="I1213" i="1"/>
  <c r="K1213" i="1" s="1"/>
  <c r="L1213" i="1" s="1"/>
  <c r="L1212" i="1"/>
  <c r="L1211" i="1"/>
  <c r="L1210" i="1"/>
  <c r="L1209" i="1"/>
  <c r="L1208" i="1"/>
  <c r="L1207" i="1"/>
  <c r="L1206" i="1"/>
  <c r="J1205" i="1"/>
  <c r="I1205" i="1"/>
  <c r="K1205" i="1" s="1"/>
  <c r="L1205" i="1" s="1"/>
  <c r="J1204" i="1"/>
  <c r="I1204" i="1"/>
  <c r="K1204" i="1" s="1"/>
  <c r="L1204" i="1" s="1"/>
  <c r="L1203" i="1"/>
  <c r="L1202" i="1"/>
  <c r="J1201" i="1"/>
  <c r="I1201" i="1"/>
  <c r="K1201" i="1" s="1"/>
  <c r="L1201" i="1" s="1"/>
  <c r="J1200" i="1"/>
  <c r="I1200" i="1"/>
  <c r="K1200" i="1" s="1"/>
  <c r="L1200" i="1" s="1"/>
  <c r="L1199" i="1"/>
  <c r="J1198" i="1"/>
  <c r="I1198" i="1"/>
  <c r="J1197" i="1"/>
  <c r="I1197" i="1"/>
  <c r="L1196" i="1"/>
  <c r="J1195" i="1"/>
  <c r="I1195" i="1"/>
  <c r="J1194" i="1"/>
  <c r="I1194" i="1"/>
  <c r="K1194" i="1" s="1"/>
  <c r="L1194" i="1" s="1"/>
  <c r="L1193" i="1"/>
  <c r="J1192" i="1"/>
  <c r="I1192" i="1"/>
  <c r="K1192" i="1" s="1"/>
  <c r="L1192" i="1" s="1"/>
  <c r="L1191" i="1"/>
  <c r="J1190" i="1"/>
  <c r="I1190" i="1"/>
  <c r="K1190" i="1" s="1"/>
  <c r="L1190" i="1" s="1"/>
  <c r="J1189" i="1"/>
  <c r="I1189" i="1"/>
  <c r="K1189" i="1" s="1"/>
  <c r="L1189" i="1" s="1"/>
  <c r="J1188" i="1"/>
  <c r="I1188" i="1"/>
  <c r="K1188" i="1" s="1"/>
  <c r="L1188" i="1" s="1"/>
  <c r="L1187" i="1"/>
  <c r="J1186" i="1"/>
  <c r="I1186" i="1"/>
  <c r="K1186" i="1" s="1"/>
  <c r="L1186" i="1" s="1"/>
  <c r="J1185" i="1"/>
  <c r="I1185" i="1"/>
  <c r="K1185" i="1" s="1"/>
  <c r="L1185" i="1" s="1"/>
  <c r="L1184" i="1"/>
  <c r="L1183" i="1"/>
  <c r="J1182" i="1"/>
  <c r="I1182" i="1"/>
  <c r="K1182" i="1" s="1"/>
  <c r="L1182" i="1" s="1"/>
  <c r="L1181" i="1"/>
  <c r="J1180" i="1"/>
  <c r="I1180" i="1"/>
  <c r="K1180" i="1" s="1"/>
  <c r="L1180" i="1" s="1"/>
  <c r="J1179" i="1"/>
  <c r="I1179" i="1"/>
  <c r="K1179" i="1" s="1"/>
  <c r="L1179" i="1" s="1"/>
  <c r="L1178" i="1"/>
  <c r="J1177" i="1"/>
  <c r="I1177" i="1"/>
  <c r="K1177" i="1" s="1"/>
  <c r="L1177" i="1" s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L1172" i="1"/>
  <c r="J1171" i="1"/>
  <c r="I1171" i="1"/>
  <c r="K1171" i="1" s="1"/>
  <c r="L1171" i="1" s="1"/>
  <c r="J1170" i="1"/>
  <c r="I1170" i="1"/>
  <c r="K1170" i="1" s="1"/>
  <c r="L1170" i="1" s="1"/>
  <c r="J1169" i="1"/>
  <c r="I1169" i="1"/>
  <c r="K1169" i="1" s="1"/>
  <c r="L1169" i="1" s="1"/>
  <c r="L1168" i="1"/>
  <c r="L1167" i="1"/>
  <c r="L1166" i="1"/>
  <c r="L1165" i="1"/>
  <c r="L1164" i="1"/>
  <c r="J1163" i="1"/>
  <c r="I1163" i="1"/>
  <c r="K1163" i="1" s="1"/>
  <c r="L1163" i="1" s="1"/>
  <c r="L1162" i="1"/>
  <c r="L1161" i="1"/>
  <c r="J1160" i="1"/>
  <c r="I1160" i="1"/>
  <c r="K1160" i="1" s="1"/>
  <c r="L1160" i="1" s="1"/>
  <c r="L1159" i="1"/>
  <c r="J1158" i="1"/>
  <c r="I1158" i="1"/>
  <c r="K1158" i="1" s="1"/>
  <c r="L1158" i="1" s="1"/>
  <c r="J1157" i="1"/>
  <c r="I1157" i="1"/>
  <c r="K1157" i="1" s="1"/>
  <c r="L1157" i="1" s="1"/>
  <c r="J1156" i="1"/>
  <c r="I1156" i="1"/>
  <c r="K1156" i="1" s="1"/>
  <c r="L1156" i="1" s="1"/>
  <c r="L1155" i="1"/>
  <c r="J1154" i="1"/>
  <c r="I1154" i="1"/>
  <c r="K1154" i="1" s="1"/>
  <c r="L1154" i="1" s="1"/>
  <c r="J1153" i="1"/>
  <c r="I1153" i="1"/>
  <c r="K1153" i="1" s="1"/>
  <c r="L1153" i="1" s="1"/>
  <c r="L1152" i="1"/>
  <c r="J1151" i="1"/>
  <c r="I1151" i="1"/>
  <c r="K1151" i="1" s="1"/>
  <c r="L1151" i="1" s="1"/>
  <c r="J1150" i="1"/>
  <c r="I1150" i="1"/>
  <c r="K1150" i="1" s="1"/>
  <c r="L1150" i="1" s="1"/>
  <c r="L1149" i="1"/>
  <c r="J1148" i="1"/>
  <c r="I1148" i="1"/>
  <c r="K1148" i="1" s="1"/>
  <c r="L1148" i="1" s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L1144" i="1"/>
  <c r="J1143" i="1"/>
  <c r="I1143" i="1"/>
  <c r="K1143" i="1" s="1"/>
  <c r="L1143" i="1" s="1"/>
  <c r="J1142" i="1"/>
  <c r="I1142" i="1"/>
  <c r="K1142" i="1" s="1"/>
  <c r="L1142" i="1" s="1"/>
  <c r="J1141" i="1"/>
  <c r="I1141" i="1"/>
  <c r="K1141" i="1" s="1"/>
  <c r="L1141" i="1" s="1"/>
  <c r="L1140" i="1"/>
  <c r="L1139" i="1"/>
  <c r="J1138" i="1"/>
  <c r="I1138" i="1"/>
  <c r="K1138" i="1" s="1"/>
  <c r="L1138" i="1" s="1"/>
  <c r="L1137" i="1"/>
  <c r="J1136" i="1"/>
  <c r="I1136" i="1"/>
  <c r="K1136" i="1" s="1"/>
  <c r="L1136" i="1" s="1"/>
  <c r="J1135" i="1"/>
  <c r="I1135" i="1"/>
  <c r="K1135" i="1" s="1"/>
  <c r="L1135" i="1" s="1"/>
  <c r="L1134" i="1"/>
  <c r="J1133" i="1"/>
  <c r="I1133" i="1"/>
  <c r="K1133" i="1" s="1"/>
  <c r="L1133" i="1" s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L1128" i="1"/>
  <c r="J1127" i="1"/>
  <c r="I1127" i="1"/>
  <c r="K1127" i="1" s="1"/>
  <c r="L1127" i="1" s="1"/>
  <c r="J1126" i="1"/>
  <c r="I1126" i="1"/>
  <c r="K1126" i="1" s="1"/>
  <c r="L1126" i="1" s="1"/>
  <c r="J1125" i="1"/>
  <c r="I1125" i="1"/>
  <c r="K1125" i="1" s="1"/>
  <c r="L1125" i="1" s="1"/>
  <c r="L1124" i="1"/>
  <c r="L1123" i="1"/>
  <c r="L1122" i="1"/>
  <c r="L1121" i="1"/>
  <c r="L1120" i="1"/>
  <c r="L1119" i="1"/>
  <c r="L1118" i="1"/>
  <c r="L1117" i="1"/>
  <c r="J1116" i="1"/>
  <c r="I1116" i="1"/>
  <c r="K1116" i="1" s="1"/>
  <c r="L1116" i="1" s="1"/>
  <c r="L1115" i="1"/>
  <c r="J1114" i="1"/>
  <c r="I1114" i="1"/>
  <c r="K1114" i="1" s="1"/>
  <c r="L1114" i="1" s="1"/>
  <c r="J1113" i="1"/>
  <c r="I1113" i="1"/>
  <c r="K1113" i="1" s="1"/>
  <c r="L1113" i="1" s="1"/>
  <c r="J1112" i="1"/>
  <c r="I1112" i="1"/>
  <c r="K1112" i="1" s="1"/>
  <c r="L1112" i="1" s="1"/>
  <c r="L1111" i="1"/>
  <c r="J1110" i="1"/>
  <c r="I1110" i="1"/>
  <c r="K1110" i="1" s="1"/>
  <c r="L1110" i="1" s="1"/>
  <c r="J1109" i="1"/>
  <c r="I1109" i="1"/>
  <c r="K1109" i="1" s="1"/>
  <c r="L1109" i="1" s="1"/>
  <c r="L1108" i="1"/>
  <c r="J1107" i="1"/>
  <c r="I1107" i="1"/>
  <c r="K1107" i="1" s="1"/>
  <c r="L1107" i="1" s="1"/>
  <c r="J1106" i="1"/>
  <c r="I1106" i="1"/>
  <c r="K1106" i="1" s="1"/>
  <c r="L1106" i="1" s="1"/>
  <c r="L1105" i="1"/>
  <c r="J1104" i="1"/>
  <c r="I1104" i="1"/>
  <c r="K1104" i="1" s="1"/>
  <c r="L1104" i="1" s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L1096" i="1"/>
  <c r="L1095" i="1"/>
  <c r="J1094" i="1"/>
  <c r="I1094" i="1"/>
  <c r="K1094" i="1" s="1"/>
  <c r="L1094" i="1" s="1"/>
  <c r="L1093" i="1"/>
  <c r="J1092" i="1"/>
  <c r="I1092" i="1"/>
  <c r="K1092" i="1" s="1"/>
  <c r="L1092" i="1" s="1"/>
  <c r="J1091" i="1"/>
  <c r="I1091" i="1"/>
  <c r="K1091" i="1" s="1"/>
  <c r="L1091" i="1" s="1"/>
  <c r="L1090" i="1"/>
  <c r="J1089" i="1"/>
  <c r="I1089" i="1"/>
  <c r="K1089" i="1" s="1"/>
  <c r="L1089" i="1" s="1"/>
  <c r="J1088" i="1"/>
  <c r="I1088" i="1"/>
  <c r="K1088" i="1" s="1"/>
  <c r="L1088" i="1" s="1"/>
  <c r="L1087" i="1"/>
  <c r="J1086" i="1"/>
  <c r="I1086" i="1"/>
  <c r="K1086" i="1" s="1"/>
  <c r="L1086" i="1" s="1"/>
  <c r="J1085" i="1"/>
  <c r="I1085" i="1"/>
  <c r="K1085" i="1" s="1"/>
  <c r="L1085" i="1" s="1"/>
  <c r="L1084" i="1"/>
  <c r="J1083" i="1"/>
  <c r="I1083" i="1"/>
  <c r="K1083" i="1" s="1"/>
  <c r="L1083" i="1" s="1"/>
  <c r="J1082" i="1"/>
  <c r="I1082" i="1"/>
  <c r="K1082" i="1" s="1"/>
  <c r="L1082" i="1" s="1"/>
  <c r="J1081" i="1"/>
  <c r="I1081" i="1"/>
  <c r="K1081" i="1" s="1"/>
  <c r="L1081" i="1" s="1"/>
  <c r="L1080" i="1"/>
  <c r="L1079" i="1"/>
  <c r="L1078" i="1"/>
  <c r="L1077" i="1"/>
  <c r="L1076" i="1"/>
  <c r="L1075" i="1"/>
  <c r="L1074" i="1"/>
  <c r="L1073" i="1"/>
  <c r="J1072" i="1"/>
  <c r="I1072" i="1"/>
  <c r="K1072" i="1" s="1"/>
  <c r="L1072" i="1" s="1"/>
  <c r="L1071" i="1"/>
  <c r="J1070" i="1"/>
  <c r="I1070" i="1"/>
  <c r="K1070" i="1" s="1"/>
  <c r="L1070" i="1" s="1"/>
  <c r="J1069" i="1"/>
  <c r="I1069" i="1"/>
  <c r="K1069" i="1" s="1"/>
  <c r="L1069" i="1" s="1"/>
  <c r="J1068" i="1"/>
  <c r="I1068" i="1"/>
  <c r="K1068" i="1" s="1"/>
  <c r="L1068" i="1" s="1"/>
  <c r="L1067" i="1"/>
  <c r="J1066" i="1"/>
  <c r="I1066" i="1"/>
  <c r="K1066" i="1" s="1"/>
  <c r="L1066" i="1" s="1"/>
  <c r="J1065" i="1"/>
  <c r="I1065" i="1"/>
  <c r="K1065" i="1" s="1"/>
  <c r="L1065" i="1" s="1"/>
  <c r="L1064" i="1"/>
  <c r="J1063" i="1"/>
  <c r="I1063" i="1"/>
  <c r="K1063" i="1" s="1"/>
  <c r="L1063" i="1" s="1"/>
  <c r="J1062" i="1"/>
  <c r="I1062" i="1"/>
  <c r="K1062" i="1" s="1"/>
  <c r="L1062" i="1" s="1"/>
  <c r="L1061" i="1"/>
  <c r="J1060" i="1"/>
  <c r="I1060" i="1"/>
  <c r="K1060" i="1" s="1"/>
  <c r="L1060" i="1" s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L1052" i="1"/>
  <c r="L1051" i="1"/>
  <c r="J1050" i="1"/>
  <c r="I1050" i="1"/>
  <c r="K1050" i="1" s="1"/>
  <c r="L1050" i="1" s="1"/>
  <c r="L1049" i="1"/>
  <c r="J1048" i="1"/>
  <c r="I1048" i="1"/>
  <c r="K1048" i="1" s="1"/>
  <c r="L1048" i="1" s="1"/>
  <c r="J1047" i="1"/>
  <c r="I1047" i="1"/>
  <c r="K1047" i="1" s="1"/>
  <c r="L1047" i="1" s="1"/>
  <c r="L1046" i="1"/>
  <c r="J1045" i="1"/>
  <c r="I1045" i="1"/>
  <c r="K1045" i="1" s="1"/>
  <c r="L1045" i="1" s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L1040" i="1"/>
  <c r="J1039" i="1"/>
  <c r="I1039" i="1"/>
  <c r="K1039" i="1" s="1"/>
  <c r="L1039" i="1" s="1"/>
  <c r="J1038" i="1"/>
  <c r="I1038" i="1"/>
  <c r="K1038" i="1" s="1"/>
  <c r="L1038" i="1" s="1"/>
  <c r="J1037" i="1"/>
  <c r="I1037" i="1"/>
  <c r="K1037" i="1" s="1"/>
  <c r="L1037" i="1" s="1"/>
  <c r="L1036" i="1"/>
  <c r="L1035" i="1"/>
  <c r="L1034" i="1"/>
  <c r="L1033" i="1"/>
  <c r="L1032" i="1"/>
  <c r="J1031" i="1"/>
  <c r="I1031" i="1"/>
  <c r="K1031" i="1" s="1"/>
  <c r="L1031" i="1" s="1"/>
  <c r="L1030" i="1"/>
  <c r="L1029" i="1"/>
  <c r="J1028" i="1"/>
  <c r="I1028" i="1"/>
  <c r="K1028" i="1" s="1"/>
  <c r="L1028" i="1" s="1"/>
  <c r="L1027" i="1"/>
  <c r="J1026" i="1"/>
  <c r="I1026" i="1"/>
  <c r="K1026" i="1" s="1"/>
  <c r="L1026" i="1" s="1"/>
  <c r="J1025" i="1"/>
  <c r="I1025" i="1"/>
  <c r="K1025" i="1" s="1"/>
  <c r="L1025" i="1" s="1"/>
  <c r="J1024" i="1"/>
  <c r="I1024" i="1"/>
  <c r="K1024" i="1" s="1"/>
  <c r="L1024" i="1" s="1"/>
  <c r="L1023" i="1"/>
  <c r="J1022" i="1"/>
  <c r="I1022" i="1"/>
  <c r="K1022" i="1" s="1"/>
  <c r="L1022" i="1" s="1"/>
  <c r="J1021" i="1"/>
  <c r="I1021" i="1"/>
  <c r="K1021" i="1" s="1"/>
  <c r="L1021" i="1" s="1"/>
  <c r="L1020" i="1"/>
  <c r="J1019" i="1"/>
  <c r="I1019" i="1"/>
  <c r="K1019" i="1" s="1"/>
  <c r="L1019" i="1" s="1"/>
  <c r="J1018" i="1"/>
  <c r="I1018" i="1"/>
  <c r="K1018" i="1" s="1"/>
  <c r="L1018" i="1" s="1"/>
  <c r="L1017" i="1"/>
  <c r="J1016" i="1"/>
  <c r="I1016" i="1"/>
  <c r="K1016" i="1" s="1"/>
  <c r="L1016" i="1" s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L1008" i="1"/>
  <c r="L1007" i="1"/>
  <c r="J1006" i="1"/>
  <c r="I1006" i="1"/>
  <c r="K1006" i="1" s="1"/>
  <c r="L1006" i="1" s="1"/>
  <c r="L1005" i="1"/>
  <c r="J1004" i="1"/>
  <c r="I1004" i="1"/>
  <c r="K1004" i="1" s="1"/>
  <c r="L1004" i="1" s="1"/>
  <c r="J1003" i="1"/>
  <c r="I1003" i="1"/>
  <c r="K1003" i="1" s="1"/>
  <c r="L1003" i="1" s="1"/>
  <c r="L1002" i="1"/>
  <c r="J1001" i="1"/>
  <c r="I1001" i="1"/>
  <c r="K1001" i="1" s="1"/>
  <c r="L1001" i="1" s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L996" i="1"/>
  <c r="J995" i="1"/>
  <c r="I995" i="1"/>
  <c r="K995" i="1" s="1"/>
  <c r="L995" i="1" s="1"/>
  <c r="J994" i="1"/>
  <c r="I994" i="1"/>
  <c r="K994" i="1" s="1"/>
  <c r="L994" i="1" s="1"/>
  <c r="J993" i="1"/>
  <c r="I993" i="1"/>
  <c r="K993" i="1" s="1"/>
  <c r="L993" i="1" s="1"/>
  <c r="L992" i="1"/>
  <c r="L991" i="1"/>
  <c r="L990" i="1"/>
  <c r="L989" i="1"/>
  <c r="L988" i="1"/>
  <c r="L987" i="1"/>
  <c r="L986" i="1"/>
  <c r="L985" i="1"/>
  <c r="J984" i="1"/>
  <c r="I984" i="1"/>
  <c r="K984" i="1" s="1"/>
  <c r="L984" i="1" s="1"/>
  <c r="L983" i="1"/>
  <c r="J982" i="1"/>
  <c r="I982" i="1"/>
  <c r="K982" i="1" s="1"/>
  <c r="L982" i="1" s="1"/>
  <c r="J981" i="1"/>
  <c r="I981" i="1"/>
  <c r="K981" i="1" s="1"/>
  <c r="L981" i="1" s="1"/>
  <c r="J980" i="1"/>
  <c r="I980" i="1"/>
  <c r="K980" i="1" s="1"/>
  <c r="L980" i="1" s="1"/>
  <c r="L979" i="1"/>
  <c r="J978" i="1"/>
  <c r="I978" i="1"/>
  <c r="K978" i="1" s="1"/>
  <c r="L978" i="1" s="1"/>
  <c r="J977" i="1"/>
  <c r="I977" i="1"/>
  <c r="K977" i="1" s="1"/>
  <c r="L977" i="1" s="1"/>
  <c r="L976" i="1"/>
  <c r="J975" i="1"/>
  <c r="I975" i="1"/>
  <c r="K975" i="1" s="1"/>
  <c r="L975" i="1" s="1"/>
  <c r="J974" i="1"/>
  <c r="I974" i="1"/>
  <c r="K974" i="1" s="1"/>
  <c r="L974" i="1" s="1"/>
  <c r="L973" i="1"/>
  <c r="J972" i="1"/>
  <c r="I972" i="1"/>
  <c r="K972" i="1" s="1"/>
  <c r="L972" i="1" s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L964" i="1"/>
  <c r="L963" i="1"/>
  <c r="J962" i="1"/>
  <c r="I962" i="1"/>
  <c r="K962" i="1" s="1"/>
  <c r="L962" i="1" s="1"/>
  <c r="L961" i="1"/>
  <c r="J960" i="1"/>
  <c r="I960" i="1"/>
  <c r="K960" i="1" s="1"/>
  <c r="L960" i="1" s="1"/>
  <c r="J959" i="1"/>
  <c r="I959" i="1"/>
  <c r="K959" i="1" s="1"/>
  <c r="L959" i="1" s="1"/>
  <c r="L958" i="1"/>
  <c r="J957" i="1"/>
  <c r="I957" i="1"/>
  <c r="K957" i="1" s="1"/>
  <c r="L957" i="1" s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L952" i="1"/>
  <c r="J951" i="1"/>
  <c r="I951" i="1"/>
  <c r="K951" i="1" s="1"/>
  <c r="L951" i="1" s="1"/>
  <c r="J950" i="1"/>
  <c r="I950" i="1"/>
  <c r="K950" i="1" s="1"/>
  <c r="L950" i="1" s="1"/>
  <c r="J949" i="1"/>
  <c r="I949" i="1"/>
  <c r="K949" i="1" s="1"/>
  <c r="L949" i="1" s="1"/>
  <c r="L948" i="1"/>
  <c r="L947" i="1"/>
  <c r="L946" i="1"/>
  <c r="L945" i="1"/>
  <c r="L944" i="1"/>
  <c r="L943" i="1"/>
  <c r="L942" i="1"/>
  <c r="L941" i="1"/>
  <c r="J940" i="1"/>
  <c r="I940" i="1"/>
  <c r="K940" i="1" s="1"/>
  <c r="L940" i="1" s="1"/>
  <c r="L939" i="1"/>
  <c r="J938" i="1"/>
  <c r="I938" i="1"/>
  <c r="K938" i="1" s="1"/>
  <c r="L938" i="1" s="1"/>
  <c r="J937" i="1"/>
  <c r="I937" i="1"/>
  <c r="K937" i="1" s="1"/>
  <c r="L937" i="1" s="1"/>
  <c r="J936" i="1"/>
  <c r="I936" i="1"/>
  <c r="K936" i="1" s="1"/>
  <c r="L936" i="1" s="1"/>
  <c r="L935" i="1"/>
  <c r="J934" i="1"/>
  <c r="I934" i="1"/>
  <c r="K934" i="1" s="1"/>
  <c r="L934" i="1" s="1"/>
  <c r="J933" i="1"/>
  <c r="I933" i="1"/>
  <c r="K933" i="1" s="1"/>
  <c r="L933" i="1" s="1"/>
  <c r="L932" i="1"/>
  <c r="J931" i="1"/>
  <c r="I931" i="1"/>
  <c r="K931" i="1" s="1"/>
  <c r="L931" i="1" s="1"/>
  <c r="J930" i="1"/>
  <c r="I930" i="1"/>
  <c r="K930" i="1" s="1"/>
  <c r="L930" i="1" s="1"/>
  <c r="L929" i="1"/>
  <c r="J928" i="1"/>
  <c r="I928" i="1"/>
  <c r="K928" i="1" s="1"/>
  <c r="L928" i="1" s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L920" i="1"/>
  <c r="L919" i="1"/>
  <c r="J918" i="1"/>
  <c r="I918" i="1"/>
  <c r="K918" i="1" s="1"/>
  <c r="L918" i="1" s="1"/>
  <c r="L917" i="1"/>
  <c r="J916" i="1"/>
  <c r="I916" i="1"/>
  <c r="K916" i="1" s="1"/>
  <c r="L916" i="1" s="1"/>
  <c r="J915" i="1"/>
  <c r="I915" i="1"/>
  <c r="K915" i="1" s="1"/>
  <c r="L915" i="1" s="1"/>
  <c r="L914" i="1"/>
  <c r="J913" i="1"/>
  <c r="I913" i="1"/>
  <c r="K913" i="1" s="1"/>
  <c r="L913" i="1" s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L908" i="1"/>
  <c r="J907" i="1"/>
  <c r="I907" i="1"/>
  <c r="K907" i="1" s="1"/>
  <c r="L907" i="1" s="1"/>
  <c r="J906" i="1"/>
  <c r="I906" i="1"/>
  <c r="K906" i="1" s="1"/>
  <c r="L906" i="1" s="1"/>
  <c r="J905" i="1"/>
  <c r="I905" i="1"/>
  <c r="K905" i="1" s="1"/>
  <c r="L905" i="1" s="1"/>
  <c r="L904" i="1"/>
  <c r="L903" i="1"/>
  <c r="L902" i="1"/>
  <c r="L901" i="1"/>
  <c r="L900" i="1"/>
  <c r="L899" i="1"/>
  <c r="L898" i="1"/>
  <c r="L897" i="1"/>
  <c r="J896" i="1"/>
  <c r="I896" i="1"/>
  <c r="K896" i="1" s="1"/>
  <c r="L896" i="1" s="1"/>
  <c r="L895" i="1"/>
  <c r="J894" i="1"/>
  <c r="I894" i="1"/>
  <c r="K894" i="1" s="1"/>
  <c r="L894" i="1" s="1"/>
  <c r="J893" i="1"/>
  <c r="I893" i="1"/>
  <c r="K893" i="1" s="1"/>
  <c r="L893" i="1" s="1"/>
  <c r="J892" i="1"/>
  <c r="I892" i="1"/>
  <c r="K892" i="1" s="1"/>
  <c r="L892" i="1" s="1"/>
  <c r="L891" i="1"/>
  <c r="J890" i="1"/>
  <c r="I890" i="1"/>
  <c r="K890" i="1" s="1"/>
  <c r="L890" i="1" s="1"/>
  <c r="J889" i="1"/>
  <c r="I889" i="1"/>
  <c r="K889" i="1" s="1"/>
  <c r="L889" i="1" s="1"/>
  <c r="L888" i="1"/>
  <c r="L887" i="1"/>
  <c r="J886" i="1"/>
  <c r="I886" i="1"/>
  <c r="K886" i="1" s="1"/>
  <c r="L886" i="1" s="1"/>
  <c r="L885" i="1"/>
  <c r="J884" i="1"/>
  <c r="I884" i="1"/>
  <c r="K884" i="1" s="1"/>
  <c r="L884" i="1" s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L876" i="1"/>
  <c r="L875" i="1"/>
  <c r="J874" i="1"/>
  <c r="I874" i="1"/>
  <c r="K874" i="1" s="1"/>
  <c r="L874" i="1" s="1"/>
  <c r="L873" i="1"/>
  <c r="J872" i="1"/>
  <c r="I872" i="1"/>
  <c r="K872" i="1" s="1"/>
  <c r="L872" i="1" s="1"/>
  <c r="J871" i="1"/>
  <c r="I871" i="1"/>
  <c r="K871" i="1" s="1"/>
  <c r="L871" i="1" s="1"/>
  <c r="L870" i="1"/>
  <c r="J869" i="1"/>
  <c r="I869" i="1"/>
  <c r="K869" i="1" s="1"/>
  <c r="L869" i="1" s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L864" i="1"/>
  <c r="J863" i="1"/>
  <c r="I863" i="1"/>
  <c r="K863" i="1" s="1"/>
  <c r="L863" i="1" s="1"/>
  <c r="J862" i="1"/>
  <c r="I862" i="1"/>
  <c r="K862" i="1" s="1"/>
  <c r="L862" i="1" s="1"/>
  <c r="J861" i="1"/>
  <c r="I861" i="1"/>
  <c r="K861" i="1" s="1"/>
  <c r="L861" i="1" s="1"/>
  <c r="L860" i="1"/>
  <c r="L859" i="1"/>
  <c r="L858" i="1"/>
  <c r="L857" i="1"/>
  <c r="L856" i="1"/>
  <c r="L855" i="1"/>
  <c r="L854" i="1"/>
  <c r="L853" i="1"/>
  <c r="J852" i="1"/>
  <c r="I852" i="1"/>
  <c r="K852" i="1" s="1"/>
  <c r="L852" i="1" s="1"/>
  <c r="L851" i="1"/>
  <c r="J850" i="1"/>
  <c r="I850" i="1"/>
  <c r="K850" i="1" s="1"/>
  <c r="L850" i="1" s="1"/>
  <c r="J849" i="1"/>
  <c r="I849" i="1"/>
  <c r="K849" i="1" s="1"/>
  <c r="L849" i="1" s="1"/>
  <c r="J848" i="1"/>
  <c r="I848" i="1"/>
  <c r="K848" i="1" s="1"/>
  <c r="L848" i="1" s="1"/>
  <c r="L847" i="1"/>
  <c r="J846" i="1"/>
  <c r="I846" i="1"/>
  <c r="K846" i="1" s="1"/>
  <c r="L846" i="1" s="1"/>
  <c r="J845" i="1"/>
  <c r="I845" i="1"/>
  <c r="K845" i="1" s="1"/>
  <c r="L845" i="1" s="1"/>
  <c r="L844" i="1"/>
  <c r="L843" i="1"/>
  <c r="J842" i="1"/>
  <c r="I842" i="1"/>
  <c r="K842" i="1" s="1"/>
  <c r="L842" i="1" s="1"/>
  <c r="L841" i="1"/>
  <c r="J840" i="1"/>
  <c r="I840" i="1"/>
  <c r="K840" i="1" s="1"/>
  <c r="L840" i="1" s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L832" i="1"/>
  <c r="L831" i="1"/>
  <c r="J830" i="1"/>
  <c r="I830" i="1"/>
  <c r="K830" i="1" s="1"/>
  <c r="L830" i="1" s="1"/>
  <c r="L829" i="1"/>
  <c r="J828" i="1"/>
  <c r="I828" i="1"/>
  <c r="K828" i="1" s="1"/>
  <c r="L828" i="1" s="1"/>
  <c r="J827" i="1"/>
  <c r="I827" i="1"/>
  <c r="K827" i="1" s="1"/>
  <c r="L827" i="1" s="1"/>
  <c r="L826" i="1"/>
  <c r="J825" i="1"/>
  <c r="I825" i="1"/>
  <c r="K825" i="1" s="1"/>
  <c r="L825" i="1" s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L820" i="1"/>
  <c r="J819" i="1"/>
  <c r="I819" i="1"/>
  <c r="K819" i="1" s="1"/>
  <c r="L819" i="1" s="1"/>
  <c r="J818" i="1"/>
  <c r="I818" i="1"/>
  <c r="K818" i="1" s="1"/>
  <c r="L818" i="1" s="1"/>
  <c r="L817" i="1"/>
  <c r="L816" i="1"/>
  <c r="L815" i="1"/>
  <c r="L814" i="1"/>
  <c r="L813" i="1"/>
  <c r="L812" i="1"/>
  <c r="L811" i="1"/>
  <c r="L810" i="1"/>
  <c r="L809" i="1"/>
  <c r="L808" i="1"/>
  <c r="L807" i="1"/>
  <c r="L806" i="1"/>
  <c r="J805" i="1"/>
  <c r="I805" i="1"/>
  <c r="K805" i="1" s="1"/>
  <c r="L805" i="1" s="1"/>
  <c r="J804" i="1"/>
  <c r="I804" i="1"/>
  <c r="K804" i="1" s="1"/>
  <c r="L804" i="1" s="1"/>
  <c r="L803" i="1"/>
  <c r="J802" i="1"/>
  <c r="I802" i="1"/>
  <c r="K802" i="1" s="1"/>
  <c r="L802" i="1" s="1"/>
  <c r="L801" i="1"/>
  <c r="L800" i="1"/>
  <c r="L799" i="1"/>
  <c r="J798" i="1"/>
  <c r="I798" i="1"/>
  <c r="K798" i="1" s="1"/>
  <c r="L798" i="1" s="1"/>
  <c r="L797" i="1"/>
  <c r="J796" i="1"/>
  <c r="I796" i="1"/>
  <c r="K796" i="1" s="1"/>
  <c r="L796" i="1" s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L788" i="1"/>
  <c r="L787" i="1"/>
  <c r="J786" i="1"/>
  <c r="I786" i="1"/>
  <c r="K786" i="1" s="1"/>
  <c r="L786" i="1" s="1"/>
  <c r="L785" i="1"/>
  <c r="L784" i="1"/>
  <c r="L783" i="1"/>
  <c r="L782" i="1"/>
  <c r="J781" i="1"/>
  <c r="I781" i="1"/>
  <c r="K781" i="1" s="1"/>
  <c r="L781" i="1" s="1"/>
  <c r="J780" i="1"/>
  <c r="I780" i="1"/>
  <c r="K780" i="1" s="1"/>
  <c r="L780" i="1" s="1"/>
  <c r="L779" i="1"/>
  <c r="J778" i="1"/>
  <c r="I778" i="1"/>
  <c r="K778" i="1" s="1"/>
  <c r="L778" i="1" s="1"/>
  <c r="J777" i="1"/>
  <c r="I777" i="1"/>
  <c r="K777" i="1" s="1"/>
  <c r="L777" i="1" s="1"/>
  <c r="L776" i="1"/>
  <c r="J775" i="1"/>
  <c r="I775" i="1"/>
  <c r="K775" i="1" s="1"/>
  <c r="L775" i="1" s="1"/>
  <c r="J774" i="1"/>
  <c r="I774" i="1"/>
  <c r="K774" i="1" s="1"/>
  <c r="L774" i="1" s="1"/>
  <c r="L773" i="1"/>
  <c r="J772" i="1"/>
  <c r="I772" i="1"/>
  <c r="K772" i="1" s="1"/>
  <c r="L772" i="1" s="1"/>
  <c r="J771" i="1"/>
  <c r="I771" i="1"/>
  <c r="K771" i="1" s="1"/>
  <c r="L771" i="1" s="1"/>
  <c r="J770" i="1"/>
  <c r="I770" i="1"/>
  <c r="K770" i="1" s="1"/>
  <c r="L770" i="1" s="1"/>
  <c r="L769" i="1"/>
  <c r="L768" i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L764" i="1"/>
  <c r="J763" i="1"/>
  <c r="I763" i="1"/>
  <c r="K763" i="1" s="1"/>
  <c r="L763" i="1" s="1"/>
  <c r="L762" i="1"/>
  <c r="J761" i="1"/>
  <c r="I761" i="1"/>
  <c r="K761" i="1" s="1"/>
  <c r="L761" i="1" s="1"/>
  <c r="J760" i="1"/>
  <c r="I760" i="1"/>
  <c r="K760" i="1" s="1"/>
  <c r="L760" i="1" s="1"/>
  <c r="J759" i="1"/>
  <c r="I759" i="1"/>
  <c r="K759" i="1" s="1"/>
  <c r="L759" i="1" s="1"/>
  <c r="L758" i="1"/>
  <c r="L757" i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L753" i="1"/>
  <c r="J752" i="1"/>
  <c r="I752" i="1"/>
  <c r="K752" i="1" s="1"/>
  <c r="L752" i="1" s="1"/>
  <c r="L751" i="1"/>
  <c r="J750" i="1"/>
  <c r="I750" i="1"/>
  <c r="K750" i="1" s="1"/>
  <c r="L750" i="1" s="1"/>
  <c r="J749" i="1"/>
  <c r="I749" i="1"/>
  <c r="K749" i="1" s="1"/>
  <c r="L749" i="1" s="1"/>
  <c r="J748" i="1"/>
  <c r="I748" i="1"/>
  <c r="K748" i="1" s="1"/>
  <c r="L748" i="1" s="1"/>
  <c r="J747" i="1"/>
  <c r="I747" i="1"/>
  <c r="K747" i="1" s="1"/>
  <c r="L747" i="1" s="1"/>
  <c r="J746" i="1"/>
  <c r="I746" i="1"/>
  <c r="K746" i="1" s="1"/>
  <c r="L746" i="1" s="1"/>
  <c r="J745" i="1"/>
  <c r="I745" i="1"/>
  <c r="K745" i="1" s="1"/>
  <c r="L745" i="1" s="1"/>
  <c r="L744" i="1"/>
  <c r="J743" i="1"/>
  <c r="I743" i="1"/>
  <c r="K743" i="1" s="1"/>
  <c r="L743" i="1" s="1"/>
  <c r="J742" i="1"/>
  <c r="I742" i="1"/>
  <c r="K742" i="1" s="1"/>
  <c r="L742" i="1" s="1"/>
  <c r="J741" i="1"/>
  <c r="I741" i="1"/>
  <c r="K741" i="1" s="1"/>
  <c r="L741" i="1" s="1"/>
  <c r="L740" i="1"/>
  <c r="J739" i="1"/>
  <c r="I739" i="1"/>
  <c r="K739" i="1" s="1"/>
  <c r="L739" i="1" s="1"/>
  <c r="L738" i="1"/>
  <c r="J737" i="1"/>
  <c r="I737" i="1"/>
  <c r="K737" i="1" s="1"/>
  <c r="L737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L733" i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L665" i="1"/>
  <c r="J664" i="1"/>
  <c r="I664" i="1"/>
  <c r="K664" i="1" s="1"/>
  <c r="L664" i="1" s="1"/>
  <c r="L663" i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L658" i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L652" i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48" i="1"/>
  <c r="I648" i="1"/>
  <c r="K648" i="1" s="1"/>
  <c r="L648" i="1" s="1"/>
  <c r="L647" i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L643" i="1"/>
  <c r="J642" i="1"/>
  <c r="I642" i="1"/>
  <c r="K642" i="1" s="1"/>
  <c r="L642" i="1" s="1"/>
  <c r="L641" i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J637" i="1"/>
  <c r="I637" i="1"/>
  <c r="K637" i="1" s="1"/>
  <c r="L637" i="1" s="1"/>
  <c r="J636" i="1"/>
  <c r="I636" i="1"/>
  <c r="K636" i="1" s="1"/>
  <c r="L636" i="1" s="1"/>
  <c r="J635" i="1"/>
  <c r="I635" i="1"/>
  <c r="K635" i="1" s="1"/>
  <c r="L635" i="1" s="1"/>
  <c r="L634" i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L630" i="1"/>
  <c r="J629" i="1"/>
  <c r="I629" i="1"/>
  <c r="K629" i="1" s="1"/>
  <c r="L629" i="1" s="1"/>
  <c r="L628" i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L623" i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L619" i="1"/>
  <c r="J618" i="1"/>
  <c r="I618" i="1"/>
  <c r="K618" i="1" s="1"/>
  <c r="L618" i="1" s="1"/>
  <c r="L617" i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L612" i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L608" i="1"/>
  <c r="J607" i="1"/>
  <c r="I607" i="1"/>
  <c r="K607" i="1" s="1"/>
  <c r="L607" i="1" s="1"/>
  <c r="L606" i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L601" i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L597" i="1"/>
  <c r="J596" i="1"/>
  <c r="I596" i="1"/>
  <c r="K596" i="1" s="1"/>
  <c r="L596" i="1" s="1"/>
  <c r="L595" i="1"/>
  <c r="L594" i="1"/>
  <c r="J593" i="1"/>
  <c r="I593" i="1"/>
  <c r="K593" i="1" s="1"/>
  <c r="L593" i="1" s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L584" i="1"/>
  <c r="J583" i="1"/>
  <c r="I583" i="1"/>
  <c r="K583" i="1" s="1"/>
  <c r="L583" i="1" s="1"/>
  <c r="L582" i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L577" i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L573" i="1"/>
  <c r="J572" i="1"/>
  <c r="I572" i="1"/>
  <c r="K572" i="1" s="1"/>
  <c r="L572" i="1" s="1"/>
  <c r="L571" i="1"/>
  <c r="J570" i="1"/>
  <c r="I570" i="1"/>
  <c r="K570" i="1" s="1"/>
  <c r="L570" i="1" s="1"/>
  <c r="J569" i="1"/>
  <c r="I569" i="1"/>
  <c r="K569" i="1" s="1"/>
  <c r="L569" i="1" s="1"/>
  <c r="J568" i="1"/>
  <c r="I568" i="1"/>
  <c r="K568" i="1" s="1"/>
  <c r="L568" i="1" s="1"/>
  <c r="J567" i="1"/>
  <c r="I567" i="1"/>
  <c r="K567" i="1" s="1"/>
  <c r="L567" i="1" s="1"/>
  <c r="L566" i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L562" i="1"/>
  <c r="J561" i="1"/>
  <c r="I561" i="1"/>
  <c r="K561" i="1" s="1"/>
  <c r="L561" i="1" s="1"/>
  <c r="L560" i="1"/>
  <c r="J559" i="1"/>
  <c r="I559" i="1"/>
  <c r="K559" i="1" s="1"/>
  <c r="L559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L555" i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L547" i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L514" i="1"/>
  <c r="L513" i="1"/>
  <c r="L512" i="1"/>
  <c r="L511" i="1"/>
  <c r="L510" i="1"/>
  <c r="L509" i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J502" i="1"/>
  <c r="I502" i="1"/>
  <c r="K502" i="1" s="1"/>
  <c r="L502" i="1" s="1"/>
  <c r="J501" i="1"/>
  <c r="I501" i="1"/>
  <c r="K501" i="1" s="1"/>
  <c r="L501" i="1" s="1"/>
  <c r="J500" i="1"/>
  <c r="I500" i="1"/>
  <c r="K500" i="1" s="1"/>
  <c r="L500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L495" i="1"/>
  <c r="L494" i="1"/>
  <c r="L493" i="1"/>
  <c r="L491" i="1"/>
  <c r="L490" i="1"/>
  <c r="L489" i="1"/>
  <c r="L488" i="1"/>
  <c r="L487" i="1"/>
  <c r="L486" i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L481" i="1"/>
  <c r="L480" i="1"/>
  <c r="L479" i="1"/>
  <c r="J478" i="1"/>
  <c r="I478" i="1"/>
  <c r="K478" i="1" s="1"/>
  <c r="L478" i="1" s="1"/>
  <c r="L477" i="1"/>
  <c r="L476" i="1"/>
  <c r="L475" i="1"/>
  <c r="L474" i="1"/>
  <c r="L473" i="1"/>
  <c r="L472" i="1"/>
  <c r="L471" i="1"/>
  <c r="L470" i="1"/>
  <c r="L469" i="1"/>
  <c r="L468" i="1"/>
  <c r="L467" i="1"/>
  <c r="L466" i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L462" i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L458" i="1"/>
  <c r="J457" i="1"/>
  <c r="I457" i="1"/>
  <c r="K457" i="1" s="1"/>
  <c r="L457" i="1" s="1"/>
  <c r="J456" i="1"/>
  <c r="I456" i="1"/>
  <c r="K456" i="1" s="1"/>
  <c r="L456" i="1" s="1"/>
  <c r="J455" i="1"/>
  <c r="I455" i="1"/>
  <c r="K455" i="1" s="1"/>
  <c r="L455" i="1" s="1"/>
  <c r="J454" i="1"/>
  <c r="I454" i="1"/>
  <c r="K454" i="1" s="1"/>
  <c r="L454" i="1" s="1"/>
  <c r="L453" i="1"/>
  <c r="J452" i="1"/>
  <c r="I452" i="1"/>
  <c r="K452" i="1" s="1"/>
  <c r="L452" i="1" s="1"/>
  <c r="J451" i="1"/>
  <c r="I451" i="1"/>
  <c r="K451" i="1" s="1"/>
  <c r="L451" i="1" s="1"/>
  <c r="L450" i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J445" i="1"/>
  <c r="I445" i="1"/>
  <c r="K445" i="1" s="1"/>
  <c r="L445" i="1" s="1"/>
  <c r="J444" i="1"/>
  <c r="I444" i="1"/>
  <c r="K444" i="1" s="1"/>
  <c r="L444" i="1" s="1"/>
  <c r="J443" i="1"/>
  <c r="I443" i="1"/>
  <c r="K443" i="1" s="1"/>
  <c r="L443" i="1" s="1"/>
  <c r="L442" i="1"/>
  <c r="J441" i="1"/>
  <c r="I441" i="1"/>
  <c r="K441" i="1" s="1"/>
  <c r="L441" i="1" s="1"/>
  <c r="J440" i="1"/>
  <c r="I440" i="1"/>
  <c r="K440" i="1" s="1"/>
  <c r="L440" i="1" s="1"/>
  <c r="L439" i="1"/>
  <c r="L438" i="1"/>
  <c r="J437" i="1"/>
  <c r="I437" i="1"/>
  <c r="K437" i="1" s="1"/>
  <c r="L437" i="1" s="1"/>
  <c r="J436" i="1"/>
  <c r="I436" i="1"/>
  <c r="K436" i="1" s="1"/>
  <c r="L436" i="1" s="1"/>
  <c r="L435" i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L426" i="1"/>
  <c r="J425" i="1"/>
  <c r="I425" i="1"/>
  <c r="K425" i="1" s="1"/>
  <c r="L425" i="1" s="1"/>
  <c r="J424" i="1"/>
  <c r="I424" i="1"/>
  <c r="K424" i="1" s="1"/>
  <c r="L424" i="1" s="1"/>
  <c r="L423" i="1"/>
  <c r="L422" i="1"/>
  <c r="J421" i="1"/>
  <c r="I421" i="1"/>
  <c r="K421" i="1" s="1"/>
  <c r="L421" i="1" s="1"/>
  <c r="J420" i="1"/>
  <c r="I420" i="1"/>
  <c r="K420" i="1" s="1"/>
  <c r="L420" i="1" s="1"/>
  <c r="L419" i="1"/>
  <c r="J418" i="1"/>
  <c r="I418" i="1"/>
  <c r="K418" i="1" s="1"/>
  <c r="L418" i="1" s="1"/>
  <c r="J417" i="1"/>
  <c r="I417" i="1"/>
  <c r="K417" i="1" s="1"/>
  <c r="L417" i="1" s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J411" i="1"/>
  <c r="I411" i="1"/>
  <c r="K411" i="1" s="1"/>
  <c r="L411" i="1" s="1"/>
  <c r="L410" i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L406" i="1"/>
  <c r="J405" i="1"/>
  <c r="I405" i="1"/>
  <c r="K405" i="1" s="1"/>
  <c r="L405" i="1" s="1"/>
  <c r="J404" i="1"/>
  <c r="I404" i="1"/>
  <c r="K404" i="1" s="1"/>
  <c r="L404" i="1" s="1"/>
  <c r="L403" i="1"/>
  <c r="J402" i="1"/>
  <c r="I402" i="1"/>
  <c r="K402" i="1" s="1"/>
  <c r="L402" i="1" s="1"/>
  <c r="J401" i="1"/>
  <c r="I401" i="1"/>
  <c r="K401" i="1" s="1"/>
  <c r="L401" i="1" s="1"/>
  <c r="J400" i="1"/>
  <c r="I400" i="1"/>
  <c r="K400" i="1" s="1"/>
  <c r="L400" i="1" s="1"/>
  <c r="J399" i="1"/>
  <c r="I399" i="1"/>
  <c r="K399" i="1" s="1"/>
  <c r="L399" i="1" s="1"/>
  <c r="L398" i="1"/>
  <c r="J397" i="1"/>
  <c r="I397" i="1"/>
  <c r="K397" i="1" s="1"/>
  <c r="L397" i="1" s="1"/>
  <c r="J396" i="1"/>
  <c r="I396" i="1"/>
  <c r="K396" i="1" s="1"/>
  <c r="L396" i="1" s="1"/>
  <c r="L395" i="1"/>
  <c r="J394" i="1"/>
  <c r="I394" i="1"/>
  <c r="K394" i="1" s="1"/>
  <c r="L394" i="1" s="1"/>
  <c r="J393" i="1"/>
  <c r="I393" i="1"/>
  <c r="K393" i="1" s="1"/>
  <c r="L393" i="1" s="1"/>
  <c r="L392" i="1"/>
  <c r="J391" i="1"/>
  <c r="I391" i="1"/>
  <c r="K391" i="1" s="1"/>
  <c r="L391" i="1" s="1"/>
  <c r="L390" i="1"/>
  <c r="L389" i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L384" i="1"/>
  <c r="J383" i="1"/>
  <c r="I383" i="1"/>
  <c r="K383" i="1" s="1"/>
  <c r="L383" i="1" s="1"/>
  <c r="L382" i="1"/>
  <c r="J381" i="1"/>
  <c r="I381" i="1"/>
  <c r="K381" i="1" s="1"/>
  <c r="L381" i="1" s="1"/>
  <c r="J380" i="1"/>
  <c r="I380" i="1"/>
  <c r="K380" i="1" s="1"/>
  <c r="L380" i="1" s="1"/>
  <c r="L379" i="1"/>
  <c r="J378" i="1"/>
  <c r="I378" i="1"/>
  <c r="K378" i="1" s="1"/>
  <c r="L378" i="1" s="1"/>
  <c r="J377" i="1"/>
  <c r="I377" i="1"/>
  <c r="K377" i="1" s="1"/>
  <c r="L377" i="1" s="1"/>
  <c r="L376" i="1"/>
  <c r="J375" i="1"/>
  <c r="I375" i="1"/>
  <c r="K375" i="1" s="1"/>
  <c r="L375" i="1" s="1"/>
  <c r="J374" i="1"/>
  <c r="I374" i="1"/>
  <c r="K374" i="1" s="1"/>
  <c r="L374" i="1" s="1"/>
  <c r="J373" i="1"/>
  <c r="I373" i="1"/>
  <c r="K373" i="1" s="1"/>
  <c r="L373" i="1" s="1"/>
  <c r="J372" i="1"/>
  <c r="I372" i="1"/>
  <c r="K372" i="1" s="1"/>
  <c r="L372" i="1" s="1"/>
  <c r="L371" i="1"/>
  <c r="J370" i="1"/>
  <c r="I370" i="1"/>
  <c r="K370" i="1" s="1"/>
  <c r="L370" i="1" s="1"/>
  <c r="J369" i="1"/>
  <c r="I369" i="1"/>
  <c r="K369" i="1" s="1"/>
  <c r="L369" i="1" s="1"/>
  <c r="J368" i="1"/>
  <c r="I368" i="1"/>
  <c r="K368" i="1" s="1"/>
  <c r="L368" i="1" s="1"/>
  <c r="L367" i="1"/>
  <c r="J366" i="1"/>
  <c r="I366" i="1"/>
  <c r="K366" i="1" s="1"/>
  <c r="L366" i="1" s="1"/>
  <c r="J365" i="1"/>
  <c r="I365" i="1"/>
  <c r="K365" i="1" s="1"/>
  <c r="L365" i="1" s="1"/>
  <c r="L364" i="1"/>
  <c r="L363" i="1"/>
  <c r="J362" i="1"/>
  <c r="I362" i="1"/>
  <c r="K362" i="1" s="1"/>
  <c r="L362" i="1" s="1"/>
  <c r="J361" i="1"/>
  <c r="I361" i="1"/>
  <c r="K361" i="1" s="1"/>
  <c r="L361" i="1" s="1"/>
  <c r="L360" i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J356" i="1"/>
  <c r="I356" i="1"/>
  <c r="K356" i="1" s="1"/>
  <c r="L356" i="1" s="1"/>
  <c r="L355" i="1"/>
  <c r="J354" i="1"/>
  <c r="I354" i="1"/>
  <c r="K354" i="1" s="1"/>
  <c r="L354" i="1" s="1"/>
  <c r="J353" i="1"/>
  <c r="I353" i="1"/>
  <c r="K353" i="1" s="1"/>
  <c r="L353" i="1" s="1"/>
  <c r="L352" i="1"/>
  <c r="J351" i="1"/>
  <c r="I351" i="1"/>
  <c r="K351" i="1" s="1"/>
  <c r="L351" i="1" s="1"/>
  <c r="J350" i="1"/>
  <c r="I350" i="1"/>
  <c r="K350" i="1" s="1"/>
  <c r="L350" i="1" s="1"/>
  <c r="L349" i="1"/>
  <c r="L348" i="1"/>
  <c r="J347" i="1"/>
  <c r="I347" i="1"/>
  <c r="K347" i="1" s="1"/>
  <c r="L347" i="1" s="1"/>
  <c r="J346" i="1"/>
  <c r="I346" i="1"/>
  <c r="K346" i="1" s="1"/>
  <c r="L346" i="1" s="1"/>
  <c r="L345" i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L340" i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K335" i="1" s="1"/>
  <c r="L335" i="1" s="1"/>
  <c r="L334" i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J325" i="1"/>
  <c r="I325" i="1"/>
  <c r="K325" i="1" s="1"/>
  <c r="L325" i="1" s="1"/>
  <c r="L324" i="1"/>
  <c r="J323" i="1"/>
  <c r="I323" i="1"/>
  <c r="K323" i="1" s="1"/>
  <c r="L323" i="1" s="1"/>
  <c r="J322" i="1"/>
  <c r="I322" i="1"/>
  <c r="K322" i="1" s="1"/>
  <c r="L322" i="1" s="1"/>
  <c r="L321" i="1"/>
  <c r="J320" i="1"/>
  <c r="I320" i="1"/>
  <c r="K320" i="1" s="1"/>
  <c r="L320" i="1" s="1"/>
  <c r="J319" i="1"/>
  <c r="I319" i="1"/>
  <c r="K319" i="1" s="1"/>
  <c r="L319" i="1" s="1"/>
  <c r="L318" i="1"/>
  <c r="L317" i="1"/>
  <c r="J316" i="1"/>
  <c r="I316" i="1"/>
  <c r="K316" i="1" s="1"/>
  <c r="L316" i="1" s="1"/>
  <c r="J315" i="1"/>
  <c r="I315" i="1"/>
  <c r="K315" i="1" s="1"/>
  <c r="L315" i="1" s="1"/>
  <c r="L314" i="1"/>
  <c r="J313" i="1"/>
  <c r="I313" i="1"/>
  <c r="K313" i="1" s="1"/>
  <c r="L313" i="1" s="1"/>
  <c r="J312" i="1"/>
  <c r="I312" i="1"/>
  <c r="K312" i="1" s="1"/>
  <c r="L312" i="1" s="1"/>
  <c r="J311" i="1"/>
  <c r="I311" i="1"/>
  <c r="K311" i="1" s="1"/>
  <c r="L311" i="1" s="1"/>
  <c r="J310" i="1"/>
  <c r="I310" i="1"/>
  <c r="K310" i="1" s="1"/>
  <c r="L310" i="1" s="1"/>
  <c r="L309" i="1"/>
  <c r="J308" i="1"/>
  <c r="I308" i="1"/>
  <c r="K308" i="1" s="1"/>
  <c r="L308" i="1" s="1"/>
  <c r="J307" i="1"/>
  <c r="I307" i="1"/>
  <c r="K307" i="1" s="1"/>
  <c r="L307" i="1" s="1"/>
  <c r="L306" i="1"/>
  <c r="J305" i="1"/>
  <c r="I305" i="1"/>
  <c r="K305" i="1" s="1"/>
  <c r="L305" i="1" s="1"/>
  <c r="J304" i="1"/>
  <c r="I304" i="1"/>
  <c r="K304" i="1" s="1"/>
  <c r="L304" i="1" s="1"/>
  <c r="L303" i="1"/>
  <c r="L302" i="1"/>
  <c r="J301" i="1"/>
  <c r="I301" i="1"/>
  <c r="K301" i="1" s="1"/>
  <c r="L301" i="1" s="1"/>
  <c r="J300" i="1"/>
  <c r="I300" i="1"/>
  <c r="K300" i="1" s="1"/>
  <c r="L300" i="1" s="1"/>
  <c r="L299" i="1"/>
  <c r="J298" i="1"/>
  <c r="I298" i="1"/>
  <c r="K298" i="1" s="1"/>
  <c r="L298" i="1" s="1"/>
  <c r="J297" i="1"/>
  <c r="I297" i="1"/>
  <c r="K297" i="1" s="1"/>
  <c r="L297" i="1" s="1"/>
  <c r="J296" i="1"/>
  <c r="I296" i="1"/>
  <c r="K296" i="1" s="1"/>
  <c r="L296" i="1" s="1"/>
  <c r="J295" i="1"/>
  <c r="I295" i="1"/>
  <c r="K295" i="1" s="1"/>
  <c r="L295" i="1" s="1"/>
  <c r="L294" i="1"/>
  <c r="J293" i="1"/>
  <c r="I293" i="1"/>
  <c r="K293" i="1" s="1"/>
  <c r="L293" i="1" s="1"/>
  <c r="J292" i="1"/>
  <c r="I292" i="1"/>
  <c r="K292" i="1" s="1"/>
  <c r="L292" i="1" s="1"/>
  <c r="L291" i="1"/>
  <c r="J290" i="1"/>
  <c r="I290" i="1"/>
  <c r="K290" i="1" s="1"/>
  <c r="L290" i="1" s="1"/>
  <c r="J289" i="1"/>
  <c r="I289" i="1"/>
  <c r="K289" i="1" s="1"/>
  <c r="L289" i="1" s="1"/>
  <c r="L288" i="1"/>
  <c r="L287" i="1"/>
  <c r="J286" i="1"/>
  <c r="I286" i="1"/>
  <c r="K286" i="1" s="1"/>
  <c r="L286" i="1" s="1"/>
  <c r="J285" i="1"/>
  <c r="I285" i="1"/>
  <c r="K285" i="1" s="1"/>
  <c r="L285" i="1" s="1"/>
  <c r="L284" i="1"/>
  <c r="L283" i="1"/>
  <c r="J282" i="1"/>
  <c r="I282" i="1"/>
  <c r="K282" i="1" s="1"/>
  <c r="L282" i="1" s="1"/>
  <c r="J281" i="1"/>
  <c r="I281" i="1"/>
  <c r="K281" i="1" s="1"/>
  <c r="L281" i="1" s="1"/>
  <c r="J280" i="1"/>
  <c r="I280" i="1"/>
  <c r="K280" i="1" s="1"/>
  <c r="L280" i="1" s="1"/>
  <c r="J278" i="1"/>
  <c r="I278" i="1"/>
  <c r="K278" i="1" s="1"/>
  <c r="L278" i="1" s="1"/>
  <c r="J277" i="1"/>
  <c r="I277" i="1"/>
  <c r="K277" i="1" s="1"/>
  <c r="L277" i="1" s="1"/>
  <c r="J276" i="1"/>
  <c r="I276" i="1"/>
  <c r="K276" i="1" s="1"/>
  <c r="L276" i="1" s="1"/>
  <c r="J275" i="1"/>
  <c r="I275" i="1"/>
  <c r="K275" i="1" s="1"/>
  <c r="L275" i="1" s="1"/>
  <c r="J274" i="1"/>
  <c r="I274" i="1"/>
  <c r="K274" i="1" s="1"/>
  <c r="L274" i="1" s="1"/>
  <c r="J273" i="1"/>
  <c r="I273" i="1"/>
  <c r="K273" i="1" s="1"/>
  <c r="L273" i="1" s="1"/>
  <c r="L271" i="1"/>
  <c r="L270" i="1"/>
  <c r="L269" i="1"/>
  <c r="J268" i="1"/>
  <c r="I268" i="1"/>
  <c r="K268" i="1" s="1"/>
  <c r="L268" i="1" s="1"/>
  <c r="J267" i="1"/>
  <c r="I267" i="1"/>
  <c r="K267" i="1" s="1"/>
  <c r="L267" i="1" s="1"/>
  <c r="J266" i="1"/>
  <c r="I266" i="1"/>
  <c r="K266" i="1" s="1"/>
  <c r="L266" i="1" s="1"/>
  <c r="L264" i="1"/>
  <c r="L263" i="1"/>
  <c r="L262" i="1"/>
  <c r="L261" i="1"/>
  <c r="L260" i="1"/>
  <c r="L259" i="1"/>
  <c r="J257" i="1"/>
  <c r="I257" i="1"/>
  <c r="K257" i="1" s="1"/>
  <c r="L257" i="1" s="1"/>
  <c r="J256" i="1"/>
  <c r="I256" i="1"/>
  <c r="K256" i="1" s="1"/>
  <c r="L256" i="1" s="1"/>
  <c r="J255" i="1"/>
  <c r="I255" i="1"/>
  <c r="K255" i="1" s="1"/>
  <c r="L255" i="1" s="1"/>
  <c r="J254" i="1"/>
  <c r="I254" i="1"/>
  <c r="K254" i="1" s="1"/>
  <c r="L254" i="1" s="1"/>
  <c r="J253" i="1"/>
  <c r="I253" i="1"/>
  <c r="K253" i="1" s="1"/>
  <c r="L253" i="1" s="1"/>
  <c r="J252" i="1"/>
  <c r="I252" i="1"/>
  <c r="K252" i="1" s="1"/>
  <c r="L252" i="1" s="1"/>
  <c r="J250" i="1"/>
  <c r="I250" i="1"/>
  <c r="K250" i="1" s="1"/>
  <c r="L250" i="1" s="1"/>
  <c r="J249" i="1"/>
  <c r="I249" i="1"/>
  <c r="K249" i="1" s="1"/>
  <c r="L249" i="1" s="1"/>
  <c r="J248" i="1"/>
  <c r="I248" i="1"/>
  <c r="K248" i="1" s="1"/>
  <c r="L248" i="1" s="1"/>
  <c r="J247" i="1"/>
  <c r="I247" i="1"/>
  <c r="K247" i="1" s="1"/>
  <c r="L247" i="1" s="1"/>
  <c r="L246" i="1"/>
  <c r="L245" i="1"/>
  <c r="J243" i="1"/>
  <c r="I243" i="1"/>
  <c r="K243" i="1" s="1"/>
  <c r="L243" i="1" s="1"/>
  <c r="L242" i="1"/>
  <c r="L241" i="1"/>
  <c r="L240" i="1"/>
  <c r="L239" i="1"/>
  <c r="L238" i="1"/>
  <c r="L237" i="1"/>
  <c r="J230" i="1"/>
  <c r="I230" i="1"/>
  <c r="K230" i="1" s="1"/>
  <c r="L230" i="1" s="1"/>
  <c r="J229" i="1"/>
  <c r="I229" i="1"/>
  <c r="K229" i="1" s="1"/>
  <c r="L229" i="1" s="1"/>
  <c r="J228" i="1"/>
  <c r="I228" i="1"/>
  <c r="K228" i="1" s="1"/>
  <c r="L228" i="1" s="1"/>
  <c r="J227" i="1"/>
  <c r="I227" i="1"/>
  <c r="K227" i="1" s="1"/>
  <c r="L227" i="1" s="1"/>
  <c r="J226" i="1"/>
  <c r="I226" i="1"/>
  <c r="K226" i="1" s="1"/>
  <c r="L226" i="1" s="1"/>
  <c r="J225" i="1"/>
  <c r="I225" i="1"/>
  <c r="K225" i="1" s="1"/>
  <c r="L225" i="1" s="1"/>
  <c r="J224" i="1"/>
  <c r="I224" i="1"/>
  <c r="K224" i="1" s="1"/>
  <c r="L224" i="1" s="1"/>
  <c r="L223" i="1"/>
  <c r="J222" i="1"/>
  <c r="I222" i="1"/>
  <c r="K222" i="1" s="1"/>
  <c r="L222" i="1" s="1"/>
  <c r="J221" i="1"/>
  <c r="I221" i="1"/>
  <c r="K221" i="1" s="1"/>
  <c r="L221" i="1" s="1"/>
  <c r="J220" i="1"/>
  <c r="I220" i="1"/>
  <c r="K220" i="1" s="1"/>
  <c r="L220" i="1" s="1"/>
  <c r="J219" i="1"/>
  <c r="I219" i="1"/>
  <c r="K219" i="1" s="1"/>
  <c r="L219" i="1" s="1"/>
  <c r="J218" i="1"/>
  <c r="I218" i="1"/>
  <c r="K218" i="1" s="1"/>
  <c r="L218" i="1" s="1"/>
  <c r="J217" i="1"/>
  <c r="I217" i="1"/>
  <c r="K217" i="1" s="1"/>
  <c r="L217" i="1" s="1"/>
  <c r="J216" i="1"/>
  <c r="I216" i="1"/>
  <c r="K216" i="1" s="1"/>
  <c r="L216" i="1" s="1"/>
  <c r="L215" i="1"/>
  <c r="L214" i="1"/>
  <c r="L213" i="1"/>
  <c r="L212" i="1"/>
  <c r="L211" i="1"/>
  <c r="L210" i="1"/>
  <c r="J209" i="1"/>
  <c r="I209" i="1"/>
  <c r="K209" i="1" s="1"/>
  <c r="L209" i="1" s="1"/>
  <c r="J208" i="1"/>
  <c r="I208" i="1"/>
  <c r="K208" i="1" s="1"/>
  <c r="L208" i="1" s="1"/>
  <c r="J207" i="1"/>
  <c r="I207" i="1"/>
  <c r="K207" i="1" s="1"/>
  <c r="L207" i="1" s="1"/>
  <c r="J206" i="1"/>
  <c r="I206" i="1"/>
  <c r="K206" i="1" s="1"/>
  <c r="L206" i="1" s="1"/>
  <c r="J205" i="1"/>
  <c r="I205" i="1"/>
  <c r="K205" i="1" s="1"/>
  <c r="L205" i="1" s="1"/>
  <c r="J204" i="1"/>
  <c r="I204" i="1"/>
  <c r="K204" i="1" s="1"/>
  <c r="L204" i="1" s="1"/>
  <c r="J203" i="1"/>
  <c r="I203" i="1"/>
  <c r="K203" i="1" s="1"/>
  <c r="L203" i="1" s="1"/>
  <c r="J202" i="1"/>
  <c r="I202" i="1"/>
  <c r="K202" i="1" s="1"/>
  <c r="L202" i="1" s="1"/>
  <c r="J201" i="1"/>
  <c r="I201" i="1"/>
  <c r="K201" i="1" s="1"/>
  <c r="L201" i="1" s="1"/>
  <c r="J200" i="1"/>
  <c r="I200" i="1"/>
  <c r="K200" i="1" s="1"/>
  <c r="L200" i="1" s="1"/>
  <c r="J199" i="1"/>
  <c r="I199" i="1"/>
  <c r="K199" i="1" s="1"/>
  <c r="L199" i="1" s="1"/>
  <c r="J198" i="1"/>
  <c r="I198" i="1"/>
  <c r="K198" i="1" s="1"/>
  <c r="L198" i="1" s="1"/>
  <c r="J197" i="1"/>
  <c r="I197" i="1"/>
  <c r="K197" i="1" s="1"/>
  <c r="L197" i="1" s="1"/>
  <c r="J196" i="1"/>
  <c r="I196" i="1"/>
  <c r="K196" i="1" s="1"/>
  <c r="L196" i="1" s="1"/>
  <c r="J195" i="1"/>
  <c r="I195" i="1"/>
  <c r="K195" i="1" s="1"/>
  <c r="L195" i="1" s="1"/>
  <c r="J194" i="1"/>
  <c r="I194" i="1"/>
  <c r="K194" i="1" s="1"/>
  <c r="L194" i="1" s="1"/>
  <c r="J193" i="1"/>
  <c r="I193" i="1"/>
  <c r="K193" i="1" s="1"/>
  <c r="L193" i="1" s="1"/>
  <c r="J192" i="1"/>
  <c r="I192" i="1"/>
  <c r="K192" i="1" s="1"/>
  <c r="L192" i="1" s="1"/>
  <c r="J191" i="1"/>
  <c r="I191" i="1"/>
  <c r="K191" i="1" s="1"/>
  <c r="L191" i="1" s="1"/>
  <c r="J190" i="1"/>
  <c r="I190" i="1"/>
  <c r="K190" i="1" s="1"/>
  <c r="L190" i="1" s="1"/>
  <c r="J189" i="1"/>
  <c r="I189" i="1"/>
  <c r="K189" i="1" s="1"/>
  <c r="L189" i="1" s="1"/>
  <c r="J188" i="1"/>
  <c r="I188" i="1"/>
  <c r="K188" i="1" s="1"/>
  <c r="L188" i="1" s="1"/>
  <c r="J187" i="1"/>
  <c r="I187" i="1"/>
  <c r="K187" i="1" s="1"/>
  <c r="L187" i="1" s="1"/>
  <c r="J186" i="1"/>
  <c r="I186" i="1"/>
  <c r="K186" i="1" s="1"/>
  <c r="L186" i="1" s="1"/>
  <c r="J185" i="1"/>
  <c r="I185" i="1"/>
  <c r="K185" i="1" s="1"/>
  <c r="L185" i="1" s="1"/>
  <c r="J184" i="1"/>
  <c r="I184" i="1"/>
  <c r="K184" i="1" s="1"/>
  <c r="L184" i="1" s="1"/>
  <c r="J183" i="1"/>
  <c r="I183" i="1"/>
  <c r="K183" i="1" s="1"/>
  <c r="L183" i="1" s="1"/>
  <c r="J182" i="1"/>
  <c r="I182" i="1"/>
  <c r="K182" i="1" s="1"/>
  <c r="L182" i="1" s="1"/>
  <c r="J181" i="1"/>
  <c r="I181" i="1"/>
  <c r="K181" i="1" s="1"/>
  <c r="L181" i="1" s="1"/>
  <c r="J180" i="1"/>
  <c r="I180" i="1"/>
  <c r="K180" i="1" s="1"/>
  <c r="L180" i="1" s="1"/>
  <c r="J179" i="1"/>
  <c r="I179" i="1"/>
  <c r="K179" i="1" s="1"/>
  <c r="L179" i="1" s="1"/>
  <c r="J178" i="1"/>
  <c r="I178" i="1"/>
  <c r="K178" i="1" s="1"/>
  <c r="L178" i="1" s="1"/>
  <c r="J177" i="1"/>
  <c r="I177" i="1"/>
  <c r="K177" i="1" s="1"/>
  <c r="L177" i="1" s="1"/>
  <c r="J176" i="1"/>
  <c r="I176" i="1"/>
  <c r="K176" i="1" s="1"/>
  <c r="L176" i="1" s="1"/>
  <c r="J175" i="1"/>
  <c r="I175" i="1"/>
  <c r="K175" i="1" s="1"/>
  <c r="L175" i="1" s="1"/>
  <c r="J174" i="1"/>
  <c r="I174" i="1"/>
  <c r="K174" i="1" s="1"/>
  <c r="L174" i="1" s="1"/>
  <c r="J173" i="1"/>
  <c r="I173" i="1"/>
  <c r="K173" i="1" s="1"/>
  <c r="L173" i="1" s="1"/>
  <c r="J172" i="1"/>
  <c r="I172" i="1"/>
  <c r="K172" i="1" s="1"/>
  <c r="L172" i="1" s="1"/>
  <c r="J171" i="1"/>
  <c r="I171" i="1"/>
  <c r="K171" i="1" s="1"/>
  <c r="L171" i="1" s="1"/>
  <c r="J170" i="1"/>
  <c r="I170" i="1"/>
  <c r="K170" i="1" s="1"/>
  <c r="L170" i="1" s="1"/>
  <c r="J169" i="1"/>
  <c r="I169" i="1"/>
  <c r="K169" i="1" s="1"/>
  <c r="L169" i="1" s="1"/>
  <c r="J168" i="1"/>
  <c r="I168" i="1"/>
  <c r="K168" i="1" s="1"/>
  <c r="L168" i="1" s="1"/>
  <c r="J167" i="1"/>
  <c r="I167" i="1"/>
  <c r="K167" i="1" s="1"/>
  <c r="L167" i="1" s="1"/>
  <c r="J166" i="1"/>
  <c r="I166" i="1"/>
  <c r="K166" i="1" s="1"/>
  <c r="L166" i="1" s="1"/>
  <c r="J165" i="1"/>
  <c r="I165" i="1"/>
  <c r="K165" i="1" s="1"/>
  <c r="L165" i="1" s="1"/>
  <c r="L164" i="1"/>
  <c r="J163" i="1"/>
  <c r="I163" i="1"/>
  <c r="K163" i="1" s="1"/>
  <c r="L163" i="1" s="1"/>
  <c r="J162" i="1"/>
  <c r="I162" i="1"/>
  <c r="K162" i="1" s="1"/>
  <c r="L162" i="1" s="1"/>
  <c r="J161" i="1"/>
  <c r="I161" i="1"/>
  <c r="K161" i="1" s="1"/>
  <c r="L161" i="1" s="1"/>
  <c r="J160" i="1"/>
  <c r="I160" i="1"/>
  <c r="K160" i="1" s="1"/>
  <c r="L160" i="1" s="1"/>
  <c r="J159" i="1"/>
  <c r="I159" i="1"/>
  <c r="K159" i="1" s="1"/>
  <c r="L159" i="1" s="1"/>
  <c r="J158" i="1"/>
  <c r="I158" i="1"/>
  <c r="K158" i="1" s="1"/>
  <c r="L158" i="1" s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J154" i="1"/>
  <c r="I154" i="1"/>
  <c r="K154" i="1" s="1"/>
  <c r="L154" i="1" s="1"/>
  <c r="J153" i="1"/>
  <c r="I153" i="1"/>
  <c r="K153" i="1" s="1"/>
  <c r="L153" i="1" s="1"/>
  <c r="J152" i="1"/>
  <c r="I152" i="1"/>
  <c r="K152" i="1" s="1"/>
  <c r="L152" i="1" s="1"/>
  <c r="J151" i="1"/>
  <c r="I151" i="1"/>
  <c r="K151" i="1" s="1"/>
  <c r="L151" i="1" s="1"/>
  <c r="J150" i="1"/>
  <c r="I150" i="1"/>
  <c r="K150" i="1" s="1"/>
  <c r="L150" i="1" s="1"/>
  <c r="J149" i="1"/>
  <c r="I149" i="1"/>
  <c r="K149" i="1" s="1"/>
  <c r="L149" i="1" s="1"/>
  <c r="J148" i="1"/>
  <c r="I148" i="1"/>
  <c r="K148" i="1" s="1"/>
  <c r="L148" i="1" s="1"/>
  <c r="J147" i="1"/>
  <c r="I147" i="1"/>
  <c r="K147" i="1" s="1"/>
  <c r="L147" i="1" s="1"/>
  <c r="J146" i="1"/>
  <c r="I146" i="1"/>
  <c r="K146" i="1" s="1"/>
  <c r="L146" i="1" s="1"/>
  <c r="J145" i="1"/>
  <c r="I145" i="1"/>
  <c r="K145" i="1" s="1"/>
  <c r="L145" i="1" s="1"/>
  <c r="L144" i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L139" i="1"/>
  <c r="J138" i="1"/>
  <c r="I138" i="1"/>
  <c r="K138" i="1" s="1"/>
  <c r="L138" i="1" s="1"/>
  <c r="J137" i="1"/>
  <c r="I137" i="1"/>
  <c r="K137" i="1" s="1"/>
  <c r="L137" i="1" s="1"/>
  <c r="J136" i="1"/>
  <c r="I136" i="1"/>
  <c r="K136" i="1" s="1"/>
  <c r="L136" i="1" s="1"/>
  <c r="J135" i="1"/>
  <c r="I135" i="1"/>
  <c r="K135" i="1" s="1"/>
  <c r="L135" i="1" s="1"/>
  <c r="J134" i="1"/>
  <c r="I134" i="1"/>
  <c r="K134" i="1" s="1"/>
  <c r="L134" i="1" s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K130" i="1" s="1"/>
  <c r="L130" i="1" s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J120" i="1"/>
  <c r="I120" i="1"/>
  <c r="K120" i="1" s="1"/>
  <c r="L120" i="1" s="1"/>
  <c r="J119" i="1"/>
  <c r="I119" i="1"/>
  <c r="K119" i="1" s="1"/>
  <c r="L119" i="1" s="1"/>
  <c r="J118" i="1"/>
  <c r="I118" i="1"/>
  <c r="K118" i="1" s="1"/>
  <c r="L118" i="1" s="1"/>
  <c r="J117" i="1"/>
  <c r="I117" i="1"/>
  <c r="K117" i="1" s="1"/>
  <c r="L117" i="1" s="1"/>
  <c r="J116" i="1"/>
  <c r="I116" i="1"/>
  <c r="K116" i="1" s="1"/>
  <c r="L116" i="1" s="1"/>
  <c r="J115" i="1"/>
  <c r="I115" i="1"/>
  <c r="K115" i="1" s="1"/>
  <c r="L115" i="1" s="1"/>
  <c r="J114" i="1"/>
  <c r="I114" i="1"/>
  <c r="K114" i="1" s="1"/>
  <c r="L114" i="1" s="1"/>
  <c r="J113" i="1"/>
  <c r="I113" i="1"/>
  <c r="K113" i="1" s="1"/>
  <c r="L113" i="1" s="1"/>
  <c r="J112" i="1"/>
  <c r="I112" i="1"/>
  <c r="K112" i="1" s="1"/>
  <c r="L112" i="1" s="1"/>
  <c r="L111" i="1"/>
  <c r="J110" i="1"/>
  <c r="I110" i="1"/>
  <c r="K110" i="1" s="1"/>
  <c r="L110" i="1" s="1"/>
  <c r="J109" i="1"/>
  <c r="I109" i="1"/>
  <c r="K109" i="1" s="1"/>
  <c r="L109" i="1" s="1"/>
  <c r="J108" i="1"/>
  <c r="I108" i="1"/>
  <c r="K108" i="1" s="1"/>
  <c r="L108" i="1" s="1"/>
  <c r="J107" i="1"/>
  <c r="I107" i="1"/>
  <c r="K107" i="1" s="1"/>
  <c r="L107" i="1" s="1"/>
  <c r="J106" i="1"/>
  <c r="I106" i="1"/>
  <c r="K106" i="1" s="1"/>
  <c r="L106" i="1" s="1"/>
  <c r="J105" i="1"/>
  <c r="I105" i="1"/>
  <c r="K105" i="1" s="1"/>
  <c r="L105" i="1" s="1"/>
  <c r="J104" i="1"/>
  <c r="I104" i="1"/>
  <c r="K104" i="1" s="1"/>
  <c r="L104" i="1" s="1"/>
  <c r="J103" i="1"/>
  <c r="I103" i="1"/>
  <c r="K103" i="1" s="1"/>
  <c r="L103" i="1" s="1"/>
  <c r="J102" i="1"/>
  <c r="I102" i="1"/>
  <c r="K102" i="1" s="1"/>
  <c r="L102" i="1" s="1"/>
  <c r="J101" i="1"/>
  <c r="I101" i="1"/>
  <c r="K101" i="1" s="1"/>
  <c r="L101" i="1" s="1"/>
  <c r="L100" i="1"/>
  <c r="L99" i="1"/>
  <c r="J98" i="1"/>
  <c r="I98" i="1"/>
  <c r="K98" i="1" s="1"/>
  <c r="L98" i="1" s="1"/>
  <c r="J97" i="1"/>
  <c r="I97" i="1"/>
  <c r="K97" i="1" s="1"/>
  <c r="L97" i="1" s="1"/>
  <c r="J96" i="1"/>
  <c r="I96" i="1"/>
  <c r="K96" i="1" s="1"/>
  <c r="L96" i="1" s="1"/>
  <c r="J95" i="1"/>
  <c r="I95" i="1"/>
  <c r="K95" i="1" s="1"/>
  <c r="L95" i="1" s="1"/>
  <c r="J94" i="1"/>
  <c r="I94" i="1"/>
  <c r="K94" i="1" s="1"/>
  <c r="L94" i="1" s="1"/>
  <c r="L93" i="1"/>
  <c r="L92" i="1"/>
  <c r="L91" i="1"/>
  <c r="L90" i="1"/>
  <c r="L89" i="1"/>
  <c r="J88" i="1"/>
  <c r="I88" i="1"/>
  <c r="K88" i="1" s="1"/>
  <c r="L88" i="1" s="1"/>
  <c r="J87" i="1"/>
  <c r="I87" i="1"/>
  <c r="K87" i="1" s="1"/>
  <c r="L87" i="1" s="1"/>
  <c r="J86" i="1"/>
  <c r="I86" i="1"/>
  <c r="K86" i="1" s="1"/>
  <c r="L86" i="1" s="1"/>
  <c r="J85" i="1"/>
  <c r="I85" i="1"/>
  <c r="K85" i="1" s="1"/>
  <c r="L85" i="1" s="1"/>
  <c r="J84" i="1"/>
  <c r="I84" i="1"/>
  <c r="K84" i="1" s="1"/>
  <c r="L84" i="1" s="1"/>
  <c r="J83" i="1"/>
  <c r="I83" i="1"/>
  <c r="K83" i="1" s="1"/>
  <c r="L83" i="1" s="1"/>
  <c r="J82" i="1"/>
  <c r="I82" i="1"/>
  <c r="K82" i="1" s="1"/>
  <c r="L82" i="1" s="1"/>
  <c r="J81" i="1"/>
  <c r="I81" i="1"/>
  <c r="K81" i="1" s="1"/>
  <c r="L81" i="1" s="1"/>
  <c r="J80" i="1"/>
  <c r="I80" i="1"/>
  <c r="K80" i="1" s="1"/>
  <c r="L80" i="1" s="1"/>
  <c r="J79" i="1"/>
  <c r="I79" i="1"/>
  <c r="K79" i="1" s="1"/>
  <c r="L79" i="1" s="1"/>
  <c r="J78" i="1"/>
  <c r="I78" i="1"/>
  <c r="K78" i="1" s="1"/>
  <c r="L78" i="1" s="1"/>
  <c r="J77" i="1"/>
  <c r="I77" i="1"/>
  <c r="K77" i="1" s="1"/>
  <c r="L77" i="1" s="1"/>
  <c r="J76" i="1"/>
  <c r="I76" i="1"/>
  <c r="K76" i="1" s="1"/>
  <c r="L76" i="1" s="1"/>
  <c r="J75" i="1"/>
  <c r="I75" i="1"/>
  <c r="K75" i="1" s="1"/>
  <c r="L75" i="1" s="1"/>
  <c r="J74" i="1"/>
  <c r="I74" i="1"/>
  <c r="K74" i="1" s="1"/>
  <c r="L74" i="1" s="1"/>
  <c r="J73" i="1"/>
  <c r="I73" i="1"/>
  <c r="K73" i="1" s="1"/>
  <c r="L73" i="1" s="1"/>
  <c r="J72" i="1"/>
  <c r="I72" i="1"/>
  <c r="K72" i="1" s="1"/>
  <c r="L72" i="1" s="1"/>
  <c r="J71" i="1"/>
  <c r="I71" i="1"/>
  <c r="K71" i="1" s="1"/>
  <c r="L71" i="1" s="1"/>
  <c r="J70" i="1"/>
  <c r="I70" i="1"/>
  <c r="K70" i="1" s="1"/>
  <c r="L70" i="1" s="1"/>
  <c r="J69" i="1"/>
  <c r="I69" i="1"/>
  <c r="K69" i="1" s="1"/>
  <c r="L69" i="1" s="1"/>
  <c r="J68" i="1"/>
  <c r="I68" i="1"/>
  <c r="K68" i="1" s="1"/>
  <c r="L68" i="1" s="1"/>
  <c r="J67" i="1"/>
  <c r="I67" i="1"/>
  <c r="K67" i="1" s="1"/>
  <c r="L67" i="1" s="1"/>
  <c r="J66" i="1"/>
  <c r="I66" i="1"/>
  <c r="K66" i="1" s="1"/>
  <c r="L66" i="1" s="1"/>
  <c r="J65" i="1"/>
  <c r="I65" i="1"/>
  <c r="K65" i="1" s="1"/>
  <c r="L65" i="1" s="1"/>
  <c r="J64" i="1"/>
  <c r="I64" i="1"/>
  <c r="K64" i="1" s="1"/>
  <c r="L64" i="1" s="1"/>
  <c r="J63" i="1"/>
  <c r="I63" i="1"/>
  <c r="K63" i="1" s="1"/>
  <c r="L63" i="1" s="1"/>
  <c r="J62" i="1"/>
  <c r="I62" i="1"/>
  <c r="K62" i="1" s="1"/>
  <c r="L62" i="1" s="1"/>
  <c r="J61" i="1"/>
  <c r="I61" i="1"/>
  <c r="K61" i="1" s="1"/>
  <c r="L61" i="1" s="1"/>
  <c r="J60" i="1"/>
  <c r="I60" i="1"/>
  <c r="K60" i="1" s="1"/>
  <c r="L60" i="1" s="1"/>
  <c r="J59" i="1"/>
  <c r="I59" i="1"/>
  <c r="K59" i="1" s="1"/>
  <c r="L59" i="1" s="1"/>
  <c r="J58" i="1"/>
  <c r="I58" i="1"/>
  <c r="K58" i="1" s="1"/>
  <c r="L58" i="1" s="1"/>
  <c r="J57" i="1"/>
  <c r="I57" i="1"/>
  <c r="K57" i="1" s="1"/>
  <c r="L57" i="1" s="1"/>
  <c r="J56" i="1"/>
  <c r="I56" i="1"/>
  <c r="K56" i="1" s="1"/>
  <c r="L56" i="1" s="1"/>
  <c r="J55" i="1"/>
  <c r="I55" i="1"/>
  <c r="K55" i="1" s="1"/>
  <c r="L55" i="1" s="1"/>
  <c r="J54" i="1"/>
  <c r="I54" i="1"/>
  <c r="K54" i="1" s="1"/>
  <c r="L54" i="1" s="1"/>
  <c r="J53" i="1"/>
  <c r="I53" i="1"/>
  <c r="K53" i="1" s="1"/>
  <c r="L53" i="1" s="1"/>
  <c r="J52" i="1"/>
  <c r="I52" i="1"/>
  <c r="K52" i="1" s="1"/>
  <c r="L52" i="1" s="1"/>
  <c r="J51" i="1"/>
  <c r="I51" i="1"/>
  <c r="K51" i="1" s="1"/>
  <c r="L51" i="1" s="1"/>
  <c r="J50" i="1"/>
  <c r="I50" i="1"/>
  <c r="K50" i="1" s="1"/>
  <c r="L50" i="1" s="1"/>
  <c r="J49" i="1"/>
  <c r="I49" i="1"/>
  <c r="K49" i="1" s="1"/>
  <c r="L49" i="1" s="1"/>
  <c r="J48" i="1"/>
  <c r="I48" i="1"/>
  <c r="K48" i="1" s="1"/>
  <c r="L48" i="1" s="1"/>
  <c r="J47" i="1"/>
  <c r="I47" i="1"/>
  <c r="K47" i="1" s="1"/>
  <c r="L47" i="1" s="1"/>
  <c r="J46" i="1"/>
  <c r="I46" i="1"/>
  <c r="K46" i="1" s="1"/>
  <c r="L46" i="1" s="1"/>
  <c r="J45" i="1"/>
  <c r="I45" i="1"/>
  <c r="K45" i="1" s="1"/>
  <c r="L45" i="1" s="1"/>
  <c r="J44" i="1"/>
  <c r="I44" i="1"/>
  <c r="K44" i="1" s="1"/>
  <c r="L44" i="1" s="1"/>
  <c r="J43" i="1"/>
  <c r="I43" i="1"/>
  <c r="K43" i="1" s="1"/>
  <c r="L43" i="1" s="1"/>
  <c r="J42" i="1"/>
  <c r="I42" i="1"/>
  <c r="K42" i="1" s="1"/>
  <c r="L42" i="1" s="1"/>
  <c r="J41" i="1"/>
  <c r="I41" i="1"/>
  <c r="K41" i="1" s="1"/>
  <c r="L41" i="1" s="1"/>
  <c r="J40" i="1"/>
  <c r="I40" i="1"/>
  <c r="K40" i="1" s="1"/>
  <c r="L40" i="1" s="1"/>
  <c r="J39" i="1"/>
  <c r="I39" i="1"/>
  <c r="K39" i="1" s="1"/>
  <c r="L39" i="1" s="1"/>
  <c r="J38" i="1"/>
  <c r="I38" i="1"/>
  <c r="K38" i="1" s="1"/>
  <c r="L38" i="1" s="1"/>
  <c r="J37" i="1"/>
  <c r="I37" i="1"/>
  <c r="K37" i="1" s="1"/>
  <c r="L37" i="1" s="1"/>
  <c r="J36" i="1"/>
  <c r="I36" i="1"/>
  <c r="K36" i="1" s="1"/>
  <c r="L36" i="1" s="1"/>
  <c r="J35" i="1"/>
  <c r="I35" i="1"/>
  <c r="K35" i="1" s="1"/>
  <c r="L35" i="1" s="1"/>
  <c r="J34" i="1"/>
  <c r="I34" i="1"/>
  <c r="K34" i="1" s="1"/>
  <c r="L34" i="1" s="1"/>
  <c r="J33" i="1"/>
  <c r="I33" i="1"/>
  <c r="K33" i="1" s="1"/>
  <c r="L33" i="1" s="1"/>
  <c r="J32" i="1"/>
  <c r="I32" i="1"/>
  <c r="K32" i="1" s="1"/>
  <c r="L32" i="1" s="1"/>
  <c r="J31" i="1"/>
  <c r="I31" i="1"/>
  <c r="K31" i="1" s="1"/>
  <c r="L31" i="1" s="1"/>
  <c r="J30" i="1"/>
  <c r="I30" i="1"/>
  <c r="K30" i="1" s="1"/>
  <c r="L30" i="1" s="1"/>
  <c r="J29" i="1"/>
  <c r="I29" i="1"/>
  <c r="K29" i="1" s="1"/>
  <c r="L29" i="1" s="1"/>
  <c r="J28" i="1"/>
  <c r="I28" i="1"/>
  <c r="K28" i="1" s="1"/>
  <c r="L28" i="1" s="1"/>
  <c r="J27" i="1"/>
  <c r="I27" i="1"/>
  <c r="K27" i="1" s="1"/>
  <c r="L27" i="1" s="1"/>
  <c r="J26" i="1"/>
  <c r="I26" i="1"/>
  <c r="K26" i="1" s="1"/>
  <c r="L26" i="1" s="1"/>
  <c r="J25" i="1"/>
  <c r="I25" i="1"/>
  <c r="K25" i="1" s="1"/>
  <c r="L25" i="1" s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L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K3553" i="1" l="1"/>
  <c r="L3553" i="1" s="1"/>
  <c r="K3551" i="1"/>
  <c r="L3551" i="1" s="1"/>
  <c r="K3549" i="1"/>
  <c r="L3549" i="1" s="1"/>
  <c r="K3546" i="1"/>
  <c r="L3546" i="1" s="1"/>
  <c r="K3544" i="1"/>
  <c r="L3544" i="1" s="1"/>
  <c r="K3542" i="1"/>
  <c r="L3542" i="1" s="1"/>
  <c r="K3540" i="1"/>
  <c r="L3540" i="1" s="1"/>
  <c r="K3538" i="1"/>
  <c r="L3538" i="1" s="1"/>
  <c r="K3536" i="1"/>
  <c r="L3536" i="1" s="1"/>
  <c r="K3534" i="1"/>
  <c r="L3534" i="1" s="1"/>
  <c r="K3529" i="1"/>
  <c r="L3529" i="1" s="1"/>
  <c r="K3527" i="1"/>
  <c r="L3527" i="1" s="1"/>
  <c r="K3524" i="1"/>
  <c r="L3524" i="1" s="1"/>
  <c r="K3521" i="1"/>
  <c r="L3521" i="1" s="1"/>
  <c r="K3510" i="1"/>
  <c r="L3510" i="1" s="1"/>
  <c r="K3505" i="1"/>
  <c r="L3505" i="1" s="1"/>
  <c r="K3491" i="1"/>
  <c r="L3491" i="1" s="1"/>
  <c r="K3489" i="1"/>
  <c r="L3489" i="1" s="1"/>
  <c r="K3485" i="1"/>
  <c r="L3485" i="1" s="1"/>
  <c r="K2372" i="1"/>
  <c r="L2372" i="1" s="1"/>
  <c r="K2365" i="1"/>
  <c r="L2365" i="1" s="1"/>
  <c r="K2363" i="1"/>
  <c r="L2363" i="1" s="1"/>
  <c r="K2349" i="1"/>
  <c r="L2349" i="1" s="1"/>
  <c r="K2345" i="1"/>
  <c r="L2345" i="1" s="1"/>
  <c r="K2341" i="1"/>
  <c r="L2341" i="1" s="1"/>
  <c r="K1198" i="1"/>
  <c r="L1198" i="1" s="1"/>
  <c r="K1197" i="1"/>
  <c r="L1197" i="1" s="1"/>
  <c r="K1195" i="1"/>
  <c r="L1195" i="1" s="1"/>
  <c r="K3554" i="1"/>
  <c r="L3554" i="1" s="1"/>
  <c r="K3552" i="1"/>
  <c r="L3552" i="1" s="1"/>
  <c r="K3550" i="1"/>
  <c r="L3550" i="1" s="1"/>
  <c r="K3547" i="1"/>
  <c r="L3547" i="1" s="1"/>
  <c r="K3545" i="1"/>
  <c r="L3545" i="1" s="1"/>
  <c r="K3543" i="1"/>
  <c r="L3543" i="1" s="1"/>
  <c r="K3541" i="1"/>
  <c r="L3541" i="1" s="1"/>
  <c r="K3539" i="1"/>
  <c r="L3539" i="1" s="1"/>
  <c r="K3537" i="1"/>
  <c r="L3537" i="1" s="1"/>
  <c r="K3535" i="1"/>
  <c r="L3535" i="1" s="1"/>
  <c r="K3533" i="1"/>
  <c r="L3533" i="1" s="1"/>
  <c r="K3530" i="1"/>
  <c r="L3530" i="1" s="1"/>
  <c r="K3528" i="1"/>
  <c r="L3528" i="1" s="1"/>
  <c r="K3526" i="1"/>
  <c r="L3526" i="1" s="1"/>
  <c r="K3522" i="1"/>
  <c r="L3522" i="1" s="1"/>
  <c r="K3520" i="1"/>
  <c r="L3520" i="1" s="1"/>
  <c r="K3506" i="1"/>
  <c r="L3506" i="1" s="1"/>
  <c r="K3503" i="1"/>
  <c r="L3503" i="1" s="1"/>
  <c r="K3494" i="1"/>
  <c r="L3494" i="1" s="1"/>
  <c r="K2370" i="1"/>
  <c r="L2370" i="1" s="1"/>
  <c r="K2361" i="1"/>
  <c r="L2361" i="1" s="1"/>
  <c r="K2358" i="1"/>
  <c r="L2358" i="1" s="1"/>
  <c r="K2356" i="1"/>
  <c r="L2356" i="1" s="1"/>
  <c r="K2347" i="1"/>
  <c r="L2347" i="1" s="1"/>
  <c r="K2338" i="1"/>
  <c r="L2338" i="1" s="1"/>
  <c r="K3479" i="1"/>
  <c r="L3479" i="1" s="1"/>
  <c r="K3473" i="1"/>
  <c r="L3473" i="1" s="1"/>
  <c r="K3467" i="1"/>
  <c r="L3467" i="1" s="1"/>
  <c r="K3464" i="1"/>
  <c r="L3464" i="1" s="1"/>
  <c r="K2575" i="1"/>
  <c r="L2575" i="1" s="1"/>
  <c r="K2566" i="1"/>
  <c r="L2566" i="1" s="1"/>
  <c r="K2561" i="1"/>
  <c r="L2561" i="1" s="1"/>
  <c r="K2554" i="1"/>
  <c r="L2554" i="1" s="1"/>
  <c r="K2550" i="1"/>
  <c r="L2550" i="1" s="1"/>
  <c r="K2544" i="1"/>
  <c r="L2544" i="1" s="1"/>
  <c r="K2539" i="1"/>
  <c r="L2539" i="1" s="1"/>
  <c r="K2534" i="1"/>
  <c r="L2534" i="1" s="1"/>
  <c r="K2525" i="1"/>
  <c r="L2525" i="1" s="1"/>
  <c r="K2521" i="1"/>
  <c r="L2521" i="1" s="1"/>
  <c r="K2514" i="1"/>
  <c r="L2514" i="1" s="1"/>
  <c r="K2509" i="1"/>
  <c r="L2509" i="1" s="1"/>
  <c r="K2505" i="1"/>
  <c r="L2505" i="1" s="1"/>
  <c r="K2499" i="1"/>
  <c r="L2499" i="1" s="1"/>
  <c r="K2494" i="1"/>
  <c r="L2494" i="1" s="1"/>
  <c r="K2489" i="1"/>
  <c r="L2489" i="1" s="1"/>
  <c r="K2480" i="1"/>
  <c r="L2480" i="1" s="1"/>
  <c r="K2476" i="1"/>
  <c r="L2476" i="1" s="1"/>
  <c r="K2467" i="1"/>
  <c r="L2467" i="1" s="1"/>
  <c r="K2463" i="1"/>
  <c r="L2463" i="1" s="1"/>
  <c r="K2458" i="1"/>
  <c r="L2458" i="1" s="1"/>
  <c r="K2452" i="1"/>
  <c r="L2452" i="1" s="1"/>
  <c r="K2447" i="1"/>
  <c r="L2447" i="1" s="1"/>
  <c r="K2437" i="1"/>
  <c r="L2437" i="1" s="1"/>
  <c r="K2433" i="1"/>
  <c r="L2433" i="1" s="1"/>
  <c r="K2427" i="1"/>
  <c r="L2427" i="1" s="1"/>
  <c r="K2422" i="1"/>
  <c r="L2422" i="1" s="1"/>
  <c r="K2418" i="1"/>
  <c r="L2418" i="1" s="1"/>
  <c r="K2411" i="1"/>
  <c r="L2411" i="1" s="1"/>
  <c r="K2569" i="1"/>
  <c r="L2569" i="1" s="1"/>
  <c r="K2565" i="1"/>
  <c r="L2565" i="1" s="1"/>
  <c r="K2558" i="1"/>
  <c r="L2558" i="1" s="1"/>
  <c r="K2553" i="1"/>
  <c r="L2553" i="1" s="1"/>
  <c r="K2541" i="1"/>
  <c r="L2541" i="1" s="1"/>
  <c r="K2540" i="1"/>
  <c r="L2540" i="1" s="1"/>
  <c r="K2533" i="1"/>
  <c r="L2533" i="1" s="1"/>
  <c r="K2532" i="1"/>
  <c r="L2532" i="1" s="1"/>
  <c r="K2523" i="1"/>
  <c r="L2523" i="1" s="1"/>
  <c r="K2518" i="1"/>
  <c r="L2518" i="1" s="1"/>
  <c r="K2511" i="1"/>
  <c r="L2511" i="1" s="1"/>
  <c r="K2507" i="1"/>
  <c r="L2507" i="1" s="1"/>
  <c r="K2497" i="1"/>
  <c r="L2497" i="1" s="1"/>
  <c r="K2496" i="1"/>
  <c r="L2496" i="1" s="1"/>
  <c r="K2491" i="1"/>
  <c r="L2491" i="1" s="1"/>
  <c r="K2487" i="1"/>
  <c r="L2487" i="1" s="1"/>
  <c r="K2465" i="1"/>
  <c r="L2465" i="1" s="1"/>
  <c r="K2461" i="1"/>
  <c r="L2461" i="1" s="1"/>
  <c r="K2460" i="1"/>
  <c r="L2460" i="1" s="1"/>
  <c r="K2446" i="1"/>
  <c r="L2446" i="1" s="1"/>
  <c r="K2436" i="1"/>
  <c r="L2436" i="1" s="1"/>
  <c r="K2435" i="1"/>
  <c r="L2435" i="1" s="1"/>
  <c r="K2424" i="1"/>
  <c r="L2424" i="1" s="1"/>
  <c r="K2417" i="1"/>
  <c r="L2417" i="1" s="1"/>
  <c r="K2378" i="1"/>
  <c r="L2378" i="1" s="1"/>
  <c r="K24" i="1"/>
  <c r="L24" i="1" s="1"/>
  <c r="K22" i="1"/>
  <c r="L22" i="1" s="1"/>
  <c r="K20" i="1"/>
  <c r="L20" i="1" s="1"/>
  <c r="K18" i="1"/>
  <c r="L18" i="1" s="1"/>
  <c r="K16" i="1"/>
  <c r="L16" i="1" s="1"/>
  <c r="K14" i="1"/>
  <c r="L14" i="1" s="1"/>
  <c r="K12" i="1"/>
  <c r="L12" i="1" s="1"/>
  <c r="K9" i="1"/>
  <c r="L9" i="1" s="1"/>
  <c r="K7" i="1"/>
  <c r="L7" i="1" s="1"/>
  <c r="K5" i="1"/>
  <c r="L5" i="1" s="1"/>
  <c r="K3" i="1"/>
  <c r="L3" i="1" s="1"/>
  <c r="K3501" i="1"/>
  <c r="L3501" i="1" s="1"/>
  <c r="K3499" i="1"/>
  <c r="L3499" i="1" s="1"/>
  <c r="K3497" i="1"/>
  <c r="L3497" i="1" s="1"/>
  <c r="K3492" i="1"/>
  <c r="L3492" i="1" s="1"/>
  <c r="K3478" i="1"/>
  <c r="L3478" i="1" s="1"/>
  <c r="K3477" i="1"/>
  <c r="L3477" i="1" s="1"/>
  <c r="K3470" i="1"/>
  <c r="L3470" i="1" s="1"/>
  <c r="K3465" i="1"/>
  <c r="L3465" i="1" s="1"/>
  <c r="K2567" i="1"/>
  <c r="L2567" i="1" s="1"/>
  <c r="K2562" i="1"/>
  <c r="L2562" i="1" s="1"/>
  <c r="K2555" i="1"/>
  <c r="L2555" i="1" s="1"/>
  <c r="K2551" i="1"/>
  <c r="L2551" i="1" s="1"/>
  <c r="K2548" i="1"/>
  <c r="L2548" i="1" s="1"/>
  <c r="K2546" i="1"/>
  <c r="L2546" i="1" s="1"/>
  <c r="K2524" i="1"/>
  <c r="L2524" i="1" s="1"/>
  <c r="K2520" i="1"/>
  <c r="L2520" i="1" s="1"/>
  <c r="K2512" i="1"/>
  <c r="L2512" i="1" s="1"/>
  <c r="K2508" i="1"/>
  <c r="L2508" i="1" s="1"/>
  <c r="K2504" i="1"/>
  <c r="L2504" i="1" s="1"/>
  <c r="K2502" i="1"/>
  <c r="L2502" i="1" s="1"/>
  <c r="K2493" i="1"/>
  <c r="L2493" i="1" s="1"/>
  <c r="K2488" i="1"/>
  <c r="L2488" i="1" s="1"/>
  <c r="K2479" i="1"/>
  <c r="L2479" i="1" s="1"/>
  <c r="K2474" i="1"/>
  <c r="L2474" i="1" s="1"/>
  <c r="K2466" i="1"/>
  <c r="L2466" i="1" s="1"/>
  <c r="K2462" i="1"/>
  <c r="L2462" i="1" s="1"/>
  <c r="K2451" i="1"/>
  <c r="L2451" i="1" s="1"/>
  <c r="K2450" i="1"/>
  <c r="L2450" i="1" s="1"/>
  <c r="K2445" i="1"/>
  <c r="L2445" i="1" s="1"/>
  <c r="K2432" i="1"/>
  <c r="L2432" i="1" s="1"/>
  <c r="K2430" i="1"/>
  <c r="L2430" i="1" s="1"/>
  <c r="K2426" i="1"/>
  <c r="L2426" i="1" s="1"/>
  <c r="K2421" i="1"/>
  <c r="L2421" i="1" s="1"/>
  <c r="K2420" i="1"/>
  <c r="L2420" i="1" s="1"/>
  <c r="K2416" i="1"/>
  <c r="L2416" i="1" s="1"/>
  <c r="K23" i="1"/>
  <c r="L23" i="1" s="1"/>
  <c r="K21" i="1"/>
  <c r="L21" i="1" s="1"/>
  <c r="K19" i="1"/>
  <c r="L19" i="1" s="1"/>
  <c r="K17" i="1"/>
  <c r="L17" i="1" s="1"/>
  <c r="K15" i="1"/>
  <c r="L15" i="1" s="1"/>
  <c r="K13" i="1"/>
  <c r="L13" i="1" s="1"/>
  <c r="K10" i="1"/>
  <c r="L10" i="1" s="1"/>
  <c r="K8" i="1"/>
  <c r="L8" i="1" s="1"/>
  <c r="K6" i="1"/>
  <c r="L6" i="1" s="1"/>
  <c r="K4" i="1"/>
  <c r="L4" i="1" s="1"/>
  <c r="K2" i="1"/>
  <c r="L2" i="1" s="1"/>
  <c r="K3502" i="1"/>
  <c r="L3502" i="1" s="1"/>
  <c r="K3500" i="1"/>
  <c r="L3500" i="1" s="1"/>
  <c r="K3498" i="1"/>
  <c r="L3498" i="1" s="1"/>
  <c r="K3495" i="1"/>
  <c r="L3495" i="1" s="1"/>
  <c r="K3493" i="1"/>
  <c r="L3493" i="1" s="1"/>
  <c r="K3490" i="1"/>
  <c r="L3490" i="1" s="1"/>
  <c r="K3486" i="1"/>
  <c r="L3486" i="1" s="1"/>
  <c r="K3484" i="1"/>
  <c r="L3484" i="1" s="1"/>
  <c r="K3482" i="1"/>
  <c r="L3482" i="1" s="1"/>
  <c r="K3472" i="1"/>
  <c r="L3472" i="1" s="1"/>
  <c r="K3466" i="1"/>
  <c r="L3466" i="1" s="1"/>
  <c r="K2568" i="1"/>
  <c r="L2568" i="1" s="1"/>
  <c r="K2564" i="1"/>
  <c r="L2564" i="1" s="1"/>
  <c r="K2556" i="1"/>
  <c r="L2556" i="1" s="1"/>
  <c r="K2552" i="1"/>
  <c r="L2552" i="1" s="1"/>
  <c r="K2549" i="1"/>
  <c r="L2549" i="1" s="1"/>
  <c r="K2543" i="1"/>
  <c r="L2543" i="1" s="1"/>
  <c r="K2538" i="1"/>
  <c r="L2538" i="1" s="1"/>
  <c r="K2537" i="1"/>
  <c r="L2537" i="1" s="1"/>
  <c r="K2535" i="1"/>
  <c r="L2535" i="1" s="1"/>
  <c r="K2531" i="1"/>
  <c r="L2531" i="1" s="1"/>
  <c r="K2522" i="1"/>
  <c r="L2522" i="1" s="1"/>
  <c r="K2517" i="1"/>
  <c r="L2517" i="1" s="1"/>
  <c r="K2510" i="1"/>
  <c r="L2510" i="1" s="1"/>
  <c r="K2506" i="1"/>
  <c r="L2506" i="1" s="1"/>
  <c r="K2500" i="1"/>
  <c r="L2500" i="1" s="1"/>
  <c r="K2495" i="1"/>
  <c r="L2495" i="1" s="1"/>
  <c r="K2490" i="1"/>
  <c r="L2490" i="1" s="1"/>
  <c r="K2481" i="1"/>
  <c r="L2481" i="1" s="1"/>
  <c r="K2478" i="1"/>
  <c r="L2478" i="1" s="1"/>
  <c r="K2477" i="1"/>
  <c r="L2477" i="1" s="1"/>
  <c r="K2473" i="1"/>
  <c r="L2473" i="1" s="1"/>
  <c r="K2470" i="1"/>
  <c r="L2470" i="1" s="1"/>
  <c r="K2464" i="1"/>
  <c r="L2464" i="1" s="1"/>
  <c r="K2456" i="1"/>
  <c r="L2456" i="1" s="1"/>
  <c r="K2455" i="1"/>
  <c r="L2455" i="1" s="1"/>
  <c r="K2453" i="1"/>
  <c r="L2453" i="1" s="1"/>
  <c r="K2449" i="1"/>
  <c r="L2449" i="1" s="1"/>
  <c r="K2444" i="1"/>
  <c r="L2444" i="1" s="1"/>
  <c r="K2434" i="1"/>
  <c r="L2434" i="1" s="1"/>
  <c r="K2429" i="1"/>
  <c r="L2429" i="1" s="1"/>
  <c r="K2423" i="1"/>
  <c r="L2423" i="1" s="1"/>
  <c r="K2419" i="1"/>
  <c r="L2419" i="1" s="1"/>
  <c r="K2414" i="1"/>
  <c r="L2414" i="1" s="1"/>
  <c r="K2386" i="1"/>
  <c r="L2386" i="1" s="1"/>
  <c r="K2382" i="1"/>
  <c r="L2382" i="1" s="1"/>
  <c r="K3461" i="1"/>
  <c r="L3461" i="1" s="1"/>
  <c r="K3458" i="1"/>
  <c r="L3458" i="1" s="1"/>
  <c r="K3456" i="1"/>
  <c r="L3456" i="1" s="1"/>
  <c r="K2409" i="1"/>
  <c r="L2409" i="1" s="1"/>
  <c r="K2403" i="1"/>
  <c r="L2403" i="1" s="1"/>
  <c r="K2400" i="1"/>
  <c r="L2400" i="1" s="1"/>
  <c r="K2393" i="1"/>
  <c r="L2393" i="1" s="1"/>
  <c r="K2391" i="1"/>
  <c r="L2391" i="1" s="1"/>
  <c r="K2390" i="1"/>
  <c r="L2390" i="1" s="1"/>
  <c r="K2385" i="1"/>
  <c r="L2385" i="1" s="1"/>
  <c r="K2383" i="1"/>
  <c r="L2383" i="1" s="1"/>
  <c r="K2380" i="1"/>
  <c r="L2380" i="1" s="1"/>
  <c r="K2379" i="1"/>
  <c r="L2379" i="1" s="1"/>
  <c r="K2375" i="1"/>
  <c r="L2375" i="1" s="1"/>
  <c r="K1273" i="1"/>
  <c r="L1273" i="1" s="1"/>
  <c r="K1265" i="1"/>
  <c r="L1265" i="1" s="1"/>
  <c r="K1261" i="1"/>
  <c r="L1261" i="1" s="1"/>
  <c r="K1256" i="1"/>
  <c r="L1256" i="1" s="1"/>
  <c r="K1249" i="1"/>
  <c r="L1249" i="1" s="1"/>
  <c r="K1245" i="1"/>
  <c r="L1245" i="1" s="1"/>
  <c r="K1244" i="1"/>
  <c r="L1244" i="1" s="1"/>
  <c r="K1242" i="1"/>
  <c r="L1242" i="1" s="1"/>
  <c r="K1236" i="1"/>
  <c r="L1236" i="1" s="1"/>
  <c r="K1226" i="1"/>
  <c r="L1226" i="1" s="1"/>
  <c r="K2407" i="1"/>
  <c r="L2407" i="1" s="1"/>
  <c r="K2406" i="1"/>
  <c r="L2406" i="1" s="1"/>
  <c r="K2402" i="1"/>
  <c r="L2402" i="1" s="1"/>
  <c r="K2377" i="1"/>
  <c r="L2377" i="1" s="1"/>
  <c r="K1268" i="1"/>
  <c r="L1268" i="1" s="1"/>
  <c r="K1263" i="1"/>
  <c r="L1263" i="1" s="1"/>
  <c r="K1258" i="1"/>
  <c r="L1258" i="1" s="1"/>
  <c r="K1248" i="1"/>
  <c r="L1248" i="1" s="1"/>
  <c r="K1238" i="1"/>
  <c r="L1238" i="1" s="1"/>
  <c r="K1233" i="1"/>
  <c r="L1233" i="1" s="1"/>
  <c r="K1232" i="1"/>
  <c r="L1232" i="1" s="1"/>
  <c r="K1229" i="1"/>
  <c r="L1229" i="1" s="1"/>
  <c r="K2374" i="1"/>
  <c r="L2374" i="1" s="1"/>
  <c r="K1274" i="1"/>
  <c r="L1274" i="1" s="1"/>
  <c r="K1267" i="1"/>
  <c r="L1267" i="1" s="1"/>
  <c r="K1262" i="1"/>
  <c r="L1262" i="1" s="1"/>
  <c r="K1257" i="1"/>
  <c r="L1257" i="1" s="1"/>
  <c r="K1246" i="1"/>
  <c r="L1246" i="1" s="1"/>
  <c r="K1241" i="1"/>
  <c r="L1241" i="1" s="1"/>
  <c r="K1235" i="1"/>
  <c r="L1235" i="1" s="1"/>
  <c r="K1231" i="1"/>
  <c r="L1231" i="1" s="1"/>
  <c r="K1224" i="1"/>
  <c r="L1224" i="1" s="1"/>
  <c r="K3462" i="1"/>
  <c r="L3462" i="1" s="1"/>
  <c r="K3459" i="1"/>
  <c r="L3459" i="1" s="1"/>
  <c r="K3457" i="1"/>
  <c r="L3457" i="1" s="1"/>
  <c r="K2408" i="1"/>
  <c r="L2408" i="1" s="1"/>
  <c r="K2405" i="1"/>
  <c r="L2405" i="1" s="1"/>
  <c r="K2401" i="1"/>
  <c r="L2401" i="1" s="1"/>
  <c r="K2392" i="1"/>
  <c r="L2392" i="1" s="1"/>
  <c r="K2389" i="1"/>
  <c r="L2389" i="1" s="1"/>
  <c r="K2376" i="1"/>
  <c r="L2376" i="1" s="1"/>
  <c r="K1276" i="1"/>
  <c r="L1276" i="1" s="1"/>
  <c r="K1275" i="1"/>
  <c r="L1275" i="1" s="1"/>
  <c r="K1270" i="1"/>
  <c r="L1270" i="1" s="1"/>
  <c r="K1264" i="1"/>
  <c r="L1264" i="1" s="1"/>
  <c r="K1259" i="1"/>
  <c r="L1259" i="1" s="1"/>
  <c r="K1239" i="1"/>
  <c r="L1239" i="1" s="1"/>
  <c r="K1234" i="1"/>
  <c r="L1234" i="1" s="1"/>
  <c r="K1230" i="1"/>
  <c r="L1230" i="1" s="1"/>
  <c r="K1223" i="1"/>
  <c r="L1223" i="1" s="1"/>
</calcChain>
</file>

<file path=xl/sharedStrings.xml><?xml version="1.0" encoding="utf-8"?>
<sst xmlns="http://schemas.openxmlformats.org/spreadsheetml/2006/main" count="9234" uniqueCount="125">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</sst>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03"/>
  <sheetViews>
    <sheetView tabSelected="1" topLeftCell="A508" zoomScale="85" zoomScaleNormal="85" workbookViewId="0">
      <selection activeCell="C4373" activeCellId="1" sqref="C4512:C4515 C4373:C4510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12" bestFit="1" customWidth="1"/>
    <col min="5" max="8" width="9.140625" style="12" customWidth="1"/>
    <col min="9" max="9" width="14.5703125" style="12" bestFit="1" customWidth="1"/>
    <col min="10" max="11" width="9.140625" style="12" customWidth="1"/>
    <col min="12" max="12" width="13.140625" style="12" bestFit="1" customWidth="1"/>
    <col min="13" max="13" width="9.140625" style="12" customWidth="1"/>
    <col min="14" max="14" width="14.85546875" style="12" bestFit="1" customWidth="1"/>
    <col min="15" max="15" width="12.7109375" style="12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 t="shared" ref="J2:J10" si="1"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2">I2-J2</f>
        <v>26</v>
      </c>
      <c r="L2" s="3" t="str">
        <f t="shared" ref="L2:L33" si="3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 t="shared" si="1"/>
        <v>10</v>
      </c>
      <c r="K3" s="3">
        <f t="shared" si="2"/>
        <v>-2</v>
      </c>
      <c r="L3" s="3" t="str">
        <f t="shared" si="3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 t="shared" si="1"/>
        <v>10</v>
      </c>
      <c r="K4" s="3">
        <f t="shared" si="2"/>
        <v>-2</v>
      </c>
      <c r="L4" s="3" t="str">
        <f t="shared" si="3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 t="shared" si="1"/>
        <v>10</v>
      </c>
      <c r="K5" s="3">
        <f t="shared" si="2"/>
        <v>15</v>
      </c>
      <c r="L5" s="3" t="str">
        <f t="shared" si="3"/>
        <v>EXCELENTE</v>
      </c>
      <c r="M5" s="9">
        <v>0</v>
      </c>
      <c r="N5" s="9">
        <v>100</v>
      </c>
      <c r="O5" s="9">
        <v>12.941176470588241</v>
      </c>
    </row>
    <row r="6" spans="1:16" hidden="1" x14ac:dyDescent="0.25">
      <c r="A6" s="5">
        <v>46146</v>
      </c>
      <c r="B6" s="6" t="s">
        <v>20</v>
      </c>
      <c r="C6" s="3" t="s">
        <v>16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 t="shared" si="1"/>
        <v>10</v>
      </c>
      <c r="K6" s="3">
        <f t="shared" si="2"/>
        <v>-3</v>
      </c>
      <c r="L6" s="3" t="str">
        <f t="shared" si="3"/>
        <v>ATENÇÃO</v>
      </c>
      <c r="M6" s="9">
        <v>4</v>
      </c>
      <c r="N6" s="9">
        <v>100</v>
      </c>
      <c r="O6" s="9">
        <v>17.1875</v>
      </c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 t="shared" si="1"/>
        <v>10</v>
      </c>
      <c r="K7" s="3">
        <f t="shared" si="2"/>
        <v>5</v>
      </c>
      <c r="L7" s="3" t="str">
        <f t="shared" si="3"/>
        <v>BOM</v>
      </c>
      <c r="M7" s="9">
        <v>12</v>
      </c>
      <c r="N7" s="9">
        <v>98.36</v>
      </c>
      <c r="O7" s="9">
        <v>21.917808219178081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 t="shared" si="1"/>
        <v>10</v>
      </c>
      <c r="K8" s="3">
        <f t="shared" si="2"/>
        <v>25</v>
      </c>
      <c r="L8" s="3" t="str">
        <f t="shared" si="3"/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 t="shared" si="1"/>
        <v>10</v>
      </c>
      <c r="K9" s="3">
        <f t="shared" si="2"/>
        <v>0</v>
      </c>
      <c r="L9" s="3" t="str">
        <f t="shared" si="3"/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 t="shared" si="1"/>
        <v>10</v>
      </c>
      <c r="K10" s="3">
        <f t="shared" si="2"/>
        <v>22</v>
      </c>
      <c r="L10" s="3" t="str">
        <f t="shared" si="3"/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3"/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5">
        <v>46147</v>
      </c>
      <c r="B12" s="6" t="s">
        <v>20</v>
      </c>
      <c r="C12" s="3" t="s">
        <v>16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4">E12+G12+H12</f>
        <v>11</v>
      </c>
      <c r="J12" s="3">
        <f t="shared" ref="J12:J43" si="5"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6">I12-J12</f>
        <v>1</v>
      </c>
      <c r="L12" s="3" t="str">
        <f t="shared" si="3"/>
        <v>BOM</v>
      </c>
      <c r="M12" s="3">
        <v>10</v>
      </c>
      <c r="N12" s="3">
        <v>100</v>
      </c>
      <c r="O12" s="3">
        <v>17.1875</v>
      </c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4"/>
        <v>19</v>
      </c>
      <c r="J13" s="3">
        <f t="shared" si="5"/>
        <v>10</v>
      </c>
      <c r="K13" s="3">
        <f t="shared" si="6"/>
        <v>9</v>
      </c>
      <c r="L13" s="3" t="str">
        <f t="shared" si="3"/>
        <v>EXCELENTE</v>
      </c>
      <c r="M13" s="3">
        <v>18</v>
      </c>
      <c r="N13" s="3">
        <v>98.36</v>
      </c>
      <c r="O13" s="3">
        <v>21.917808219178081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4"/>
        <v>26</v>
      </c>
      <c r="J14" s="3">
        <f t="shared" si="5"/>
        <v>10</v>
      </c>
      <c r="K14" s="3">
        <f t="shared" si="6"/>
        <v>16</v>
      </c>
      <c r="L14" s="3" t="str">
        <f t="shared" si="3"/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4"/>
        <v>12</v>
      </c>
      <c r="J15" s="3">
        <f t="shared" si="5"/>
        <v>10</v>
      </c>
      <c r="K15" s="3">
        <f t="shared" si="6"/>
        <v>2</v>
      </c>
      <c r="L15" s="3" t="str">
        <f t="shared" si="3"/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4"/>
        <v>43</v>
      </c>
      <c r="J16" s="3">
        <f t="shared" si="5"/>
        <v>10</v>
      </c>
      <c r="K16" s="3">
        <f t="shared" si="6"/>
        <v>33</v>
      </c>
      <c r="L16" s="3" t="str">
        <f t="shared" si="3"/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4"/>
        <v>38</v>
      </c>
      <c r="J17" s="3">
        <f t="shared" si="5"/>
        <v>10</v>
      </c>
      <c r="K17" s="3">
        <f t="shared" si="6"/>
        <v>28</v>
      </c>
      <c r="L17" s="3" t="str">
        <f t="shared" si="3"/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5">
        <v>46148</v>
      </c>
      <c r="B18" s="6" t="s">
        <v>20</v>
      </c>
      <c r="C18" s="3" t="s">
        <v>16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4"/>
        <v>8</v>
      </c>
      <c r="J18" s="3">
        <f t="shared" si="5"/>
        <v>10</v>
      </c>
      <c r="K18" s="3">
        <f t="shared" si="6"/>
        <v>-2</v>
      </c>
      <c r="L18" s="3" t="str">
        <f t="shared" si="3"/>
        <v>ATENÇÃO</v>
      </c>
      <c r="M18" s="3">
        <v>7</v>
      </c>
      <c r="N18" s="3">
        <v>100</v>
      </c>
      <c r="O18" s="3">
        <v>17.1875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G19" s="3"/>
      <c r="H19" s="3"/>
      <c r="I19" s="3">
        <f t="shared" si="4"/>
        <v>17</v>
      </c>
      <c r="J19" s="3">
        <f t="shared" si="5"/>
        <v>9</v>
      </c>
      <c r="K19" s="3">
        <f t="shared" si="6"/>
        <v>8</v>
      </c>
      <c r="L19" s="3" t="str">
        <f t="shared" si="3"/>
        <v>EXCELENTE</v>
      </c>
      <c r="M19">
        <v>14</v>
      </c>
      <c r="N19">
        <v>98.91</v>
      </c>
      <c r="O19">
        <v>31.367292225201069</v>
      </c>
    </row>
    <row r="20" spans="1:15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4"/>
        <v>15</v>
      </c>
      <c r="J20" s="3">
        <f t="shared" si="5"/>
        <v>10</v>
      </c>
      <c r="K20" s="3">
        <f t="shared" si="6"/>
        <v>5</v>
      </c>
      <c r="L20" s="3" t="str">
        <f t="shared" si="3"/>
        <v>BOM</v>
      </c>
      <c r="M20" s="3">
        <v>14</v>
      </c>
      <c r="N20" s="3">
        <v>98.36</v>
      </c>
      <c r="O20" s="3">
        <v>21.917808219178081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4"/>
        <v>32</v>
      </c>
      <c r="J21" s="3">
        <f t="shared" si="5"/>
        <v>9</v>
      </c>
      <c r="K21" s="3">
        <f t="shared" si="6"/>
        <v>23</v>
      </c>
      <c r="L21" s="3" t="str">
        <f t="shared" si="3"/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4"/>
        <v>12</v>
      </c>
      <c r="J22" s="3">
        <f t="shared" si="5"/>
        <v>9</v>
      </c>
      <c r="K22" s="3">
        <f t="shared" si="6"/>
        <v>3</v>
      </c>
      <c r="L22" s="3" t="str">
        <f t="shared" si="3"/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4"/>
        <v>32</v>
      </c>
      <c r="J23" s="3">
        <f t="shared" si="5"/>
        <v>9</v>
      </c>
      <c r="K23" s="3">
        <f t="shared" si="6"/>
        <v>23</v>
      </c>
      <c r="L23" s="3" t="str">
        <f t="shared" si="3"/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4"/>
        <v>37</v>
      </c>
      <c r="J24" s="3">
        <f t="shared" si="5"/>
        <v>9</v>
      </c>
      <c r="K24" s="3">
        <f t="shared" si="6"/>
        <v>28</v>
      </c>
      <c r="L24" s="3" t="str">
        <f t="shared" si="3"/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5">
        <v>46149</v>
      </c>
      <c r="B25" s="6" t="s">
        <v>20</v>
      </c>
      <c r="C25" s="3" t="s">
        <v>16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4"/>
        <v>15</v>
      </c>
      <c r="J25" s="3">
        <f t="shared" si="5"/>
        <v>9</v>
      </c>
      <c r="K25" s="3">
        <f t="shared" si="6"/>
        <v>6</v>
      </c>
      <c r="L25" s="3" t="str">
        <f t="shared" si="3"/>
        <v>EXCELENTE</v>
      </c>
      <c r="M25" s="3">
        <v>13</v>
      </c>
      <c r="N25" s="3">
        <v>100</v>
      </c>
      <c r="O25" s="3">
        <v>17.1875</v>
      </c>
    </row>
    <row r="26" spans="1:15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4"/>
        <v>15</v>
      </c>
      <c r="J26" s="3">
        <f t="shared" si="5"/>
        <v>9</v>
      </c>
      <c r="K26" s="3">
        <f t="shared" si="6"/>
        <v>6</v>
      </c>
      <c r="L26" s="3" t="str">
        <f t="shared" si="3"/>
        <v>EXCELENTE</v>
      </c>
      <c r="M26" s="3">
        <v>13</v>
      </c>
      <c r="N26" s="3">
        <v>98.36</v>
      </c>
      <c r="O26" s="3">
        <v>21.917808219178081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4"/>
        <v>35</v>
      </c>
      <c r="J27" s="3">
        <f t="shared" si="5"/>
        <v>8</v>
      </c>
      <c r="K27" s="3">
        <f t="shared" si="6"/>
        <v>27</v>
      </c>
      <c r="L27" s="3" t="str">
        <f t="shared" si="3"/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4"/>
        <v>9</v>
      </c>
      <c r="J28" s="3">
        <f t="shared" si="5"/>
        <v>8</v>
      </c>
      <c r="K28" s="3">
        <f t="shared" si="6"/>
        <v>1</v>
      </c>
      <c r="L28" s="3" t="str">
        <f t="shared" si="3"/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4"/>
        <v>8</v>
      </c>
      <c r="J29" s="3">
        <f t="shared" si="5"/>
        <v>8</v>
      </c>
      <c r="K29" s="3">
        <f t="shared" si="6"/>
        <v>0</v>
      </c>
      <c r="L29" s="3" t="str">
        <f t="shared" si="3"/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4"/>
        <v>34</v>
      </c>
      <c r="J30" s="3">
        <f t="shared" si="5"/>
        <v>8</v>
      </c>
      <c r="K30" s="3">
        <f t="shared" si="6"/>
        <v>26</v>
      </c>
      <c r="L30" s="3" t="str">
        <f t="shared" si="3"/>
        <v>EXCELENTE</v>
      </c>
      <c r="M30">
        <v>1</v>
      </c>
      <c r="N30">
        <v>100</v>
      </c>
      <c r="O30">
        <v>12.941176470588241</v>
      </c>
    </row>
    <row r="31" spans="1:15" hidden="1" x14ac:dyDescent="0.25">
      <c r="A31" s="5">
        <v>46150</v>
      </c>
      <c r="B31" s="6" t="s">
        <v>20</v>
      </c>
      <c r="C31" s="3" t="s">
        <v>16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4"/>
        <v>13</v>
      </c>
      <c r="J31" s="3">
        <f t="shared" si="5"/>
        <v>8</v>
      </c>
      <c r="K31" s="3">
        <f t="shared" si="6"/>
        <v>5</v>
      </c>
      <c r="L31" s="3" t="str">
        <f t="shared" si="3"/>
        <v>BOM</v>
      </c>
      <c r="M31">
        <v>9</v>
      </c>
      <c r="N31">
        <v>100</v>
      </c>
      <c r="O31">
        <v>17.1875</v>
      </c>
    </row>
    <row r="32" spans="1:15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4"/>
        <v>17</v>
      </c>
      <c r="J32" s="3">
        <f t="shared" si="5"/>
        <v>8</v>
      </c>
      <c r="K32" s="3">
        <f t="shared" si="6"/>
        <v>9</v>
      </c>
      <c r="L32" s="3" t="str">
        <f t="shared" si="3"/>
        <v>EXCELENTE</v>
      </c>
      <c r="M32">
        <v>11</v>
      </c>
      <c r="N32">
        <v>98.36</v>
      </c>
      <c r="O32">
        <v>21.917808219178081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4"/>
        <v>32</v>
      </c>
      <c r="J33" s="3">
        <f t="shared" si="5"/>
        <v>9</v>
      </c>
      <c r="K33" s="3">
        <f t="shared" si="6"/>
        <v>23</v>
      </c>
      <c r="L33" s="3" t="str">
        <f t="shared" si="3"/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4"/>
        <v>1</v>
      </c>
      <c r="J34" s="3">
        <f t="shared" si="5"/>
        <v>9</v>
      </c>
      <c r="K34" s="3">
        <f t="shared" si="6"/>
        <v>-8</v>
      </c>
      <c r="L34" s="3" t="str">
        <f t="shared" ref="L34:L65" si="7"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4"/>
        <v>5</v>
      </c>
      <c r="J35" s="3">
        <f t="shared" si="5"/>
        <v>9</v>
      </c>
      <c r="K35" s="3">
        <f t="shared" si="6"/>
        <v>-4</v>
      </c>
      <c r="L35" s="3" t="str">
        <f t="shared" si="7"/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4"/>
        <v>32</v>
      </c>
      <c r="J36" s="3">
        <f t="shared" si="5"/>
        <v>9</v>
      </c>
      <c r="K36" s="3">
        <f t="shared" si="6"/>
        <v>23</v>
      </c>
      <c r="L36" s="3" t="str">
        <f t="shared" si="7"/>
        <v>EXCELENTE</v>
      </c>
      <c r="M36">
        <v>4</v>
      </c>
      <c r="N36">
        <v>100</v>
      </c>
      <c r="O36">
        <v>12.941176470588241</v>
      </c>
    </row>
    <row r="37" spans="1:15" hidden="1" x14ac:dyDescent="0.25">
      <c r="A37" s="5">
        <v>46153</v>
      </c>
      <c r="B37" s="6" t="s">
        <v>20</v>
      </c>
      <c r="C37" s="3" t="s">
        <v>16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4"/>
        <v>7</v>
      </c>
      <c r="J37" s="3">
        <f t="shared" si="5"/>
        <v>9</v>
      </c>
      <c r="K37" s="3">
        <f t="shared" si="6"/>
        <v>-2</v>
      </c>
      <c r="L37" s="3" t="str">
        <f t="shared" si="7"/>
        <v>ATENÇÃO</v>
      </c>
      <c r="M37">
        <v>4</v>
      </c>
      <c r="N37">
        <v>100</v>
      </c>
      <c r="O37">
        <v>17.1875</v>
      </c>
    </row>
    <row r="38" spans="1:15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4"/>
        <v>16</v>
      </c>
      <c r="J38" s="3">
        <f t="shared" si="5"/>
        <v>9</v>
      </c>
      <c r="K38" s="3">
        <f t="shared" si="6"/>
        <v>7</v>
      </c>
      <c r="L38" s="3" t="str">
        <f t="shared" si="7"/>
        <v>EXCELENTE</v>
      </c>
      <c r="M38">
        <v>15</v>
      </c>
      <c r="N38">
        <v>98.36</v>
      </c>
      <c r="O38">
        <v>21.917808219178081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4"/>
        <v>25</v>
      </c>
      <c r="J39" s="3">
        <f t="shared" si="5"/>
        <v>9</v>
      </c>
      <c r="K39" s="3">
        <f t="shared" si="6"/>
        <v>16</v>
      </c>
      <c r="L39" s="3" t="str">
        <f t="shared" si="7"/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4"/>
        <v>7</v>
      </c>
      <c r="J40" s="3">
        <f t="shared" si="5"/>
        <v>9</v>
      </c>
      <c r="K40" s="3">
        <f t="shared" si="6"/>
        <v>-2</v>
      </c>
      <c r="L40" s="3" t="str">
        <f t="shared" si="7"/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4"/>
        <v>16</v>
      </c>
      <c r="J41" s="3">
        <f t="shared" si="5"/>
        <v>9</v>
      </c>
      <c r="K41" s="3">
        <f t="shared" si="6"/>
        <v>7</v>
      </c>
      <c r="L41" s="3" t="str">
        <f t="shared" si="7"/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4"/>
        <v>27</v>
      </c>
      <c r="J42" s="3">
        <f t="shared" si="5"/>
        <v>9</v>
      </c>
      <c r="K42" s="3">
        <f t="shared" si="6"/>
        <v>18</v>
      </c>
      <c r="L42" s="3" t="str">
        <f t="shared" si="7"/>
        <v>EXCELENTE</v>
      </c>
      <c r="M42">
        <v>1</v>
      </c>
      <c r="N42">
        <v>100</v>
      </c>
      <c r="O42">
        <v>12.941176470588241</v>
      </c>
    </row>
    <row r="43" spans="1:15" hidden="1" x14ac:dyDescent="0.25">
      <c r="A43" s="5">
        <v>46154</v>
      </c>
      <c r="B43" s="6" t="s">
        <v>20</v>
      </c>
      <c r="C43" s="3" t="s">
        <v>16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4"/>
        <v>7</v>
      </c>
      <c r="J43" s="3">
        <f t="shared" si="5"/>
        <v>9</v>
      </c>
      <c r="K43" s="3">
        <f t="shared" si="6"/>
        <v>-2</v>
      </c>
      <c r="L43" s="3" t="str">
        <f t="shared" si="7"/>
        <v>ATENÇÃO</v>
      </c>
      <c r="M43">
        <v>4</v>
      </c>
      <c r="N43">
        <v>100</v>
      </c>
      <c r="O43">
        <v>17.1875</v>
      </c>
    </row>
    <row r="44" spans="1:15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8">E44+G44+H44</f>
        <v>17</v>
      </c>
      <c r="J44" s="3">
        <f t="shared" ref="J44:J75" si="9"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10">I44-J44</f>
        <v>8</v>
      </c>
      <c r="L44" s="3" t="str">
        <f t="shared" si="7"/>
        <v>EXCELENTE</v>
      </c>
      <c r="M44">
        <v>13</v>
      </c>
      <c r="N44">
        <v>98.36</v>
      </c>
      <c r="O44">
        <v>21.917808219178081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8"/>
        <v>23</v>
      </c>
      <c r="J45" s="3">
        <f t="shared" si="9"/>
        <v>8</v>
      </c>
      <c r="K45" s="3">
        <f t="shared" si="10"/>
        <v>15</v>
      </c>
      <c r="L45" s="3" t="str">
        <f t="shared" si="7"/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8"/>
        <v>5</v>
      </c>
      <c r="J46" s="3">
        <f t="shared" si="9"/>
        <v>8</v>
      </c>
      <c r="K46" s="3">
        <f t="shared" si="10"/>
        <v>-3</v>
      </c>
      <c r="L46" s="3" t="str">
        <f t="shared" si="7"/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8"/>
        <v>19</v>
      </c>
      <c r="J47" s="3">
        <f t="shared" si="9"/>
        <v>8</v>
      </c>
      <c r="K47" s="3">
        <f t="shared" si="10"/>
        <v>11</v>
      </c>
      <c r="L47" s="3" t="str">
        <f t="shared" si="7"/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8"/>
        <v>23</v>
      </c>
      <c r="J48" s="3">
        <f t="shared" si="9"/>
        <v>8</v>
      </c>
      <c r="K48" s="3">
        <f t="shared" si="10"/>
        <v>15</v>
      </c>
      <c r="L48" s="3" t="str">
        <f t="shared" si="7"/>
        <v>EXCELENTE</v>
      </c>
      <c r="M48">
        <v>1</v>
      </c>
      <c r="N48">
        <v>100</v>
      </c>
      <c r="O48">
        <v>12.941176470588241</v>
      </c>
    </row>
    <row r="49" spans="1:15" hidden="1" x14ac:dyDescent="0.25">
      <c r="A49" s="5">
        <v>46155</v>
      </c>
      <c r="B49" s="6" t="s">
        <v>20</v>
      </c>
      <c r="C49" s="3" t="s">
        <v>16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8"/>
        <v>6</v>
      </c>
      <c r="J49" s="3">
        <f t="shared" si="9"/>
        <v>8</v>
      </c>
      <c r="K49" s="3">
        <f t="shared" si="10"/>
        <v>-2</v>
      </c>
      <c r="L49" s="3" t="str">
        <f t="shared" si="7"/>
        <v>ATENÇÃO</v>
      </c>
      <c r="M49">
        <v>5</v>
      </c>
      <c r="N49">
        <v>100</v>
      </c>
      <c r="O49">
        <v>17.1875</v>
      </c>
    </row>
    <row r="50" spans="1:15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8"/>
        <v>18</v>
      </c>
      <c r="J50" s="3">
        <f t="shared" si="9"/>
        <v>8</v>
      </c>
      <c r="K50" s="3">
        <f t="shared" si="10"/>
        <v>10</v>
      </c>
      <c r="L50" s="3" t="str">
        <f t="shared" si="7"/>
        <v>EXCELENTE</v>
      </c>
      <c r="M50">
        <v>13</v>
      </c>
      <c r="N50">
        <v>98.36</v>
      </c>
      <c r="O50">
        <v>21.917808219178081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8"/>
        <v>29</v>
      </c>
      <c r="J51" s="3">
        <f t="shared" si="9"/>
        <v>8</v>
      </c>
      <c r="K51" s="3">
        <f t="shared" si="10"/>
        <v>21</v>
      </c>
      <c r="L51" s="3" t="str">
        <f t="shared" si="7"/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8"/>
        <v>9</v>
      </c>
      <c r="J52" s="3">
        <f t="shared" si="9"/>
        <v>8</v>
      </c>
      <c r="K52" s="3">
        <f t="shared" si="10"/>
        <v>1</v>
      </c>
      <c r="L52" s="3" t="str">
        <f t="shared" si="7"/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8"/>
        <v>15</v>
      </c>
      <c r="J53" s="3">
        <f t="shared" si="9"/>
        <v>8</v>
      </c>
      <c r="K53" s="3">
        <f t="shared" si="10"/>
        <v>7</v>
      </c>
      <c r="L53" s="3" t="str">
        <f t="shared" si="7"/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8"/>
        <v>43</v>
      </c>
      <c r="J54" s="3">
        <f t="shared" si="9"/>
        <v>8</v>
      </c>
      <c r="K54" s="3">
        <f t="shared" si="10"/>
        <v>35</v>
      </c>
      <c r="L54" s="3" t="str">
        <f t="shared" si="7"/>
        <v>EXCELENTE</v>
      </c>
      <c r="M54">
        <v>2</v>
      </c>
      <c r="N54">
        <v>100</v>
      </c>
      <c r="O54">
        <v>12.941176470588241</v>
      </c>
    </row>
    <row r="55" spans="1:15" hidden="1" x14ac:dyDescent="0.25">
      <c r="A55" s="5">
        <v>46156</v>
      </c>
      <c r="B55" s="6" t="s">
        <v>20</v>
      </c>
      <c r="C55" s="3" t="s">
        <v>16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8"/>
        <v>4</v>
      </c>
      <c r="J55" s="3">
        <f t="shared" si="9"/>
        <v>8</v>
      </c>
      <c r="K55" s="3">
        <f t="shared" si="10"/>
        <v>-4</v>
      </c>
      <c r="L55" s="3" t="str">
        <f t="shared" si="7"/>
        <v>ATENÇÃO</v>
      </c>
      <c r="M55">
        <v>3</v>
      </c>
      <c r="N55">
        <v>100</v>
      </c>
      <c r="O55">
        <v>17.1875</v>
      </c>
    </row>
    <row r="56" spans="1:15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8"/>
        <v>18</v>
      </c>
      <c r="J56" s="3">
        <f t="shared" si="9"/>
        <v>8</v>
      </c>
      <c r="K56" s="3">
        <f t="shared" si="10"/>
        <v>10</v>
      </c>
      <c r="L56" s="3" t="str">
        <f t="shared" si="7"/>
        <v>EXCELENTE</v>
      </c>
      <c r="M56">
        <v>15</v>
      </c>
      <c r="N56">
        <v>98.36</v>
      </c>
      <c r="O56">
        <v>21.917808219178081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8"/>
        <v>40</v>
      </c>
      <c r="J57" s="3">
        <f t="shared" si="9"/>
        <v>8</v>
      </c>
      <c r="K57" s="3">
        <f t="shared" si="10"/>
        <v>32</v>
      </c>
      <c r="L57" s="3" t="str">
        <f t="shared" si="7"/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8"/>
        <v>10</v>
      </c>
      <c r="J58" s="3">
        <f t="shared" si="9"/>
        <v>8</v>
      </c>
      <c r="K58" s="3">
        <f t="shared" si="10"/>
        <v>2</v>
      </c>
      <c r="L58" s="3" t="str">
        <f t="shared" si="7"/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8"/>
        <v>24</v>
      </c>
      <c r="J59" s="3">
        <f t="shared" si="9"/>
        <v>8</v>
      </c>
      <c r="K59" s="3">
        <f t="shared" si="10"/>
        <v>16</v>
      </c>
      <c r="L59" s="3" t="str">
        <f t="shared" si="7"/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8"/>
        <v>32</v>
      </c>
      <c r="J60" s="3">
        <f t="shared" si="9"/>
        <v>8</v>
      </c>
      <c r="K60" s="3">
        <f t="shared" si="10"/>
        <v>24</v>
      </c>
      <c r="L60" s="3" t="str">
        <f t="shared" si="7"/>
        <v>EXCELENTE</v>
      </c>
      <c r="M60">
        <v>1</v>
      </c>
      <c r="N60">
        <v>100</v>
      </c>
      <c r="O60">
        <v>12.941176470588241</v>
      </c>
    </row>
    <row r="61" spans="1:15" hidden="1" x14ac:dyDescent="0.25">
      <c r="A61" s="5">
        <v>46157</v>
      </c>
      <c r="B61" s="6" t="s">
        <v>20</v>
      </c>
      <c r="C61" s="3" t="s">
        <v>16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8"/>
        <v>8</v>
      </c>
      <c r="J61" s="3">
        <f t="shared" si="9"/>
        <v>8</v>
      </c>
      <c r="K61" s="3">
        <f t="shared" si="10"/>
        <v>0</v>
      </c>
      <c r="L61" s="3" t="str">
        <f t="shared" si="7"/>
        <v>BOM</v>
      </c>
      <c r="M61">
        <v>7</v>
      </c>
      <c r="N61">
        <v>100</v>
      </c>
      <c r="O61">
        <v>17.1875</v>
      </c>
    </row>
    <row r="62" spans="1:15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8"/>
        <v>15</v>
      </c>
      <c r="J62" s="3">
        <f t="shared" si="9"/>
        <v>8</v>
      </c>
      <c r="K62" s="3">
        <f t="shared" si="10"/>
        <v>7</v>
      </c>
      <c r="L62" s="3" t="str">
        <f t="shared" si="7"/>
        <v>EXCELENTE</v>
      </c>
      <c r="M62">
        <v>14</v>
      </c>
      <c r="N62">
        <v>98.36</v>
      </c>
      <c r="O62">
        <v>21.917808219178081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8"/>
        <v>6</v>
      </c>
      <c r="J63" s="3">
        <f t="shared" si="9"/>
        <v>7</v>
      </c>
      <c r="K63" s="3">
        <f t="shared" si="10"/>
        <v>-1</v>
      </c>
      <c r="L63" s="3" t="str">
        <f t="shared" si="7"/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8"/>
        <v>13</v>
      </c>
      <c r="J64" s="3">
        <f t="shared" si="9"/>
        <v>7</v>
      </c>
      <c r="K64" s="3">
        <f t="shared" si="10"/>
        <v>6</v>
      </c>
      <c r="L64" s="3" t="str">
        <f t="shared" si="7"/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8"/>
        <v>45</v>
      </c>
      <c r="J65" s="3">
        <f t="shared" si="9"/>
        <v>7</v>
      </c>
      <c r="K65" s="3">
        <f t="shared" si="10"/>
        <v>38</v>
      </c>
      <c r="L65" s="3" t="str">
        <f t="shared" si="7"/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8"/>
        <v>19</v>
      </c>
      <c r="J66" s="3">
        <f t="shared" si="9"/>
        <v>17</v>
      </c>
      <c r="K66" s="3">
        <f t="shared" si="10"/>
        <v>2</v>
      </c>
      <c r="L66" s="3" t="str">
        <f t="shared" ref="L66:L97" si="11"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hidden="1" x14ac:dyDescent="0.25">
      <c r="A67" s="5">
        <v>46160</v>
      </c>
      <c r="B67" s="6" t="s">
        <v>20</v>
      </c>
      <c r="C67" s="3" t="s">
        <v>16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8"/>
        <v>7</v>
      </c>
      <c r="J67" s="3">
        <f t="shared" si="9"/>
        <v>7</v>
      </c>
      <c r="K67" s="3">
        <f t="shared" si="10"/>
        <v>0</v>
      </c>
      <c r="L67" s="3" t="str">
        <f t="shared" si="11"/>
        <v>BOM</v>
      </c>
      <c r="M67">
        <v>6</v>
      </c>
      <c r="N67">
        <v>100</v>
      </c>
      <c r="O67">
        <v>17.1875</v>
      </c>
    </row>
    <row r="68" spans="1:15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8"/>
        <v>13</v>
      </c>
      <c r="J68" s="3">
        <f t="shared" si="9"/>
        <v>7</v>
      </c>
      <c r="K68" s="3">
        <f t="shared" si="10"/>
        <v>6</v>
      </c>
      <c r="L68" s="3" t="str">
        <f t="shared" si="11"/>
        <v>EXCELENTE</v>
      </c>
      <c r="M68">
        <v>9</v>
      </c>
      <c r="N68">
        <v>98.36</v>
      </c>
      <c r="O68">
        <v>21.917808219178081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8"/>
        <v>9</v>
      </c>
      <c r="J69" s="3">
        <f t="shared" si="9"/>
        <v>8</v>
      </c>
      <c r="K69" s="3">
        <f t="shared" si="10"/>
        <v>1</v>
      </c>
      <c r="L69" s="3" t="str">
        <f t="shared" si="11"/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8"/>
        <v>5</v>
      </c>
      <c r="J70" s="3">
        <f t="shared" si="9"/>
        <v>8</v>
      </c>
      <c r="K70" s="3">
        <f t="shared" si="10"/>
        <v>-3</v>
      </c>
      <c r="L70" s="3" t="str">
        <f t="shared" si="11"/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8"/>
        <v>24</v>
      </c>
      <c r="J71" s="3">
        <f t="shared" si="9"/>
        <v>8</v>
      </c>
      <c r="K71" s="3">
        <f t="shared" si="10"/>
        <v>16</v>
      </c>
      <c r="L71" s="3" t="str">
        <f t="shared" si="11"/>
        <v>EXCELENTE</v>
      </c>
      <c r="M71">
        <v>12</v>
      </c>
      <c r="N71">
        <v>100</v>
      </c>
      <c r="O71">
        <v>12.941176470588241</v>
      </c>
    </row>
    <row r="72" spans="1:15" hidden="1" x14ac:dyDescent="0.25">
      <c r="A72" s="7">
        <v>46161</v>
      </c>
      <c r="B72" s="8" t="s">
        <v>20</v>
      </c>
      <c r="C72" s="9" t="s">
        <v>16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8"/>
        <v>13</v>
      </c>
      <c r="J72" s="3">
        <f t="shared" si="9"/>
        <v>8</v>
      </c>
      <c r="K72" s="3">
        <f t="shared" si="10"/>
        <v>5</v>
      </c>
      <c r="L72" s="3" t="str">
        <f t="shared" si="11"/>
        <v>BOM</v>
      </c>
      <c r="M72">
        <v>9</v>
      </c>
      <c r="N72">
        <v>100</v>
      </c>
      <c r="O72">
        <v>17.1875</v>
      </c>
    </row>
    <row r="73" spans="1:15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8"/>
        <v>19</v>
      </c>
      <c r="J73" s="3">
        <f t="shared" si="9"/>
        <v>8</v>
      </c>
      <c r="K73" s="3">
        <f t="shared" si="10"/>
        <v>11</v>
      </c>
      <c r="L73" s="3" t="str">
        <f t="shared" si="11"/>
        <v>EXCELENTE</v>
      </c>
      <c r="M73">
        <v>16</v>
      </c>
      <c r="N73">
        <v>98.36</v>
      </c>
      <c r="O73">
        <v>21.917808219178081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8"/>
        <v>10</v>
      </c>
      <c r="J74" s="3">
        <f t="shared" si="9"/>
        <v>7</v>
      </c>
      <c r="K74" s="3">
        <f t="shared" si="10"/>
        <v>3</v>
      </c>
      <c r="L74" s="3" t="str">
        <f t="shared" ref="L74:L109" si="12"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8"/>
        <v>4</v>
      </c>
      <c r="J75" s="3">
        <f t="shared" si="9"/>
        <v>7</v>
      </c>
      <c r="K75" s="3">
        <f t="shared" si="10"/>
        <v>-3</v>
      </c>
      <c r="L75" s="3" t="str">
        <f t="shared" si="12"/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107" si="13">E76+G76+H76</f>
        <v>10</v>
      </c>
      <c r="J76" s="3">
        <f t="shared" ref="J76:J88" si="14"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107" si="15">I76-J76</f>
        <v>3</v>
      </c>
      <c r="L76" s="3" t="str">
        <f t="shared" si="12"/>
        <v>OPORTUNO</v>
      </c>
      <c r="M76" s="9">
        <v>5</v>
      </c>
      <c r="N76" s="9">
        <v>100</v>
      </c>
      <c r="O76" s="9">
        <v>12.941176470588241</v>
      </c>
    </row>
    <row r="77" spans="1:15" hidden="1" x14ac:dyDescent="0.25">
      <c r="A77" s="7">
        <v>46162</v>
      </c>
      <c r="B77" s="8" t="s">
        <v>20</v>
      </c>
      <c r="C77" s="9" t="s">
        <v>16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3"/>
        <v>17</v>
      </c>
      <c r="J77" s="3">
        <f t="shared" si="14"/>
        <v>7</v>
      </c>
      <c r="K77" s="3">
        <f t="shared" si="15"/>
        <v>10</v>
      </c>
      <c r="L77" s="3" t="str">
        <f t="shared" si="12"/>
        <v>MUITO BOM</v>
      </c>
      <c r="M77" s="9">
        <v>14</v>
      </c>
      <c r="N77" s="9">
        <v>100</v>
      </c>
      <c r="O77" s="9">
        <v>17.1875</v>
      </c>
    </row>
    <row r="78" spans="1:15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3"/>
        <v>15</v>
      </c>
      <c r="J78" s="3">
        <f t="shared" si="14"/>
        <v>7</v>
      </c>
      <c r="K78" s="3">
        <f t="shared" si="15"/>
        <v>8</v>
      </c>
      <c r="L78" s="3" t="str">
        <f t="shared" si="12"/>
        <v>MUITO BOM</v>
      </c>
      <c r="M78" s="9">
        <v>13</v>
      </c>
      <c r="N78" s="9">
        <v>98.36</v>
      </c>
      <c r="O78" s="9">
        <v>21.917808219178081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3"/>
        <v>6</v>
      </c>
      <c r="J79" s="3">
        <f t="shared" si="14"/>
        <v>6</v>
      </c>
      <c r="K79" s="3">
        <f t="shared" si="15"/>
        <v>0</v>
      </c>
      <c r="L79" s="3" t="str">
        <f t="shared" si="12"/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3"/>
        <v>8</v>
      </c>
      <c r="J80" s="3">
        <f t="shared" si="14"/>
        <v>6</v>
      </c>
      <c r="K80" s="3">
        <f t="shared" si="15"/>
        <v>2</v>
      </c>
      <c r="L80" s="3" t="str">
        <f t="shared" si="12"/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3"/>
        <v>12</v>
      </c>
      <c r="J81" s="3">
        <f t="shared" si="14"/>
        <v>6</v>
      </c>
      <c r="K81" s="3">
        <f t="shared" si="15"/>
        <v>6</v>
      </c>
      <c r="L81" s="3" t="str">
        <f t="shared" si="12"/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5">
        <v>46163</v>
      </c>
      <c r="B82" s="6" t="s">
        <v>20</v>
      </c>
      <c r="C82" s="3" t="s">
        <v>16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3"/>
        <v>13</v>
      </c>
      <c r="J82" s="3">
        <f t="shared" si="14"/>
        <v>6</v>
      </c>
      <c r="K82" s="3">
        <f t="shared" si="15"/>
        <v>7</v>
      </c>
      <c r="L82" s="3" t="str">
        <f t="shared" si="12"/>
        <v>MUITO BOM</v>
      </c>
      <c r="M82" s="3">
        <v>8</v>
      </c>
      <c r="N82" s="3">
        <v>100</v>
      </c>
      <c r="O82" s="3">
        <v>17.1875</v>
      </c>
    </row>
    <row r="83" spans="1:15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3"/>
        <v>18</v>
      </c>
      <c r="J83" s="3">
        <f t="shared" si="14"/>
        <v>6</v>
      </c>
      <c r="K83" s="3">
        <f t="shared" si="15"/>
        <v>12</v>
      </c>
      <c r="L83" s="3" t="str">
        <f t="shared" si="12"/>
        <v>MUITO BOM</v>
      </c>
      <c r="M83" s="3">
        <v>13</v>
      </c>
      <c r="N83" s="3">
        <v>98.36</v>
      </c>
      <c r="O83" s="3">
        <v>21.917808219178081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3"/>
        <v>7</v>
      </c>
      <c r="J84" s="3">
        <f t="shared" si="14"/>
        <v>6</v>
      </c>
      <c r="K84" s="3">
        <f t="shared" si="15"/>
        <v>1</v>
      </c>
      <c r="L84" s="3" t="str">
        <f t="shared" si="12"/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3"/>
        <v>6</v>
      </c>
      <c r="J85" s="3">
        <f t="shared" si="14"/>
        <v>6</v>
      </c>
      <c r="K85" s="3">
        <f t="shared" si="15"/>
        <v>0</v>
      </c>
      <c r="L85" s="3" t="str">
        <f t="shared" si="12"/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3"/>
        <v>8</v>
      </c>
      <c r="J86" s="3">
        <f t="shared" si="14"/>
        <v>6</v>
      </c>
      <c r="K86" s="3">
        <f t="shared" si="15"/>
        <v>2</v>
      </c>
      <c r="L86" s="3" t="str">
        <f t="shared" si="12"/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0">
        <v>46164</v>
      </c>
      <c r="B87" s="6" t="s">
        <v>20</v>
      </c>
      <c r="C87" s="3" t="s">
        <v>16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3"/>
        <v>14</v>
      </c>
      <c r="J87" s="3">
        <f t="shared" si="14"/>
        <v>6</v>
      </c>
      <c r="K87" s="3">
        <f t="shared" si="15"/>
        <v>8</v>
      </c>
      <c r="L87" s="3" t="str">
        <f t="shared" si="12"/>
        <v>MUITO BOM</v>
      </c>
      <c r="M87" s="3">
        <v>11</v>
      </c>
      <c r="N87" s="3">
        <v>100</v>
      </c>
      <c r="O87" s="3">
        <v>17.1875</v>
      </c>
    </row>
    <row r="88" spans="1:15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3"/>
        <v>15</v>
      </c>
      <c r="J88" s="3">
        <f t="shared" si="14"/>
        <v>6</v>
      </c>
      <c r="K88" s="3">
        <f t="shared" si="15"/>
        <v>9</v>
      </c>
      <c r="L88" s="3" t="str">
        <f t="shared" si="12"/>
        <v>MUITO BOM</v>
      </c>
      <c r="M88" s="3">
        <v>9</v>
      </c>
      <c r="N88" s="3">
        <v>98.36</v>
      </c>
      <c r="O88" s="3">
        <v>21.917808219178081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12"/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12"/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12"/>
        <v>OPORTUNO</v>
      </c>
      <c r="M91">
        <v>6</v>
      </c>
      <c r="N91">
        <v>100</v>
      </c>
      <c r="O91">
        <v>12.941176470588241</v>
      </c>
    </row>
    <row r="92" spans="1:15" hidden="1" x14ac:dyDescent="0.25">
      <c r="A92" s="11">
        <v>46167</v>
      </c>
      <c r="B92" t="s">
        <v>20</v>
      </c>
      <c r="C92" t="s">
        <v>16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12"/>
        <v>OPORTUNO</v>
      </c>
      <c r="M92">
        <v>5</v>
      </c>
      <c r="N92">
        <v>100</v>
      </c>
      <c r="O92">
        <v>17.1875</v>
      </c>
    </row>
    <row r="93" spans="1:15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12"/>
        <v>OPORTUNO</v>
      </c>
      <c r="M93">
        <v>11</v>
      </c>
      <c r="N93">
        <v>98.36</v>
      </c>
      <c r="O93">
        <v>21.917808219178081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12"/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12"/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12"/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12"/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12"/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12"/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12"/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6">E101+G101+H101</f>
        <v>27</v>
      </c>
      <c r="J101" s="3">
        <f t="shared" ref="J101:J110" si="17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8">I101-J101</f>
        <v>17</v>
      </c>
      <c r="L101" s="3" t="str">
        <f t="shared" si="12"/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6"/>
        <v>9</v>
      </c>
      <c r="J102" s="3">
        <f t="shared" si="17"/>
        <v>10</v>
      </c>
      <c r="K102" s="3">
        <f t="shared" si="18"/>
        <v>-1</v>
      </c>
      <c r="L102" s="3" t="str">
        <f t="shared" si="12"/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6"/>
        <v>6</v>
      </c>
      <c r="J103" s="3">
        <f t="shared" si="17"/>
        <v>10</v>
      </c>
      <c r="K103" s="3">
        <f t="shared" si="18"/>
        <v>-4</v>
      </c>
      <c r="L103" s="3" t="str">
        <f t="shared" si="12"/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6"/>
        <v>47</v>
      </c>
      <c r="J104" s="3">
        <f t="shared" si="17"/>
        <v>10</v>
      </c>
      <c r="K104" s="3">
        <f t="shared" si="18"/>
        <v>37</v>
      </c>
      <c r="L104" s="3" t="str">
        <f t="shared" si="12"/>
        <v>MUITO BOM</v>
      </c>
      <c r="M104">
        <v>3</v>
      </c>
      <c r="N104">
        <v>100</v>
      </c>
      <c r="O104">
        <v>25</v>
      </c>
    </row>
    <row r="105" spans="1:15" hidden="1" x14ac:dyDescent="0.25">
      <c r="A105" s="11">
        <v>46140</v>
      </c>
      <c r="B105" t="s">
        <v>20</v>
      </c>
      <c r="C105" t="s">
        <v>16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6"/>
        <v>13</v>
      </c>
      <c r="J105" s="3">
        <f t="shared" si="17"/>
        <v>10</v>
      </c>
      <c r="K105" s="3">
        <f t="shared" si="18"/>
        <v>3</v>
      </c>
      <c r="L105" s="3" t="str">
        <f t="shared" si="12"/>
        <v>OPORTUNO</v>
      </c>
      <c r="M105">
        <v>10</v>
      </c>
      <c r="N105">
        <v>100</v>
      </c>
      <c r="O105">
        <v>23.77622377622378</v>
      </c>
    </row>
    <row r="106" spans="1:15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6"/>
        <v>13</v>
      </c>
      <c r="J106" s="3">
        <f t="shared" si="17"/>
        <v>10</v>
      </c>
      <c r="K106" s="3">
        <f t="shared" si="18"/>
        <v>3</v>
      </c>
      <c r="L106" s="3" t="str">
        <f t="shared" si="12"/>
        <v>OPORTUNO</v>
      </c>
      <c r="M106">
        <v>9</v>
      </c>
      <c r="N106">
        <v>94.12</v>
      </c>
      <c r="O106">
        <v>32.799999999999997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6"/>
        <v>31</v>
      </c>
      <c r="J107" s="3">
        <f t="shared" si="17"/>
        <v>10</v>
      </c>
      <c r="K107" s="3">
        <f t="shared" si="18"/>
        <v>21</v>
      </c>
      <c r="L107" s="3" t="str">
        <f t="shared" si="12"/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6"/>
        <v>17</v>
      </c>
      <c r="J108" s="3">
        <f t="shared" si="17"/>
        <v>10</v>
      </c>
      <c r="K108" s="3">
        <f t="shared" si="18"/>
        <v>7</v>
      </c>
      <c r="L108" s="3" t="str">
        <f t="shared" si="12"/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6"/>
        <v>8</v>
      </c>
      <c r="J109" s="3">
        <f t="shared" si="17"/>
        <v>10</v>
      </c>
      <c r="K109" s="3">
        <f t="shared" si="18"/>
        <v>-2</v>
      </c>
      <c r="L109" s="3" t="str">
        <f t="shared" si="12"/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6"/>
        <v>33</v>
      </c>
      <c r="J110" s="3">
        <f t="shared" si="17"/>
        <v>17</v>
      </c>
      <c r="K110" s="3">
        <f t="shared" si="18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9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20">E112+G112+H112</f>
        <v>34</v>
      </c>
      <c r="J112" s="3">
        <f t="shared" ref="J112:J120" si="21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22">I112-J112</f>
        <v>24</v>
      </c>
      <c r="L112" s="3" t="str">
        <f t="shared" si="19"/>
        <v>MUITO BOM</v>
      </c>
      <c r="M112">
        <v>0</v>
      </c>
      <c r="N112">
        <v>100</v>
      </c>
      <c r="O112">
        <v>25</v>
      </c>
    </row>
    <row r="113" spans="1:15" hidden="1" x14ac:dyDescent="0.25">
      <c r="A113" s="11">
        <v>46141</v>
      </c>
      <c r="B113" t="s">
        <v>20</v>
      </c>
      <c r="C113" t="s">
        <v>16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20"/>
        <v>15</v>
      </c>
      <c r="J113" s="3">
        <f t="shared" si="21"/>
        <v>10</v>
      </c>
      <c r="K113" s="3">
        <f t="shared" si="22"/>
        <v>5</v>
      </c>
      <c r="L113" s="3" t="str">
        <f t="shared" si="19"/>
        <v>OPORTUNO</v>
      </c>
      <c r="M113">
        <v>11</v>
      </c>
      <c r="N113">
        <v>100</v>
      </c>
      <c r="O113">
        <v>23.77622377622378</v>
      </c>
    </row>
    <row r="114" spans="1:15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20"/>
        <v>17</v>
      </c>
      <c r="J114" s="3">
        <f t="shared" si="21"/>
        <v>10</v>
      </c>
      <c r="K114" s="3">
        <f t="shared" si="22"/>
        <v>7</v>
      </c>
      <c r="L114" s="3" t="str">
        <f t="shared" si="19"/>
        <v>MUITO BOM</v>
      </c>
      <c r="M114">
        <v>11</v>
      </c>
      <c r="N114">
        <v>94.12</v>
      </c>
      <c r="O114">
        <v>32.799999999999997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20"/>
        <v>33</v>
      </c>
      <c r="J115" s="3">
        <f t="shared" si="21"/>
        <v>9</v>
      </c>
      <c r="K115" s="3">
        <f t="shared" si="22"/>
        <v>24</v>
      </c>
      <c r="L115" s="3" t="str">
        <f t="shared" si="19"/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20"/>
        <v>6</v>
      </c>
      <c r="J116" s="3">
        <f t="shared" si="21"/>
        <v>9</v>
      </c>
      <c r="K116" s="3">
        <f t="shared" si="22"/>
        <v>-3</v>
      </c>
      <c r="L116" s="3" t="str">
        <f t="shared" si="19"/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20"/>
        <v>23</v>
      </c>
      <c r="J117" s="3">
        <f t="shared" si="21"/>
        <v>9</v>
      </c>
      <c r="K117" s="3">
        <f t="shared" si="22"/>
        <v>14</v>
      </c>
      <c r="L117" s="3" t="str">
        <f t="shared" si="19"/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20"/>
        <v>46</v>
      </c>
      <c r="J118" s="3">
        <f t="shared" si="21"/>
        <v>9</v>
      </c>
      <c r="K118" s="3">
        <f t="shared" si="22"/>
        <v>37</v>
      </c>
      <c r="L118" s="3" t="str">
        <f t="shared" si="19"/>
        <v>MUITO BOM</v>
      </c>
      <c r="M118">
        <v>0</v>
      </c>
      <c r="N118">
        <v>100</v>
      </c>
      <c r="O118">
        <v>25</v>
      </c>
    </row>
    <row r="119" spans="1:15" hidden="1" x14ac:dyDescent="0.25">
      <c r="A119" s="11">
        <v>46142</v>
      </c>
      <c r="B119" t="s">
        <v>20</v>
      </c>
      <c r="C119" t="s">
        <v>16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20"/>
        <v>17</v>
      </c>
      <c r="J119" s="3">
        <f t="shared" si="21"/>
        <v>9</v>
      </c>
      <c r="K119" s="3">
        <f t="shared" si="22"/>
        <v>8</v>
      </c>
      <c r="L119" s="3" t="str">
        <f t="shared" si="19"/>
        <v>MUITO BOM</v>
      </c>
      <c r="M119">
        <v>7</v>
      </c>
      <c r="N119">
        <v>100</v>
      </c>
      <c r="O119">
        <v>23.77622377622378</v>
      </c>
    </row>
    <row r="120" spans="1:15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20"/>
        <v>17</v>
      </c>
      <c r="J120" s="3">
        <f t="shared" si="21"/>
        <v>9</v>
      </c>
      <c r="K120" s="3">
        <f t="shared" si="22"/>
        <v>8</v>
      </c>
      <c r="L120" s="3" t="str">
        <f t="shared" si="19"/>
        <v>MUITO BOM</v>
      </c>
      <c r="M120">
        <v>13</v>
      </c>
      <c r="N120">
        <v>94.12</v>
      </c>
      <c r="O120">
        <v>32.799999999999997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H121" s="3"/>
      <c r="I121" s="3"/>
      <c r="J121" s="3"/>
      <c r="K121" s="3"/>
      <c r="L121" s="3"/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H122" s="3"/>
      <c r="I122" s="3"/>
      <c r="J122" s="3"/>
      <c r="K122" s="3"/>
      <c r="L122" s="3"/>
      <c r="M122">
        <v>6</v>
      </c>
      <c r="N122">
        <v>100</v>
      </c>
      <c r="O122">
        <v>28.94736842105263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H123" s="3"/>
      <c r="I123" s="3"/>
      <c r="J123" s="3"/>
      <c r="K123" s="3"/>
      <c r="L123" s="3"/>
      <c r="M123">
        <v>20</v>
      </c>
      <c r="N123">
        <v>100</v>
      </c>
      <c r="O123">
        <v>12.941176470588241</v>
      </c>
    </row>
    <row r="124" spans="1:15" hidden="1" x14ac:dyDescent="0.25">
      <c r="A124" s="11">
        <v>46168</v>
      </c>
      <c r="B124" t="s">
        <v>20</v>
      </c>
      <c r="C124" t="s">
        <v>16</v>
      </c>
      <c r="D124">
        <v>15</v>
      </c>
      <c r="E124">
        <v>15</v>
      </c>
      <c r="F124">
        <v>32.39</v>
      </c>
      <c r="G124">
        <v>0</v>
      </c>
      <c r="H124" s="3"/>
      <c r="I124" s="3"/>
      <c r="J124" s="3"/>
      <c r="K124" s="3"/>
      <c r="L124" s="3"/>
      <c r="M124">
        <v>10</v>
      </c>
      <c r="N124">
        <v>100</v>
      </c>
      <c r="O124">
        <v>17.1875</v>
      </c>
    </row>
    <row r="125" spans="1:15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H125" s="3"/>
      <c r="I125" s="3"/>
      <c r="J125" s="3"/>
      <c r="K125" s="3"/>
      <c r="L125" s="3"/>
      <c r="M125">
        <v>12</v>
      </c>
      <c r="N125">
        <v>98.36</v>
      </c>
      <c r="O125">
        <v>21.917808219178081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H126" s="3"/>
      <c r="I126" s="3"/>
      <c r="J126" s="3"/>
      <c r="K126" s="3"/>
      <c r="L126" s="3"/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23">E127+G127+H127</f>
        <v>24</v>
      </c>
      <c r="J127" s="3">
        <f t="shared" ref="J127:J138" si="24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25">I127-J127</f>
        <v>4</v>
      </c>
      <c r="L127" s="3" t="str">
        <f t="shared" ref="L127:L158" si="26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23"/>
        <v>15</v>
      </c>
      <c r="J128" s="3">
        <f t="shared" si="24"/>
        <v>20</v>
      </c>
      <c r="K128" s="3">
        <f t="shared" si="25"/>
        <v>-5</v>
      </c>
      <c r="L128" s="3" t="str">
        <f t="shared" si="26"/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23"/>
        <v>23</v>
      </c>
      <c r="J129" s="3">
        <f t="shared" si="24"/>
        <v>20</v>
      </c>
      <c r="K129" s="3">
        <f t="shared" si="25"/>
        <v>3</v>
      </c>
      <c r="L129" s="3" t="str">
        <f t="shared" si="26"/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23"/>
        <v>23</v>
      </c>
      <c r="J130" s="3">
        <f t="shared" si="24"/>
        <v>20</v>
      </c>
      <c r="K130" s="3">
        <f t="shared" si="25"/>
        <v>3</v>
      </c>
      <c r="L130" s="3" t="str">
        <f t="shared" si="26"/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23"/>
        <v>21</v>
      </c>
      <c r="J131" s="3">
        <f t="shared" si="24"/>
        <v>20</v>
      </c>
      <c r="K131" s="3">
        <f t="shared" si="25"/>
        <v>1</v>
      </c>
      <c r="L131" s="3" t="str">
        <f t="shared" si="26"/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23"/>
        <v>20</v>
      </c>
      <c r="J132" s="3">
        <f t="shared" si="24"/>
        <v>20</v>
      </c>
      <c r="K132" s="3">
        <f t="shared" si="25"/>
        <v>0</v>
      </c>
      <c r="L132" s="3" t="str">
        <f t="shared" si="26"/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23"/>
        <v>22</v>
      </c>
      <c r="J133" s="3">
        <f t="shared" si="24"/>
        <v>20</v>
      </c>
      <c r="K133" s="3">
        <f t="shared" si="25"/>
        <v>2</v>
      </c>
      <c r="L133" s="3" t="str">
        <f t="shared" si="26"/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23"/>
        <v>34</v>
      </c>
      <c r="J134" s="3">
        <f t="shared" si="24"/>
        <v>20</v>
      </c>
      <c r="K134" s="3">
        <f t="shared" si="25"/>
        <v>14</v>
      </c>
      <c r="L134" s="3" t="str">
        <f t="shared" si="26"/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23"/>
        <v>17</v>
      </c>
      <c r="J135" s="3">
        <f t="shared" si="24"/>
        <v>20</v>
      </c>
      <c r="K135" s="3">
        <f t="shared" si="25"/>
        <v>-3</v>
      </c>
      <c r="L135" s="3" t="str">
        <f t="shared" si="26"/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23"/>
        <v>20</v>
      </c>
      <c r="J136" s="3">
        <f t="shared" si="24"/>
        <v>20</v>
      </c>
      <c r="K136" s="3">
        <f t="shared" si="25"/>
        <v>0</v>
      </c>
      <c r="L136" s="3" t="str">
        <f t="shared" si="26"/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23"/>
        <v>23</v>
      </c>
      <c r="J137" s="3">
        <f t="shared" si="24"/>
        <v>20</v>
      </c>
      <c r="K137" s="3">
        <f t="shared" si="25"/>
        <v>3</v>
      </c>
      <c r="L137" s="3" t="str">
        <f t="shared" si="26"/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23"/>
        <v>24</v>
      </c>
      <c r="J138" s="3">
        <f t="shared" si="24"/>
        <v>20</v>
      </c>
      <c r="K138" s="3">
        <f t="shared" si="25"/>
        <v>4</v>
      </c>
      <c r="L138" s="3" t="str">
        <f t="shared" si="26"/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26"/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26"/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26"/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26"/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26"/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26"/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7">E145+G145+H145</f>
        <v>24</v>
      </c>
      <c r="J145" s="3">
        <f t="shared" ref="J145:J163" si="28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9">I145-J145</f>
        <v>5</v>
      </c>
      <c r="L145" s="3" t="str">
        <f t="shared" si="26"/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7"/>
        <v>24</v>
      </c>
      <c r="J146" s="3">
        <f t="shared" si="28"/>
        <v>19</v>
      </c>
      <c r="K146" s="3">
        <f t="shared" si="29"/>
        <v>5</v>
      </c>
      <c r="L146" s="3" t="str">
        <f t="shared" si="26"/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7"/>
        <v>21</v>
      </c>
      <c r="J147" s="3">
        <f t="shared" si="28"/>
        <v>16</v>
      </c>
      <c r="K147" s="3">
        <f t="shared" si="29"/>
        <v>5</v>
      </c>
      <c r="L147" s="3" t="str">
        <f t="shared" si="26"/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7"/>
        <v>15</v>
      </c>
      <c r="J148" s="3">
        <f t="shared" si="28"/>
        <v>16</v>
      </c>
      <c r="K148" s="3">
        <f t="shared" si="29"/>
        <v>-1</v>
      </c>
      <c r="L148" s="3" t="str">
        <f t="shared" si="26"/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7"/>
        <v>26</v>
      </c>
      <c r="J149" s="3">
        <f t="shared" si="28"/>
        <v>16</v>
      </c>
      <c r="K149" s="3">
        <f t="shared" si="29"/>
        <v>10</v>
      </c>
      <c r="L149" s="3" t="str">
        <f t="shared" si="26"/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7"/>
        <v>14</v>
      </c>
      <c r="J150" s="3">
        <f t="shared" si="28"/>
        <v>16</v>
      </c>
      <c r="K150" s="3">
        <f t="shared" si="29"/>
        <v>-2</v>
      </c>
      <c r="L150" s="3" t="str">
        <f t="shared" si="26"/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7"/>
        <v>17</v>
      </c>
      <c r="J151" s="3">
        <f t="shared" si="28"/>
        <v>16</v>
      </c>
      <c r="K151" s="3">
        <f t="shared" si="29"/>
        <v>1</v>
      </c>
      <c r="L151" s="3" t="str">
        <f t="shared" si="26"/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7"/>
        <v>19</v>
      </c>
      <c r="J152" s="3">
        <f t="shared" si="28"/>
        <v>17</v>
      </c>
      <c r="K152" s="3">
        <f t="shared" si="29"/>
        <v>2</v>
      </c>
      <c r="L152" s="3" t="str">
        <f t="shared" si="26"/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7"/>
        <v>12</v>
      </c>
      <c r="J153" s="3">
        <f t="shared" si="28"/>
        <v>17</v>
      </c>
      <c r="K153" s="3">
        <f t="shared" si="29"/>
        <v>-5</v>
      </c>
      <c r="L153" s="3" t="str">
        <f t="shared" si="26"/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7"/>
        <v>25</v>
      </c>
      <c r="J154" s="3">
        <f t="shared" si="28"/>
        <v>17</v>
      </c>
      <c r="K154" s="3">
        <f t="shared" si="29"/>
        <v>8</v>
      </c>
      <c r="L154" s="3" t="str">
        <f t="shared" si="26"/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7"/>
        <v>23</v>
      </c>
      <c r="J155" s="3">
        <f t="shared" si="28"/>
        <v>17</v>
      </c>
      <c r="K155" s="3">
        <f t="shared" si="29"/>
        <v>6</v>
      </c>
      <c r="L155" s="3" t="str">
        <f t="shared" si="26"/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7"/>
        <v>11</v>
      </c>
      <c r="J156" s="3">
        <f t="shared" si="28"/>
        <v>17</v>
      </c>
      <c r="K156" s="3">
        <f t="shared" si="29"/>
        <v>-6</v>
      </c>
      <c r="L156" s="3" t="str">
        <f t="shared" si="26"/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7"/>
        <v>20</v>
      </c>
      <c r="J157" s="3">
        <f t="shared" si="28"/>
        <v>17</v>
      </c>
      <c r="K157" s="3">
        <f t="shared" si="29"/>
        <v>3</v>
      </c>
      <c r="L157" s="3" t="str">
        <f t="shared" si="26"/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7"/>
        <v>22</v>
      </c>
      <c r="J158" s="3">
        <f t="shared" si="28"/>
        <v>18</v>
      </c>
      <c r="K158" s="3">
        <f t="shared" si="29"/>
        <v>4</v>
      </c>
      <c r="L158" s="3" t="str">
        <f t="shared" si="26"/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7"/>
        <v>13</v>
      </c>
      <c r="J159" s="3">
        <f t="shared" si="28"/>
        <v>18</v>
      </c>
      <c r="K159" s="3">
        <f t="shared" si="29"/>
        <v>-5</v>
      </c>
      <c r="L159" s="3" t="str">
        <f t="shared" ref="L159:L190" si="30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7"/>
        <v>23</v>
      </c>
      <c r="J160" s="3">
        <f t="shared" si="28"/>
        <v>18</v>
      </c>
      <c r="K160" s="3">
        <f t="shared" si="29"/>
        <v>5</v>
      </c>
      <c r="L160" s="3" t="str">
        <f t="shared" si="30"/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7"/>
        <v>21</v>
      </c>
      <c r="J161" s="3">
        <f t="shared" si="28"/>
        <v>18</v>
      </c>
      <c r="K161" s="3">
        <f t="shared" si="29"/>
        <v>3</v>
      </c>
      <c r="L161" s="3" t="str">
        <f t="shared" si="30"/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7"/>
        <v>12</v>
      </c>
      <c r="J162" s="3">
        <f t="shared" si="28"/>
        <v>18</v>
      </c>
      <c r="K162" s="3">
        <f t="shared" si="29"/>
        <v>-6</v>
      </c>
      <c r="L162" s="3" t="str">
        <f t="shared" si="30"/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7"/>
        <v>20</v>
      </c>
      <c r="J163" s="3">
        <f t="shared" si="28"/>
        <v>16</v>
      </c>
      <c r="K163" s="3">
        <f t="shared" si="29"/>
        <v>4</v>
      </c>
      <c r="L163" s="3" t="str">
        <f t="shared" si="30"/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30"/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31">E165+G165+H165</f>
        <v>25</v>
      </c>
      <c r="J165" s="3">
        <f t="shared" ref="J165:J209" si="32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33">I165-J165</f>
        <v>9</v>
      </c>
      <c r="L165" s="3" t="str">
        <f t="shared" si="30"/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31"/>
        <v>11</v>
      </c>
      <c r="J166" s="3">
        <f t="shared" si="32"/>
        <v>16</v>
      </c>
      <c r="K166" s="3">
        <f t="shared" si="33"/>
        <v>-5</v>
      </c>
      <c r="L166" s="3" t="str">
        <f t="shared" si="30"/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31"/>
        <v>18</v>
      </c>
      <c r="J167" s="3">
        <f t="shared" si="32"/>
        <v>16</v>
      </c>
      <c r="K167" s="3">
        <f t="shared" si="33"/>
        <v>2</v>
      </c>
      <c r="L167" s="3" t="str">
        <f t="shared" si="30"/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31"/>
        <v>23</v>
      </c>
      <c r="J168" s="3">
        <f t="shared" si="32"/>
        <v>16</v>
      </c>
      <c r="K168" s="3">
        <f t="shared" si="33"/>
        <v>7</v>
      </c>
      <c r="L168" s="3" t="str">
        <f t="shared" si="30"/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31"/>
        <v>15</v>
      </c>
      <c r="J169" s="3">
        <f t="shared" si="32"/>
        <v>16</v>
      </c>
      <c r="K169" s="3">
        <f t="shared" si="33"/>
        <v>-1</v>
      </c>
      <c r="L169" s="3" t="str">
        <f t="shared" si="30"/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31"/>
        <v>23</v>
      </c>
      <c r="J170" s="3">
        <f t="shared" si="32"/>
        <v>16</v>
      </c>
      <c r="K170" s="3">
        <f t="shared" si="33"/>
        <v>7</v>
      </c>
      <c r="L170" s="3" t="str">
        <f t="shared" si="30"/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31"/>
        <v>15</v>
      </c>
      <c r="J171" s="3">
        <f t="shared" si="32"/>
        <v>16</v>
      </c>
      <c r="K171" s="3">
        <f t="shared" si="33"/>
        <v>-1</v>
      </c>
      <c r="L171" s="3" t="str">
        <f t="shared" si="30"/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31"/>
        <v>6</v>
      </c>
      <c r="J172" s="3">
        <f t="shared" si="32"/>
        <v>16</v>
      </c>
      <c r="K172" s="3">
        <f t="shared" si="33"/>
        <v>-10</v>
      </c>
      <c r="L172" s="3" t="str">
        <f t="shared" si="30"/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31"/>
        <v>25</v>
      </c>
      <c r="J173" s="3">
        <f t="shared" si="32"/>
        <v>17</v>
      </c>
      <c r="K173" s="3">
        <f t="shared" si="33"/>
        <v>8</v>
      </c>
      <c r="L173" s="3" t="str">
        <f t="shared" si="30"/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31"/>
        <v>16</v>
      </c>
      <c r="J174" s="3">
        <f t="shared" si="32"/>
        <v>17</v>
      </c>
      <c r="K174" s="3">
        <f t="shared" si="33"/>
        <v>-1</v>
      </c>
      <c r="L174" s="3" t="str">
        <f t="shared" si="30"/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31"/>
        <v>23</v>
      </c>
      <c r="J175" s="3">
        <f t="shared" si="32"/>
        <v>17</v>
      </c>
      <c r="K175" s="3">
        <f t="shared" si="33"/>
        <v>6</v>
      </c>
      <c r="L175" s="3" t="str">
        <f t="shared" si="30"/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31"/>
        <v>13</v>
      </c>
      <c r="J176" s="3">
        <f t="shared" si="32"/>
        <v>17</v>
      </c>
      <c r="K176" s="3">
        <f t="shared" si="33"/>
        <v>-4</v>
      </c>
      <c r="L176" s="3" t="str">
        <f t="shared" si="30"/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31"/>
        <v>14</v>
      </c>
      <c r="J177" s="3">
        <f t="shared" si="32"/>
        <v>17</v>
      </c>
      <c r="K177" s="3">
        <f t="shared" si="33"/>
        <v>-3</v>
      </c>
      <c r="L177" s="3" t="str">
        <f t="shared" si="30"/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31"/>
        <v>1</v>
      </c>
      <c r="J178" s="3">
        <f t="shared" si="32"/>
        <v>15</v>
      </c>
      <c r="K178" s="3">
        <f t="shared" si="33"/>
        <v>-14</v>
      </c>
      <c r="L178" s="3" t="str">
        <f t="shared" si="30"/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31"/>
        <v>19</v>
      </c>
      <c r="J179" s="3">
        <f t="shared" si="32"/>
        <v>15</v>
      </c>
      <c r="K179" s="3">
        <f t="shared" si="33"/>
        <v>4</v>
      </c>
      <c r="L179" s="3" t="str">
        <f t="shared" si="30"/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31"/>
        <v>17</v>
      </c>
      <c r="J180" s="3">
        <f t="shared" si="32"/>
        <v>15</v>
      </c>
      <c r="K180" s="3">
        <f t="shared" si="33"/>
        <v>2</v>
      </c>
      <c r="L180" s="3" t="str">
        <f t="shared" si="30"/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31"/>
        <v>10</v>
      </c>
      <c r="J181" s="3">
        <f t="shared" si="32"/>
        <v>15</v>
      </c>
      <c r="K181" s="3">
        <f t="shared" si="33"/>
        <v>-5</v>
      </c>
      <c r="L181" s="3" t="str">
        <f t="shared" si="30"/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31"/>
        <v>10</v>
      </c>
      <c r="J182" s="3">
        <f t="shared" si="32"/>
        <v>15</v>
      </c>
      <c r="K182" s="3">
        <f t="shared" si="33"/>
        <v>-5</v>
      </c>
      <c r="L182" s="3" t="str">
        <f t="shared" si="30"/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31"/>
        <v>15</v>
      </c>
      <c r="J183" s="3">
        <f t="shared" si="32"/>
        <v>15</v>
      </c>
      <c r="K183" s="3">
        <f t="shared" si="33"/>
        <v>0</v>
      </c>
      <c r="L183" s="3" t="str">
        <f t="shared" si="30"/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31"/>
        <v>29</v>
      </c>
      <c r="J184" s="3">
        <f t="shared" si="32"/>
        <v>17</v>
      </c>
      <c r="K184" s="3">
        <f t="shared" si="33"/>
        <v>12</v>
      </c>
      <c r="L184" s="3" t="str">
        <f t="shared" si="30"/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31"/>
        <v>21</v>
      </c>
      <c r="J185" s="3">
        <f t="shared" si="32"/>
        <v>17</v>
      </c>
      <c r="K185" s="3">
        <f t="shared" si="33"/>
        <v>4</v>
      </c>
      <c r="L185" s="3" t="str">
        <f t="shared" si="30"/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31"/>
        <v>18</v>
      </c>
      <c r="J186" s="3">
        <f t="shared" si="32"/>
        <v>17</v>
      </c>
      <c r="K186" s="3">
        <f t="shared" si="33"/>
        <v>1</v>
      </c>
      <c r="L186" s="3" t="str">
        <f t="shared" si="30"/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31"/>
        <v>23</v>
      </c>
      <c r="J187" s="3">
        <f t="shared" si="32"/>
        <v>17</v>
      </c>
      <c r="K187" s="3">
        <f t="shared" si="33"/>
        <v>6</v>
      </c>
      <c r="L187" s="3" t="str">
        <f t="shared" si="30"/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31"/>
        <v>13</v>
      </c>
      <c r="J188" s="3">
        <f t="shared" si="32"/>
        <v>17</v>
      </c>
      <c r="K188" s="3">
        <f t="shared" si="33"/>
        <v>-4</v>
      </c>
      <c r="L188" s="3" t="str">
        <f t="shared" si="30"/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31"/>
        <v>17</v>
      </c>
      <c r="J189" s="3">
        <f t="shared" si="32"/>
        <v>17</v>
      </c>
      <c r="K189" s="3">
        <f t="shared" si="33"/>
        <v>0</v>
      </c>
      <c r="L189" s="3" t="str">
        <f t="shared" si="30"/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31"/>
        <v>33</v>
      </c>
      <c r="J190" s="3">
        <f t="shared" si="32"/>
        <v>15</v>
      </c>
      <c r="K190" s="3">
        <f t="shared" si="33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31"/>
        <v>20</v>
      </c>
      <c r="J191" s="3">
        <f t="shared" si="32"/>
        <v>15</v>
      </c>
      <c r="K191" s="3">
        <f t="shared" si="33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31"/>
        <v>17</v>
      </c>
      <c r="J192" s="3">
        <f t="shared" si="32"/>
        <v>16</v>
      </c>
      <c r="K192" s="3">
        <f t="shared" si="33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31"/>
        <v>12</v>
      </c>
      <c r="J193" s="3">
        <f t="shared" si="32"/>
        <v>15</v>
      </c>
      <c r="K193" s="3">
        <f t="shared" si="33"/>
        <v>-3</v>
      </c>
      <c r="L193" s="3" t="str">
        <f t="shared" ref="L193:L198" si="34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31"/>
        <v>21</v>
      </c>
      <c r="J194" s="3">
        <f t="shared" si="32"/>
        <v>15</v>
      </c>
      <c r="K194" s="3">
        <f t="shared" si="33"/>
        <v>6</v>
      </c>
      <c r="L194" s="3" t="str">
        <f t="shared" si="34"/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31"/>
        <v>14</v>
      </c>
      <c r="J195" s="3">
        <f t="shared" si="32"/>
        <v>15</v>
      </c>
      <c r="K195" s="3">
        <f t="shared" si="33"/>
        <v>-1</v>
      </c>
      <c r="L195" s="3" t="str">
        <f t="shared" si="34"/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31"/>
        <v>15</v>
      </c>
      <c r="J196" s="3">
        <f t="shared" si="32"/>
        <v>15</v>
      </c>
      <c r="K196" s="3">
        <f t="shared" si="33"/>
        <v>0</v>
      </c>
      <c r="L196" s="3" t="str">
        <f t="shared" si="34"/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31"/>
        <v>22</v>
      </c>
      <c r="J197" s="3">
        <f t="shared" si="32"/>
        <v>13</v>
      </c>
      <c r="K197" s="3">
        <f t="shared" si="33"/>
        <v>9</v>
      </c>
      <c r="L197" s="3" t="str">
        <f t="shared" si="34"/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31"/>
        <v>14</v>
      </c>
      <c r="J198" s="3">
        <f t="shared" si="32"/>
        <v>13</v>
      </c>
      <c r="K198" s="3">
        <f t="shared" si="33"/>
        <v>1</v>
      </c>
      <c r="L198" s="3" t="str">
        <f t="shared" si="34"/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31"/>
        <v>17</v>
      </c>
      <c r="J199" s="3">
        <f t="shared" si="32"/>
        <v>13</v>
      </c>
      <c r="K199" s="3">
        <f t="shared" si="33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31"/>
        <v>12</v>
      </c>
      <c r="J200" s="3">
        <f t="shared" si="32"/>
        <v>13</v>
      </c>
      <c r="K200" s="3">
        <f t="shared" si="33"/>
        <v>-1</v>
      </c>
      <c r="L200" s="3" t="str">
        <f t="shared" ref="L200:L230" si="35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31"/>
        <v>18</v>
      </c>
      <c r="J201" s="3">
        <f t="shared" si="32"/>
        <v>13</v>
      </c>
      <c r="K201" s="3">
        <f t="shared" si="33"/>
        <v>5</v>
      </c>
      <c r="L201" s="3" t="str">
        <f t="shared" si="35"/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31"/>
        <v>10</v>
      </c>
      <c r="J202" s="3">
        <f t="shared" si="32"/>
        <v>13</v>
      </c>
      <c r="K202" s="3">
        <f t="shared" si="33"/>
        <v>-3</v>
      </c>
      <c r="L202" s="3" t="str">
        <f t="shared" si="35"/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31"/>
        <v>14</v>
      </c>
      <c r="J203" s="3">
        <f t="shared" si="32"/>
        <v>13</v>
      </c>
      <c r="K203" s="3">
        <f t="shared" si="33"/>
        <v>1</v>
      </c>
      <c r="L203" s="3" t="str">
        <f t="shared" si="35"/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31"/>
        <v>19</v>
      </c>
      <c r="J204" s="3">
        <f t="shared" si="32"/>
        <v>11</v>
      </c>
      <c r="K204" s="3">
        <f t="shared" si="33"/>
        <v>8</v>
      </c>
      <c r="L204" s="3" t="str">
        <f t="shared" si="35"/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31"/>
        <v>19</v>
      </c>
      <c r="J205" s="3">
        <f t="shared" si="32"/>
        <v>11</v>
      </c>
      <c r="K205" s="3">
        <f t="shared" si="33"/>
        <v>8</v>
      </c>
      <c r="L205" s="3" t="str">
        <f t="shared" si="35"/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31"/>
        <v>12</v>
      </c>
      <c r="J206" s="3">
        <f t="shared" si="32"/>
        <v>11</v>
      </c>
      <c r="K206" s="3">
        <f t="shared" si="33"/>
        <v>1</v>
      </c>
      <c r="L206" s="3" t="str">
        <f t="shared" si="35"/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31"/>
        <v>18</v>
      </c>
      <c r="J207" s="3">
        <f t="shared" si="32"/>
        <v>11</v>
      </c>
      <c r="K207" s="3">
        <f t="shared" si="33"/>
        <v>7</v>
      </c>
      <c r="L207" s="3" t="str">
        <f t="shared" si="35"/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31"/>
        <v>17</v>
      </c>
      <c r="J208" s="3">
        <f t="shared" si="32"/>
        <v>11</v>
      </c>
      <c r="K208" s="3">
        <f t="shared" si="33"/>
        <v>6</v>
      </c>
      <c r="L208" s="3" t="str">
        <f t="shared" si="35"/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31"/>
        <v>19</v>
      </c>
      <c r="J209" s="3">
        <f t="shared" si="32"/>
        <v>11</v>
      </c>
      <c r="K209" s="3">
        <f t="shared" si="33"/>
        <v>8</v>
      </c>
      <c r="L209" s="3" t="str">
        <f t="shared" si="35"/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35"/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35"/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35"/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35"/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35"/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35"/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36">E216+G216+H216</f>
        <v>25</v>
      </c>
      <c r="J216" s="3">
        <f t="shared" ref="J216:J222" si="37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38">I216-J216</f>
        <v>6</v>
      </c>
      <c r="L216" s="3" t="str">
        <f t="shared" si="35"/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36"/>
        <v>14</v>
      </c>
      <c r="J217" s="3">
        <f t="shared" si="37"/>
        <v>19</v>
      </c>
      <c r="K217" s="3">
        <f t="shared" si="38"/>
        <v>-5</v>
      </c>
      <c r="L217" s="3" t="str">
        <f t="shared" si="35"/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36"/>
        <v>18</v>
      </c>
      <c r="J218" s="3">
        <f t="shared" si="37"/>
        <v>19</v>
      </c>
      <c r="K218" s="3">
        <f t="shared" si="38"/>
        <v>-1</v>
      </c>
      <c r="L218" s="3" t="str">
        <f t="shared" si="35"/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36"/>
        <v>22</v>
      </c>
      <c r="J219" s="3">
        <f t="shared" si="37"/>
        <v>19</v>
      </c>
      <c r="K219" s="3">
        <f t="shared" si="38"/>
        <v>3</v>
      </c>
      <c r="L219" s="3" t="str">
        <f t="shared" si="35"/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36"/>
        <v>19</v>
      </c>
      <c r="J220" s="3">
        <f t="shared" si="37"/>
        <v>19</v>
      </c>
      <c r="K220" s="3">
        <f t="shared" si="38"/>
        <v>0</v>
      </c>
      <c r="L220" s="3" t="str">
        <f t="shared" si="35"/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36"/>
        <v>22</v>
      </c>
      <c r="J221" s="3">
        <f t="shared" si="37"/>
        <v>20</v>
      </c>
      <c r="K221" s="3">
        <f t="shared" si="38"/>
        <v>2</v>
      </c>
      <c r="L221" s="3" t="str">
        <f t="shared" si="35"/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36"/>
        <v>14</v>
      </c>
      <c r="J222" s="3">
        <f t="shared" si="37"/>
        <v>20</v>
      </c>
      <c r="K222" s="3">
        <f t="shared" si="38"/>
        <v>-6</v>
      </c>
      <c r="L222" s="3" t="str">
        <f t="shared" si="35"/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35"/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39">E224+G224+H224</f>
        <v>22</v>
      </c>
      <c r="J224" s="3">
        <f t="shared" ref="J224:J230" si="40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41">I224-J224</f>
        <v>2</v>
      </c>
      <c r="L224" s="3" t="str">
        <f t="shared" si="35"/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39"/>
        <v>23</v>
      </c>
      <c r="J225" s="3">
        <f t="shared" si="40"/>
        <v>20</v>
      </c>
      <c r="K225" s="3">
        <f t="shared" si="41"/>
        <v>3</v>
      </c>
      <c r="L225" s="3" t="str">
        <f t="shared" si="35"/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39"/>
        <v>17</v>
      </c>
      <c r="J226" s="3">
        <f t="shared" si="40"/>
        <v>18</v>
      </c>
      <c r="K226" s="3">
        <f t="shared" si="41"/>
        <v>-1</v>
      </c>
      <c r="L226" s="3" t="str">
        <f t="shared" si="35"/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39"/>
        <v>21</v>
      </c>
      <c r="J227" s="3">
        <f t="shared" si="40"/>
        <v>18</v>
      </c>
      <c r="K227" s="3">
        <f t="shared" si="41"/>
        <v>3</v>
      </c>
      <c r="L227" s="3" t="str">
        <f t="shared" si="35"/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39"/>
        <v>20</v>
      </c>
      <c r="J228" s="3">
        <f t="shared" si="40"/>
        <v>18</v>
      </c>
      <c r="K228" s="3">
        <f t="shared" si="41"/>
        <v>2</v>
      </c>
      <c r="L228" s="3" t="str">
        <f t="shared" si="35"/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39"/>
        <v>19</v>
      </c>
      <c r="J229" s="3">
        <f t="shared" si="40"/>
        <v>18</v>
      </c>
      <c r="K229" s="3">
        <f t="shared" si="41"/>
        <v>1</v>
      </c>
      <c r="L229" s="3" t="str">
        <f t="shared" si="35"/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39"/>
        <v>13</v>
      </c>
      <c r="J230" s="3">
        <f t="shared" si="40"/>
        <v>18</v>
      </c>
      <c r="K230" s="3">
        <f t="shared" si="41"/>
        <v>-5</v>
      </c>
      <c r="L230" s="3" t="str">
        <f t="shared" si="35"/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H231" s="3"/>
      <c r="I231" s="3"/>
      <c r="J231" s="3"/>
      <c r="K231" s="3"/>
      <c r="L231" s="3"/>
      <c r="M231">
        <v>22</v>
      </c>
      <c r="N231">
        <v>99.25</v>
      </c>
      <c r="O231">
        <v>20.408163265306118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H232" s="3"/>
      <c r="I232" s="3"/>
      <c r="J232" s="3"/>
      <c r="K232" s="3"/>
      <c r="L232" s="3"/>
      <c r="M232">
        <v>10</v>
      </c>
      <c r="N232">
        <v>97.62</v>
      </c>
      <c r="O232">
        <v>17.82477341389728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H233" s="3"/>
      <c r="I233" s="3"/>
      <c r="J233" s="3"/>
      <c r="K233" s="3"/>
      <c r="L233" s="3"/>
      <c r="M233">
        <v>10</v>
      </c>
      <c r="N233">
        <v>100</v>
      </c>
      <c r="O233">
        <v>19.072164948453612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H234" s="3"/>
      <c r="I234" s="3"/>
      <c r="J234" s="3"/>
      <c r="K234" s="3"/>
      <c r="L234" s="3"/>
      <c r="M234">
        <v>15</v>
      </c>
      <c r="N234">
        <v>96.83</v>
      </c>
      <c r="O234">
        <v>20.94017094017094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H235" s="3"/>
      <c r="I235" s="3"/>
      <c r="J235" s="3"/>
      <c r="K235" s="3"/>
      <c r="L235" s="3"/>
      <c r="M235">
        <v>14</v>
      </c>
      <c r="N235">
        <v>100</v>
      </c>
      <c r="O235">
        <v>20.0836820083682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H236" s="3"/>
      <c r="I236" s="3"/>
      <c r="J236" s="3"/>
      <c r="K236" s="3"/>
      <c r="L236" s="3"/>
      <c r="M236">
        <v>13</v>
      </c>
      <c r="N236">
        <v>100</v>
      </c>
      <c r="O236">
        <v>16.34241245136187</v>
      </c>
    </row>
    <row r="237" spans="1:15" hidden="1" x14ac:dyDescent="0.25">
      <c r="A237" s="11">
        <v>46140</v>
      </c>
      <c r="B237" t="s">
        <v>31</v>
      </c>
      <c r="C237" t="s">
        <v>32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>
        <v>19</v>
      </c>
      <c r="N237" s="9">
        <v>98.66</v>
      </c>
      <c r="O237" s="9">
        <v>35.416666666666671</v>
      </c>
    </row>
    <row r="238" spans="1:15" hidden="1" x14ac:dyDescent="0.25">
      <c r="A238" s="11">
        <v>46141</v>
      </c>
      <c r="B238" t="s">
        <v>31</v>
      </c>
      <c r="C238" t="s">
        <v>32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>
        <v>0</v>
      </c>
      <c r="N238" s="9">
        <v>98.66</v>
      </c>
      <c r="O238" s="9">
        <v>35.416666666666671</v>
      </c>
    </row>
    <row r="239" spans="1:15" hidden="1" x14ac:dyDescent="0.25">
      <c r="A239" s="11">
        <v>46142</v>
      </c>
      <c r="B239" t="s">
        <v>31</v>
      </c>
      <c r="C239" t="s">
        <v>32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M239">
        <v>0</v>
      </c>
      <c r="N239" s="9">
        <v>98.66</v>
      </c>
      <c r="O239" s="9">
        <v>35.416666666666671</v>
      </c>
    </row>
    <row r="240" spans="1:15" hidden="1" x14ac:dyDescent="0.25">
      <c r="A240" s="5">
        <v>46146</v>
      </c>
      <c r="B240" s="6" t="s">
        <v>31</v>
      </c>
      <c r="C240" s="3" t="s">
        <v>32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9">
        <v>0</v>
      </c>
      <c r="N240" s="9">
        <v>100</v>
      </c>
      <c r="O240" s="9">
        <v>0</v>
      </c>
    </row>
    <row r="241" spans="1:15" hidden="1" x14ac:dyDescent="0.25">
      <c r="A241" s="5">
        <v>46147</v>
      </c>
      <c r="B241" s="6" t="s">
        <v>31</v>
      </c>
      <c r="C241" s="3" t="s">
        <v>32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9">
        <v>0</v>
      </c>
      <c r="N241" s="9">
        <v>100</v>
      </c>
      <c r="O241" s="9">
        <v>0</v>
      </c>
    </row>
    <row r="242" spans="1:15" hidden="1" x14ac:dyDescent="0.25">
      <c r="A242" s="5">
        <v>46148</v>
      </c>
      <c r="B242" s="6" t="s">
        <v>31</v>
      </c>
      <c r="C242" s="3" t="s">
        <v>32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9">
        <v>0</v>
      </c>
      <c r="N242" s="9">
        <v>100</v>
      </c>
      <c r="O242" s="9">
        <v>0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x14ac:dyDescent="0.25">
      <c r="A244" s="11">
        <v>46168</v>
      </c>
      <c r="B244" t="s">
        <v>47</v>
      </c>
      <c r="C244" t="s">
        <v>48</v>
      </c>
      <c r="D244" s="12">
        <v>28</v>
      </c>
      <c r="E244" s="12">
        <v>21</v>
      </c>
      <c r="F244" s="12">
        <v>15.57</v>
      </c>
      <c r="G244" s="12">
        <v>2</v>
      </c>
      <c r="M244" s="12">
        <v>17</v>
      </c>
      <c r="N244" s="12">
        <v>99.18</v>
      </c>
      <c r="O244" s="12">
        <v>24.501424501424498</v>
      </c>
    </row>
    <row r="245" spans="1:15" hidden="1" x14ac:dyDescent="0.25">
      <c r="A245" s="11">
        <v>46140</v>
      </c>
      <c r="B245" t="s">
        <v>33</v>
      </c>
      <c r="C245" t="s">
        <v>32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>
        <v>0</v>
      </c>
      <c r="N245" s="9">
        <v>100</v>
      </c>
      <c r="O245" s="9">
        <v>27.803738317757009</v>
      </c>
    </row>
    <row r="246" spans="1:15" hidden="1" x14ac:dyDescent="0.25">
      <c r="A246" s="11">
        <v>46141</v>
      </c>
      <c r="B246" t="s">
        <v>33</v>
      </c>
      <c r="C246" t="s">
        <v>32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>
        <v>0</v>
      </c>
      <c r="N246" s="9">
        <v>100</v>
      </c>
      <c r="O246" s="9">
        <v>27.803738317757009</v>
      </c>
    </row>
    <row r="247" spans="1:15" hidden="1" x14ac:dyDescent="0.25">
      <c r="A247" s="11">
        <v>46142</v>
      </c>
      <c r="B247" t="s">
        <v>33</v>
      </c>
      <c r="C247" t="s">
        <v>32</v>
      </c>
      <c r="D247" s="9">
        <v>33</v>
      </c>
      <c r="E247" s="9">
        <v>32</v>
      </c>
      <c r="F247" s="9">
        <v>13.4</v>
      </c>
      <c r="G247" s="9">
        <v>0</v>
      </c>
      <c r="H247" s="9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32</v>
      </c>
      <c r="K247" s="3">
        <f>I247-J247</f>
        <v>0</v>
      </c>
      <c r="L247" s="3" t="str">
        <f>IF(K247&lt;-5,"CRÍTICO",IF(K247&lt;0,"ATENÇÃO",IF(K247&lt;=5,"OPORTUNO","MUITO BOM")))</f>
        <v>OPORTUNO</v>
      </c>
      <c r="M247">
        <v>28</v>
      </c>
      <c r="N247" s="9">
        <v>100</v>
      </c>
      <c r="O247" s="9">
        <v>27.803738317757009</v>
      </c>
    </row>
    <row r="248" spans="1:15" hidden="1" x14ac:dyDescent="0.25">
      <c r="A248" s="5">
        <v>46146</v>
      </c>
      <c r="B248" s="6" t="s">
        <v>33</v>
      </c>
      <c r="C248" s="9" t="s">
        <v>32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9">
        <v>31</v>
      </c>
      <c r="N248" s="9">
        <v>96.94</v>
      </c>
      <c r="O248" s="9">
        <v>19.613259668508292</v>
      </c>
    </row>
    <row r="249" spans="1:15" hidden="1" x14ac:dyDescent="0.25">
      <c r="A249" s="5">
        <v>46147</v>
      </c>
      <c r="B249" s="6" t="s">
        <v>33</v>
      </c>
      <c r="C249" s="9" t="s">
        <v>32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96.94</v>
      </c>
      <c r="O249" s="3">
        <v>19.613259668508292</v>
      </c>
    </row>
    <row r="250" spans="1:15" hidden="1" x14ac:dyDescent="0.25">
      <c r="A250" s="5">
        <v>46148</v>
      </c>
      <c r="B250" s="6" t="s">
        <v>33</v>
      </c>
      <c r="C250" s="9" t="s">
        <v>32</v>
      </c>
      <c r="D250" s="3">
        <v>22</v>
      </c>
      <c r="E250" s="3">
        <v>20</v>
      </c>
      <c r="F250" s="9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96.94</v>
      </c>
      <c r="O250" s="3">
        <v>19.613259668508292</v>
      </c>
    </row>
    <row r="251" spans="1:15" x14ac:dyDescent="0.25">
      <c r="A251" s="11">
        <v>46168</v>
      </c>
      <c r="B251" t="s">
        <v>31</v>
      </c>
      <c r="C251" t="s">
        <v>32</v>
      </c>
      <c r="D251" s="12">
        <v>0</v>
      </c>
      <c r="E251" s="12">
        <v>0</v>
      </c>
      <c r="F251" s="12">
        <v>0</v>
      </c>
      <c r="G251" s="12">
        <v>0</v>
      </c>
      <c r="H251" s="12">
        <v>0</v>
      </c>
      <c r="I251" s="12">
        <v>0</v>
      </c>
      <c r="J251" s="12">
        <v>0</v>
      </c>
      <c r="K251" s="12">
        <v>0</v>
      </c>
      <c r="M251" s="12">
        <v>0</v>
      </c>
      <c r="N251" s="12">
        <v>100</v>
      </c>
      <c r="O251" s="12">
        <v>0</v>
      </c>
    </row>
    <row r="252" spans="1:15" hidden="1" x14ac:dyDescent="0.25">
      <c r="A252" s="11">
        <v>46140</v>
      </c>
      <c r="B252" t="s">
        <v>34</v>
      </c>
      <c r="C252" t="s">
        <v>32</v>
      </c>
      <c r="D252" s="9">
        <v>28</v>
      </c>
      <c r="E252" s="9">
        <v>24</v>
      </c>
      <c r="F252" s="9">
        <v>15.03</v>
      </c>
      <c r="G252" s="9">
        <v>0</v>
      </c>
      <c r="H252" s="9">
        <v>0</v>
      </c>
      <c r="I252" s="3">
        <f>E252+G252+H252</f>
        <v>24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-10</v>
      </c>
      <c r="L252" s="3" t="str">
        <f>IF(K252&lt;-5,"CRÍTICO",IF(K252&lt;0,"ATENÇÃO",IF(K252&lt;=5,"OPORTUNO","MUITO BOM")))</f>
        <v>CRÍTICO</v>
      </c>
      <c r="M252">
        <v>22</v>
      </c>
      <c r="N252" s="9">
        <v>93.75</v>
      </c>
      <c r="O252" s="9">
        <v>26.819923371647509</v>
      </c>
    </row>
    <row r="253" spans="1:15" hidden="1" x14ac:dyDescent="0.25">
      <c r="A253" s="11">
        <v>46141</v>
      </c>
      <c r="B253" t="s">
        <v>34</v>
      </c>
      <c r="C253" t="s">
        <v>32</v>
      </c>
      <c r="D253" s="9">
        <v>42</v>
      </c>
      <c r="E253" s="9">
        <v>35</v>
      </c>
      <c r="F253" s="9">
        <v>10.130000000000001</v>
      </c>
      <c r="G253" s="9">
        <v>0</v>
      </c>
      <c r="H253" s="9">
        <v>0</v>
      </c>
      <c r="I253" s="3">
        <f>E253+G253+H253</f>
        <v>35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35</v>
      </c>
      <c r="K253" s="3">
        <f>I253-J253</f>
        <v>0</v>
      </c>
      <c r="L253" s="3" t="str">
        <f>IF(K253&lt;-5,"CRÍTICO",IF(K253&lt;0,"ATENÇÃO",IF(K253&lt;=5,"OPORTUNO","MUITO BOM")))</f>
        <v>OPORTUNO</v>
      </c>
      <c r="M253">
        <v>39</v>
      </c>
      <c r="N253" s="9">
        <v>93.75</v>
      </c>
      <c r="O253" s="9">
        <v>26.819923371647509</v>
      </c>
    </row>
    <row r="254" spans="1:15" hidden="1" x14ac:dyDescent="0.25">
      <c r="A254" s="11">
        <v>46142</v>
      </c>
      <c r="B254" t="s">
        <v>34</v>
      </c>
      <c r="C254" t="s">
        <v>32</v>
      </c>
      <c r="D254" s="9">
        <v>39</v>
      </c>
      <c r="E254" s="9">
        <v>37</v>
      </c>
      <c r="F254" s="9">
        <v>11.54</v>
      </c>
      <c r="G254" s="9">
        <v>0</v>
      </c>
      <c r="H254" s="9">
        <v>0</v>
      </c>
      <c r="I254" s="3">
        <f>E254+G254+H254</f>
        <v>37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32</v>
      </c>
      <c r="K254" s="3">
        <f>I254-J254</f>
        <v>5</v>
      </c>
      <c r="L254" s="3" t="str">
        <f>IF(K254&lt;-5,"CRÍTICO",IF(K254&lt;0,"ATENÇÃO",IF(K254&lt;=5,"OPORTUNO","MUITO BOM")))</f>
        <v>OPORTUNO</v>
      </c>
      <c r="M254">
        <v>37</v>
      </c>
      <c r="N254" s="9">
        <v>93.75</v>
      </c>
      <c r="O254" s="9">
        <v>26.819923371647509</v>
      </c>
    </row>
    <row r="255" spans="1:15" hidden="1" x14ac:dyDescent="0.25">
      <c r="A255" s="5">
        <v>46146</v>
      </c>
      <c r="B255" s="6" t="s">
        <v>34</v>
      </c>
      <c r="C255" s="3" t="s">
        <v>32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>E255+G255+H255</f>
        <v>38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35</v>
      </c>
      <c r="K255" s="3">
        <f>I255-J255</f>
        <v>3</v>
      </c>
      <c r="L255" s="3" t="str">
        <f>IF(K255&lt;-5,"CRÍTICO",IF(K255&lt;0,"ATENÇÃO",IF(K255&lt;=5,"BOM","EXCELENTE")))</f>
        <v>BOM</v>
      </c>
      <c r="M255" s="9">
        <v>32</v>
      </c>
      <c r="N255" s="9">
        <v>92.81</v>
      </c>
      <c r="O255" s="9">
        <v>25.477707006369432</v>
      </c>
    </row>
    <row r="256" spans="1:15" hidden="1" x14ac:dyDescent="0.25">
      <c r="A256" s="5">
        <v>46147</v>
      </c>
      <c r="B256" s="6" t="s">
        <v>34</v>
      </c>
      <c r="C256" s="3" t="s">
        <v>32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>E256+G256+H256</f>
        <v>47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35</v>
      </c>
      <c r="K256" s="3">
        <f>I256-J256</f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92.81</v>
      </c>
      <c r="O256" s="3">
        <v>25.477707006369432</v>
      </c>
    </row>
    <row r="257" spans="1:15" hidden="1" x14ac:dyDescent="0.25">
      <c r="A257" s="5">
        <v>46148</v>
      </c>
      <c r="B257" s="6" t="s">
        <v>34</v>
      </c>
      <c r="C257" s="3" t="s">
        <v>32</v>
      </c>
      <c r="D257" s="3">
        <v>48</v>
      </c>
      <c r="E257" s="3">
        <v>44</v>
      </c>
      <c r="F257" s="9">
        <v>12.07</v>
      </c>
      <c r="G257" s="3">
        <v>0</v>
      </c>
      <c r="H257" s="3">
        <v>0</v>
      </c>
      <c r="I257" s="3">
        <f>E257+G257+H257</f>
        <v>44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35</v>
      </c>
      <c r="K257" s="3">
        <f>I257-J257</f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92.81</v>
      </c>
      <c r="O257" s="3">
        <v>25.477707006369432</v>
      </c>
    </row>
    <row r="258" spans="1:15" x14ac:dyDescent="0.25">
      <c r="A258" s="11">
        <v>46168</v>
      </c>
      <c r="B258" t="s">
        <v>59</v>
      </c>
      <c r="C258" t="s">
        <v>23</v>
      </c>
      <c r="D258" s="12">
        <v>24</v>
      </c>
      <c r="E258" s="12">
        <v>22</v>
      </c>
      <c r="F258" s="12">
        <v>18.55</v>
      </c>
      <c r="G258" s="12">
        <v>1</v>
      </c>
      <c r="M258" s="12">
        <v>21</v>
      </c>
      <c r="N258" s="12">
        <v>96.25</v>
      </c>
      <c r="O258" s="12">
        <v>25.586353944562902</v>
      </c>
    </row>
    <row r="259" spans="1:15" hidden="1" x14ac:dyDescent="0.25">
      <c r="A259" s="11">
        <v>46140</v>
      </c>
      <c r="B259" t="s">
        <v>35</v>
      </c>
      <c r="C259" t="s">
        <v>32</v>
      </c>
      <c r="D259" s="9">
        <v>30</v>
      </c>
      <c r="E259" s="9">
        <v>28</v>
      </c>
      <c r="F259" s="9">
        <v>22.11</v>
      </c>
      <c r="G259" s="9">
        <v>0</v>
      </c>
      <c r="H259" s="9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M259">
        <v>29</v>
      </c>
      <c r="N259" s="9">
        <v>100</v>
      </c>
      <c r="O259" s="9">
        <v>38.653846153846153</v>
      </c>
    </row>
    <row r="260" spans="1:15" hidden="1" x14ac:dyDescent="0.25">
      <c r="A260" s="11">
        <v>46141</v>
      </c>
      <c r="B260" t="s">
        <v>35</v>
      </c>
      <c r="C260" t="s">
        <v>32</v>
      </c>
      <c r="D260" s="9">
        <v>33</v>
      </c>
      <c r="E260" s="9">
        <v>31</v>
      </c>
      <c r="F260" s="9">
        <v>20.43</v>
      </c>
      <c r="G260" s="9">
        <v>0</v>
      </c>
      <c r="H260" s="9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M260">
        <v>33</v>
      </c>
      <c r="N260" s="9">
        <v>100</v>
      </c>
      <c r="O260" s="9">
        <v>38.653846153846153</v>
      </c>
    </row>
    <row r="261" spans="1:15" hidden="1" x14ac:dyDescent="0.25">
      <c r="A261" s="11">
        <v>46142</v>
      </c>
      <c r="B261" t="s">
        <v>35</v>
      </c>
      <c r="C261" t="s">
        <v>32</v>
      </c>
      <c r="D261" s="9">
        <v>33</v>
      </c>
      <c r="E261" s="9">
        <v>30</v>
      </c>
      <c r="F261" s="9">
        <v>20.329999999999998</v>
      </c>
      <c r="G261" s="9">
        <v>0</v>
      </c>
      <c r="H261" s="9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M261">
        <v>31</v>
      </c>
      <c r="N261" s="9">
        <v>100</v>
      </c>
      <c r="O261" s="9">
        <v>38.653846153846153</v>
      </c>
    </row>
    <row r="262" spans="1:15" hidden="1" x14ac:dyDescent="0.25">
      <c r="A262" s="5">
        <v>46146</v>
      </c>
      <c r="B262" s="6" t="s">
        <v>35</v>
      </c>
      <c r="C262" s="9" t="s">
        <v>32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9">
        <v>25</v>
      </c>
      <c r="N262" s="9">
        <v>99.19</v>
      </c>
      <c r="O262" s="9">
        <v>28.404669260700391</v>
      </c>
    </row>
    <row r="263" spans="1:15" hidden="1" x14ac:dyDescent="0.25">
      <c r="A263" s="5">
        <v>46147</v>
      </c>
      <c r="B263" s="6" t="s">
        <v>35</v>
      </c>
      <c r="C263" s="9" t="s">
        <v>32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99.19</v>
      </c>
      <c r="O263" s="3">
        <v>28.404669260700391</v>
      </c>
    </row>
    <row r="264" spans="1:15" hidden="1" x14ac:dyDescent="0.25">
      <c r="A264" s="5">
        <v>46148</v>
      </c>
      <c r="B264" s="6" t="s">
        <v>35</v>
      </c>
      <c r="C264" s="9" t="s">
        <v>32</v>
      </c>
      <c r="D264" s="3">
        <v>24</v>
      </c>
      <c r="E264" s="3">
        <v>22</v>
      </c>
      <c r="F264" s="9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99.19</v>
      </c>
      <c r="O264" s="3">
        <v>28.404669260700391</v>
      </c>
    </row>
    <row r="265" spans="1:15" x14ac:dyDescent="0.25">
      <c r="A265" s="11">
        <v>46168</v>
      </c>
      <c r="B265" t="s">
        <v>33</v>
      </c>
      <c r="C265" t="s">
        <v>32</v>
      </c>
      <c r="D265" s="12">
        <v>33</v>
      </c>
      <c r="E265" s="12">
        <v>27</v>
      </c>
      <c r="F265" s="12">
        <v>12.19</v>
      </c>
      <c r="G265" s="12">
        <v>3</v>
      </c>
      <c r="M265" s="12">
        <v>26</v>
      </c>
      <c r="N265" s="12">
        <v>96.94</v>
      </c>
      <c r="O265" s="12">
        <v>19.613259668508292</v>
      </c>
    </row>
    <row r="266" spans="1:15" hidden="1" x14ac:dyDescent="0.25">
      <c r="A266" s="11">
        <v>46140</v>
      </c>
      <c r="B266" t="s">
        <v>36</v>
      </c>
      <c r="C266" t="s">
        <v>32</v>
      </c>
      <c r="D266" s="9">
        <v>32</v>
      </c>
      <c r="E266" s="9">
        <v>31</v>
      </c>
      <c r="F266" s="9">
        <v>18.489999999999998</v>
      </c>
      <c r="G266" s="9">
        <v>0</v>
      </c>
      <c r="H266" s="9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34</v>
      </c>
      <c r="K266" s="3">
        <f>I266-J266</f>
        <v>-3</v>
      </c>
      <c r="L266" s="3" t="str">
        <f>IF(K266&lt;-5,"CRÍTICO",IF(K266&lt;0,"ATENÇÃO",IF(K266&lt;=5,"OPORTUNO","MUITO BOM")))</f>
        <v>ATENÇÃO</v>
      </c>
      <c r="M266">
        <v>30</v>
      </c>
      <c r="N266" s="9">
        <v>99.26</v>
      </c>
      <c r="O266" s="9">
        <v>29.766536964980549</v>
      </c>
    </row>
    <row r="267" spans="1:15" hidden="1" x14ac:dyDescent="0.25">
      <c r="A267" s="11">
        <v>46141</v>
      </c>
      <c r="B267" t="s">
        <v>36</v>
      </c>
      <c r="C267" t="s">
        <v>32</v>
      </c>
      <c r="D267" s="9">
        <v>31</v>
      </c>
      <c r="E267" s="9">
        <v>29</v>
      </c>
      <c r="F267" s="9">
        <v>16.579999999999998</v>
      </c>
      <c r="G267" s="9">
        <v>0</v>
      </c>
      <c r="H267" s="9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35</v>
      </c>
      <c r="K267" s="3">
        <f>I267-J267</f>
        <v>-6</v>
      </c>
      <c r="L267" s="3" t="str">
        <f>IF(K267&lt;-5,"CRÍTICO",IF(K267&lt;0,"ATENÇÃO",IF(K267&lt;=5,"OPORTUNO","MUITO BOM")))</f>
        <v>CRÍTICO</v>
      </c>
      <c r="M267">
        <v>28</v>
      </c>
      <c r="N267" s="9">
        <v>99.26</v>
      </c>
      <c r="O267" s="9">
        <v>29.766536964980549</v>
      </c>
    </row>
    <row r="268" spans="1:15" hidden="1" x14ac:dyDescent="0.25">
      <c r="A268" s="11">
        <v>46142</v>
      </c>
      <c r="B268" t="s">
        <v>36</v>
      </c>
      <c r="C268" t="s">
        <v>32</v>
      </c>
      <c r="D268" s="9">
        <v>29</v>
      </c>
      <c r="E268" s="9">
        <v>26</v>
      </c>
      <c r="F268" s="9">
        <v>15.07</v>
      </c>
      <c r="G268" s="9">
        <v>0</v>
      </c>
      <c r="H268" s="9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32</v>
      </c>
      <c r="K268" s="3">
        <f>I268-J268</f>
        <v>-6</v>
      </c>
      <c r="L268" s="3" t="str">
        <f>IF(K268&lt;-5,"CRÍTICO",IF(K268&lt;0,"ATENÇÃO",IF(K268&lt;=5,"OPORTUNO","MUITO BOM")))</f>
        <v>CRÍTICO</v>
      </c>
      <c r="M268">
        <v>27</v>
      </c>
      <c r="N268" s="9">
        <v>99.26</v>
      </c>
      <c r="O268" s="9">
        <v>29.766536964980549</v>
      </c>
    </row>
    <row r="269" spans="1:15" hidden="1" x14ac:dyDescent="0.25">
      <c r="A269" s="5">
        <v>46146</v>
      </c>
      <c r="B269" s="6" t="s">
        <v>36</v>
      </c>
      <c r="C269" s="9" t="s">
        <v>32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9">
        <v>0</v>
      </c>
      <c r="N269" s="9">
        <v>100</v>
      </c>
      <c r="O269" s="9">
        <v>13.51351351351351</v>
      </c>
    </row>
    <row r="270" spans="1:15" hidden="1" x14ac:dyDescent="0.25">
      <c r="A270" s="5">
        <v>46147</v>
      </c>
      <c r="B270" s="6" t="s">
        <v>36</v>
      </c>
      <c r="C270" s="9" t="s">
        <v>32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13.51351351351351</v>
      </c>
    </row>
    <row r="271" spans="1:15" hidden="1" x14ac:dyDescent="0.25">
      <c r="A271" s="5">
        <v>46148</v>
      </c>
      <c r="B271" s="6" t="s">
        <v>36</v>
      </c>
      <c r="C271" s="9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13.51351351351351</v>
      </c>
    </row>
    <row r="272" spans="1:15" x14ac:dyDescent="0.25">
      <c r="A272" s="11">
        <v>46168</v>
      </c>
      <c r="B272" t="s">
        <v>49</v>
      </c>
      <c r="C272" t="s">
        <v>48</v>
      </c>
      <c r="D272" s="12">
        <v>27</v>
      </c>
      <c r="E272" s="12">
        <v>22</v>
      </c>
      <c r="F272" s="12">
        <v>14.06</v>
      </c>
      <c r="G272" s="12">
        <v>4</v>
      </c>
      <c r="M272" s="12">
        <v>25</v>
      </c>
      <c r="N272" s="12">
        <v>99.35</v>
      </c>
      <c r="O272" s="12">
        <v>19.852941176470591</v>
      </c>
    </row>
    <row r="273" spans="1:15" hidden="1" x14ac:dyDescent="0.25">
      <c r="A273" s="11">
        <v>46140</v>
      </c>
      <c r="B273" t="s">
        <v>37</v>
      </c>
      <c r="C273" t="s">
        <v>32</v>
      </c>
      <c r="D273" s="9">
        <v>38</v>
      </c>
      <c r="E273" s="9">
        <v>35</v>
      </c>
      <c r="F273" s="9">
        <v>16.57</v>
      </c>
      <c r="G273" s="9">
        <v>0</v>
      </c>
      <c r="H273" s="9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34</v>
      </c>
      <c r="K273" s="3">
        <f>I273-J273</f>
        <v>1</v>
      </c>
      <c r="L273" s="3" t="str">
        <f>IF(K273&lt;-5,"CRÍTICO",IF(K273&lt;0,"ATENÇÃO",IF(K273&lt;=5,"OPORTUNO","MUITO BOM")))</f>
        <v>OPORTUNO</v>
      </c>
      <c r="M273">
        <v>32</v>
      </c>
      <c r="N273" s="9">
        <v>99.57</v>
      </c>
      <c r="O273" s="9">
        <v>30.635838150289018</v>
      </c>
    </row>
    <row r="274" spans="1:15" hidden="1" x14ac:dyDescent="0.25">
      <c r="A274" s="11">
        <v>46141</v>
      </c>
      <c r="B274" t="s">
        <v>37</v>
      </c>
      <c r="C274" t="s">
        <v>32</v>
      </c>
      <c r="D274" s="9">
        <v>44</v>
      </c>
      <c r="E274" s="9">
        <v>40</v>
      </c>
      <c r="F274" s="9">
        <v>12.14</v>
      </c>
      <c r="G274" s="9">
        <v>0</v>
      </c>
      <c r="H274" s="9">
        <v>0</v>
      </c>
      <c r="I274" s="3">
        <f>E274+G274+H274</f>
        <v>40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5</v>
      </c>
      <c r="L274" s="3" t="str">
        <f>IF(K274&lt;-5,"CRÍTICO",IF(K274&lt;0,"ATENÇÃO",IF(K274&lt;=5,"OPORTUNO","MUITO BOM")))</f>
        <v>OPORTUNO</v>
      </c>
      <c r="M274">
        <v>45</v>
      </c>
      <c r="N274" s="9">
        <v>99.57</v>
      </c>
      <c r="O274" s="9">
        <v>30.635838150289018</v>
      </c>
    </row>
    <row r="275" spans="1:15" hidden="1" x14ac:dyDescent="0.25">
      <c r="A275" s="11">
        <v>46142</v>
      </c>
      <c r="B275" t="s">
        <v>37</v>
      </c>
      <c r="C275" t="s">
        <v>32</v>
      </c>
      <c r="D275" s="9">
        <v>47</v>
      </c>
      <c r="E275" s="9">
        <v>42</v>
      </c>
      <c r="F275" s="9">
        <v>12.14</v>
      </c>
      <c r="G275" s="9">
        <v>0</v>
      </c>
      <c r="H275" s="9">
        <v>0</v>
      </c>
      <c r="I275" s="3">
        <f>E275+G275+H275</f>
        <v>42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32</v>
      </c>
      <c r="K275" s="3">
        <f>I275-J275</f>
        <v>10</v>
      </c>
      <c r="L275" s="3" t="str">
        <f>IF(K275&lt;-5,"CRÍTICO",IF(K275&lt;0,"ATENÇÃO",IF(K275&lt;=5,"OPORTUNO","MUITO BOM")))</f>
        <v>MUITO BOM</v>
      </c>
      <c r="M275">
        <v>45</v>
      </c>
      <c r="N275" s="9">
        <v>99.57</v>
      </c>
      <c r="O275" s="9">
        <v>30.635838150289018</v>
      </c>
    </row>
    <row r="276" spans="1:15" hidden="1" x14ac:dyDescent="0.25">
      <c r="A276" s="5">
        <v>46146</v>
      </c>
      <c r="B276" s="6" t="s">
        <v>37</v>
      </c>
      <c r="C276" s="3" t="s">
        <v>32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>E276+G276+H276</f>
        <v>49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14</v>
      </c>
      <c r="L276" s="3" t="str">
        <f>IF(K276&lt;-5,"CRÍTICO",IF(K276&lt;0,"ATENÇÃO",IF(K276&lt;=5,"BOM","EXCELENTE")))</f>
        <v>EXCELENTE</v>
      </c>
      <c r="M276" s="9">
        <v>46</v>
      </c>
      <c r="N276" s="9">
        <v>99</v>
      </c>
      <c r="O276" s="9">
        <v>22.27414330218069</v>
      </c>
    </row>
    <row r="277" spans="1:15" hidden="1" x14ac:dyDescent="0.25">
      <c r="A277" s="5">
        <v>46147</v>
      </c>
      <c r="B277" s="6" t="s">
        <v>37</v>
      </c>
      <c r="C277" s="3" t="s">
        <v>32</v>
      </c>
      <c r="D277" s="3">
        <v>40</v>
      </c>
      <c r="E277" s="3">
        <v>40</v>
      </c>
      <c r="F277" s="9">
        <v>15.42</v>
      </c>
      <c r="G277" s="3">
        <v>2</v>
      </c>
      <c r="H277" s="3">
        <v>0</v>
      </c>
      <c r="I277" s="3">
        <f>E277+G277+H277</f>
        <v>42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99</v>
      </c>
      <c r="O277" s="3">
        <v>22.27414330218069</v>
      </c>
    </row>
    <row r="278" spans="1:15" hidden="1" x14ac:dyDescent="0.25">
      <c r="A278" s="5">
        <v>46148</v>
      </c>
      <c r="B278" s="6" t="s">
        <v>37</v>
      </c>
      <c r="C278" s="3" t="s">
        <v>32</v>
      </c>
      <c r="D278" s="3">
        <v>52</v>
      </c>
      <c r="E278" s="3">
        <v>45</v>
      </c>
      <c r="F278" s="9">
        <v>13.59</v>
      </c>
      <c r="G278" s="3">
        <v>23</v>
      </c>
      <c r="H278" s="3">
        <v>0</v>
      </c>
      <c r="I278" s="3">
        <f>E278+G278+H278</f>
        <v>68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35</v>
      </c>
      <c r="K278" s="3">
        <f>I278-J278</f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99</v>
      </c>
      <c r="O278" s="3">
        <v>22.27414330218069</v>
      </c>
    </row>
    <row r="279" spans="1:15" x14ac:dyDescent="0.25">
      <c r="A279" s="11">
        <v>46168</v>
      </c>
      <c r="B279" t="s">
        <v>50</v>
      </c>
      <c r="C279" t="s">
        <v>48</v>
      </c>
      <c r="D279" s="12">
        <v>28</v>
      </c>
      <c r="E279" s="12">
        <v>26</v>
      </c>
      <c r="F279" s="12">
        <v>20.21</v>
      </c>
      <c r="G279" s="12">
        <v>2</v>
      </c>
      <c r="M279" s="12">
        <v>27</v>
      </c>
      <c r="N279" s="12">
        <v>99.07</v>
      </c>
      <c r="O279" s="12">
        <v>20.098039215686271</v>
      </c>
    </row>
    <row r="280" spans="1:15" hidden="1" x14ac:dyDescent="0.25">
      <c r="A280" s="11">
        <v>46140</v>
      </c>
      <c r="B280" t="s">
        <v>38</v>
      </c>
      <c r="C280" t="s">
        <v>32</v>
      </c>
      <c r="D280" s="9">
        <v>28</v>
      </c>
      <c r="E280" s="9">
        <v>28</v>
      </c>
      <c r="F280" s="9">
        <v>14.08</v>
      </c>
      <c r="G280" s="9">
        <v>0</v>
      </c>
      <c r="H280" s="9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34</v>
      </c>
      <c r="K280" s="3">
        <f>I280-J280</f>
        <v>-6</v>
      </c>
      <c r="L280" s="3" t="str">
        <f>IF(K280&lt;-5,"CRÍTICO",IF(K280&lt;0,"ATENÇÃO",IF(K280&lt;=5,"OPORTUNO","MUITO BOM")))</f>
        <v>CRÍTICO</v>
      </c>
      <c r="M280">
        <v>24</v>
      </c>
      <c r="N280" s="9">
        <v>95.65</v>
      </c>
      <c r="O280" s="9">
        <v>32.432432432432442</v>
      </c>
    </row>
    <row r="281" spans="1:15" hidden="1" x14ac:dyDescent="0.25">
      <c r="A281" s="11">
        <v>46141</v>
      </c>
      <c r="B281" t="s">
        <v>38</v>
      </c>
      <c r="C281" t="s">
        <v>32</v>
      </c>
      <c r="D281" s="9">
        <v>22</v>
      </c>
      <c r="E281" s="9">
        <v>20</v>
      </c>
      <c r="F281" s="9">
        <v>15.05</v>
      </c>
      <c r="G281" s="9">
        <v>0</v>
      </c>
      <c r="H281" s="9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-15</v>
      </c>
      <c r="L281" s="3" t="str">
        <f>IF(K281&lt;-5,"CRÍTICO",IF(K281&lt;0,"ATENÇÃO",IF(K281&lt;=5,"OPORTUNO","MUITO BOM")))</f>
        <v>CRÍTICO</v>
      </c>
      <c r="M281">
        <v>19</v>
      </c>
      <c r="N281" s="9">
        <v>95.65</v>
      </c>
      <c r="O281" s="9">
        <v>32.432432432432442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hidden="1" x14ac:dyDescent="0.25">
      <c r="A283" s="11">
        <v>46142</v>
      </c>
      <c r="B283" t="s">
        <v>38</v>
      </c>
      <c r="C283" t="s">
        <v>32</v>
      </c>
      <c r="D283" s="9">
        <v>0</v>
      </c>
      <c r="E283" s="9">
        <v>0</v>
      </c>
      <c r="F283" s="9">
        <v>0</v>
      </c>
      <c r="G283" s="9">
        <v>0</v>
      </c>
      <c r="H283" s="9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M283">
        <v>9</v>
      </c>
      <c r="N283" s="9">
        <v>95.65</v>
      </c>
      <c r="O283" s="9">
        <v>32.432432432432442</v>
      </c>
    </row>
    <row r="284" spans="1:15" hidden="1" x14ac:dyDescent="0.25">
      <c r="A284" s="5">
        <v>46149</v>
      </c>
      <c r="B284" s="6" t="s">
        <v>31</v>
      </c>
      <c r="C284" s="3" t="s">
        <v>32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>IF(K284&lt;-5,"CRÍTICO",IF(K284&lt;0,"ATENÇÃO",IF(K284&lt;=5,"BOM","EXCELENTE")))</f>
        <v>BOM</v>
      </c>
      <c r="M284" s="9">
        <v>0</v>
      </c>
      <c r="N284" s="9">
        <v>100</v>
      </c>
      <c r="O284" s="9">
        <v>0</v>
      </c>
    </row>
    <row r="285" spans="1:15" hidden="1" x14ac:dyDescent="0.25">
      <c r="A285" s="5">
        <v>46149</v>
      </c>
      <c r="B285" s="6" t="s">
        <v>33</v>
      </c>
      <c r="C285" s="9" t="s">
        <v>32</v>
      </c>
      <c r="D285" s="3">
        <v>32</v>
      </c>
      <c r="E285" s="3">
        <v>32</v>
      </c>
      <c r="F285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>IF(K285&lt;-5,"CRÍTICO",IF(K285&lt;0,"ATENÇÃO",IF(K285&lt;=5,"BOM","EXCELENTE")))</f>
        <v>ATENÇÃO</v>
      </c>
      <c r="M285" s="3">
        <v>33</v>
      </c>
      <c r="N285" s="3">
        <v>96.94</v>
      </c>
      <c r="O285" s="3">
        <v>19.613259668508292</v>
      </c>
    </row>
    <row r="286" spans="1:15" hidden="1" x14ac:dyDescent="0.25">
      <c r="A286" s="5">
        <v>46149</v>
      </c>
      <c r="B286" s="6" t="s">
        <v>34</v>
      </c>
      <c r="C286" s="3" t="s">
        <v>32</v>
      </c>
      <c r="D286" s="3">
        <v>47</v>
      </c>
      <c r="E286" s="3">
        <v>44</v>
      </c>
      <c r="F286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>IF(K286&lt;-5,"CRÍTICO",IF(K286&lt;0,"ATENÇÃO",IF(K286&lt;=5,"BOM","EXCELENTE")))</f>
        <v>EXCELENTE</v>
      </c>
      <c r="M286" s="3">
        <v>38</v>
      </c>
      <c r="N286" s="3">
        <v>92.81</v>
      </c>
      <c r="O286" s="3">
        <v>25.477707006369432</v>
      </c>
    </row>
    <row r="287" spans="1:15" hidden="1" x14ac:dyDescent="0.25">
      <c r="A287" s="5">
        <v>46149</v>
      </c>
      <c r="B287" s="6" t="s">
        <v>35</v>
      </c>
      <c r="C287" s="9" t="s">
        <v>32</v>
      </c>
      <c r="D287" s="3">
        <v>31</v>
      </c>
      <c r="E287" s="3">
        <v>30</v>
      </c>
      <c r="F287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>IF(K287&lt;-5,"CRÍTICO",IF(K287&lt;0,"ATENÇÃO",IF(K287&lt;=5,"BOM","EXCELENTE")))</f>
        <v>BOM</v>
      </c>
      <c r="M287" s="3">
        <v>29</v>
      </c>
      <c r="N287" s="3">
        <v>99.19</v>
      </c>
      <c r="O287" s="3">
        <v>28.404669260700391</v>
      </c>
    </row>
    <row r="288" spans="1:15" hidden="1" x14ac:dyDescent="0.25">
      <c r="A288" s="5">
        <v>46149</v>
      </c>
      <c r="B288" s="6" t="s">
        <v>36</v>
      </c>
      <c r="C288" s="9" t="s">
        <v>32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>IF(K288&lt;-5,"CRÍTICO",IF(K288&lt;0,"ATENÇÃO",IF(K288&lt;=5,"BOM","EXCELENTE")))</f>
        <v>BOM</v>
      </c>
      <c r="M288" s="3">
        <v>0</v>
      </c>
      <c r="N288" s="3">
        <v>100</v>
      </c>
      <c r="O288" s="3">
        <v>13.51351351351351</v>
      </c>
    </row>
    <row r="289" spans="1:15" hidden="1" x14ac:dyDescent="0.25">
      <c r="A289" s="5">
        <v>46149</v>
      </c>
      <c r="B289" s="6" t="s">
        <v>37</v>
      </c>
      <c r="C289" s="3" t="s">
        <v>32</v>
      </c>
      <c r="D289" s="3">
        <v>56</v>
      </c>
      <c r="E289" s="3">
        <v>51</v>
      </c>
      <c r="F289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>IF(K289&lt;-5,"CRÍTICO",IF(K289&lt;0,"ATENÇÃO",IF(K289&lt;=5,"BOM","EXCELENTE")))</f>
        <v>EXCELENTE</v>
      </c>
      <c r="M289" s="3">
        <v>49</v>
      </c>
      <c r="N289" s="3">
        <v>99</v>
      </c>
      <c r="O289" s="3">
        <v>22.27414330218069</v>
      </c>
    </row>
    <row r="290" spans="1:15" hidden="1" x14ac:dyDescent="0.25">
      <c r="A290" s="5">
        <v>46149</v>
      </c>
      <c r="B290" s="6" t="s">
        <v>38</v>
      </c>
      <c r="C290" s="3" t="s">
        <v>32</v>
      </c>
      <c r="D290" s="3">
        <v>48</v>
      </c>
      <c r="E290" s="3">
        <v>39</v>
      </c>
      <c r="F290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>IF(K290&lt;-5,"CRÍTICO",IF(K290&lt;0,"ATENÇÃO",IF(K290&lt;=5,"BOM","EXCELENTE")))</f>
        <v>EXCELENTE</v>
      </c>
      <c r="M290" s="3">
        <v>41</v>
      </c>
      <c r="N290" s="3">
        <v>97.04</v>
      </c>
      <c r="O290" s="3">
        <v>29.828850855745721</v>
      </c>
    </row>
    <row r="291" spans="1:15" hidden="1" x14ac:dyDescent="0.25">
      <c r="A291" s="5">
        <v>46149</v>
      </c>
      <c r="B291" s="6" t="s">
        <v>39</v>
      </c>
      <c r="C291" s="3" t="s">
        <v>32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>IF(K291&lt;-5,"CRÍTICO",IF(K291&lt;0,"ATENÇÃO",IF(K291&lt;=5,"BOM","EXCELENTE")))</f>
        <v>BOM</v>
      </c>
      <c r="M291" s="3">
        <v>0</v>
      </c>
      <c r="N291" s="3">
        <v>0</v>
      </c>
      <c r="O291" s="3">
        <v>0</v>
      </c>
    </row>
    <row r="292" spans="1:15" hidden="1" x14ac:dyDescent="0.25">
      <c r="A292" s="5">
        <v>46149</v>
      </c>
      <c r="B292" s="6" t="s">
        <v>40</v>
      </c>
      <c r="C292" s="9" t="s">
        <v>32</v>
      </c>
      <c r="D292" s="3">
        <v>20</v>
      </c>
      <c r="E292" s="3">
        <v>19</v>
      </c>
      <c r="F292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>IF(K292&lt;-5,"CRÍTICO",IF(K292&lt;0,"ATENÇÃO",IF(K292&lt;=5,"BOM","EXCELENTE")))</f>
        <v>CRÍTICO</v>
      </c>
      <c r="M292" s="3">
        <v>23</v>
      </c>
      <c r="N292" s="3">
        <v>96.84</v>
      </c>
      <c r="O292" s="3">
        <v>16.338028169014081</v>
      </c>
    </row>
    <row r="293" spans="1:15" hidden="1" x14ac:dyDescent="0.25">
      <c r="A293" s="5">
        <v>46149</v>
      </c>
      <c r="B293" s="6" t="s">
        <v>41</v>
      </c>
      <c r="C293" s="9" t="s">
        <v>32</v>
      </c>
      <c r="D293" s="3">
        <v>25</v>
      </c>
      <c r="E293" s="3">
        <v>23</v>
      </c>
      <c r="F29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>IF(K293&lt;-5,"CRÍTICO",IF(K293&lt;0,"ATENÇÃO",IF(K293&lt;=5,"BOM","EXCELENTE")))</f>
        <v>CRÍTICO</v>
      </c>
      <c r="M293" s="3">
        <v>25</v>
      </c>
      <c r="N293" s="3">
        <v>100</v>
      </c>
      <c r="O293" s="3">
        <v>18.244803695150122</v>
      </c>
    </row>
    <row r="294" spans="1:15" hidden="1" x14ac:dyDescent="0.25">
      <c r="A294" s="5">
        <v>46149</v>
      </c>
      <c r="B294" s="6" t="s">
        <v>42</v>
      </c>
      <c r="C294" s="3" t="s">
        <v>32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>IF(K294&lt;-5,"CRÍTICO",IF(K294&lt;0,"ATENÇÃO",IF(K294&lt;=5,"BOM","EXCELENTE")))</f>
        <v>BOM</v>
      </c>
      <c r="M294" s="3">
        <v>0</v>
      </c>
      <c r="N294" s="3">
        <v>100</v>
      </c>
      <c r="O294" s="3">
        <v>15.789473684210529</v>
      </c>
    </row>
    <row r="295" spans="1:15" hidden="1" x14ac:dyDescent="0.25">
      <c r="A295" s="5">
        <v>46149</v>
      </c>
      <c r="B295" s="6" t="s">
        <v>43</v>
      </c>
      <c r="C295" s="3" t="s">
        <v>32</v>
      </c>
      <c r="D295" s="3">
        <v>15</v>
      </c>
      <c r="E295" s="3">
        <v>14</v>
      </c>
      <c r="F295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>IF(K295&lt;-5,"CRÍTICO",IF(K295&lt;0,"ATENÇÃO",IF(K295&lt;=5,"BOM","EXCELENTE")))</f>
        <v>EXCELENTE</v>
      </c>
      <c r="M295" s="3">
        <v>35</v>
      </c>
      <c r="N295" s="3">
        <v>98.39</v>
      </c>
      <c r="O295" s="3">
        <v>8.7999999999999989</v>
      </c>
    </row>
    <row r="296" spans="1:15" hidden="1" x14ac:dyDescent="0.25">
      <c r="A296" s="5">
        <v>46149</v>
      </c>
      <c r="B296" s="6" t="s">
        <v>44</v>
      </c>
      <c r="C296" s="3" t="s">
        <v>32</v>
      </c>
      <c r="D296" s="3">
        <v>26</v>
      </c>
      <c r="E296" s="3">
        <v>23</v>
      </c>
      <c r="F296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>IF(K296&lt;-5,"CRÍTICO",IF(K296&lt;0,"ATENÇÃO",IF(K296&lt;=5,"BOM","EXCELENTE")))</f>
        <v>ATENÇÃO</v>
      </c>
      <c r="M296" s="3">
        <v>26</v>
      </c>
      <c r="N296" s="3">
        <v>96.38</v>
      </c>
      <c r="O296" s="3">
        <v>23.198198198198199</v>
      </c>
    </row>
    <row r="297" spans="1:15" hidden="1" x14ac:dyDescent="0.25">
      <c r="A297" s="5">
        <v>46149</v>
      </c>
      <c r="B297" s="6" t="s">
        <v>45</v>
      </c>
      <c r="C297" s="3" t="s">
        <v>32</v>
      </c>
      <c r="D297" s="3">
        <v>35</v>
      </c>
      <c r="E297" s="3">
        <v>30</v>
      </c>
      <c r="F297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>IF(K297&lt;-5,"CRÍTICO",IF(K297&lt;0,"ATENÇÃO",IF(K297&lt;=5,"BOM","EXCELENTE")))</f>
        <v>BOM</v>
      </c>
      <c r="M297" s="3">
        <v>37</v>
      </c>
      <c r="N297" s="3">
        <v>99.39</v>
      </c>
      <c r="O297" s="3">
        <v>25.203252032520329</v>
      </c>
    </row>
    <row r="298" spans="1:15" hidden="1" x14ac:dyDescent="0.25">
      <c r="A298" s="5">
        <v>46149</v>
      </c>
      <c r="B298" s="6" t="s">
        <v>46</v>
      </c>
      <c r="C298" s="3" t="s">
        <v>32</v>
      </c>
      <c r="D298" s="3">
        <v>34</v>
      </c>
      <c r="E298" s="3">
        <v>31</v>
      </c>
      <c r="F298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>IF(K298&lt;-5,"CRÍTICO",IF(K298&lt;0,"ATENÇÃO",IF(K298&lt;=5,"BOM","EXCELENTE")))</f>
        <v>ATENÇÃO</v>
      </c>
      <c r="M298" s="3">
        <v>28</v>
      </c>
      <c r="N298" s="3">
        <v>97</v>
      </c>
      <c r="O298" s="3">
        <v>20.325203252032519</v>
      </c>
    </row>
    <row r="299" spans="1:15" hidden="1" x14ac:dyDescent="0.25">
      <c r="A299" s="5">
        <v>46150</v>
      </c>
      <c r="B299" s="6" t="s">
        <v>31</v>
      </c>
      <c r="C299" s="3" t="s">
        <v>32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>IF(K299&lt;-5,"CRÍTICO",IF(K299&lt;0,"ATENÇÃO",IF(K299&lt;=5,"BOM","EXCELENTE")))</f>
        <v>BOM</v>
      </c>
      <c r="M299" s="9">
        <v>0</v>
      </c>
      <c r="N299" s="9">
        <v>100</v>
      </c>
      <c r="O299" s="9">
        <v>0</v>
      </c>
    </row>
    <row r="300" spans="1:15" hidden="1" x14ac:dyDescent="0.25">
      <c r="A300" s="5">
        <v>46150</v>
      </c>
      <c r="B300" s="6" t="s">
        <v>33</v>
      </c>
      <c r="C300" s="9" t="s">
        <v>32</v>
      </c>
      <c r="D300" s="3">
        <v>22</v>
      </c>
      <c r="E300" s="3">
        <v>21</v>
      </c>
      <c r="F300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>IF(K300&lt;-5,"CRÍTICO",IF(K300&lt;0,"ATENÇÃO",IF(K300&lt;=5,"BOM","EXCELENTE")))</f>
        <v>ATENÇÃO</v>
      </c>
      <c r="M300">
        <v>20</v>
      </c>
      <c r="N300">
        <v>96.94</v>
      </c>
      <c r="O300">
        <v>19.613259668508292</v>
      </c>
    </row>
    <row r="301" spans="1:15" hidden="1" x14ac:dyDescent="0.25">
      <c r="A301" s="5">
        <v>46150</v>
      </c>
      <c r="B301" s="6" t="s">
        <v>34</v>
      </c>
      <c r="C301" s="3" t="s">
        <v>32</v>
      </c>
      <c r="D301" s="3">
        <v>27</v>
      </c>
      <c r="E301" s="3">
        <v>26</v>
      </c>
      <c r="F301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>IF(K301&lt;-5,"CRÍTICO",IF(K301&lt;0,"ATENÇÃO",IF(K301&lt;=5,"BOM","EXCELENTE")))</f>
        <v>ATENÇÃO</v>
      </c>
      <c r="M301">
        <v>25</v>
      </c>
      <c r="N301">
        <v>92.81</v>
      </c>
      <c r="O301">
        <v>25.477707006369432</v>
      </c>
    </row>
    <row r="302" spans="1:15" hidden="1" x14ac:dyDescent="0.25">
      <c r="A302" s="5">
        <v>46150</v>
      </c>
      <c r="B302" s="6" t="s">
        <v>35</v>
      </c>
      <c r="C302" s="9" t="s">
        <v>32</v>
      </c>
      <c r="D302" s="3">
        <v>17</v>
      </c>
      <c r="E302" s="3">
        <v>17</v>
      </c>
      <c r="F302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>IF(K302&lt;-5,"CRÍTICO",IF(K302&lt;0,"ATENÇÃO",IF(K302&lt;=5,"BOM","EXCELENTE")))</f>
        <v>BOM</v>
      </c>
      <c r="M302">
        <v>22</v>
      </c>
      <c r="N302">
        <v>99.19</v>
      </c>
      <c r="O302">
        <v>28.404669260700391</v>
      </c>
    </row>
    <row r="303" spans="1:15" hidden="1" x14ac:dyDescent="0.25">
      <c r="A303" s="5">
        <v>46150</v>
      </c>
      <c r="B303" s="6" t="s">
        <v>36</v>
      </c>
      <c r="C303" s="9" t="s">
        <v>32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>IF(K303&lt;-5,"CRÍTICO",IF(K303&lt;0,"ATENÇÃO",IF(K303&lt;=5,"BOM","EXCELENTE")))</f>
        <v>BOM</v>
      </c>
      <c r="M303" s="9">
        <v>0</v>
      </c>
      <c r="N303" s="9">
        <v>100</v>
      </c>
      <c r="O303" s="9">
        <v>13.51351351351351</v>
      </c>
    </row>
    <row r="304" spans="1:15" hidden="1" x14ac:dyDescent="0.25">
      <c r="A304" s="5">
        <v>46150</v>
      </c>
      <c r="B304" s="6" t="s">
        <v>37</v>
      </c>
      <c r="C304" s="3" t="s">
        <v>32</v>
      </c>
      <c r="D304" s="3">
        <v>41</v>
      </c>
      <c r="E304" s="3">
        <v>37</v>
      </c>
      <c r="F304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>IF(K304&lt;-5,"CRÍTICO",IF(K304&lt;0,"ATENÇÃO",IF(K304&lt;=5,"BOM","EXCELENTE")))</f>
        <v>EXCELENTE</v>
      </c>
      <c r="M304">
        <v>41</v>
      </c>
      <c r="N304">
        <v>99</v>
      </c>
      <c r="O304">
        <v>22.27414330218069</v>
      </c>
    </row>
    <row r="305" spans="1:15" hidden="1" x14ac:dyDescent="0.25">
      <c r="A305" s="5">
        <v>46150</v>
      </c>
      <c r="B305" s="6" t="s">
        <v>38</v>
      </c>
      <c r="C305" s="3" t="s">
        <v>32</v>
      </c>
      <c r="D305" s="3">
        <v>20</v>
      </c>
      <c r="E305" s="3">
        <v>19</v>
      </c>
      <c r="F305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>IF(K305&lt;-5,"CRÍTICO",IF(K305&lt;0,"ATENÇÃO",IF(K305&lt;=5,"BOM","EXCELENTE")))</f>
        <v>ATENÇÃO</v>
      </c>
      <c r="M305">
        <v>21</v>
      </c>
      <c r="N305">
        <v>97.04</v>
      </c>
      <c r="O305">
        <v>29.828850855745721</v>
      </c>
    </row>
    <row r="306" spans="1:15" hidden="1" x14ac:dyDescent="0.25">
      <c r="A306" s="5">
        <v>46150</v>
      </c>
      <c r="B306" s="6" t="s">
        <v>39</v>
      </c>
      <c r="C306" s="3" t="s">
        <v>32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>IF(K306&lt;-5,"CRÍTICO",IF(K306&lt;0,"ATENÇÃO",IF(K306&lt;=5,"BOM","EXCELENTE")))</f>
        <v>BOM</v>
      </c>
      <c r="M306" s="9">
        <v>0</v>
      </c>
      <c r="N306" s="9">
        <v>0</v>
      </c>
      <c r="O306" s="9">
        <v>0</v>
      </c>
    </row>
    <row r="307" spans="1:15" hidden="1" x14ac:dyDescent="0.25">
      <c r="A307" s="5">
        <v>46150</v>
      </c>
      <c r="B307" s="6" t="s">
        <v>40</v>
      </c>
      <c r="C307" s="9" t="s">
        <v>32</v>
      </c>
      <c r="D307" s="3">
        <v>4</v>
      </c>
      <c r="E307" s="3">
        <v>4</v>
      </c>
      <c r="F307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>IF(K307&lt;-5,"CRÍTICO",IF(K307&lt;0,"ATENÇÃO",IF(K307&lt;=5,"BOM","EXCELENTE")))</f>
        <v>CRÍTICO</v>
      </c>
      <c r="M307">
        <v>4</v>
      </c>
      <c r="N307">
        <v>96.84</v>
      </c>
      <c r="O307">
        <v>16.338028169014081</v>
      </c>
    </row>
    <row r="308" spans="1:15" hidden="1" x14ac:dyDescent="0.25">
      <c r="A308" s="5">
        <v>46150</v>
      </c>
      <c r="B308" s="6" t="s">
        <v>41</v>
      </c>
      <c r="C308" s="9" t="s">
        <v>32</v>
      </c>
      <c r="D308" s="3">
        <v>29</v>
      </c>
      <c r="E308" s="3">
        <v>28</v>
      </c>
      <c r="F308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>IF(K308&lt;-5,"CRÍTICO",IF(K308&lt;0,"ATENÇÃO",IF(K308&lt;=5,"BOM","EXCELENTE")))</f>
        <v>ATENÇÃO</v>
      </c>
      <c r="M308">
        <v>24</v>
      </c>
      <c r="N308">
        <v>100</v>
      </c>
      <c r="O308">
        <v>18.244803695150122</v>
      </c>
    </row>
    <row r="309" spans="1:15" hidden="1" x14ac:dyDescent="0.25">
      <c r="A309" s="5">
        <v>46150</v>
      </c>
      <c r="B309" s="6" t="s">
        <v>42</v>
      </c>
      <c r="C309" s="3" t="s">
        <v>32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>IF(K309&lt;-5,"CRÍTICO",IF(K309&lt;0,"ATENÇÃO",IF(K309&lt;=5,"BOM","EXCELENTE")))</f>
        <v>BOM</v>
      </c>
      <c r="M309" s="9">
        <v>0</v>
      </c>
      <c r="N309" s="9">
        <v>100</v>
      </c>
      <c r="O309" s="9">
        <v>15.789473684210529</v>
      </c>
    </row>
    <row r="310" spans="1:15" hidden="1" x14ac:dyDescent="0.25">
      <c r="A310" s="5">
        <v>46150</v>
      </c>
      <c r="B310" s="6" t="s">
        <v>43</v>
      </c>
      <c r="C310" s="3" t="s">
        <v>32</v>
      </c>
      <c r="D310" s="3">
        <v>0</v>
      </c>
      <c r="E310" s="3">
        <v>0</v>
      </c>
      <c r="F310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>IF(K310&lt;-5,"CRÍTICO",IF(K310&lt;0,"ATENÇÃO",IF(K310&lt;=5,"BOM","EXCELENTE")))</f>
        <v>BOM</v>
      </c>
      <c r="M310">
        <v>21</v>
      </c>
      <c r="N310">
        <v>98.39</v>
      </c>
      <c r="O310">
        <v>8.7999999999999989</v>
      </c>
    </row>
    <row r="311" spans="1:15" hidden="1" x14ac:dyDescent="0.25">
      <c r="A311" s="5">
        <v>46150</v>
      </c>
      <c r="B311" s="6" t="s">
        <v>44</v>
      </c>
      <c r="C311" s="3" t="s">
        <v>32</v>
      </c>
      <c r="D311" s="3">
        <v>30</v>
      </c>
      <c r="E311" s="3">
        <v>28</v>
      </c>
      <c r="F311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>IF(K311&lt;-5,"CRÍTICO",IF(K311&lt;0,"ATENÇÃO",IF(K311&lt;=5,"BOM","EXCELENTE")))</f>
        <v>BOM</v>
      </c>
      <c r="M311">
        <v>23</v>
      </c>
      <c r="N311">
        <v>96.38</v>
      </c>
      <c r="O311">
        <v>23.198198198198199</v>
      </c>
    </row>
    <row r="312" spans="1:15" hidden="1" x14ac:dyDescent="0.25">
      <c r="A312" s="5">
        <v>46150</v>
      </c>
      <c r="B312" s="6" t="s">
        <v>45</v>
      </c>
      <c r="C312" s="3" t="s">
        <v>32</v>
      </c>
      <c r="D312" s="3">
        <v>44</v>
      </c>
      <c r="E312" s="3">
        <v>38</v>
      </c>
      <c r="F312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>IF(K312&lt;-5,"CRÍTICO",IF(K312&lt;0,"ATENÇÃO",IF(K312&lt;=5,"BOM","EXCELENTE")))</f>
        <v>EXCELENTE</v>
      </c>
      <c r="M312">
        <v>26</v>
      </c>
      <c r="N312">
        <v>99.39</v>
      </c>
      <c r="O312">
        <v>25.203252032520329</v>
      </c>
    </row>
    <row r="313" spans="1:15" hidden="1" x14ac:dyDescent="0.25">
      <c r="A313" s="5">
        <v>46150</v>
      </c>
      <c r="B313" s="6" t="s">
        <v>46</v>
      </c>
      <c r="C313" s="3" t="s">
        <v>32</v>
      </c>
      <c r="D313" s="3">
        <v>22</v>
      </c>
      <c r="E313" s="3">
        <v>21</v>
      </c>
      <c r="F31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>IF(K313&lt;-5,"CRÍTICO",IF(K313&lt;0,"ATENÇÃO",IF(K313&lt;=5,"BOM","EXCELENTE")))</f>
        <v>ATENÇÃO</v>
      </c>
      <c r="M313">
        <v>25</v>
      </c>
      <c r="N313">
        <v>97</v>
      </c>
      <c r="O313">
        <v>20.325203252032519</v>
      </c>
    </row>
    <row r="314" spans="1:15" hidden="1" x14ac:dyDescent="0.25">
      <c r="A314" s="5">
        <v>46153</v>
      </c>
      <c r="B314" s="6" t="s">
        <v>31</v>
      </c>
      <c r="C314" s="3" t="s">
        <v>32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>IF(K314&lt;-5,"CRÍTICO",IF(K314&lt;0,"ATENÇÃO",IF(K314&lt;=5,"BOM","EXCELENTE")))</f>
        <v>BOM</v>
      </c>
      <c r="M314" s="9">
        <v>0</v>
      </c>
      <c r="N314" s="9">
        <v>100</v>
      </c>
      <c r="O314" s="9">
        <v>0</v>
      </c>
    </row>
    <row r="315" spans="1:15" hidden="1" x14ac:dyDescent="0.25">
      <c r="A315" s="5">
        <v>46153</v>
      </c>
      <c r="B315" s="6" t="s">
        <v>33</v>
      </c>
      <c r="C315" s="9" t="s">
        <v>32</v>
      </c>
      <c r="D315" s="3">
        <v>18</v>
      </c>
      <c r="E315" s="3">
        <v>16</v>
      </c>
      <c r="F315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>IF(K315&lt;-5,"CRÍTICO",IF(K315&lt;0,"ATENÇÃO",IF(K315&lt;=5,"BOM","EXCELENTE")))</f>
        <v>CRÍTICO</v>
      </c>
      <c r="M315">
        <v>13</v>
      </c>
      <c r="N315">
        <v>96.94</v>
      </c>
      <c r="O315">
        <v>19.613259668508292</v>
      </c>
    </row>
    <row r="316" spans="1:15" hidden="1" x14ac:dyDescent="0.25">
      <c r="A316" s="5">
        <v>46153</v>
      </c>
      <c r="B316" s="6" t="s">
        <v>34</v>
      </c>
      <c r="C316" s="3" t="s">
        <v>32</v>
      </c>
      <c r="D316" s="3">
        <v>35</v>
      </c>
      <c r="E316" s="3">
        <v>35</v>
      </c>
      <c r="F316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>IF(K316&lt;-5,"CRÍTICO",IF(K316&lt;0,"ATENÇÃO",IF(K316&lt;=5,"BOM","EXCELENTE")))</f>
        <v>BOM</v>
      </c>
      <c r="M316">
        <v>31</v>
      </c>
      <c r="N316">
        <v>92.81</v>
      </c>
      <c r="O316">
        <v>25.477707006369432</v>
      </c>
    </row>
    <row r="317" spans="1:15" hidden="1" x14ac:dyDescent="0.25">
      <c r="A317" s="5">
        <v>46153</v>
      </c>
      <c r="B317" s="6" t="s">
        <v>35</v>
      </c>
      <c r="C317" s="9" t="s">
        <v>32</v>
      </c>
      <c r="D317" s="3">
        <v>25</v>
      </c>
      <c r="E317" s="3">
        <v>25</v>
      </c>
      <c r="F317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>IF(K317&lt;-5,"CRÍTICO",IF(K317&lt;0,"ATENÇÃO",IF(K317&lt;=5,"BOM","EXCELENTE")))</f>
        <v>BOM</v>
      </c>
      <c r="M317">
        <v>25</v>
      </c>
      <c r="N317">
        <v>99.19</v>
      </c>
      <c r="O317">
        <v>28.404669260700391</v>
      </c>
    </row>
    <row r="318" spans="1:15" hidden="1" x14ac:dyDescent="0.25">
      <c r="A318" s="5">
        <v>46153</v>
      </c>
      <c r="B318" s="6" t="s">
        <v>36</v>
      </c>
      <c r="C318" s="9" t="s">
        <v>32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>IF(K318&lt;-5,"CRÍTICO",IF(K318&lt;0,"ATENÇÃO",IF(K318&lt;=5,"BOM","EXCELENTE")))</f>
        <v>BOM</v>
      </c>
      <c r="M318" s="9">
        <v>0</v>
      </c>
      <c r="N318" s="9">
        <v>100</v>
      </c>
      <c r="O318" s="9">
        <v>13.51351351351351</v>
      </c>
    </row>
    <row r="319" spans="1:15" hidden="1" x14ac:dyDescent="0.25">
      <c r="A319" s="5">
        <v>46153</v>
      </c>
      <c r="B319" s="6" t="s">
        <v>37</v>
      </c>
      <c r="C319" s="3" t="s">
        <v>32</v>
      </c>
      <c r="D319" s="3">
        <v>53</v>
      </c>
      <c r="E319" s="3">
        <v>46</v>
      </c>
      <c r="F319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>IF(K319&lt;-5,"CRÍTICO",IF(K319&lt;0,"ATENÇÃO",IF(K319&lt;=5,"BOM","EXCELENTE")))</f>
        <v>EXCELENTE</v>
      </c>
      <c r="M319">
        <v>44</v>
      </c>
      <c r="N319">
        <v>99</v>
      </c>
      <c r="O319">
        <v>22.27414330218069</v>
      </c>
    </row>
    <row r="320" spans="1:15" hidden="1" x14ac:dyDescent="0.25">
      <c r="A320" s="5">
        <v>46153</v>
      </c>
      <c r="B320" s="6" t="s">
        <v>38</v>
      </c>
      <c r="C320" s="3" t="s">
        <v>32</v>
      </c>
      <c r="D320" s="3">
        <v>22</v>
      </c>
      <c r="E320" s="3">
        <v>20</v>
      </c>
      <c r="F320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>IF(K320&lt;-5,"CRÍTICO",IF(K320&lt;0,"ATENÇÃO",IF(K320&lt;=5,"BOM","EXCELENTE")))</f>
        <v>CRÍTICO</v>
      </c>
      <c r="M320">
        <v>17</v>
      </c>
      <c r="N320">
        <v>97.04</v>
      </c>
      <c r="O320">
        <v>29.828850855745721</v>
      </c>
    </row>
    <row r="321" spans="1:15" hidden="1" x14ac:dyDescent="0.25">
      <c r="A321" s="5">
        <v>46153</v>
      </c>
      <c r="B321" s="6" t="s">
        <v>39</v>
      </c>
      <c r="C321" s="3" t="s">
        <v>32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>IF(K321&lt;-5,"CRÍTICO",IF(K321&lt;0,"ATENÇÃO",IF(K321&lt;=5,"BOM","EXCELENTE")))</f>
        <v>BOM</v>
      </c>
      <c r="M321" s="9">
        <v>0</v>
      </c>
      <c r="N321" s="9">
        <v>0</v>
      </c>
      <c r="O321" s="9">
        <v>0</v>
      </c>
    </row>
    <row r="322" spans="1:15" hidden="1" x14ac:dyDescent="0.25">
      <c r="A322" s="5">
        <v>46153</v>
      </c>
      <c r="B322" s="6" t="s">
        <v>40</v>
      </c>
      <c r="C322" s="9" t="s">
        <v>32</v>
      </c>
      <c r="D322" s="3">
        <v>24</v>
      </c>
      <c r="E322" s="3">
        <v>23</v>
      </c>
      <c r="F322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>IF(K322&lt;-5,"CRÍTICO",IF(K322&lt;0,"ATENÇÃO",IF(K322&lt;=5,"BOM","EXCELENTE")))</f>
        <v>CRÍTICO</v>
      </c>
      <c r="M322">
        <v>23</v>
      </c>
      <c r="N322">
        <v>96.84</v>
      </c>
      <c r="O322">
        <v>16.338028169014081</v>
      </c>
    </row>
    <row r="323" spans="1:15" hidden="1" x14ac:dyDescent="0.25">
      <c r="A323" s="5">
        <v>46153</v>
      </c>
      <c r="B323" s="6" t="s">
        <v>41</v>
      </c>
      <c r="C323" s="9" t="s">
        <v>32</v>
      </c>
      <c r="D323" s="3">
        <v>31</v>
      </c>
      <c r="E323" s="3">
        <v>29</v>
      </c>
      <c r="F32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>IF(K323&lt;-5,"CRÍTICO",IF(K323&lt;0,"ATENÇÃO",IF(K323&lt;=5,"BOM","EXCELENTE")))</f>
        <v>ATENÇÃO</v>
      </c>
      <c r="M323">
        <v>29</v>
      </c>
      <c r="N323">
        <v>100</v>
      </c>
      <c r="O323">
        <v>18.244803695150122</v>
      </c>
    </row>
    <row r="324" spans="1:15" hidden="1" x14ac:dyDescent="0.25">
      <c r="A324" s="5">
        <v>46153</v>
      </c>
      <c r="B324" s="6" t="s">
        <v>42</v>
      </c>
      <c r="C324" s="3" t="s">
        <v>32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>IF(K324&lt;-5,"CRÍTICO",IF(K324&lt;0,"ATENÇÃO",IF(K324&lt;=5,"BOM","EXCELENTE")))</f>
        <v>BOM</v>
      </c>
      <c r="M324" s="9">
        <v>0</v>
      </c>
      <c r="N324" s="9">
        <v>100</v>
      </c>
      <c r="O324" s="9">
        <v>15.789473684210529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5">
        <v>46153</v>
      </c>
      <c r="B326" s="6" t="s">
        <v>43</v>
      </c>
      <c r="C326" s="3" t="s">
        <v>32</v>
      </c>
      <c r="D326" s="3">
        <v>0</v>
      </c>
      <c r="E326" s="3">
        <v>0</v>
      </c>
      <c r="F326">
        <v>0</v>
      </c>
      <c r="G326" s="3"/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>IF(K326&lt;-5,"CRÍTICO",IF(K326&lt;0,"ATENÇÃO",IF(K326&lt;=5,"BOM","EXCELENTE")))</f>
        <v>EXCELENTE</v>
      </c>
      <c r="M326">
        <v>27</v>
      </c>
      <c r="N326">
        <v>98.39</v>
      </c>
      <c r="O326">
        <v>8.7999999999999989</v>
      </c>
    </row>
    <row r="327" spans="1:15" hidden="1" x14ac:dyDescent="0.25">
      <c r="A327" s="5">
        <v>46153</v>
      </c>
      <c r="B327" s="6" t="s">
        <v>44</v>
      </c>
      <c r="C327" s="3" t="s">
        <v>32</v>
      </c>
      <c r="D327" s="3">
        <v>33</v>
      </c>
      <c r="E327" s="3">
        <v>24</v>
      </c>
      <c r="F327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>IF(K327&lt;-5,"CRÍTICO",IF(K327&lt;0,"ATENÇÃO",IF(K327&lt;=5,"BOM","EXCELENTE")))</f>
        <v>ATENÇÃO</v>
      </c>
      <c r="M327">
        <v>26</v>
      </c>
      <c r="N327">
        <v>96.38</v>
      </c>
      <c r="O327">
        <v>23.198198198198199</v>
      </c>
    </row>
    <row r="328" spans="1:15" hidden="1" x14ac:dyDescent="0.25">
      <c r="A328" s="5">
        <v>46153</v>
      </c>
      <c r="B328" s="6" t="s">
        <v>45</v>
      </c>
      <c r="C328" s="3" t="s">
        <v>32</v>
      </c>
      <c r="D328" s="3">
        <v>23</v>
      </c>
      <c r="E328" s="3">
        <v>21</v>
      </c>
      <c r="F328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>IF(K328&lt;-5,"CRÍTICO",IF(K328&lt;0,"ATENÇÃO",IF(K328&lt;=5,"BOM","EXCELENTE")))</f>
        <v>CRÍTICO</v>
      </c>
      <c r="M328">
        <v>17</v>
      </c>
      <c r="N328">
        <v>99.39</v>
      </c>
      <c r="O328">
        <v>25.203252032520329</v>
      </c>
    </row>
    <row r="329" spans="1:15" hidden="1" x14ac:dyDescent="0.25">
      <c r="A329" s="5">
        <v>46153</v>
      </c>
      <c r="B329" s="6" t="s">
        <v>46</v>
      </c>
      <c r="C329" s="3" t="s">
        <v>32</v>
      </c>
      <c r="D329" s="3">
        <v>25</v>
      </c>
      <c r="E329" s="3">
        <v>21</v>
      </c>
      <c r="F329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>IF(K329&lt;-5,"CRÍTICO",IF(K329&lt;0,"ATENÇÃO",IF(K329&lt;=5,"BOM","EXCELENTE")))</f>
        <v>CRÍTICO</v>
      </c>
      <c r="M329">
        <v>16</v>
      </c>
      <c r="N329">
        <v>97</v>
      </c>
      <c r="O329">
        <v>20.325203252032519</v>
      </c>
    </row>
    <row r="330" spans="1:15" hidden="1" x14ac:dyDescent="0.25">
      <c r="A330" s="5">
        <v>46154</v>
      </c>
      <c r="B330" s="6" t="s">
        <v>31</v>
      </c>
      <c r="C330" s="3" t="s">
        <v>32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IF(K330&lt;-5,"CRÍTICO",IF(K330&lt;0,"ATENÇÃO",IF(K330&lt;=5,"BOM","EXCELENTE")))</f>
        <v>BOM</v>
      </c>
      <c r="M330" s="9">
        <v>0</v>
      </c>
      <c r="N330" s="9">
        <v>100</v>
      </c>
      <c r="O330" s="9">
        <v>0</v>
      </c>
    </row>
    <row r="331" spans="1:15" hidden="1" x14ac:dyDescent="0.25">
      <c r="A331" s="5">
        <v>46154</v>
      </c>
      <c r="B331" s="6" t="s">
        <v>33</v>
      </c>
      <c r="C331" s="9" t="s">
        <v>32</v>
      </c>
      <c r="D331" s="3">
        <v>28</v>
      </c>
      <c r="E331" s="3">
        <v>24</v>
      </c>
      <c r="F331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>IF(K331&lt;-5,"CRÍTICO",IF(K331&lt;0,"ATENÇÃO",IF(K331&lt;=5,"BOM","EXCELENTE")))</f>
        <v>ATENÇÃO</v>
      </c>
      <c r="M331">
        <v>25</v>
      </c>
      <c r="N331">
        <v>96.94</v>
      </c>
      <c r="O331">
        <v>19.613259668508292</v>
      </c>
    </row>
    <row r="332" spans="1:15" hidden="1" x14ac:dyDescent="0.25">
      <c r="A332" s="5">
        <v>46154</v>
      </c>
      <c r="B332" s="6" t="s">
        <v>34</v>
      </c>
      <c r="C332" s="3" t="s">
        <v>32</v>
      </c>
      <c r="D332" s="3">
        <v>41</v>
      </c>
      <c r="E332" s="3">
        <v>39</v>
      </c>
      <c r="F332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>IF(K332&lt;-5,"CRÍTICO",IF(K332&lt;0,"ATENÇÃO",IF(K332&lt;=5,"BOM","EXCELENTE")))</f>
        <v>EXCELENTE</v>
      </c>
      <c r="M332">
        <v>33</v>
      </c>
      <c r="N332">
        <v>92.81</v>
      </c>
      <c r="O332">
        <v>25.477707006369432</v>
      </c>
    </row>
    <row r="333" spans="1:15" hidden="1" x14ac:dyDescent="0.25">
      <c r="A333" s="5">
        <v>46154</v>
      </c>
      <c r="B333" s="6" t="s">
        <v>35</v>
      </c>
      <c r="C333" s="9" t="s">
        <v>32</v>
      </c>
      <c r="D333" s="3">
        <v>23</v>
      </c>
      <c r="E333" s="3">
        <v>23</v>
      </c>
      <c r="F33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>IF(K333&lt;-5,"CRÍTICO",IF(K333&lt;0,"ATENÇÃO",IF(K333&lt;=5,"BOM","EXCELENTE")))</f>
        <v>BOM</v>
      </c>
      <c r="M333">
        <v>27</v>
      </c>
      <c r="N333">
        <v>99.19</v>
      </c>
      <c r="O333">
        <v>28.404669260700391</v>
      </c>
    </row>
    <row r="334" spans="1:15" hidden="1" x14ac:dyDescent="0.25">
      <c r="A334" s="5">
        <v>46154</v>
      </c>
      <c r="B334" s="6" t="s">
        <v>36</v>
      </c>
      <c r="C334" s="9" t="s">
        <v>32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>IF(K334&lt;-5,"CRÍTICO",IF(K334&lt;0,"ATENÇÃO",IF(K334&lt;=5,"BOM","EXCELENTE")))</f>
        <v>BOM</v>
      </c>
      <c r="M334" s="9">
        <v>0</v>
      </c>
      <c r="N334" s="9">
        <v>100</v>
      </c>
      <c r="O334" s="9">
        <v>13.51351351351351</v>
      </c>
    </row>
    <row r="335" spans="1:15" hidden="1" x14ac:dyDescent="0.25">
      <c r="A335" s="5">
        <v>46154</v>
      </c>
      <c r="B335" s="6" t="s">
        <v>37</v>
      </c>
      <c r="C335" s="3" t="s">
        <v>32</v>
      </c>
      <c r="D335" s="3">
        <v>47</v>
      </c>
      <c r="E335" s="3">
        <v>43</v>
      </c>
      <c r="F335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>IF(K335&lt;-5,"CRÍTICO",IF(K335&lt;0,"ATENÇÃO",IF(K335&lt;=5,"BOM","EXCELENTE")))</f>
        <v>EXCELENTE</v>
      </c>
      <c r="M335">
        <v>45</v>
      </c>
      <c r="N335">
        <v>99</v>
      </c>
      <c r="O335">
        <v>22.27414330218069</v>
      </c>
    </row>
    <row r="336" spans="1:15" hidden="1" x14ac:dyDescent="0.25">
      <c r="A336" s="5">
        <v>46154</v>
      </c>
      <c r="B336" s="6" t="s">
        <v>38</v>
      </c>
      <c r="C336" s="3" t="s">
        <v>32</v>
      </c>
      <c r="D336" s="3">
        <v>42</v>
      </c>
      <c r="E336" s="3">
        <v>37</v>
      </c>
      <c r="F336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>IF(K336&lt;-5,"CRÍTICO",IF(K336&lt;0,"ATENÇÃO",IF(K336&lt;=5,"BOM","EXCELENTE")))</f>
        <v>EXCELENTE</v>
      </c>
      <c r="M336">
        <v>37</v>
      </c>
      <c r="N336">
        <v>97.04</v>
      </c>
      <c r="O336">
        <v>29.828850855745721</v>
      </c>
    </row>
    <row r="337" spans="1:15" hidden="1" x14ac:dyDescent="0.25">
      <c r="A337" s="5">
        <v>46154</v>
      </c>
      <c r="B337" s="6" t="s">
        <v>39</v>
      </c>
      <c r="C337" s="3" t="s">
        <v>32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>IF(K337&lt;-5,"CRÍTICO",IF(K337&lt;0,"ATENÇÃO",IF(K337&lt;=5,"BOM","EXCELENTE")))</f>
        <v>BOM</v>
      </c>
      <c r="M337" s="9">
        <v>0</v>
      </c>
      <c r="N337" s="9">
        <v>0</v>
      </c>
      <c r="O337" s="9">
        <v>0</v>
      </c>
    </row>
    <row r="338" spans="1:15" hidden="1" x14ac:dyDescent="0.25">
      <c r="A338" s="5">
        <v>46154</v>
      </c>
      <c r="B338" s="6" t="s">
        <v>40</v>
      </c>
      <c r="C338" s="9" t="s">
        <v>32</v>
      </c>
      <c r="D338" s="3">
        <v>19</v>
      </c>
      <c r="E338" s="3">
        <v>17</v>
      </c>
      <c r="F338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>IF(K338&lt;-5,"CRÍTICO",IF(K338&lt;0,"ATENÇÃO",IF(K338&lt;=5,"BOM","EXCELENTE")))</f>
        <v>CRÍTICO</v>
      </c>
      <c r="M338">
        <v>18</v>
      </c>
      <c r="N338">
        <v>96.84</v>
      </c>
      <c r="O338">
        <v>16.338028169014081</v>
      </c>
    </row>
    <row r="339" spans="1:15" hidden="1" x14ac:dyDescent="0.25">
      <c r="A339" s="5">
        <v>46154</v>
      </c>
      <c r="B339" s="6" t="s">
        <v>41</v>
      </c>
      <c r="C339" s="9" t="s">
        <v>32</v>
      </c>
      <c r="D339" s="3">
        <v>31</v>
      </c>
      <c r="E339" s="3">
        <v>25</v>
      </c>
      <c r="F339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>IF(K339&lt;-5,"CRÍTICO",IF(K339&lt;0,"ATENÇÃO",IF(K339&lt;=5,"BOM","EXCELENTE")))</f>
        <v>CRÍTICO</v>
      </c>
      <c r="M339">
        <v>28</v>
      </c>
      <c r="N339">
        <v>100</v>
      </c>
      <c r="O339">
        <v>18.244803695150122</v>
      </c>
    </row>
    <row r="340" spans="1:15" hidden="1" x14ac:dyDescent="0.25">
      <c r="A340" s="5">
        <v>46154</v>
      </c>
      <c r="B340" s="6" t="s">
        <v>42</v>
      </c>
      <c r="C340" s="3" t="s">
        <v>32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>IF(K340&lt;-5,"CRÍTICO",IF(K340&lt;0,"ATENÇÃO",IF(K340&lt;=5,"BOM","EXCELENTE")))</f>
        <v>BOM</v>
      </c>
      <c r="M340" s="9">
        <v>0</v>
      </c>
      <c r="N340" s="9">
        <v>100</v>
      </c>
      <c r="O340" s="9">
        <v>15.789473684210529</v>
      </c>
    </row>
    <row r="341" spans="1:15" hidden="1" x14ac:dyDescent="0.25">
      <c r="A341" s="5">
        <v>46154</v>
      </c>
      <c r="B341" s="6" t="s">
        <v>43</v>
      </c>
      <c r="C341" s="3" t="s">
        <v>32</v>
      </c>
      <c r="D341" s="3">
        <v>0</v>
      </c>
      <c r="E341" s="3">
        <v>0</v>
      </c>
      <c r="F341">
        <v>0</v>
      </c>
      <c r="G341" s="3"/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>IF(K341&lt;-5,"CRÍTICO",IF(K341&lt;0,"ATENÇÃO",IF(K341&lt;=5,"BOM","EXCELENTE")))</f>
        <v>EXCELENTE</v>
      </c>
      <c r="M341">
        <v>25</v>
      </c>
      <c r="N341">
        <v>98.39</v>
      </c>
      <c r="O341">
        <v>8.7999999999999989</v>
      </c>
    </row>
    <row r="342" spans="1:15" hidden="1" x14ac:dyDescent="0.25">
      <c r="A342" s="5">
        <v>46154</v>
      </c>
      <c r="B342" s="6" t="s">
        <v>44</v>
      </c>
      <c r="C342" s="3" t="s">
        <v>32</v>
      </c>
      <c r="D342" s="3">
        <v>36</v>
      </c>
      <c r="E342" s="3">
        <v>31</v>
      </c>
      <c r="F342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>IF(K342&lt;-5,"CRÍTICO",IF(K342&lt;0,"ATENÇÃO",IF(K342&lt;=5,"BOM","EXCELENTE")))</f>
        <v>BOM</v>
      </c>
      <c r="M342">
        <v>28</v>
      </c>
      <c r="N342">
        <v>96.38</v>
      </c>
      <c r="O342">
        <v>23.198198198198199</v>
      </c>
    </row>
    <row r="343" spans="1:15" hidden="1" x14ac:dyDescent="0.25">
      <c r="A343" s="5">
        <v>46154</v>
      </c>
      <c r="B343" s="6" t="s">
        <v>45</v>
      </c>
      <c r="C343" s="3" t="s">
        <v>32</v>
      </c>
      <c r="D343" s="3">
        <v>33</v>
      </c>
      <c r="E343" s="3">
        <v>28</v>
      </c>
      <c r="F34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>IF(K343&lt;-5,"CRÍTICO",IF(K343&lt;0,"ATENÇÃO",IF(K343&lt;=5,"BOM","EXCELENTE")))</f>
        <v>ATENÇÃO</v>
      </c>
      <c r="M343">
        <v>22</v>
      </c>
      <c r="N343">
        <v>99.39</v>
      </c>
      <c r="O343">
        <v>25.203252032520329</v>
      </c>
    </row>
    <row r="344" spans="1:15" hidden="1" x14ac:dyDescent="0.25">
      <c r="A344" s="5">
        <v>46154</v>
      </c>
      <c r="B344" s="6" t="s">
        <v>46</v>
      </c>
      <c r="C344" s="3" t="s">
        <v>32</v>
      </c>
      <c r="D344" s="3">
        <v>29</v>
      </c>
      <c r="E344" s="3">
        <v>28</v>
      </c>
      <c r="F344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>IF(K344&lt;-5,"CRÍTICO",IF(K344&lt;0,"ATENÇÃO",IF(K344&lt;=5,"BOM","EXCELENTE")))</f>
        <v>BOM</v>
      </c>
      <c r="M344">
        <v>25</v>
      </c>
      <c r="N344">
        <v>97</v>
      </c>
      <c r="O344">
        <v>20.325203252032519</v>
      </c>
    </row>
    <row r="345" spans="1:15" hidden="1" x14ac:dyDescent="0.25">
      <c r="A345" s="5">
        <v>46155</v>
      </c>
      <c r="B345" s="6" t="s">
        <v>31</v>
      </c>
      <c r="C345" s="3" t="s">
        <v>32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>IF(K345&lt;-5,"CRÍTICO",IF(K345&lt;0,"ATENÇÃO",IF(K345&lt;=5,"BOM","EXCELENTE")))</f>
        <v>BOM</v>
      </c>
      <c r="M345" s="9">
        <v>0</v>
      </c>
      <c r="N345" s="9">
        <v>100</v>
      </c>
      <c r="O345" s="9">
        <v>0</v>
      </c>
    </row>
    <row r="346" spans="1:15" hidden="1" x14ac:dyDescent="0.25">
      <c r="A346" s="5">
        <v>46155</v>
      </c>
      <c r="B346" s="6" t="s">
        <v>33</v>
      </c>
      <c r="C346" s="9" t="s">
        <v>32</v>
      </c>
      <c r="D346" s="3">
        <v>26</v>
      </c>
      <c r="E346" s="3">
        <v>23</v>
      </c>
      <c r="F346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>IF(K346&lt;-5,"CRÍTICO",IF(K346&lt;0,"ATENÇÃO",IF(K346&lt;=5,"BOM","EXCELENTE")))</f>
        <v>CRÍTICO</v>
      </c>
      <c r="M346">
        <v>21</v>
      </c>
      <c r="N346">
        <v>96.94</v>
      </c>
      <c r="O346">
        <v>19.613259668508292</v>
      </c>
    </row>
    <row r="347" spans="1:15" hidden="1" x14ac:dyDescent="0.25">
      <c r="A347" s="5">
        <v>46155</v>
      </c>
      <c r="B347" s="6" t="s">
        <v>34</v>
      </c>
      <c r="C347" s="3" t="s">
        <v>32</v>
      </c>
      <c r="D347" s="3">
        <v>34</v>
      </c>
      <c r="E347" s="3">
        <v>30</v>
      </c>
      <c r="F347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>IF(K347&lt;-5,"CRÍTICO",IF(K347&lt;0,"ATENÇÃO",IF(K347&lt;=5,"BOM","EXCELENTE")))</f>
        <v>BOM</v>
      </c>
      <c r="M347">
        <v>31</v>
      </c>
      <c r="N347">
        <v>92.81</v>
      </c>
      <c r="O347">
        <v>25.477707006369432</v>
      </c>
    </row>
    <row r="348" spans="1:15" hidden="1" x14ac:dyDescent="0.25">
      <c r="A348" s="5">
        <v>46155</v>
      </c>
      <c r="B348" s="6" t="s">
        <v>35</v>
      </c>
      <c r="C348" s="9" t="s">
        <v>32</v>
      </c>
      <c r="D348" s="3">
        <v>23</v>
      </c>
      <c r="E348" s="3">
        <v>23</v>
      </c>
      <c r="F348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>IF(K348&lt;-5,"CRÍTICO",IF(K348&lt;0,"ATENÇÃO",IF(K348&lt;=5,"BOM","EXCELENTE")))</f>
        <v>BOM</v>
      </c>
      <c r="M348">
        <v>21</v>
      </c>
      <c r="N348">
        <v>99.19</v>
      </c>
      <c r="O348">
        <v>28.404669260700391</v>
      </c>
    </row>
    <row r="349" spans="1:15" hidden="1" x14ac:dyDescent="0.25">
      <c r="A349" s="5">
        <v>46155</v>
      </c>
      <c r="B349" s="6" t="s">
        <v>36</v>
      </c>
      <c r="C349" s="9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>IF(K349&lt;-5,"CRÍTICO",IF(K349&lt;0,"ATENÇÃO",IF(K349&lt;=5,"BOM","EXCELENTE")))</f>
        <v>BOM</v>
      </c>
      <c r="M349" s="9">
        <v>0</v>
      </c>
      <c r="N349" s="9">
        <v>100</v>
      </c>
      <c r="O349" s="9">
        <v>13.51351351351351</v>
      </c>
    </row>
    <row r="350" spans="1:15" hidden="1" x14ac:dyDescent="0.25">
      <c r="A350" s="5">
        <v>46155</v>
      </c>
      <c r="B350" s="6" t="s">
        <v>37</v>
      </c>
      <c r="C350" s="3" t="s">
        <v>32</v>
      </c>
      <c r="D350" s="3">
        <v>46</v>
      </c>
      <c r="E350" s="3">
        <v>40</v>
      </c>
      <c r="F350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>IF(K350&lt;-5,"CRÍTICO",IF(K350&lt;0,"ATENÇÃO",IF(K350&lt;=5,"BOM","EXCELENTE")))</f>
        <v>EXCELENTE</v>
      </c>
      <c r="M350">
        <v>37</v>
      </c>
      <c r="N350">
        <v>99</v>
      </c>
      <c r="O350">
        <v>22.27414330218069</v>
      </c>
    </row>
    <row r="351" spans="1:15" hidden="1" x14ac:dyDescent="0.25">
      <c r="A351" s="5">
        <v>46155</v>
      </c>
      <c r="B351" s="6" t="s">
        <v>38</v>
      </c>
      <c r="C351" s="3" t="s">
        <v>32</v>
      </c>
      <c r="D351" s="3">
        <v>30</v>
      </c>
      <c r="E351" s="3">
        <v>29</v>
      </c>
      <c r="F351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>IF(K351&lt;-5,"CRÍTICO",IF(K351&lt;0,"ATENÇÃO",IF(K351&lt;=5,"BOM","EXCELENTE")))</f>
        <v>BOM</v>
      </c>
      <c r="M351">
        <v>31</v>
      </c>
      <c r="N351">
        <v>97.04</v>
      </c>
      <c r="O351">
        <v>29.828850855745721</v>
      </c>
    </row>
    <row r="352" spans="1:15" hidden="1" x14ac:dyDescent="0.25">
      <c r="A352" s="5">
        <v>46155</v>
      </c>
      <c r="B352" s="6" t="s">
        <v>39</v>
      </c>
      <c r="C352" s="3" t="s">
        <v>32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>IF(K352&lt;-5,"CRÍTICO",IF(K352&lt;0,"ATENÇÃO",IF(K352&lt;=5,"BOM","EXCELENTE")))</f>
        <v>BOM</v>
      </c>
      <c r="M352" s="9">
        <v>0</v>
      </c>
      <c r="N352" s="9">
        <v>0</v>
      </c>
      <c r="O352" s="9">
        <v>0</v>
      </c>
    </row>
    <row r="353" spans="1:15" hidden="1" x14ac:dyDescent="0.25">
      <c r="A353" s="5">
        <v>46155</v>
      </c>
      <c r="B353" s="6" t="s">
        <v>40</v>
      </c>
      <c r="C353" s="9" t="s">
        <v>32</v>
      </c>
      <c r="D353" s="3">
        <v>27</v>
      </c>
      <c r="E353" s="3">
        <v>26</v>
      </c>
      <c r="F35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>IF(K353&lt;-5,"CRÍTICO",IF(K353&lt;0,"ATENÇÃO",IF(K353&lt;=5,"BOM","EXCELENTE")))</f>
        <v>ATENÇÃO</v>
      </c>
      <c r="M353">
        <v>20</v>
      </c>
      <c r="N353">
        <v>96.84</v>
      </c>
      <c r="O353">
        <v>16.338028169014081</v>
      </c>
    </row>
    <row r="354" spans="1:15" hidden="1" x14ac:dyDescent="0.25">
      <c r="A354" s="5">
        <v>46155</v>
      </c>
      <c r="B354" s="6" t="s">
        <v>41</v>
      </c>
      <c r="C354" s="9" t="s">
        <v>32</v>
      </c>
      <c r="D354" s="3">
        <v>25</v>
      </c>
      <c r="E354" s="3">
        <v>24</v>
      </c>
      <c r="F354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>IF(K354&lt;-5,"CRÍTICO",IF(K354&lt;0,"ATENÇÃO",IF(K354&lt;=5,"BOM","EXCELENTE")))</f>
        <v>ATENÇÃO</v>
      </c>
      <c r="M354">
        <v>26</v>
      </c>
      <c r="N354">
        <v>100</v>
      </c>
      <c r="O354">
        <v>18.244803695150122</v>
      </c>
    </row>
    <row r="355" spans="1:15" hidden="1" x14ac:dyDescent="0.25">
      <c r="A355" s="5">
        <v>46155</v>
      </c>
      <c r="B355" s="6" t="s">
        <v>42</v>
      </c>
      <c r="C355" s="3" t="s">
        <v>32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>IF(K355&lt;-5,"CRÍTICO",IF(K355&lt;0,"ATENÇÃO",IF(K355&lt;=5,"BOM","EXCELENTE")))</f>
        <v>BOM</v>
      </c>
      <c r="M355" s="9">
        <v>0</v>
      </c>
      <c r="N355" s="9">
        <v>100</v>
      </c>
      <c r="O355" s="9">
        <v>15.789473684210529</v>
      </c>
    </row>
    <row r="356" spans="1:15" hidden="1" x14ac:dyDescent="0.25">
      <c r="A356" s="5">
        <v>46155</v>
      </c>
      <c r="B356" s="6" t="s">
        <v>43</v>
      </c>
      <c r="C356" s="3" t="s">
        <v>32</v>
      </c>
      <c r="D356" s="3">
        <v>0</v>
      </c>
      <c r="E356" s="3">
        <v>0</v>
      </c>
      <c r="F356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>IF(K356&lt;-5,"CRÍTICO",IF(K356&lt;0,"ATENÇÃO",IF(K356&lt;=5,"BOM","EXCELENTE")))</f>
        <v>EXCELENTE</v>
      </c>
      <c r="M356">
        <v>28</v>
      </c>
      <c r="N356">
        <v>98.39</v>
      </c>
      <c r="O356">
        <v>8.7999999999999989</v>
      </c>
    </row>
    <row r="357" spans="1:15" hidden="1" x14ac:dyDescent="0.25">
      <c r="A357" s="5">
        <v>46155</v>
      </c>
      <c r="B357" s="6" t="s">
        <v>44</v>
      </c>
      <c r="C357" s="3" t="s">
        <v>32</v>
      </c>
      <c r="D357" s="3">
        <v>36</v>
      </c>
      <c r="E357" s="3">
        <v>30</v>
      </c>
      <c r="F357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>IF(K357&lt;-5,"CRÍTICO",IF(K357&lt;0,"ATENÇÃO",IF(K357&lt;=5,"BOM","EXCELENTE")))</f>
        <v>BOM</v>
      </c>
      <c r="M357">
        <v>29</v>
      </c>
      <c r="N357">
        <v>96.38</v>
      </c>
      <c r="O357">
        <v>23.198198198198199</v>
      </c>
    </row>
    <row r="358" spans="1:15" hidden="1" x14ac:dyDescent="0.25">
      <c r="A358" s="5">
        <v>46155</v>
      </c>
      <c r="B358" s="6" t="s">
        <v>45</v>
      </c>
      <c r="C358" s="3" t="s">
        <v>32</v>
      </c>
      <c r="D358" s="3">
        <v>36</v>
      </c>
      <c r="E358" s="3">
        <v>32</v>
      </c>
      <c r="F358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>IF(K358&lt;-5,"CRÍTICO",IF(K358&lt;0,"ATENÇÃO",IF(K358&lt;=5,"BOM","EXCELENTE")))</f>
        <v>EXCELENTE</v>
      </c>
      <c r="M358">
        <v>32</v>
      </c>
      <c r="N358">
        <v>99.39</v>
      </c>
      <c r="O358">
        <v>25.203252032520329</v>
      </c>
    </row>
    <row r="359" spans="1:15" hidden="1" x14ac:dyDescent="0.25">
      <c r="A359" s="5">
        <v>46155</v>
      </c>
      <c r="B359" s="6" t="s">
        <v>46</v>
      </c>
      <c r="C359" s="3" t="s">
        <v>32</v>
      </c>
      <c r="D359" s="3">
        <v>25</v>
      </c>
      <c r="E359" s="3">
        <v>23</v>
      </c>
      <c r="F359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>IF(K359&lt;-5,"CRÍTICO",IF(K359&lt;0,"ATENÇÃO",IF(K359&lt;=5,"BOM","EXCELENTE")))</f>
        <v>CRÍTICO</v>
      </c>
      <c r="M359">
        <v>21</v>
      </c>
      <c r="N359">
        <v>97</v>
      </c>
      <c r="O359">
        <v>20.325203252032519</v>
      </c>
    </row>
    <row r="360" spans="1:15" hidden="1" x14ac:dyDescent="0.25">
      <c r="A360" s="5">
        <v>46156</v>
      </c>
      <c r="B360" s="6" t="s">
        <v>31</v>
      </c>
      <c r="C360" s="3" t="s">
        <v>32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>IF(K360&lt;-5,"CRÍTICO",IF(K360&lt;0,"ATENÇÃO",IF(K360&lt;=5,"BOM","EXCELENTE")))</f>
        <v>BOM</v>
      </c>
      <c r="M360" s="9">
        <v>0</v>
      </c>
      <c r="N360" s="9">
        <v>100</v>
      </c>
      <c r="O360" s="9">
        <v>0</v>
      </c>
    </row>
    <row r="361" spans="1:15" hidden="1" x14ac:dyDescent="0.25">
      <c r="A361" s="5">
        <v>46156</v>
      </c>
      <c r="B361" s="6" t="s">
        <v>33</v>
      </c>
      <c r="C361" s="9" t="s">
        <v>32</v>
      </c>
      <c r="D361" s="3">
        <v>25</v>
      </c>
      <c r="E361" s="3">
        <v>25</v>
      </c>
      <c r="F361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>IF(K361&lt;-5,"CRÍTICO",IF(K361&lt;0,"ATENÇÃO",IF(K361&lt;=5,"BOM","EXCELENTE")))</f>
        <v>BOM</v>
      </c>
      <c r="M361">
        <v>27</v>
      </c>
      <c r="N361">
        <v>96.94</v>
      </c>
      <c r="O361">
        <v>19.613259668508292</v>
      </c>
    </row>
    <row r="362" spans="1:15" hidden="1" x14ac:dyDescent="0.25">
      <c r="A362" s="5">
        <v>46156</v>
      </c>
      <c r="B362" s="6" t="s">
        <v>34</v>
      </c>
      <c r="C362" s="3" t="s">
        <v>32</v>
      </c>
      <c r="D362" s="3">
        <v>22</v>
      </c>
      <c r="E362" s="3">
        <v>18</v>
      </c>
      <c r="F362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>IF(K362&lt;-5,"CRÍTICO",IF(K362&lt;0,"ATENÇÃO",IF(K362&lt;=5,"BOM","EXCELENTE")))</f>
        <v>CRÍTICO</v>
      </c>
      <c r="M362">
        <v>14</v>
      </c>
      <c r="N362">
        <v>92.81</v>
      </c>
      <c r="O362">
        <v>25.477707006369432</v>
      </c>
    </row>
    <row r="363" spans="1:15" hidden="1" x14ac:dyDescent="0.25">
      <c r="A363" s="5">
        <v>46156</v>
      </c>
      <c r="B363" s="6" t="s">
        <v>35</v>
      </c>
      <c r="C363" s="9" t="s">
        <v>32</v>
      </c>
      <c r="D363" s="3">
        <v>22</v>
      </c>
      <c r="E363" s="3">
        <v>21</v>
      </c>
      <c r="F36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>IF(K363&lt;-5,"CRÍTICO",IF(K363&lt;0,"ATENÇÃO",IF(K363&lt;=5,"BOM","EXCELENTE")))</f>
        <v>BOM</v>
      </c>
      <c r="M363">
        <v>26</v>
      </c>
      <c r="N363">
        <v>99.19</v>
      </c>
      <c r="O363">
        <v>28.404669260700391</v>
      </c>
    </row>
    <row r="364" spans="1:15" hidden="1" x14ac:dyDescent="0.25">
      <c r="A364" s="5">
        <v>46156</v>
      </c>
      <c r="B364" s="6" t="s">
        <v>36</v>
      </c>
      <c r="C364" s="9" t="s">
        <v>32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>IF(K364&lt;-5,"CRÍTICO",IF(K364&lt;0,"ATENÇÃO",IF(K364&lt;=5,"BOM","EXCELENTE")))</f>
        <v>BOM</v>
      </c>
      <c r="M364" s="9">
        <v>0</v>
      </c>
      <c r="N364" s="9">
        <v>100</v>
      </c>
      <c r="O364" s="9">
        <v>13.51351351351351</v>
      </c>
    </row>
    <row r="365" spans="1:15" hidden="1" x14ac:dyDescent="0.25">
      <c r="A365" s="5">
        <v>46156</v>
      </c>
      <c r="B365" s="6" t="s">
        <v>37</v>
      </c>
      <c r="C365" s="3" t="s">
        <v>32</v>
      </c>
      <c r="D365" s="3">
        <v>35</v>
      </c>
      <c r="E365" s="3">
        <v>34</v>
      </c>
      <c r="F365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>IF(K365&lt;-5,"CRÍTICO",IF(K365&lt;0,"ATENÇÃO",IF(K365&lt;=5,"BOM","EXCELENTE")))</f>
        <v>EXCELENTE</v>
      </c>
      <c r="M365">
        <v>38</v>
      </c>
      <c r="N365">
        <v>99</v>
      </c>
      <c r="O365">
        <v>22.27414330218069</v>
      </c>
    </row>
    <row r="366" spans="1:15" hidden="1" x14ac:dyDescent="0.25">
      <c r="A366" s="5">
        <v>46156</v>
      </c>
      <c r="B366" s="6" t="s">
        <v>38</v>
      </c>
      <c r="C366" s="3" t="s">
        <v>32</v>
      </c>
      <c r="D366" s="3">
        <v>42</v>
      </c>
      <c r="E366" s="3">
        <v>40</v>
      </c>
      <c r="F366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>IF(K366&lt;-5,"CRÍTICO",IF(K366&lt;0,"ATENÇÃO",IF(K366&lt;=5,"BOM","EXCELENTE")))</f>
        <v>EXCELENTE</v>
      </c>
      <c r="M366">
        <v>44</v>
      </c>
      <c r="N366">
        <v>97.04</v>
      </c>
      <c r="O366">
        <v>29.828850855745721</v>
      </c>
    </row>
    <row r="367" spans="1:15" hidden="1" x14ac:dyDescent="0.25">
      <c r="A367" s="5">
        <v>46156</v>
      </c>
      <c r="B367" s="6" t="s">
        <v>39</v>
      </c>
      <c r="C367" s="3" t="s">
        <v>32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>IF(K367&lt;-5,"CRÍTICO",IF(K367&lt;0,"ATENÇÃO",IF(K367&lt;=5,"BOM","EXCELENTE")))</f>
        <v>BOM</v>
      </c>
      <c r="M367" s="9">
        <v>0</v>
      </c>
      <c r="N367" s="9">
        <v>0</v>
      </c>
      <c r="O367" s="9">
        <v>0</v>
      </c>
    </row>
    <row r="368" spans="1:15" hidden="1" x14ac:dyDescent="0.25">
      <c r="A368" s="5">
        <v>46156</v>
      </c>
      <c r="B368" s="6" t="s">
        <v>40</v>
      </c>
      <c r="C368" s="9" t="s">
        <v>32</v>
      </c>
      <c r="D368" s="3">
        <v>30</v>
      </c>
      <c r="E368" s="3">
        <v>29</v>
      </c>
      <c r="F368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>IF(K368&lt;-5,"CRÍTICO",IF(K368&lt;0,"ATENÇÃO",IF(K368&lt;=5,"BOM","EXCELENTE")))</f>
        <v>BOM</v>
      </c>
      <c r="M368">
        <v>28</v>
      </c>
      <c r="N368">
        <v>96.84</v>
      </c>
      <c r="O368">
        <v>16.338028169014081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46156</v>
      </c>
      <c r="B370" s="6" t="s">
        <v>41</v>
      </c>
      <c r="C370" s="9" t="s">
        <v>32</v>
      </c>
      <c r="D370" s="3">
        <v>30</v>
      </c>
      <c r="E370" s="3">
        <v>27</v>
      </c>
      <c r="F370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>IF(K370&lt;-5,"CRÍTICO",IF(K370&lt;0,"ATENÇÃO",IF(K370&lt;=5,"BOM","EXCELENTE")))</f>
        <v>ATENÇÃO</v>
      </c>
      <c r="M370">
        <v>23</v>
      </c>
      <c r="N370">
        <v>100</v>
      </c>
      <c r="O370">
        <v>18.244803695150122</v>
      </c>
    </row>
    <row r="371" spans="1:15" hidden="1" x14ac:dyDescent="0.25">
      <c r="A371" s="5">
        <v>46156</v>
      </c>
      <c r="B371" s="6" t="s">
        <v>42</v>
      </c>
      <c r="C371" s="3" t="s">
        <v>32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>IF(K371&lt;-5,"CRÍTICO",IF(K371&lt;0,"ATENÇÃO",IF(K371&lt;=5,"BOM","EXCELENTE")))</f>
        <v>BOM</v>
      </c>
      <c r="M371" s="9">
        <v>0</v>
      </c>
      <c r="N371" s="9">
        <v>100</v>
      </c>
      <c r="O371" s="9">
        <v>15.789473684210529</v>
      </c>
    </row>
    <row r="372" spans="1:15" hidden="1" x14ac:dyDescent="0.25">
      <c r="A372" s="5">
        <v>46156</v>
      </c>
      <c r="B372" s="6" t="s">
        <v>43</v>
      </c>
      <c r="C372" s="3" t="s">
        <v>32</v>
      </c>
      <c r="D372" s="3">
        <v>0</v>
      </c>
      <c r="E372" s="3">
        <v>0</v>
      </c>
      <c r="F372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>IF(K372&lt;-5,"CRÍTICO",IF(K372&lt;0,"ATENÇÃO",IF(K372&lt;=5,"BOM","EXCELENTE")))</f>
        <v>EXCELENTE</v>
      </c>
      <c r="M372">
        <v>30</v>
      </c>
      <c r="N372">
        <v>98.39</v>
      </c>
      <c r="O372">
        <v>8.7999999999999989</v>
      </c>
    </row>
    <row r="373" spans="1:15" hidden="1" x14ac:dyDescent="0.25">
      <c r="A373" s="5">
        <v>46156</v>
      </c>
      <c r="B373" s="6" t="s">
        <v>44</v>
      </c>
      <c r="C373" s="3" t="s">
        <v>32</v>
      </c>
      <c r="D373" s="3">
        <v>39</v>
      </c>
      <c r="E373" s="3">
        <v>32</v>
      </c>
      <c r="F37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>IF(K373&lt;-5,"CRÍTICO",IF(K373&lt;0,"ATENÇÃO",IF(K373&lt;=5,"BOM","EXCELENTE")))</f>
        <v>EXCELENTE</v>
      </c>
      <c r="M373">
        <v>29</v>
      </c>
      <c r="N373">
        <v>96.38</v>
      </c>
      <c r="O373">
        <v>23.198198198198199</v>
      </c>
    </row>
    <row r="374" spans="1:15" hidden="1" x14ac:dyDescent="0.25">
      <c r="A374" s="5">
        <v>46156</v>
      </c>
      <c r="B374" s="6" t="s">
        <v>45</v>
      </c>
      <c r="C374" s="3" t="s">
        <v>32</v>
      </c>
      <c r="D374" s="3">
        <v>38</v>
      </c>
      <c r="E374" s="3">
        <v>37</v>
      </c>
      <c r="F374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>IF(K374&lt;-5,"CRÍTICO",IF(K374&lt;0,"ATENÇÃO",IF(K374&lt;=5,"BOM","EXCELENTE")))</f>
        <v>EXCELENTE</v>
      </c>
      <c r="M374">
        <v>40</v>
      </c>
      <c r="N374">
        <v>99.39</v>
      </c>
      <c r="O374">
        <v>25.203252032520329</v>
      </c>
    </row>
    <row r="375" spans="1:15" hidden="1" x14ac:dyDescent="0.25">
      <c r="A375" s="5">
        <v>46156</v>
      </c>
      <c r="B375" s="6" t="s">
        <v>46</v>
      </c>
      <c r="C375" s="3" t="s">
        <v>32</v>
      </c>
      <c r="D375" s="3">
        <v>22</v>
      </c>
      <c r="E375" s="3">
        <v>22</v>
      </c>
      <c r="F375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>IF(K375&lt;-5,"CRÍTICO",IF(K375&lt;0,"ATENÇÃO",IF(K375&lt;=5,"BOM","EXCELENTE")))</f>
        <v>ATENÇÃO</v>
      </c>
      <c r="M375">
        <v>21</v>
      </c>
      <c r="N375">
        <v>97</v>
      </c>
      <c r="O375">
        <v>20.325203252032519</v>
      </c>
    </row>
    <row r="376" spans="1:15" hidden="1" x14ac:dyDescent="0.25">
      <c r="A376" s="5">
        <v>46157</v>
      </c>
      <c r="B376" s="6" t="s">
        <v>31</v>
      </c>
      <c r="C376" s="3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>IF(K376&lt;-5,"CRÍTICO",IF(K376&lt;0,"ATENÇÃO",IF(K376&lt;=5,"BOM","EXCELENTE")))</f>
        <v>BOM</v>
      </c>
      <c r="M376" s="9">
        <v>0</v>
      </c>
      <c r="N376" s="9">
        <v>100</v>
      </c>
      <c r="O376" s="9">
        <v>0</v>
      </c>
    </row>
    <row r="377" spans="1:15" hidden="1" x14ac:dyDescent="0.25">
      <c r="A377" s="5">
        <v>46157</v>
      </c>
      <c r="B377" s="6" t="s">
        <v>33</v>
      </c>
      <c r="C377" s="9" t="s">
        <v>32</v>
      </c>
      <c r="D377" s="3">
        <v>29</v>
      </c>
      <c r="E377" s="3">
        <v>28</v>
      </c>
      <c r="F377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>IF(K377&lt;-5,"CRÍTICO",IF(K377&lt;0,"ATENÇÃO",IF(K377&lt;=5,"BOM","EXCELENTE")))</f>
        <v>BOM</v>
      </c>
      <c r="M377">
        <v>25</v>
      </c>
      <c r="N377">
        <v>96.94</v>
      </c>
      <c r="O377">
        <v>19.613259668508292</v>
      </c>
    </row>
    <row r="378" spans="1:15" hidden="1" x14ac:dyDescent="0.25">
      <c r="A378" s="5">
        <v>46157</v>
      </c>
      <c r="B378" s="6" t="s">
        <v>34</v>
      </c>
      <c r="C378" s="3" t="s">
        <v>32</v>
      </c>
      <c r="D378" s="3">
        <v>37</v>
      </c>
      <c r="E378" s="3">
        <v>31</v>
      </c>
      <c r="F378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>IF(K378&lt;-5,"CRÍTICO",IF(K378&lt;0,"ATENÇÃO",IF(K378&lt;=5,"BOM","EXCELENTE")))</f>
        <v>BOM</v>
      </c>
      <c r="M378">
        <v>29</v>
      </c>
      <c r="N378">
        <v>92.81</v>
      </c>
      <c r="O378">
        <v>25.477707006369432</v>
      </c>
    </row>
    <row r="379" spans="1:15" hidden="1" x14ac:dyDescent="0.25">
      <c r="A379" s="5">
        <v>46157</v>
      </c>
      <c r="B379" s="6" t="s">
        <v>35</v>
      </c>
      <c r="C379" s="9" t="s">
        <v>32</v>
      </c>
      <c r="D379" s="3">
        <v>20</v>
      </c>
      <c r="E379" s="3">
        <v>20</v>
      </c>
      <c r="F379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>IF(K379&lt;-5,"CRÍTICO",IF(K379&lt;0,"ATENÇÃO",IF(K379&lt;=5,"BOM","EXCELENTE")))</f>
        <v>BOM</v>
      </c>
      <c r="M379">
        <v>23</v>
      </c>
      <c r="N379">
        <v>99.19</v>
      </c>
      <c r="O379">
        <v>28.404669260700391</v>
      </c>
    </row>
    <row r="380" spans="1:15" hidden="1" x14ac:dyDescent="0.25">
      <c r="A380" s="5">
        <v>46157</v>
      </c>
      <c r="B380" s="6" t="s">
        <v>37</v>
      </c>
      <c r="C380" s="3" t="s">
        <v>32</v>
      </c>
      <c r="D380" s="3">
        <v>44</v>
      </c>
      <c r="E380" s="3">
        <v>38</v>
      </c>
      <c r="F380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>IF(K380&lt;-5,"CRÍTICO",IF(K380&lt;0,"ATENÇÃO",IF(K380&lt;=5,"BOM","EXCELENTE")))</f>
        <v>EXCELENTE</v>
      </c>
      <c r="M380">
        <v>39</v>
      </c>
      <c r="N380">
        <v>99</v>
      </c>
      <c r="O380">
        <v>22.27414330218069</v>
      </c>
    </row>
    <row r="381" spans="1:15" hidden="1" x14ac:dyDescent="0.25">
      <c r="A381" s="5">
        <v>46157</v>
      </c>
      <c r="B381" s="6" t="s">
        <v>38</v>
      </c>
      <c r="C381" s="3" t="s">
        <v>32</v>
      </c>
      <c r="D381" s="3">
        <v>30</v>
      </c>
      <c r="E381" s="3">
        <v>29</v>
      </c>
      <c r="F381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>IF(K381&lt;-5,"CRÍTICO",IF(K381&lt;0,"ATENÇÃO",IF(K381&lt;=5,"BOM","EXCELENTE")))</f>
        <v>BOM</v>
      </c>
      <c r="M381">
        <v>23</v>
      </c>
      <c r="N381">
        <v>97.04</v>
      </c>
      <c r="O381">
        <v>29.828850855745721</v>
      </c>
    </row>
    <row r="382" spans="1:15" hidden="1" x14ac:dyDescent="0.25">
      <c r="A382" s="5">
        <v>46157</v>
      </c>
      <c r="B382" s="6" t="s">
        <v>39</v>
      </c>
      <c r="C382" s="3" t="s">
        <v>32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>IF(K382&lt;-5,"CRÍTICO",IF(K382&lt;0,"ATENÇÃO",IF(K382&lt;=5,"BOM","EXCELENTE")))</f>
        <v>BOM</v>
      </c>
      <c r="M382" s="9">
        <v>0</v>
      </c>
      <c r="N382" s="9">
        <v>0</v>
      </c>
      <c r="O382" s="9">
        <v>0</v>
      </c>
    </row>
    <row r="383" spans="1:15" hidden="1" x14ac:dyDescent="0.25">
      <c r="A383" s="5">
        <v>46157</v>
      </c>
      <c r="B383" s="6" t="s">
        <v>41</v>
      </c>
      <c r="C383" s="9" t="s">
        <v>32</v>
      </c>
      <c r="D383" s="3">
        <v>23</v>
      </c>
      <c r="E383" s="3">
        <v>22</v>
      </c>
      <c r="F38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>IF(K383&lt;-5,"CRÍTICO",IF(K383&lt;0,"ATENÇÃO",IF(K383&lt;=5,"BOM","EXCELENTE")))</f>
        <v>CRÍTICO</v>
      </c>
      <c r="M383">
        <v>19</v>
      </c>
      <c r="N383">
        <v>100</v>
      </c>
      <c r="O383">
        <v>18.244803695150122</v>
      </c>
    </row>
    <row r="384" spans="1:15" hidden="1" x14ac:dyDescent="0.25">
      <c r="A384" s="5">
        <v>46157</v>
      </c>
      <c r="B384" s="6" t="s">
        <v>42</v>
      </c>
      <c r="C384" s="3" t="s">
        <v>32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>IF(K384&lt;-5,"CRÍTICO",IF(K384&lt;0,"ATENÇÃO",IF(K384&lt;=5,"BOM","EXCELENTE")))</f>
        <v>BOM</v>
      </c>
      <c r="M384" s="9">
        <v>0</v>
      </c>
      <c r="N384" s="9">
        <v>100</v>
      </c>
      <c r="O384" s="9">
        <v>15.789473684210529</v>
      </c>
    </row>
    <row r="385" spans="1:15" hidden="1" x14ac:dyDescent="0.25">
      <c r="A385" s="5">
        <v>46157</v>
      </c>
      <c r="B385" s="6" t="s">
        <v>43</v>
      </c>
      <c r="C385" s="3" t="s">
        <v>32</v>
      </c>
      <c r="D385" s="3">
        <v>0</v>
      </c>
      <c r="E385" s="3">
        <v>0</v>
      </c>
      <c r="F385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>IF(K385&lt;-5,"CRÍTICO",IF(K385&lt;0,"ATENÇÃO",IF(K385&lt;=5,"BOM","EXCELENTE")))</f>
        <v>BOM</v>
      </c>
      <c r="M385">
        <v>19</v>
      </c>
      <c r="N385">
        <v>98.39</v>
      </c>
      <c r="O385">
        <v>8.7999999999999989</v>
      </c>
    </row>
    <row r="386" spans="1:15" hidden="1" x14ac:dyDescent="0.25">
      <c r="A386" s="5">
        <v>46157</v>
      </c>
      <c r="B386" s="6" t="s">
        <v>44</v>
      </c>
      <c r="C386" s="3" t="s">
        <v>32</v>
      </c>
      <c r="D386" s="3">
        <v>26</v>
      </c>
      <c r="E386" s="3">
        <v>24</v>
      </c>
      <c r="F386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>IF(K386&lt;-5,"CRÍTICO",IF(K386&lt;0,"ATENÇÃO",IF(K386&lt;=5,"BOM","EXCELENTE")))</f>
        <v>ATENÇÃO</v>
      </c>
      <c r="M386">
        <v>22</v>
      </c>
      <c r="N386">
        <v>96.38</v>
      </c>
      <c r="O386">
        <v>23.198198198198199</v>
      </c>
    </row>
    <row r="387" spans="1:15" hidden="1" x14ac:dyDescent="0.25">
      <c r="A387" s="5">
        <v>46157</v>
      </c>
      <c r="B387" s="6" t="s">
        <v>45</v>
      </c>
      <c r="C387" s="3" t="s">
        <v>32</v>
      </c>
      <c r="D387" s="3">
        <v>31</v>
      </c>
      <c r="E387" s="3">
        <v>29</v>
      </c>
      <c r="F387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>IF(K387&lt;-5,"CRÍTICO",IF(K387&lt;0,"ATENÇÃO",IF(K387&lt;=5,"BOM","EXCELENTE")))</f>
        <v>BOM</v>
      </c>
      <c r="M387">
        <v>29</v>
      </c>
      <c r="N387">
        <v>99.39</v>
      </c>
      <c r="O387">
        <v>25.203252032520329</v>
      </c>
    </row>
    <row r="388" spans="1:15" hidden="1" x14ac:dyDescent="0.25">
      <c r="A388" s="5">
        <v>46157</v>
      </c>
      <c r="B388" s="6" t="s">
        <v>46</v>
      </c>
      <c r="C388" s="3" t="s">
        <v>32</v>
      </c>
      <c r="D388" s="3">
        <v>20</v>
      </c>
      <c r="E388" s="3">
        <v>20</v>
      </c>
      <c r="F388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>IF(K388&lt;-5,"CRÍTICO",IF(K388&lt;0,"ATENÇÃO",IF(K388&lt;=5,"BOM","EXCELENTE")))</f>
        <v>CRÍTICO</v>
      </c>
      <c r="M388">
        <v>17</v>
      </c>
      <c r="N388">
        <v>97</v>
      </c>
      <c r="O388">
        <v>20.325203252032519</v>
      </c>
    </row>
    <row r="389" spans="1:15" hidden="1" x14ac:dyDescent="0.25">
      <c r="A389" s="5">
        <v>46160</v>
      </c>
      <c r="B389" s="6" t="s">
        <v>31</v>
      </c>
      <c r="C389" s="3" t="s">
        <v>32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>IF(K389&lt;-5,"CRÍTICO",IF(K389&lt;0,"ATENÇÃO",IF(K389&lt;=5,"BOM","EXCELENTE")))</f>
        <v>BOM</v>
      </c>
      <c r="M389" s="9">
        <v>0</v>
      </c>
      <c r="N389" s="9">
        <v>100</v>
      </c>
      <c r="O389" s="9">
        <v>0</v>
      </c>
    </row>
    <row r="390" spans="1:15" hidden="1" x14ac:dyDescent="0.25">
      <c r="A390" s="5">
        <v>46160</v>
      </c>
      <c r="B390" s="6" t="s">
        <v>33</v>
      </c>
      <c r="C390" s="9" t="s">
        <v>32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>IF(K390&lt;-5,"CRÍTICO",IF(K390&lt;0,"ATENÇÃO",IF(K390&lt;=5,"BOM","EXCELENTE")))</f>
        <v>BOM</v>
      </c>
      <c r="M390" s="9">
        <v>0</v>
      </c>
      <c r="N390" s="9">
        <v>96.94</v>
      </c>
      <c r="O390" s="9">
        <v>19.613259668508292</v>
      </c>
    </row>
    <row r="391" spans="1:15" hidden="1" x14ac:dyDescent="0.25">
      <c r="A391" s="5">
        <v>46160</v>
      </c>
      <c r="B391" s="6" t="s">
        <v>34</v>
      </c>
      <c r="C391" s="3" t="s">
        <v>32</v>
      </c>
      <c r="D391" s="3">
        <v>30</v>
      </c>
      <c r="E391" s="3">
        <v>27</v>
      </c>
      <c r="F391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>IF(K391&lt;-5,"CRÍTICO",IF(K391&lt;0,"ATENÇÃO",IF(K391&lt;=5,"BOM","EXCELENTE")))</f>
        <v>BOM</v>
      </c>
      <c r="M391">
        <v>25</v>
      </c>
      <c r="N391">
        <v>92.81</v>
      </c>
      <c r="O391">
        <v>25.477707006369432</v>
      </c>
    </row>
    <row r="392" spans="1:15" hidden="1" x14ac:dyDescent="0.25">
      <c r="A392" s="5">
        <v>46160</v>
      </c>
      <c r="B392" s="6" t="s">
        <v>35</v>
      </c>
      <c r="C392" s="9" t="s">
        <v>32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>IF(K392&lt;-5,"CRÍTICO",IF(K392&lt;0,"ATENÇÃO",IF(K392&lt;=5,"BOM","EXCELENTE")))</f>
        <v>BOM</v>
      </c>
      <c r="M392" s="9">
        <v>0</v>
      </c>
      <c r="N392" s="9">
        <v>99.19</v>
      </c>
      <c r="O392" s="9">
        <v>28.404669260700391</v>
      </c>
    </row>
    <row r="393" spans="1:15" hidden="1" x14ac:dyDescent="0.25">
      <c r="A393" s="5">
        <v>46160</v>
      </c>
      <c r="B393" s="6" t="s">
        <v>37</v>
      </c>
      <c r="C393" s="3" t="s">
        <v>32</v>
      </c>
      <c r="D393" s="3">
        <v>37</v>
      </c>
      <c r="E393" s="3">
        <v>32</v>
      </c>
      <c r="F39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>IF(K393&lt;-5,"CRÍTICO",IF(K393&lt;0,"ATENÇÃO",IF(K393&lt;=5,"BOM","EXCELENTE")))</f>
        <v>EXCELENTE</v>
      </c>
      <c r="M393">
        <v>34</v>
      </c>
      <c r="N393">
        <v>99</v>
      </c>
      <c r="O393">
        <v>22.27414330218069</v>
      </c>
    </row>
    <row r="394" spans="1:15" hidden="1" x14ac:dyDescent="0.25">
      <c r="A394" s="5">
        <v>46160</v>
      </c>
      <c r="B394" s="6" t="s">
        <v>38</v>
      </c>
      <c r="C394" s="3" t="s">
        <v>32</v>
      </c>
      <c r="D394" s="3">
        <v>26</v>
      </c>
      <c r="E394" s="3">
        <v>25</v>
      </c>
      <c r="F394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>IF(K394&lt;-5,"CRÍTICO",IF(K394&lt;0,"ATENÇÃO",IF(K394&lt;=5,"BOM","EXCELENTE")))</f>
        <v>BOM</v>
      </c>
      <c r="M394">
        <v>23</v>
      </c>
      <c r="N394">
        <v>97.04</v>
      </c>
      <c r="O394">
        <v>29.828850855745721</v>
      </c>
    </row>
    <row r="395" spans="1:15" hidden="1" x14ac:dyDescent="0.25">
      <c r="A395" s="5">
        <v>46160</v>
      </c>
      <c r="B395" s="6" t="s">
        <v>39</v>
      </c>
      <c r="C395" s="3" t="s">
        <v>32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>IF(K395&lt;-5,"CRÍTICO",IF(K395&lt;0,"ATENÇÃO",IF(K395&lt;=5,"BOM","EXCELENTE")))</f>
        <v>BOM</v>
      </c>
      <c r="M395" s="9">
        <v>0</v>
      </c>
      <c r="N395" s="9">
        <v>0</v>
      </c>
      <c r="O395" s="9">
        <v>0</v>
      </c>
    </row>
    <row r="396" spans="1:15" hidden="1" x14ac:dyDescent="0.25">
      <c r="A396" s="5">
        <v>46160</v>
      </c>
      <c r="B396" s="6" t="s">
        <v>40</v>
      </c>
      <c r="C396" s="9" t="s">
        <v>32</v>
      </c>
      <c r="D396" s="3">
        <v>25</v>
      </c>
      <c r="E396" s="3">
        <v>24</v>
      </c>
      <c r="F396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>IF(K396&lt;-5,"CRÍTICO",IF(K396&lt;0,"ATENÇÃO",IF(K396&lt;=5,"BOM","EXCELENTE")))</f>
        <v>ATENÇÃO</v>
      </c>
      <c r="M396">
        <v>21</v>
      </c>
      <c r="N396">
        <v>96.84</v>
      </c>
      <c r="O396">
        <v>16.338028169014081</v>
      </c>
    </row>
    <row r="397" spans="1:15" hidden="1" x14ac:dyDescent="0.25">
      <c r="A397" s="5">
        <v>46160</v>
      </c>
      <c r="B397" s="6" t="s">
        <v>41</v>
      </c>
      <c r="C397" s="9" t="s">
        <v>32</v>
      </c>
      <c r="D397" s="3">
        <v>28</v>
      </c>
      <c r="E397" s="3">
        <v>25</v>
      </c>
      <c r="F397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>IF(K397&lt;-5,"CRÍTICO",IF(K397&lt;0,"ATENÇÃO",IF(K397&lt;=5,"BOM","EXCELENTE")))</f>
        <v>ATENÇÃO</v>
      </c>
      <c r="M397">
        <v>25</v>
      </c>
      <c r="N397">
        <v>100</v>
      </c>
      <c r="O397">
        <v>18.244803695150122</v>
      </c>
    </row>
    <row r="398" spans="1:15" hidden="1" x14ac:dyDescent="0.25">
      <c r="A398" s="5">
        <v>46160</v>
      </c>
      <c r="B398" s="6" t="s">
        <v>42</v>
      </c>
      <c r="C398" s="3" t="s">
        <v>32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>IF(K398&lt;-5,"CRÍTICO",IF(K398&lt;0,"ATENÇÃO",IF(K398&lt;=5,"BOM","EXCELENTE")))</f>
        <v>BOM</v>
      </c>
      <c r="M398" s="9">
        <v>0</v>
      </c>
      <c r="N398" s="9">
        <v>100</v>
      </c>
      <c r="O398" s="9">
        <v>15.789473684210529</v>
      </c>
    </row>
    <row r="399" spans="1:15" hidden="1" x14ac:dyDescent="0.25">
      <c r="A399" s="5">
        <v>46160</v>
      </c>
      <c r="B399" s="6" t="s">
        <v>43</v>
      </c>
      <c r="C399" s="3" t="s">
        <v>32</v>
      </c>
      <c r="D399" s="3">
        <v>0</v>
      </c>
      <c r="E399" s="3">
        <v>0</v>
      </c>
      <c r="F399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>IF(K399&lt;-5,"CRÍTICO",IF(K399&lt;0,"ATENÇÃO",IF(K399&lt;=5,"BOM","EXCELENTE")))</f>
        <v>EXCELENTE</v>
      </c>
      <c r="M399">
        <v>16</v>
      </c>
      <c r="N399">
        <v>98.39</v>
      </c>
      <c r="O399">
        <v>8.7999999999999989</v>
      </c>
    </row>
    <row r="400" spans="1:15" hidden="1" x14ac:dyDescent="0.25">
      <c r="A400" s="5">
        <v>46160</v>
      </c>
      <c r="B400" s="6" t="s">
        <v>44</v>
      </c>
      <c r="C400" s="3" t="s">
        <v>32</v>
      </c>
      <c r="D400" s="3">
        <v>30</v>
      </c>
      <c r="E400" s="3">
        <v>27</v>
      </c>
      <c r="F400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>IF(K400&lt;-5,"CRÍTICO",IF(K400&lt;0,"ATENÇÃO",IF(K400&lt;=5,"BOM","EXCELENTE")))</f>
        <v>BOM</v>
      </c>
      <c r="M400">
        <v>27</v>
      </c>
      <c r="N400">
        <v>96.38</v>
      </c>
      <c r="O400">
        <v>23.198198198198199</v>
      </c>
    </row>
    <row r="401" spans="1:15" hidden="1" x14ac:dyDescent="0.25">
      <c r="A401" s="5">
        <v>46160</v>
      </c>
      <c r="B401" s="6" t="s">
        <v>45</v>
      </c>
      <c r="C401" s="3" t="s">
        <v>32</v>
      </c>
      <c r="D401" s="3">
        <v>34</v>
      </c>
      <c r="E401" s="3">
        <v>28</v>
      </c>
      <c r="F401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>IF(K401&lt;-5,"CRÍTICO",IF(K401&lt;0,"ATENÇÃO",IF(K401&lt;=5,"BOM","EXCELENTE")))</f>
        <v>BOM</v>
      </c>
      <c r="M401">
        <v>26</v>
      </c>
      <c r="N401">
        <v>99.39</v>
      </c>
      <c r="O401">
        <v>25.203252032520329</v>
      </c>
    </row>
    <row r="402" spans="1:15" hidden="1" x14ac:dyDescent="0.25">
      <c r="A402" s="5">
        <v>46160</v>
      </c>
      <c r="B402" s="6" t="s">
        <v>46</v>
      </c>
      <c r="C402" s="3" t="s">
        <v>32</v>
      </c>
      <c r="D402" s="3">
        <v>25</v>
      </c>
      <c r="E402" s="3">
        <v>22</v>
      </c>
      <c r="F402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>IF(K402&lt;-5,"CRÍTICO",IF(K402&lt;0,"ATENÇÃO",IF(K402&lt;=5,"BOM","EXCELENTE")))</f>
        <v>BOM</v>
      </c>
      <c r="M402">
        <v>21</v>
      </c>
      <c r="N402">
        <v>97</v>
      </c>
      <c r="O402">
        <v>20.325203252032519</v>
      </c>
    </row>
    <row r="403" spans="1:15" hidden="1" x14ac:dyDescent="0.25">
      <c r="A403" s="7">
        <v>46161</v>
      </c>
      <c r="B403" s="8" t="s">
        <v>31</v>
      </c>
      <c r="C403" s="9" t="s">
        <v>32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>IF(K403&lt;-5,"CRÍTICO",IF(K403&lt;0,"ATENÇÃO",IF(K403&lt;=5,"BOM","EXCELENTE")))</f>
        <v>BOM</v>
      </c>
      <c r="M403" s="9">
        <v>0</v>
      </c>
      <c r="N403" s="9">
        <v>100</v>
      </c>
      <c r="O403" s="9">
        <v>0</v>
      </c>
    </row>
    <row r="404" spans="1:15" hidden="1" x14ac:dyDescent="0.25">
      <c r="A404" s="7">
        <v>46161</v>
      </c>
      <c r="B404" s="8" t="s">
        <v>33</v>
      </c>
      <c r="C404" s="9" t="s">
        <v>32</v>
      </c>
      <c r="D404" s="3">
        <v>22</v>
      </c>
      <c r="E404" s="3">
        <v>19</v>
      </c>
      <c r="F404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>IF(K404&lt;-5,"CRÍTICO",IF(K404&lt;0,"ATENÇÃO",IF(K404&lt;=5,"BOM","EXCELENTE")))</f>
        <v>CRÍTICO</v>
      </c>
      <c r="M404" s="3">
        <v>16</v>
      </c>
      <c r="N404" s="3">
        <v>96.94</v>
      </c>
      <c r="O404" s="3">
        <v>19.613259668508292</v>
      </c>
    </row>
    <row r="405" spans="1:15" hidden="1" x14ac:dyDescent="0.25">
      <c r="A405" s="7">
        <v>46161</v>
      </c>
      <c r="B405" s="8" t="s">
        <v>34</v>
      </c>
      <c r="C405" s="9" t="s">
        <v>32</v>
      </c>
      <c r="D405" s="3">
        <v>33</v>
      </c>
      <c r="E405" s="3">
        <v>30</v>
      </c>
      <c r="F405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>IF(K405&lt;-5,"CRÍTICO",IF(K405&lt;0,"ATENÇÃO",IF(K405&lt;=5,"BOM","EXCELENTE")))</f>
        <v>BOM</v>
      </c>
      <c r="M405">
        <v>30</v>
      </c>
      <c r="N405">
        <v>92.81</v>
      </c>
      <c r="O405">
        <v>25.477707006369432</v>
      </c>
    </row>
    <row r="406" spans="1:15" hidden="1" x14ac:dyDescent="0.25">
      <c r="A406" s="7">
        <v>46161</v>
      </c>
      <c r="B406" s="8" t="s">
        <v>35</v>
      </c>
      <c r="C406" s="9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>IF(K406&lt;-5,"CRÍTICO",IF(K406&lt;0,"ATENÇÃO",IF(K406&lt;=5,"BOM","EXCELENTE")))</f>
        <v>BOM</v>
      </c>
      <c r="M406" s="9">
        <v>0</v>
      </c>
      <c r="N406" s="9">
        <v>99.19</v>
      </c>
      <c r="O406" s="9">
        <v>28.404669260700391</v>
      </c>
    </row>
    <row r="407" spans="1:15" hidden="1" x14ac:dyDescent="0.25">
      <c r="A407" s="7">
        <v>46161</v>
      </c>
      <c r="B407" s="8" t="s">
        <v>36</v>
      </c>
      <c r="C407" s="9" t="s">
        <v>32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>IF(K407&lt;-5,"CRÍTICO",IF(K407&lt;0,"ATENÇÃO",IF(K407&lt;=5,"BOM","EXCELENTE")))</f>
        <v>CRÍTICO</v>
      </c>
      <c r="M407">
        <v>11</v>
      </c>
      <c r="N407">
        <v>100</v>
      </c>
      <c r="O407">
        <v>13.51351351351351</v>
      </c>
    </row>
    <row r="408" spans="1:15" hidden="1" x14ac:dyDescent="0.25">
      <c r="A408" s="7">
        <v>46161</v>
      </c>
      <c r="B408" s="8" t="s">
        <v>37</v>
      </c>
      <c r="C408" s="9" t="s">
        <v>32</v>
      </c>
      <c r="D408" s="3">
        <v>43</v>
      </c>
      <c r="E408" s="3">
        <v>39</v>
      </c>
      <c r="F408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>IF(K408&lt;-5,"CRÍTICO",IF(K408&lt;0,"ATENÇÃO",IF(K408&lt;=5,"BOM","EXCELENTE")))</f>
        <v>EXCELENTE</v>
      </c>
      <c r="M408">
        <v>40</v>
      </c>
      <c r="N408">
        <v>99</v>
      </c>
      <c r="O408">
        <v>22.27414330218069</v>
      </c>
    </row>
    <row r="409" spans="1:15" hidden="1" x14ac:dyDescent="0.25">
      <c r="A409" s="7">
        <v>46161</v>
      </c>
      <c r="B409" s="8" t="s">
        <v>38</v>
      </c>
      <c r="C409" s="9" t="s">
        <v>32</v>
      </c>
      <c r="D409" s="3">
        <v>11</v>
      </c>
      <c r="E409" s="3">
        <v>10</v>
      </c>
      <c r="F409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>IF(K409&lt;-5,"CRÍTICO",IF(K409&lt;0,"ATENÇÃO",IF(K409&lt;=5,"BOM","EXCELENTE")))</f>
        <v>CRÍTICO</v>
      </c>
      <c r="M409">
        <v>12</v>
      </c>
      <c r="N409">
        <v>97.04</v>
      </c>
      <c r="O409">
        <v>29.828850855745721</v>
      </c>
    </row>
    <row r="410" spans="1:15" hidden="1" x14ac:dyDescent="0.25">
      <c r="A410" s="7">
        <v>46161</v>
      </c>
      <c r="B410" s="8" t="s">
        <v>39</v>
      </c>
      <c r="C410" s="9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>IF(K410&lt;-5,"CRÍTICO",IF(K410&lt;0,"ATENÇÃO",IF(K410&lt;=5,"BOM","EXCELENTE")))</f>
        <v>BOM</v>
      </c>
      <c r="M410" s="9">
        <v>0</v>
      </c>
      <c r="N410" s="9">
        <v>0</v>
      </c>
      <c r="O410" s="9">
        <v>0</v>
      </c>
    </row>
    <row r="411" spans="1:15" hidden="1" x14ac:dyDescent="0.25">
      <c r="A411" s="7">
        <v>46161</v>
      </c>
      <c r="B411" s="8" t="s">
        <v>40</v>
      </c>
      <c r="C411" s="9" t="s">
        <v>32</v>
      </c>
      <c r="D411" s="3">
        <v>32</v>
      </c>
      <c r="E411" s="3">
        <v>32</v>
      </c>
      <c r="F411">
        <v>17.18</v>
      </c>
      <c r="G411" s="3">
        <v>0</v>
      </c>
      <c r="H411" s="3">
        <v>0</v>
      </c>
      <c r="I411" s="3">
        <f>E411+G411+H411</f>
        <v>32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>I411-J411</f>
        <v>3</v>
      </c>
      <c r="L411" s="3" t="str">
        <f>IF(K411&lt;-5,"CRÍTICO",IF(K411&lt;0,"ATENÇÃO",IF(K411&lt;=5,"BOM","EXCELENTE")))</f>
        <v>BOM</v>
      </c>
      <c r="M411">
        <v>28</v>
      </c>
      <c r="N411">
        <v>96.84</v>
      </c>
      <c r="O411">
        <v>16.338028169014081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7">
        <v>46161</v>
      </c>
      <c r="B413" s="8" t="s">
        <v>41</v>
      </c>
      <c r="C413" s="9" t="s">
        <v>32</v>
      </c>
      <c r="D413" s="3">
        <v>27</v>
      </c>
      <c r="E413" s="3">
        <v>26</v>
      </c>
      <c r="F413">
        <v>15.39</v>
      </c>
      <c r="G413" s="3">
        <v>0</v>
      </c>
      <c r="H413" s="3">
        <v>0</v>
      </c>
      <c r="I413" s="3">
        <f>E413+G413+H413</f>
        <v>26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29</v>
      </c>
      <c r="K413" s="3">
        <f>I413-J413</f>
        <v>-3</v>
      </c>
      <c r="L413" s="3" t="str">
        <f>IF(K413&lt;-5,"CRÍTICO",IF(K413&lt;0,"ATENÇÃO",IF(K413&lt;=5,"BOM","EXCELENTE")))</f>
        <v>ATENÇÃO</v>
      </c>
      <c r="M413">
        <v>24</v>
      </c>
      <c r="N413">
        <v>100</v>
      </c>
      <c r="O413">
        <v>18.244803695150122</v>
      </c>
    </row>
    <row r="414" spans="1:15" hidden="1" x14ac:dyDescent="0.25">
      <c r="A414" s="7">
        <v>46161</v>
      </c>
      <c r="B414" s="8" t="s">
        <v>42</v>
      </c>
      <c r="C414" s="9" t="s">
        <v>32</v>
      </c>
      <c r="D414" s="3">
        <v>22</v>
      </c>
      <c r="E414" s="3">
        <v>20</v>
      </c>
      <c r="F414">
        <v>21.49</v>
      </c>
      <c r="G414" s="3">
        <v>0</v>
      </c>
      <c r="H414" s="3">
        <v>0</v>
      </c>
      <c r="I414" s="3">
        <f>E414+G414+H414</f>
        <v>20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-9</v>
      </c>
      <c r="L414" s="3" t="str">
        <f>IF(K414&lt;-5,"CRÍTICO",IF(K414&lt;0,"ATENÇÃO",IF(K414&lt;=5,"BOM","EXCELENTE")))</f>
        <v>CRÍTICO</v>
      </c>
      <c r="M414">
        <v>18</v>
      </c>
      <c r="N414">
        <v>100</v>
      </c>
      <c r="O414">
        <v>15.789473684210529</v>
      </c>
    </row>
    <row r="415" spans="1:15" hidden="1" x14ac:dyDescent="0.25">
      <c r="A415" s="7">
        <v>46161</v>
      </c>
      <c r="B415" s="8" t="s">
        <v>43</v>
      </c>
      <c r="C415" s="9" t="s">
        <v>32</v>
      </c>
      <c r="D415" s="3">
        <v>0</v>
      </c>
      <c r="E415" s="3">
        <v>0</v>
      </c>
      <c r="F415">
        <v>0</v>
      </c>
      <c r="G415" s="3">
        <v>0</v>
      </c>
      <c r="H415" s="3">
        <v>33</v>
      </c>
      <c r="I415" s="3">
        <f>E415+G415+H415</f>
        <v>33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4</v>
      </c>
      <c r="L415" s="3" t="str">
        <f>IF(K415&lt;-5,"CRÍTICO",IF(K415&lt;0,"ATENÇÃO",IF(K415&lt;=5,"BOM","EXCELENTE")))</f>
        <v>BOM</v>
      </c>
      <c r="M415">
        <v>14</v>
      </c>
      <c r="N415">
        <v>98.39</v>
      </c>
      <c r="O415">
        <v>8.7999999999999989</v>
      </c>
    </row>
    <row r="416" spans="1:15" hidden="1" x14ac:dyDescent="0.25">
      <c r="A416" s="7">
        <v>46161</v>
      </c>
      <c r="B416" s="8" t="s">
        <v>44</v>
      </c>
      <c r="C416" s="9" t="s">
        <v>32</v>
      </c>
      <c r="D416" s="3">
        <v>35</v>
      </c>
      <c r="E416" s="3">
        <v>31</v>
      </c>
      <c r="F416">
        <v>10.43</v>
      </c>
      <c r="G416" s="3">
        <v>4</v>
      </c>
      <c r="H416" s="3">
        <v>0</v>
      </c>
      <c r="I416" s="3">
        <f>E416+G416+H416</f>
        <v>35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29</v>
      </c>
      <c r="K416" s="3">
        <f>I416-J416</f>
        <v>6</v>
      </c>
      <c r="L416" s="3" t="str">
        <f>IF(K416&lt;-5,"CRÍTICO",IF(K416&lt;0,"ATENÇÃO",IF(K416&lt;=5,"BOM","EXCELENTE")))</f>
        <v>EXCELENTE</v>
      </c>
      <c r="M416">
        <v>30</v>
      </c>
      <c r="N416">
        <v>96.38</v>
      </c>
      <c r="O416">
        <v>23.198198198198199</v>
      </c>
    </row>
    <row r="417" spans="1:15" hidden="1" x14ac:dyDescent="0.25">
      <c r="A417" s="7">
        <v>46161</v>
      </c>
      <c r="B417" s="8" t="s">
        <v>45</v>
      </c>
      <c r="C417" s="9" t="s">
        <v>32</v>
      </c>
      <c r="D417" s="3">
        <v>39</v>
      </c>
      <c r="E417" s="3">
        <v>35</v>
      </c>
      <c r="F417">
        <v>10.55</v>
      </c>
      <c r="G417" s="3">
        <v>3</v>
      </c>
      <c r="H417" s="3">
        <v>0</v>
      </c>
      <c r="I417" s="3">
        <f>E417+G417+H417</f>
        <v>38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29</v>
      </c>
      <c r="K417" s="3">
        <f>I417-J417</f>
        <v>9</v>
      </c>
      <c r="L417" s="3" t="str">
        <f>IF(K417&lt;-5,"CRÍTICO",IF(K417&lt;0,"ATENÇÃO",IF(K417&lt;=5,"BOM","EXCELENTE")))</f>
        <v>EXCELENTE</v>
      </c>
      <c r="M417">
        <v>34</v>
      </c>
      <c r="N417">
        <v>99.39</v>
      </c>
      <c r="O417">
        <v>25.203252032520329</v>
      </c>
    </row>
    <row r="418" spans="1:15" hidden="1" x14ac:dyDescent="0.25">
      <c r="A418" s="7">
        <v>46161</v>
      </c>
      <c r="B418" s="8" t="s">
        <v>46</v>
      </c>
      <c r="C418" s="9" t="s">
        <v>32</v>
      </c>
      <c r="D418" s="3">
        <v>25</v>
      </c>
      <c r="E418" s="3">
        <v>24</v>
      </c>
      <c r="F418">
        <v>18.25</v>
      </c>
      <c r="G418" s="3">
        <v>3</v>
      </c>
      <c r="H418" s="3">
        <v>0</v>
      </c>
      <c r="I418" s="3">
        <f>E418+G418+H418</f>
        <v>27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29</v>
      </c>
      <c r="K418" s="3">
        <f>I418-J418</f>
        <v>-2</v>
      </c>
      <c r="L418" s="3" t="str">
        <f>IF(K418&lt;-5,"CRÍTICO",IF(K418&lt;0,"ATENÇÃO",IF(K418&lt;=5,"BOM","EXCELENTE")))</f>
        <v>ATENÇÃO</v>
      </c>
      <c r="M418">
        <v>21</v>
      </c>
      <c r="N418">
        <v>97</v>
      </c>
      <c r="O418">
        <v>20.325203252032519</v>
      </c>
    </row>
    <row r="419" spans="1:15" hidden="1" x14ac:dyDescent="0.25">
      <c r="A419" s="7">
        <v>46162</v>
      </c>
      <c r="B419" s="8" t="s">
        <v>31</v>
      </c>
      <c r="C419" s="9" t="s">
        <v>32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>IF(K419&lt;-5,"CRÍTICO",IF(K419&lt;0,"ATENÇÃO",IF(K419&lt;=5,"OPORTUNO","MUITO BOM")))</f>
        <v>OPORTUNO</v>
      </c>
      <c r="M419" s="9">
        <v>0</v>
      </c>
      <c r="N419" s="9">
        <v>100</v>
      </c>
      <c r="O419" s="9">
        <v>0</v>
      </c>
    </row>
    <row r="420" spans="1:15" hidden="1" x14ac:dyDescent="0.25">
      <c r="A420" s="7">
        <v>46162</v>
      </c>
      <c r="B420" s="8" t="s">
        <v>33</v>
      </c>
      <c r="C420" s="9" t="s">
        <v>32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>IF(K420&lt;-5,"CRÍTICO",IF(K420&lt;0,"ATENÇÃO",IF(K420&lt;=5,"OPORTUNO","MUITO BOM")))</f>
        <v>ATENÇÃO</v>
      </c>
      <c r="M420" s="9">
        <v>18</v>
      </c>
      <c r="N420" s="9">
        <v>96.94</v>
      </c>
      <c r="O420" s="9">
        <v>19.613259668508292</v>
      </c>
    </row>
    <row r="421" spans="1:15" hidden="1" x14ac:dyDescent="0.25">
      <c r="A421" s="7">
        <v>46162</v>
      </c>
      <c r="B421" s="8" t="s">
        <v>34</v>
      </c>
      <c r="C421" s="9" t="s">
        <v>32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>IF(K421&lt;-5,"CRÍTICO",IF(K421&lt;0,"ATENÇÃO",IF(K421&lt;=5,"OPORTUNO","MUITO BOM")))</f>
        <v>OPORTUNO</v>
      </c>
      <c r="M421" s="9">
        <v>21</v>
      </c>
      <c r="N421" s="9">
        <v>92.81</v>
      </c>
      <c r="O421" s="9">
        <v>25.477707006369432</v>
      </c>
    </row>
    <row r="422" spans="1:15" hidden="1" x14ac:dyDescent="0.25">
      <c r="A422" s="7">
        <v>46162</v>
      </c>
      <c r="B422" s="8" t="s">
        <v>35</v>
      </c>
      <c r="C422" s="9" t="s">
        <v>32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>IF(K422&lt;-5,"CRÍTICO",IF(K422&lt;0,"ATENÇÃO",IF(K422&lt;=5,"OPORTUNO","MUITO BOM")))</f>
        <v>OPORTUNO</v>
      </c>
      <c r="M422" s="9">
        <v>0</v>
      </c>
      <c r="N422" s="9">
        <v>99.19</v>
      </c>
      <c r="O422" s="9">
        <v>28.404669260700391</v>
      </c>
    </row>
    <row r="423" spans="1:15" hidden="1" x14ac:dyDescent="0.25">
      <c r="A423" s="7">
        <v>46162</v>
      </c>
      <c r="B423" s="8" t="s">
        <v>36</v>
      </c>
      <c r="C423" s="9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>IF(K423&lt;-5,"CRÍTICO",IF(K423&lt;0,"ATENÇÃO",IF(K423&lt;=5,"OPORTUNO","MUITO BOM")))</f>
        <v>OPORTUNO</v>
      </c>
      <c r="M423" s="9">
        <v>0</v>
      </c>
      <c r="N423" s="9">
        <v>100</v>
      </c>
      <c r="O423" s="9">
        <v>13.51351351351351</v>
      </c>
    </row>
    <row r="424" spans="1:15" hidden="1" x14ac:dyDescent="0.25">
      <c r="A424" s="7">
        <v>46162</v>
      </c>
      <c r="B424" s="8" t="s">
        <v>37</v>
      </c>
      <c r="C424" s="9" t="s">
        <v>32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>IF(K424&lt;-5,"CRÍTICO",IF(K424&lt;0,"ATENÇÃO",IF(K424&lt;=5,"OPORTUNO","MUITO BOM")))</f>
        <v>MUITO BOM</v>
      </c>
      <c r="M424" s="9">
        <v>34</v>
      </c>
      <c r="N424" s="9">
        <v>99</v>
      </c>
      <c r="O424" s="9">
        <v>22.27414330218069</v>
      </c>
    </row>
    <row r="425" spans="1:15" hidden="1" x14ac:dyDescent="0.25">
      <c r="A425" s="7">
        <v>46162</v>
      </c>
      <c r="B425" s="8" t="s">
        <v>38</v>
      </c>
      <c r="C425" s="9" t="s">
        <v>32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>IF(K425&lt;-5,"CRÍTICO",IF(K425&lt;0,"ATENÇÃO",IF(K425&lt;=5,"OPORTUNO","MUITO BOM")))</f>
        <v>ATENÇÃO</v>
      </c>
      <c r="M425" s="9">
        <v>19</v>
      </c>
      <c r="N425" s="9">
        <v>97.04</v>
      </c>
      <c r="O425" s="9">
        <v>29.828850855745721</v>
      </c>
    </row>
    <row r="426" spans="1:15" hidden="1" x14ac:dyDescent="0.25">
      <c r="A426" s="7">
        <v>46162</v>
      </c>
      <c r="B426" s="8" t="s">
        <v>39</v>
      </c>
      <c r="C426" s="9" t="s">
        <v>32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>IF(K426&lt;-5,"CRÍTICO",IF(K426&lt;0,"ATENÇÃO",IF(K426&lt;=5,"OPORTUNO","MUITO BOM")))</f>
        <v>OPORTUNO</v>
      </c>
      <c r="M426" s="9">
        <v>0</v>
      </c>
      <c r="N426" s="9">
        <v>0</v>
      </c>
      <c r="O426" s="9">
        <v>0</v>
      </c>
    </row>
    <row r="427" spans="1:15" hidden="1" x14ac:dyDescent="0.25">
      <c r="A427" s="7">
        <v>46162</v>
      </c>
      <c r="B427" s="8" t="s">
        <v>40</v>
      </c>
      <c r="C427" s="9" t="s">
        <v>32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>E427+G427+H427</f>
        <v>17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>I427-J427</f>
        <v>-9</v>
      </c>
      <c r="L427" s="3" t="str">
        <f>IF(K427&lt;-5,"CRÍTICO",IF(K427&lt;0,"ATENÇÃO",IF(K427&lt;=5,"OPORTUNO","MUITO BOM")))</f>
        <v>CRÍTICO</v>
      </c>
      <c r="M427" s="9">
        <v>18</v>
      </c>
      <c r="N427" s="9">
        <v>96.84</v>
      </c>
      <c r="O427" s="9">
        <v>16.338028169014081</v>
      </c>
    </row>
    <row r="428" spans="1:15" hidden="1" x14ac:dyDescent="0.25">
      <c r="A428" s="7">
        <v>46162</v>
      </c>
      <c r="B428" s="8" t="s">
        <v>41</v>
      </c>
      <c r="C428" s="9" t="s">
        <v>32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>E428+G428+H428</f>
        <v>29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26</v>
      </c>
      <c r="K428" s="3">
        <f>I428-J428</f>
        <v>3</v>
      </c>
      <c r="L428" s="3" t="str">
        <f>IF(K428&lt;-5,"CRÍTICO",IF(K428&lt;0,"ATENÇÃO",IF(K428&lt;=5,"OPORTUNO","MUITO BOM")))</f>
        <v>OPORTUNO</v>
      </c>
      <c r="M428" s="9">
        <v>28</v>
      </c>
      <c r="N428" s="9">
        <v>100</v>
      </c>
      <c r="O428" s="9">
        <v>18.244803695150122</v>
      </c>
    </row>
    <row r="429" spans="1:15" hidden="1" x14ac:dyDescent="0.25">
      <c r="A429" s="7">
        <v>46162</v>
      </c>
      <c r="B429" s="8" t="s">
        <v>42</v>
      </c>
      <c r="C429" s="9" t="s">
        <v>32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>E429+G429+H429</f>
        <v>21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26</v>
      </c>
      <c r="K429" s="3">
        <f>I429-J429</f>
        <v>-5</v>
      </c>
      <c r="L429" s="3" t="str">
        <f>IF(K429&lt;-5,"CRÍTICO",IF(K429&lt;0,"ATENÇÃO",IF(K429&lt;=5,"OPORTUNO","MUITO BOM")))</f>
        <v>ATENÇÃO</v>
      </c>
      <c r="M429" s="9">
        <v>18</v>
      </c>
      <c r="N429" s="9">
        <v>100</v>
      </c>
      <c r="O429" s="9">
        <v>15.789473684210529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>I430-J430</f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7">
        <v>46162</v>
      </c>
      <c r="B431" s="8" t="s">
        <v>43</v>
      </c>
      <c r="C431" s="9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>E431+G431+H431</f>
        <v>25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26</v>
      </c>
      <c r="K431" s="3">
        <f>I431-J431</f>
        <v>-1</v>
      </c>
      <c r="L431" s="3" t="str">
        <f>IF(K431&lt;-5,"CRÍTICO",IF(K431&lt;0,"ATENÇÃO",IF(K431&lt;=5,"OPORTUNO","MUITO BOM")))</f>
        <v>ATENÇÃO</v>
      </c>
      <c r="M431" s="9">
        <v>16</v>
      </c>
      <c r="N431" s="9">
        <v>98.39</v>
      </c>
      <c r="O431" s="9">
        <v>8.7999999999999989</v>
      </c>
    </row>
    <row r="432" spans="1:15" hidden="1" x14ac:dyDescent="0.25">
      <c r="A432" s="7">
        <v>46162</v>
      </c>
      <c r="B432" s="8" t="s">
        <v>44</v>
      </c>
      <c r="C432" s="9" t="s">
        <v>32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>E432+G432+H432</f>
        <v>27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26</v>
      </c>
      <c r="K432" s="3">
        <f>I432-J432</f>
        <v>1</v>
      </c>
      <c r="L432" s="3" t="str">
        <f>IF(K432&lt;-5,"CRÍTICO",IF(K432&lt;0,"ATENÇÃO",IF(K432&lt;=5,"OPORTUNO","MUITO BOM")))</f>
        <v>OPORTUNO</v>
      </c>
      <c r="M432" s="9">
        <v>23</v>
      </c>
      <c r="N432" s="9">
        <v>96.38</v>
      </c>
      <c r="O432" s="9">
        <v>23.198198198198199</v>
      </c>
    </row>
    <row r="433" spans="1:15" hidden="1" x14ac:dyDescent="0.25">
      <c r="A433" s="7">
        <v>46162</v>
      </c>
      <c r="B433" s="8" t="s">
        <v>45</v>
      </c>
      <c r="C433" s="9" t="s">
        <v>32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>E433+G433+H433</f>
        <v>33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26</v>
      </c>
      <c r="K433" s="3">
        <f>I433-J433</f>
        <v>7</v>
      </c>
      <c r="L433" s="3" t="str">
        <f>IF(K433&lt;-5,"CRÍTICO",IF(K433&lt;0,"ATENÇÃO",IF(K433&lt;=5,"OPORTUNO","MUITO BOM")))</f>
        <v>MUITO BOM</v>
      </c>
      <c r="M433" s="9">
        <v>28</v>
      </c>
      <c r="N433" s="9">
        <v>99.39</v>
      </c>
      <c r="O433" s="9">
        <v>25.203252032520329</v>
      </c>
    </row>
    <row r="434" spans="1:15" hidden="1" x14ac:dyDescent="0.25">
      <c r="A434" s="7">
        <v>46162</v>
      </c>
      <c r="B434" s="8" t="s">
        <v>46</v>
      </c>
      <c r="C434" s="9" t="s">
        <v>32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>E434+G434+H434</f>
        <v>24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26</v>
      </c>
      <c r="K434" s="3">
        <f>I434-J434</f>
        <v>-2</v>
      </c>
      <c r="L434" s="3" t="str">
        <f>IF(K434&lt;-5,"CRÍTICO",IF(K434&lt;0,"ATENÇÃO",IF(K434&lt;=5,"OPORTUNO","MUITO BOM")))</f>
        <v>ATENÇÃO</v>
      </c>
      <c r="M434" s="9">
        <v>21</v>
      </c>
      <c r="N434" s="9">
        <v>97</v>
      </c>
      <c r="O434" s="9">
        <v>20.325203252032519</v>
      </c>
    </row>
    <row r="435" spans="1:15" hidden="1" x14ac:dyDescent="0.25">
      <c r="A435" s="5">
        <v>46163</v>
      </c>
      <c r="B435" s="6" t="s">
        <v>31</v>
      </c>
      <c r="C435" s="3" t="s">
        <v>32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>IF(K435&lt;-5,"CRÍTICO",IF(K435&lt;0,"ATENÇÃO",IF(K435&lt;=5,"OPORTUNO","MUITO BOM")))</f>
        <v>OPORTUNO</v>
      </c>
      <c r="M435" s="3">
        <v>0</v>
      </c>
      <c r="N435" s="3">
        <v>100</v>
      </c>
      <c r="O435" s="3">
        <v>0</v>
      </c>
    </row>
    <row r="436" spans="1:15" hidden="1" x14ac:dyDescent="0.25">
      <c r="A436" s="5">
        <v>46163</v>
      </c>
      <c r="B436" s="6" t="s">
        <v>33</v>
      </c>
      <c r="C436" s="3" t="s">
        <v>32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13</v>
      </c>
      <c r="N436" s="3">
        <v>96.94</v>
      </c>
      <c r="O436" s="3">
        <v>19.613259668508292</v>
      </c>
    </row>
    <row r="437" spans="1:15" hidden="1" x14ac:dyDescent="0.25">
      <c r="A437" s="5">
        <v>46163</v>
      </c>
      <c r="B437" s="6" t="s">
        <v>34</v>
      </c>
      <c r="C437" s="3" t="s">
        <v>32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>IF(K437&lt;-5,"CRÍTICO",IF(K437&lt;0,"ATENÇÃO",IF(K437&lt;=5,"OPORTUNO","MUITO BOM")))</f>
        <v>OPORTUNO</v>
      </c>
      <c r="M437" s="3">
        <v>20</v>
      </c>
      <c r="N437" s="3">
        <v>92.81</v>
      </c>
      <c r="O437" s="3">
        <v>25.477707006369432</v>
      </c>
    </row>
    <row r="438" spans="1:15" hidden="1" x14ac:dyDescent="0.25">
      <c r="A438" s="5">
        <v>46163</v>
      </c>
      <c r="B438" s="6" t="s">
        <v>35</v>
      </c>
      <c r="C438" s="3" t="s">
        <v>32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>IF(K438&lt;-5,"CRÍTICO",IF(K438&lt;0,"ATENÇÃO",IF(K438&lt;=5,"OPORTUNO","MUITO BOM")))</f>
        <v>OPORTUNO</v>
      </c>
      <c r="M438" s="3">
        <v>0</v>
      </c>
      <c r="N438" s="3">
        <v>99.19</v>
      </c>
      <c r="O438" s="3">
        <v>28.404669260700391</v>
      </c>
    </row>
    <row r="439" spans="1:15" hidden="1" x14ac:dyDescent="0.25">
      <c r="A439" s="5">
        <v>46163</v>
      </c>
      <c r="B439" s="6" t="s">
        <v>36</v>
      </c>
      <c r="C439" s="3" t="s">
        <v>32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>IF(K439&lt;-5,"CRÍTICO",IF(K439&lt;0,"ATENÇÃO",IF(K439&lt;=5,"OPORTUNO","MUITO BOM")))</f>
        <v>OPORTUNO</v>
      </c>
      <c r="M439" s="3">
        <v>0</v>
      </c>
      <c r="N439" s="3">
        <v>100</v>
      </c>
      <c r="O439" s="3">
        <v>13.51351351351351</v>
      </c>
    </row>
    <row r="440" spans="1:15" hidden="1" x14ac:dyDescent="0.25">
      <c r="A440" s="5">
        <v>46163</v>
      </c>
      <c r="B440" s="6" t="s">
        <v>37</v>
      </c>
      <c r="C440" s="3" t="s">
        <v>32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>IF(K440&lt;-5,"CRÍTICO",IF(K440&lt;0,"ATENÇÃO",IF(K440&lt;=5,"OPORTUNO","MUITO BOM")))</f>
        <v>MUITO BOM</v>
      </c>
      <c r="M440" s="3">
        <v>28</v>
      </c>
      <c r="N440" s="3">
        <v>99</v>
      </c>
      <c r="O440" s="3">
        <v>22.27414330218069</v>
      </c>
    </row>
    <row r="441" spans="1:15" hidden="1" x14ac:dyDescent="0.25">
      <c r="A441" s="5">
        <v>46163</v>
      </c>
      <c r="B441" s="6" t="s">
        <v>38</v>
      </c>
      <c r="C441" s="3" t="s">
        <v>32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>IF(K441&lt;-5,"CRÍTICO",IF(K441&lt;0,"ATENÇÃO",IF(K441&lt;=5,"OPORTUNO","MUITO BOM")))</f>
        <v>CRÍTICO</v>
      </c>
      <c r="M441" s="3">
        <v>10</v>
      </c>
      <c r="N441" s="3">
        <v>97.04</v>
      </c>
      <c r="O441" s="3">
        <v>29.828850855745721</v>
      </c>
    </row>
    <row r="442" spans="1:15" hidden="1" x14ac:dyDescent="0.25">
      <c r="A442" s="5">
        <v>46163</v>
      </c>
      <c r="B442" s="6" t="s">
        <v>39</v>
      </c>
      <c r="C442" s="3" t="s">
        <v>32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>IF(K442&lt;-5,"CRÍTICO",IF(K442&lt;0,"ATENÇÃO",IF(K442&lt;=5,"OPORTUNO","MUITO BOM")))</f>
        <v>OPORTUNO</v>
      </c>
      <c r="M442" s="3">
        <v>0</v>
      </c>
      <c r="N442" s="3">
        <v>0</v>
      </c>
      <c r="O442" s="3">
        <v>0</v>
      </c>
    </row>
    <row r="443" spans="1:15" hidden="1" x14ac:dyDescent="0.25">
      <c r="A443" s="5">
        <v>46163</v>
      </c>
      <c r="B443" s="6" t="s">
        <v>40</v>
      </c>
      <c r="C443" s="3" t="s">
        <v>32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>E443+G443+H443</f>
        <v>21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>I443-J443</f>
        <v>-1</v>
      </c>
      <c r="L443" s="3" t="str">
        <f>IF(K443&lt;-5,"CRÍTICO",IF(K443&lt;0,"ATENÇÃO",IF(K443&lt;=5,"OPORTUNO","MUITO BOM")))</f>
        <v>ATENÇÃO</v>
      </c>
      <c r="M443" s="3">
        <v>21</v>
      </c>
      <c r="N443" s="3">
        <v>96.84</v>
      </c>
      <c r="O443" s="3">
        <v>16.338028169014081</v>
      </c>
    </row>
    <row r="444" spans="1:15" hidden="1" x14ac:dyDescent="0.25">
      <c r="A444" s="5">
        <v>46163</v>
      </c>
      <c r="B444" s="6" t="s">
        <v>41</v>
      </c>
      <c r="C444" s="3" t="s">
        <v>32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>E444+G444+H444</f>
        <v>21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22</v>
      </c>
      <c r="K444" s="3">
        <f>I444-J444</f>
        <v>-1</v>
      </c>
      <c r="L444" s="3" t="str">
        <f>IF(K444&lt;-5,"CRÍTICO",IF(K444&lt;0,"ATENÇÃO",IF(K444&lt;=5,"OPORTUNO","MUITO BOM")))</f>
        <v>ATENÇÃO</v>
      </c>
      <c r="M444" s="3">
        <v>19</v>
      </c>
      <c r="N444" s="3">
        <v>100</v>
      </c>
      <c r="O444" s="3">
        <v>18.244803695150122</v>
      </c>
    </row>
    <row r="445" spans="1:15" hidden="1" x14ac:dyDescent="0.25">
      <c r="A445" s="5">
        <v>46163</v>
      </c>
      <c r="B445" s="6" t="s">
        <v>42</v>
      </c>
      <c r="C445" s="3" t="s">
        <v>32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>E445+G445+H445</f>
        <v>27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22</v>
      </c>
      <c r="K445" s="3">
        <f>I445-J445</f>
        <v>5</v>
      </c>
      <c r="L445" s="3" t="str">
        <f>IF(K445&lt;-5,"CRÍTICO",IF(K445&lt;0,"ATENÇÃO",IF(K445&lt;=5,"OPORTUNO","MUITO BOM")))</f>
        <v>OPORTUNO</v>
      </c>
      <c r="M445" s="3">
        <v>18</v>
      </c>
      <c r="N445" s="3">
        <v>100</v>
      </c>
      <c r="O445" s="3">
        <v>15.789473684210529</v>
      </c>
    </row>
    <row r="446" spans="1:15" hidden="1" x14ac:dyDescent="0.25">
      <c r="A446" s="5">
        <v>46163</v>
      </c>
      <c r="B446" s="6" t="s">
        <v>43</v>
      </c>
      <c r="C446" s="3" t="s">
        <v>32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>E446+G446+H446</f>
        <v>30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22</v>
      </c>
      <c r="K446" s="3">
        <f>I446-J446</f>
        <v>8</v>
      </c>
      <c r="L446" s="3" t="str">
        <f>IF(K446&lt;-5,"CRÍTICO",IF(K446&lt;0,"ATENÇÃO",IF(K446&lt;=5,"OPORTUNO","MUITO BOM")))</f>
        <v>MUITO BOM</v>
      </c>
      <c r="M446" s="3">
        <v>15</v>
      </c>
      <c r="N446" s="3">
        <v>98.39</v>
      </c>
      <c r="O446" s="3">
        <v>8.7999999999999989</v>
      </c>
    </row>
    <row r="447" spans="1:15" hidden="1" x14ac:dyDescent="0.25">
      <c r="A447" s="5">
        <v>46163</v>
      </c>
      <c r="B447" s="6" t="s">
        <v>44</v>
      </c>
      <c r="C447" s="3" t="s">
        <v>32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>E447+G447+H447</f>
        <v>25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3</v>
      </c>
      <c r="L447" s="3" t="str">
        <f>IF(K447&lt;-5,"CRÍTICO",IF(K447&lt;0,"ATENÇÃO",IF(K447&lt;=5,"OPORTUNO","MUITO BOM")))</f>
        <v>OPORTUNO</v>
      </c>
      <c r="M447" s="3">
        <v>21</v>
      </c>
      <c r="N447" s="3">
        <v>96.38</v>
      </c>
      <c r="O447" s="3">
        <v>23.198198198198199</v>
      </c>
    </row>
    <row r="448" spans="1:15" hidden="1" x14ac:dyDescent="0.25">
      <c r="A448" s="5">
        <v>46163</v>
      </c>
      <c r="B448" s="6" t="s">
        <v>45</v>
      </c>
      <c r="C448" s="3" t="s">
        <v>32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>E448+G448+H448</f>
        <v>33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11</v>
      </c>
      <c r="L448" s="3" t="str">
        <f>IF(K448&lt;-5,"CRÍTICO",IF(K448&lt;0,"ATENÇÃO",IF(K448&lt;=5,"OPORTUNO","MUITO BOM")))</f>
        <v>MUITO BOM</v>
      </c>
      <c r="M448" s="3">
        <v>22</v>
      </c>
      <c r="N448" s="3">
        <v>99.39</v>
      </c>
      <c r="O448" s="3">
        <v>25.203252032520329</v>
      </c>
    </row>
    <row r="449" spans="1:15" hidden="1" x14ac:dyDescent="0.25">
      <c r="A449" s="5">
        <v>46163</v>
      </c>
      <c r="B449" s="6" t="s">
        <v>46</v>
      </c>
      <c r="C449" s="3" t="s">
        <v>32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>E449+G449+H449</f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22</v>
      </c>
      <c r="K449" s="3">
        <f>I449-J449</f>
        <v>1</v>
      </c>
      <c r="L449" s="3" t="str">
        <f>IF(K449&lt;-5,"CRÍTICO",IF(K449&lt;0,"ATENÇÃO",IF(K449&lt;=5,"OPORTUNO","MUITO BOM")))</f>
        <v>OPORTUNO</v>
      </c>
      <c r="M449" s="3">
        <v>21</v>
      </c>
      <c r="N449" s="3">
        <v>97</v>
      </c>
      <c r="O449" s="3">
        <v>20.325203252032519</v>
      </c>
    </row>
    <row r="450" spans="1:15" hidden="1" x14ac:dyDescent="0.25">
      <c r="A450" s="10">
        <v>46164</v>
      </c>
      <c r="B450" s="6" t="s">
        <v>31</v>
      </c>
      <c r="C450" s="3" t="s">
        <v>32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>IF(K450&lt;-5,"CRÍTICO",IF(K450&lt;0,"ATENÇÃO",IF(K450&lt;=5,"OPORTUNO","MUITO BOM")))</f>
        <v>OPORTUNO</v>
      </c>
      <c r="M450" s="3">
        <v>0</v>
      </c>
      <c r="N450" s="3">
        <v>100</v>
      </c>
      <c r="O450" s="3">
        <v>0</v>
      </c>
    </row>
    <row r="451" spans="1:15" hidden="1" x14ac:dyDescent="0.25">
      <c r="A451" s="10">
        <v>46164</v>
      </c>
      <c r="B451" s="6" t="s">
        <v>33</v>
      </c>
      <c r="C451" s="3" t="s">
        <v>32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>IF(K451&lt;-5,"CRÍTICO",IF(K451&lt;0,"ATENÇÃO",IF(K451&lt;=5,"OPORTUNO","MUITO BOM")))</f>
        <v>OPORTUNO</v>
      </c>
      <c r="M451" s="3">
        <v>16</v>
      </c>
      <c r="N451" s="3">
        <v>96.94</v>
      </c>
      <c r="O451" s="3">
        <v>19.613259668508292</v>
      </c>
    </row>
    <row r="452" spans="1:15" hidden="1" x14ac:dyDescent="0.25">
      <c r="A452" s="10">
        <v>46164</v>
      </c>
      <c r="B452" s="6" t="s">
        <v>34</v>
      </c>
      <c r="C452" s="3" t="s">
        <v>32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>IF(K452&lt;-5,"CRÍTICO",IF(K452&lt;0,"ATENÇÃO",IF(K452&lt;=5,"OPORTUNO","MUITO BOM")))</f>
        <v>OPORTUNO</v>
      </c>
      <c r="M452" s="3">
        <v>22</v>
      </c>
      <c r="N452" s="3">
        <v>92.81</v>
      </c>
      <c r="O452" s="3">
        <v>25.477707006369432</v>
      </c>
    </row>
    <row r="453" spans="1:15" hidden="1" x14ac:dyDescent="0.25">
      <c r="A453" s="10">
        <v>46164</v>
      </c>
      <c r="B453" s="6" t="s">
        <v>35</v>
      </c>
      <c r="C453" s="3" t="s">
        <v>32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>IF(K453&lt;-5,"CRÍTICO",IF(K453&lt;0,"ATENÇÃO",IF(K453&lt;=5,"OPORTUNO","MUITO BOM")))</f>
        <v>OPORTUNO</v>
      </c>
      <c r="M453" s="3">
        <v>0</v>
      </c>
      <c r="N453" s="3">
        <v>99.19</v>
      </c>
      <c r="O453" s="3">
        <v>28.404669260700391</v>
      </c>
    </row>
    <row r="454" spans="1:15" hidden="1" x14ac:dyDescent="0.25">
      <c r="A454" s="10">
        <v>46164</v>
      </c>
      <c r="B454" s="6" t="s">
        <v>36</v>
      </c>
      <c r="C454" s="3" t="s">
        <v>32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>IF(K454&lt;-5,"CRÍTICO",IF(K454&lt;0,"ATENÇÃO",IF(K454&lt;=5,"OPORTUNO","MUITO BOM")))</f>
        <v>CRÍTICO</v>
      </c>
      <c r="M454" s="3">
        <v>10</v>
      </c>
      <c r="N454" s="3">
        <v>100</v>
      </c>
      <c r="O454" s="3">
        <v>13.51351351351351</v>
      </c>
    </row>
    <row r="455" spans="1:15" hidden="1" x14ac:dyDescent="0.25">
      <c r="A455" s="10">
        <v>46164</v>
      </c>
      <c r="B455" s="6" t="s">
        <v>37</v>
      </c>
      <c r="C455" s="3" t="s">
        <v>32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>IF(K455&lt;-5,"CRÍTICO",IF(K455&lt;0,"ATENÇÃO",IF(K455&lt;=5,"OPORTUNO","MUITO BOM")))</f>
        <v>MUITO BOM</v>
      </c>
      <c r="M455" s="3">
        <v>23</v>
      </c>
      <c r="N455" s="3">
        <v>99</v>
      </c>
      <c r="O455" s="3">
        <v>22.27414330218069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10">
        <v>46164</v>
      </c>
      <c r="B457" s="6" t="s">
        <v>38</v>
      </c>
      <c r="C457" s="3" t="s">
        <v>32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>IF(K457&lt;-5,"CRÍTICO",IF(K457&lt;0,"ATENÇÃO",IF(K457&lt;=5,"OPORTUNO","MUITO BOM")))</f>
        <v>ATENÇÃO</v>
      </c>
      <c r="M457" s="3">
        <v>14</v>
      </c>
      <c r="N457" s="3">
        <v>97.04</v>
      </c>
      <c r="O457" s="3">
        <v>29.828850855745721</v>
      </c>
    </row>
    <row r="458" spans="1:15" hidden="1" x14ac:dyDescent="0.25">
      <c r="A458" s="10">
        <v>46164</v>
      </c>
      <c r="B458" s="6" t="s">
        <v>39</v>
      </c>
      <c r="C458" s="3" t="s">
        <v>32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>IF(K458&lt;-5,"CRÍTICO",IF(K458&lt;0,"ATENÇÃO",IF(K458&lt;=5,"OPORTUNO","MUITO BOM")))</f>
        <v>OPORTUNO</v>
      </c>
      <c r="M458" s="3">
        <v>0</v>
      </c>
      <c r="N458" s="3">
        <v>0</v>
      </c>
      <c r="O458" s="3">
        <v>0</v>
      </c>
    </row>
    <row r="459" spans="1:15" hidden="1" x14ac:dyDescent="0.25">
      <c r="A459" s="10">
        <v>46164</v>
      </c>
      <c r="B459" s="6" t="s">
        <v>40</v>
      </c>
      <c r="C459" s="3" t="s">
        <v>32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>IF(K459&lt;-5,"CRÍTICO",IF(K459&lt;0,"ATENÇÃO",IF(K459&lt;=5,"OPORTUNO","MUITO BOM")))</f>
        <v>OPORTUNO</v>
      </c>
      <c r="M459" s="3">
        <v>21</v>
      </c>
      <c r="N459" s="3">
        <v>96.84</v>
      </c>
      <c r="O459" s="3">
        <v>16.338028169014081</v>
      </c>
    </row>
    <row r="460" spans="1:15" hidden="1" x14ac:dyDescent="0.25">
      <c r="A460" s="10">
        <v>46164</v>
      </c>
      <c r="B460" s="6" t="s">
        <v>41</v>
      </c>
      <c r="C460" s="3" t="s">
        <v>32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>IF(K460&lt;-5,"CRÍTICO",IF(K460&lt;0,"ATENÇÃO",IF(K460&lt;=5,"OPORTUNO","MUITO BOM")))</f>
        <v>OPORTUNO</v>
      </c>
      <c r="M460" s="3">
        <v>20</v>
      </c>
      <c r="N460" s="3">
        <v>100</v>
      </c>
      <c r="O460" s="3">
        <v>18.244803695150122</v>
      </c>
    </row>
    <row r="461" spans="1:15" hidden="1" x14ac:dyDescent="0.25">
      <c r="A461" s="10">
        <v>46164</v>
      </c>
      <c r="B461" s="6" t="s">
        <v>42</v>
      </c>
      <c r="C461" s="3" t="s">
        <v>32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>IF(K461&lt;-5,"CRÍTICO",IF(K461&lt;0,"ATENÇÃO",IF(K461&lt;=5,"OPORTUNO","MUITO BOM")))</f>
        <v>OPORTUNO</v>
      </c>
      <c r="M461" s="3">
        <v>15</v>
      </c>
      <c r="N461" s="3">
        <v>100</v>
      </c>
      <c r="O461" s="3">
        <v>15.789473684210529</v>
      </c>
    </row>
    <row r="462" spans="1:15" hidden="1" x14ac:dyDescent="0.25">
      <c r="A462" s="10">
        <v>46164</v>
      </c>
      <c r="B462" s="6" t="s">
        <v>43</v>
      </c>
      <c r="C462" s="3" t="s">
        <v>32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>IF(K462&lt;-5,"CRÍTICO",IF(K462&lt;0,"ATENÇÃO",IF(K462&lt;=5,"OPORTUNO","MUITO BOM")))</f>
        <v>OPORTUNO</v>
      </c>
      <c r="M462" s="3">
        <v>3</v>
      </c>
      <c r="N462" s="3">
        <v>98.39</v>
      </c>
      <c r="O462" s="3">
        <v>8.7999999999999989</v>
      </c>
    </row>
    <row r="463" spans="1:15" hidden="1" x14ac:dyDescent="0.25">
      <c r="A463" s="10">
        <v>46164</v>
      </c>
      <c r="B463" s="6" t="s">
        <v>44</v>
      </c>
      <c r="C463" s="3" t="s">
        <v>32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>IF(K463&lt;-5,"CRÍTICO",IF(K463&lt;0,"ATENÇÃO",IF(K463&lt;=5,"OPORTUNO","MUITO BOM")))</f>
        <v>MUITO BOM</v>
      </c>
      <c r="M463" s="3">
        <v>16</v>
      </c>
      <c r="N463" s="3">
        <v>96.38</v>
      </c>
      <c r="O463" s="3">
        <v>23.198198198198199</v>
      </c>
    </row>
    <row r="464" spans="1:15" hidden="1" x14ac:dyDescent="0.25">
      <c r="A464" s="10">
        <v>46164</v>
      </c>
      <c r="B464" s="6" t="s">
        <v>45</v>
      </c>
      <c r="C464" s="3" t="s">
        <v>32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>IF(K464&lt;-5,"CRÍTICO",IF(K464&lt;0,"ATENÇÃO",IF(K464&lt;=5,"OPORTUNO","MUITO BOM")))</f>
        <v>OPORTUNO</v>
      </c>
      <c r="M464" s="3">
        <v>18</v>
      </c>
      <c r="N464" s="3">
        <v>99.39</v>
      </c>
      <c r="O464" s="3">
        <v>25.203252032520329</v>
      </c>
    </row>
    <row r="465" spans="1:15" hidden="1" x14ac:dyDescent="0.25">
      <c r="A465" s="10">
        <v>46164</v>
      </c>
      <c r="B465" s="6" t="s">
        <v>46</v>
      </c>
      <c r="C465" s="3" t="s">
        <v>32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>IF(K465&lt;-5,"CRÍTICO",IF(K465&lt;0,"ATENÇÃO",IF(K465&lt;=5,"OPORTUNO","MUITO BOM")))</f>
        <v>OPORTUNO</v>
      </c>
      <c r="M465" s="3">
        <v>17</v>
      </c>
      <c r="N465" s="3">
        <v>97</v>
      </c>
      <c r="O465" s="3">
        <v>20.325203252032519</v>
      </c>
    </row>
    <row r="466" spans="1:15" hidden="1" x14ac:dyDescent="0.25">
      <c r="A466" s="11">
        <v>46167</v>
      </c>
      <c r="B466" t="s">
        <v>31</v>
      </c>
      <c r="C466" t="s">
        <v>32</v>
      </c>
      <c r="D466">
        <v>0</v>
      </c>
      <c r="E466">
        <v>0</v>
      </c>
      <c r="F466">
        <v>0</v>
      </c>
      <c r="G466">
        <v>0</v>
      </c>
      <c r="H466">
        <v>0</v>
      </c>
      <c r="I466" s="3">
        <v>0</v>
      </c>
      <c r="J466" s="3">
        <v>0</v>
      </c>
      <c r="K466" s="3">
        <v>0</v>
      </c>
      <c r="L466" s="3" t="str">
        <f>IF(K466&lt;-5,"CRÍTICO",IF(K466&lt;0,"ATENÇÃO",IF(K466&lt;=5,"OPORTUNO","MUITO BOM")))</f>
        <v>OPORTUNO</v>
      </c>
      <c r="M466">
        <v>0</v>
      </c>
      <c r="N466">
        <v>100</v>
      </c>
      <c r="O466">
        <v>0</v>
      </c>
    </row>
    <row r="467" spans="1:15" hidden="1" x14ac:dyDescent="0.25">
      <c r="A467" s="11">
        <v>46167</v>
      </c>
      <c r="B467" t="s">
        <v>33</v>
      </c>
      <c r="C467" t="s">
        <v>32</v>
      </c>
      <c r="D467">
        <v>27</v>
      </c>
      <c r="E467">
        <v>23</v>
      </c>
      <c r="F467">
        <v>13.5</v>
      </c>
      <c r="G467">
        <v>0</v>
      </c>
      <c r="H467">
        <v>0</v>
      </c>
      <c r="I467" s="3">
        <v>0</v>
      </c>
      <c r="J467" s="3">
        <v>0</v>
      </c>
      <c r="K467" s="3">
        <v>0</v>
      </c>
      <c r="L467" s="3" t="str">
        <f>IF(K467&lt;-5,"CRÍTICO",IF(K467&lt;0,"ATENÇÃO",IF(K467&lt;=5,"OPORTUNO","MUITO BOM")))</f>
        <v>OPORTUNO</v>
      </c>
      <c r="M467">
        <v>23</v>
      </c>
      <c r="N467">
        <v>96.94</v>
      </c>
      <c r="O467">
        <v>19.613259668508292</v>
      </c>
    </row>
    <row r="468" spans="1:15" hidden="1" x14ac:dyDescent="0.25">
      <c r="A468" s="11">
        <v>46167</v>
      </c>
      <c r="B468" t="s">
        <v>34</v>
      </c>
      <c r="C468" t="s">
        <v>32</v>
      </c>
      <c r="D468">
        <v>25</v>
      </c>
      <c r="E468">
        <v>22</v>
      </c>
      <c r="F468">
        <v>12.25</v>
      </c>
      <c r="G468">
        <v>0</v>
      </c>
      <c r="H468">
        <v>0</v>
      </c>
      <c r="I468" s="3">
        <v>0</v>
      </c>
      <c r="J468" s="3">
        <v>0</v>
      </c>
      <c r="K468" s="3">
        <v>0</v>
      </c>
      <c r="L468" s="3" t="str">
        <f>IF(K468&lt;-5,"CRÍTICO",IF(K468&lt;0,"ATENÇÃO",IF(K468&lt;=5,"OPORTUNO","MUITO BOM")))</f>
        <v>OPORTUNO</v>
      </c>
      <c r="M468">
        <v>20</v>
      </c>
      <c r="N468">
        <v>92.81</v>
      </c>
      <c r="O468">
        <v>25.477707006369432</v>
      </c>
    </row>
    <row r="469" spans="1:15" hidden="1" x14ac:dyDescent="0.25">
      <c r="A469" s="11">
        <v>46167</v>
      </c>
      <c r="B469" t="s">
        <v>35</v>
      </c>
      <c r="C469" t="s">
        <v>32</v>
      </c>
      <c r="D469">
        <v>0</v>
      </c>
      <c r="E469">
        <v>0</v>
      </c>
      <c r="F469">
        <v>0</v>
      </c>
      <c r="G469">
        <v>0</v>
      </c>
      <c r="H469">
        <v>0</v>
      </c>
      <c r="I469" s="3">
        <v>0</v>
      </c>
      <c r="J469" s="3">
        <v>0</v>
      </c>
      <c r="K469" s="3">
        <v>0</v>
      </c>
      <c r="L469" s="3" t="str">
        <f>IF(K469&lt;-5,"CRÍTICO",IF(K469&lt;0,"ATENÇÃO",IF(K469&lt;=5,"OPORTUNO","MUITO BOM")))</f>
        <v>OPORTUNO</v>
      </c>
      <c r="M469">
        <v>0</v>
      </c>
      <c r="N469">
        <v>99.19</v>
      </c>
      <c r="O469">
        <v>28.404669260700391</v>
      </c>
    </row>
    <row r="470" spans="1:15" hidden="1" x14ac:dyDescent="0.25">
      <c r="A470" s="11">
        <v>46167</v>
      </c>
      <c r="B470" t="s">
        <v>36</v>
      </c>
      <c r="C470" t="s">
        <v>32</v>
      </c>
      <c r="D470">
        <v>20</v>
      </c>
      <c r="E470">
        <v>19</v>
      </c>
      <c r="F470">
        <v>17.3</v>
      </c>
      <c r="G470">
        <v>0</v>
      </c>
      <c r="H470">
        <v>0</v>
      </c>
      <c r="I470" s="3">
        <v>0</v>
      </c>
      <c r="J470" s="3">
        <v>0</v>
      </c>
      <c r="K470" s="3">
        <v>0</v>
      </c>
      <c r="L470" s="3" t="str">
        <f>IF(K470&lt;-5,"CRÍTICO",IF(K470&lt;0,"ATENÇÃO",IF(K470&lt;=5,"OPORTUNO","MUITO BOM")))</f>
        <v>OPORTUNO</v>
      </c>
      <c r="M470">
        <v>19</v>
      </c>
      <c r="N470">
        <v>100</v>
      </c>
      <c r="O470">
        <v>13.51351351351351</v>
      </c>
    </row>
    <row r="471" spans="1:15" hidden="1" x14ac:dyDescent="0.25">
      <c r="A471" s="11">
        <v>46167</v>
      </c>
      <c r="B471" t="s">
        <v>37</v>
      </c>
      <c r="C471" t="s">
        <v>32</v>
      </c>
      <c r="D471">
        <v>22</v>
      </c>
      <c r="E471">
        <v>21</v>
      </c>
      <c r="F471">
        <v>17.100000000000001</v>
      </c>
      <c r="G471">
        <v>0</v>
      </c>
      <c r="H471">
        <v>0</v>
      </c>
      <c r="I471" s="3">
        <v>0</v>
      </c>
      <c r="J471" s="3">
        <v>0</v>
      </c>
      <c r="K471" s="3">
        <v>0</v>
      </c>
      <c r="L471" s="3" t="str">
        <f>IF(K471&lt;-5,"CRÍTICO",IF(K471&lt;0,"ATENÇÃO",IF(K471&lt;=5,"OPORTUNO","MUITO BOM")))</f>
        <v>OPORTUNO</v>
      </c>
      <c r="M471">
        <v>20</v>
      </c>
      <c r="N471">
        <v>99</v>
      </c>
      <c r="O471">
        <v>22.27414330218069</v>
      </c>
    </row>
    <row r="472" spans="1:15" hidden="1" x14ac:dyDescent="0.25">
      <c r="A472" s="11">
        <v>46167</v>
      </c>
      <c r="B472" t="s">
        <v>38</v>
      </c>
      <c r="C472" t="s">
        <v>32</v>
      </c>
      <c r="D472">
        <v>17</v>
      </c>
      <c r="E472">
        <v>16</v>
      </c>
      <c r="F472">
        <v>18.3</v>
      </c>
      <c r="G472">
        <v>0</v>
      </c>
      <c r="H472">
        <v>0</v>
      </c>
      <c r="I472" s="3">
        <v>0</v>
      </c>
      <c r="J472" s="3">
        <v>0</v>
      </c>
      <c r="K472" s="3">
        <v>0</v>
      </c>
      <c r="L472" s="3" t="str">
        <f>IF(K472&lt;-5,"CRÍTICO",IF(K472&lt;0,"ATENÇÃO",IF(K472&lt;=5,"OPORTUNO","MUITO BOM")))</f>
        <v>OPORTUNO</v>
      </c>
      <c r="M472">
        <v>19</v>
      </c>
      <c r="N472">
        <v>97.04</v>
      </c>
      <c r="O472">
        <v>29.828850855745721</v>
      </c>
    </row>
    <row r="473" spans="1:15" hidden="1" x14ac:dyDescent="0.25">
      <c r="A473" s="11">
        <v>46167</v>
      </c>
      <c r="B473" t="s">
        <v>39</v>
      </c>
      <c r="C473" t="s">
        <v>32</v>
      </c>
      <c r="D473">
        <v>0</v>
      </c>
      <c r="E473">
        <v>0</v>
      </c>
      <c r="F473">
        <v>0</v>
      </c>
      <c r="G473">
        <v>0</v>
      </c>
      <c r="H473">
        <v>0</v>
      </c>
      <c r="I473" s="3">
        <v>0</v>
      </c>
      <c r="J473" s="3">
        <v>0</v>
      </c>
      <c r="K473" s="3">
        <v>0</v>
      </c>
      <c r="L473" s="3" t="str">
        <f>IF(K473&lt;-5,"CRÍTICO",IF(K473&lt;0,"ATENÇÃO",IF(K473&lt;=5,"OPORTUNO","MUITO BOM")))</f>
        <v>OPORTUNO</v>
      </c>
      <c r="M473">
        <v>0</v>
      </c>
      <c r="N473">
        <v>0</v>
      </c>
      <c r="O473">
        <v>0</v>
      </c>
    </row>
    <row r="474" spans="1:15" hidden="1" x14ac:dyDescent="0.25">
      <c r="A474" s="11">
        <v>46167</v>
      </c>
      <c r="B474" t="s">
        <v>40</v>
      </c>
      <c r="C474" t="s">
        <v>32</v>
      </c>
      <c r="D474">
        <v>27</v>
      </c>
      <c r="E474">
        <v>27</v>
      </c>
      <c r="F474">
        <v>13.4</v>
      </c>
      <c r="G474">
        <v>0</v>
      </c>
      <c r="H474">
        <v>0</v>
      </c>
      <c r="I474" s="3">
        <v>0</v>
      </c>
      <c r="J474" s="3">
        <v>0</v>
      </c>
      <c r="K474" s="3">
        <v>0</v>
      </c>
      <c r="L474" s="3" t="str">
        <f>IF(K474&lt;-5,"CRÍTICO",IF(K474&lt;0,"ATENÇÃO",IF(K474&lt;=5,"OPORTUNO","MUITO BOM")))</f>
        <v>OPORTUNO</v>
      </c>
      <c r="M474">
        <v>28</v>
      </c>
      <c r="N474">
        <v>96.84</v>
      </c>
      <c r="O474">
        <v>16.338028169014081</v>
      </c>
    </row>
    <row r="475" spans="1:15" hidden="1" x14ac:dyDescent="0.25">
      <c r="A475" s="11">
        <v>46167</v>
      </c>
      <c r="B475" t="s">
        <v>41</v>
      </c>
      <c r="C475" t="s">
        <v>32</v>
      </c>
      <c r="D475">
        <v>26</v>
      </c>
      <c r="E475">
        <v>24</v>
      </c>
      <c r="F475">
        <v>16.440000000000001</v>
      </c>
      <c r="G475">
        <v>0</v>
      </c>
      <c r="H475">
        <v>0</v>
      </c>
      <c r="I475" s="3">
        <v>0</v>
      </c>
      <c r="J475" s="3">
        <v>0</v>
      </c>
      <c r="K475" s="3">
        <v>0</v>
      </c>
      <c r="L475" s="3" t="str">
        <f>IF(K475&lt;-5,"CRÍTICO",IF(K475&lt;0,"ATENÇÃO",IF(K475&lt;=5,"OPORTUNO","MUITO BOM")))</f>
        <v>OPORTUNO</v>
      </c>
      <c r="M475">
        <v>25</v>
      </c>
      <c r="N475">
        <v>100</v>
      </c>
      <c r="O475">
        <v>18.244803695150122</v>
      </c>
    </row>
    <row r="476" spans="1:15" hidden="1" x14ac:dyDescent="0.25">
      <c r="A476" s="11">
        <v>46167</v>
      </c>
      <c r="B476" t="s">
        <v>42</v>
      </c>
      <c r="C476" t="s">
        <v>32</v>
      </c>
      <c r="D476">
        <v>0</v>
      </c>
      <c r="E476">
        <v>0</v>
      </c>
      <c r="F476">
        <v>0</v>
      </c>
      <c r="G476">
        <v>0</v>
      </c>
      <c r="H476">
        <v>0</v>
      </c>
      <c r="I476" s="3">
        <v>0</v>
      </c>
      <c r="J476" s="3">
        <v>0</v>
      </c>
      <c r="K476" s="3">
        <v>0</v>
      </c>
      <c r="L476" s="3" t="str">
        <f>IF(K476&lt;-5,"CRÍTICO",IF(K476&lt;0,"ATENÇÃO",IF(K476&lt;=5,"OPORTUNO","MUITO BOM")))</f>
        <v>OPORTUNO</v>
      </c>
      <c r="M476">
        <v>9</v>
      </c>
      <c r="N476">
        <v>100</v>
      </c>
      <c r="O476">
        <v>15.789473684210529</v>
      </c>
    </row>
    <row r="477" spans="1:15" hidden="1" x14ac:dyDescent="0.25">
      <c r="A477" s="11">
        <v>46167</v>
      </c>
      <c r="B477" t="s">
        <v>43</v>
      </c>
      <c r="C477" t="s">
        <v>32</v>
      </c>
      <c r="D477">
        <v>0</v>
      </c>
      <c r="E477">
        <v>0</v>
      </c>
      <c r="F477">
        <v>0</v>
      </c>
      <c r="G477">
        <v>0</v>
      </c>
      <c r="H477">
        <v>0</v>
      </c>
      <c r="I477" s="3">
        <v>0</v>
      </c>
      <c r="J477" s="3">
        <v>0</v>
      </c>
      <c r="K477" s="3">
        <v>0</v>
      </c>
      <c r="L477" s="3" t="str">
        <f>IF(K477&lt;-5,"CRÍTICO",IF(K477&lt;0,"ATENÇÃO",IF(K477&lt;=5,"OPORTUNO","MUITO BOM")))</f>
        <v>OPORTUNO</v>
      </c>
      <c r="M477">
        <v>14</v>
      </c>
      <c r="N477">
        <v>98.39</v>
      </c>
      <c r="O477">
        <v>8.7999999999999989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11">
        <v>46167</v>
      </c>
      <c r="B479" t="s">
        <v>44</v>
      </c>
      <c r="C479" t="s">
        <v>32</v>
      </c>
      <c r="D479">
        <v>25</v>
      </c>
      <c r="E479">
        <v>24</v>
      </c>
      <c r="F479">
        <v>17.350000000000001</v>
      </c>
      <c r="G479">
        <v>0</v>
      </c>
      <c r="H479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  <c r="M479">
        <v>22</v>
      </c>
      <c r="N479">
        <v>96.38</v>
      </c>
      <c r="O479">
        <v>23.198198198198199</v>
      </c>
    </row>
    <row r="480" spans="1:15" hidden="1" x14ac:dyDescent="0.25">
      <c r="A480" s="11">
        <v>46167</v>
      </c>
      <c r="B480" t="s">
        <v>45</v>
      </c>
      <c r="C480" t="s">
        <v>32</v>
      </c>
      <c r="D480">
        <v>27</v>
      </c>
      <c r="E480">
        <v>24</v>
      </c>
      <c r="F480">
        <v>13.43</v>
      </c>
      <c r="G480">
        <v>0</v>
      </c>
      <c r="H480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  <c r="M480">
        <v>19</v>
      </c>
      <c r="N480">
        <v>99.39</v>
      </c>
      <c r="O480">
        <v>25.203252032520329</v>
      </c>
    </row>
    <row r="481" spans="1:15" hidden="1" x14ac:dyDescent="0.25">
      <c r="A481" s="11">
        <v>46167</v>
      </c>
      <c r="B481" t="s">
        <v>46</v>
      </c>
      <c r="C481" t="s">
        <v>32</v>
      </c>
      <c r="D481">
        <v>27</v>
      </c>
      <c r="E481">
        <v>25</v>
      </c>
      <c r="F481">
        <v>10.34</v>
      </c>
      <c r="G481">
        <v>0</v>
      </c>
      <c r="H481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  <c r="M481">
        <v>23</v>
      </c>
      <c r="N481">
        <v>97</v>
      </c>
      <c r="O481">
        <v>20.325203252032519</v>
      </c>
    </row>
    <row r="482" spans="1:15" hidden="1" x14ac:dyDescent="0.25">
      <c r="A482" s="5">
        <v>46146</v>
      </c>
      <c r="B482" s="6" t="s">
        <v>38</v>
      </c>
      <c r="C482" s="3" t="s">
        <v>32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9">
        <v>18</v>
      </c>
      <c r="N482" s="9">
        <v>97.04</v>
      </c>
      <c r="O482" s="9">
        <v>29.828850855745721</v>
      </c>
    </row>
    <row r="483" spans="1:15" hidden="1" x14ac:dyDescent="0.25">
      <c r="A483" s="5">
        <v>46147</v>
      </c>
      <c r="B483" s="6" t="s">
        <v>38</v>
      </c>
      <c r="C483" s="3" t="s">
        <v>32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97.04</v>
      </c>
      <c r="O483" s="3">
        <v>29.828850855745721</v>
      </c>
    </row>
    <row r="484" spans="1:15" hidden="1" x14ac:dyDescent="0.25">
      <c r="A484" s="5">
        <v>46148</v>
      </c>
      <c r="B484" s="6" t="s">
        <v>38</v>
      </c>
      <c r="C484" s="3" t="s">
        <v>32</v>
      </c>
      <c r="D484" s="3">
        <v>27</v>
      </c>
      <c r="E484" s="3">
        <v>26</v>
      </c>
      <c r="F484" s="9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97.04</v>
      </c>
      <c r="O484" s="3">
        <v>29.828850855745721</v>
      </c>
    </row>
    <row r="485" spans="1:15" x14ac:dyDescent="0.25">
      <c r="A485" s="11">
        <v>46168</v>
      </c>
      <c r="B485" t="s">
        <v>60</v>
      </c>
      <c r="C485" t="s">
        <v>23</v>
      </c>
      <c r="D485" s="12">
        <v>28</v>
      </c>
      <c r="E485" s="12">
        <v>26</v>
      </c>
      <c r="F485" s="12">
        <v>15.35</v>
      </c>
      <c r="G485" s="12">
        <v>2</v>
      </c>
      <c r="M485" s="12">
        <v>25</v>
      </c>
      <c r="N485" s="12">
        <v>97.48</v>
      </c>
      <c r="O485" s="12">
        <v>22.99465240641711</v>
      </c>
    </row>
    <row r="486" spans="1:15" hidden="1" x14ac:dyDescent="0.25">
      <c r="A486" s="11">
        <v>46140</v>
      </c>
      <c r="B486" t="s">
        <v>39</v>
      </c>
      <c r="C486" t="s">
        <v>32</v>
      </c>
      <c r="D486" s="9">
        <v>0</v>
      </c>
      <c r="E486" s="9">
        <v>0</v>
      </c>
      <c r="F486" s="9">
        <v>0</v>
      </c>
      <c r="G486" s="9">
        <v>0</v>
      </c>
      <c r="H486" s="9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M486">
        <v>0</v>
      </c>
      <c r="N486" s="9">
        <v>0</v>
      </c>
      <c r="O486" s="9">
        <v>0</v>
      </c>
    </row>
    <row r="487" spans="1:15" hidden="1" x14ac:dyDescent="0.25">
      <c r="A487" s="11">
        <v>46141</v>
      </c>
      <c r="B487" t="s">
        <v>39</v>
      </c>
      <c r="C487" t="s">
        <v>32</v>
      </c>
      <c r="D487" s="9">
        <v>0</v>
      </c>
      <c r="E487" s="9">
        <v>0</v>
      </c>
      <c r="F487" s="9">
        <v>0</v>
      </c>
      <c r="G487" s="9">
        <v>0</v>
      </c>
      <c r="H487" s="9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M487">
        <v>0</v>
      </c>
      <c r="N487" s="9">
        <v>0</v>
      </c>
      <c r="O487" s="9">
        <v>0</v>
      </c>
    </row>
    <row r="488" spans="1:15" hidden="1" x14ac:dyDescent="0.25">
      <c r="A488" s="11">
        <v>46142</v>
      </c>
      <c r="B488" t="s">
        <v>39</v>
      </c>
      <c r="C488" t="s">
        <v>32</v>
      </c>
      <c r="D488" s="9">
        <v>0</v>
      </c>
      <c r="E488" s="9">
        <v>0</v>
      </c>
      <c r="F488" s="9">
        <v>0</v>
      </c>
      <c r="G488" s="9">
        <v>0</v>
      </c>
      <c r="H488" s="9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M488">
        <v>0</v>
      </c>
      <c r="N488" s="9">
        <v>0</v>
      </c>
      <c r="O488" s="9">
        <v>0</v>
      </c>
    </row>
    <row r="489" spans="1:15" hidden="1" x14ac:dyDescent="0.25">
      <c r="A489" s="5">
        <v>46146</v>
      </c>
      <c r="B489" s="6" t="s">
        <v>39</v>
      </c>
      <c r="C489" s="3" t="s">
        <v>32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9">
        <v>0</v>
      </c>
      <c r="N489" s="9">
        <v>0</v>
      </c>
      <c r="O489" s="9">
        <v>0</v>
      </c>
    </row>
    <row r="490" spans="1:15" hidden="1" x14ac:dyDescent="0.25">
      <c r="A490" s="5">
        <v>46147</v>
      </c>
      <c r="B490" s="6" t="s">
        <v>39</v>
      </c>
      <c r="C490" s="3" t="s">
        <v>32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hidden="1" x14ac:dyDescent="0.25">
      <c r="A491" s="5">
        <v>46148</v>
      </c>
      <c r="B491" s="6" t="s">
        <v>39</v>
      </c>
      <c r="C491" s="3" t="s">
        <v>32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x14ac:dyDescent="0.25">
      <c r="A492" s="11">
        <v>46168</v>
      </c>
      <c r="B492" t="s">
        <v>34</v>
      </c>
      <c r="C492" t="s">
        <v>32</v>
      </c>
      <c r="D492" s="12">
        <v>24</v>
      </c>
      <c r="E492" s="12">
        <v>22</v>
      </c>
      <c r="F492" s="12">
        <v>10.43</v>
      </c>
      <c r="G492" s="12">
        <v>0</v>
      </c>
      <c r="M492" s="12">
        <v>15</v>
      </c>
      <c r="N492" s="12">
        <v>92.81</v>
      </c>
      <c r="O492" s="12">
        <v>25.477707006369432</v>
      </c>
    </row>
    <row r="493" spans="1:15" hidden="1" x14ac:dyDescent="0.25">
      <c r="A493" s="11">
        <v>46140</v>
      </c>
      <c r="B493" t="s">
        <v>40</v>
      </c>
      <c r="C493" t="s">
        <v>32</v>
      </c>
      <c r="D493" s="9">
        <v>0</v>
      </c>
      <c r="E493" s="9">
        <v>0</v>
      </c>
      <c r="F493" s="9">
        <v>0</v>
      </c>
      <c r="G493" s="9">
        <v>0</v>
      </c>
      <c r="H493" s="9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M493">
        <v>26</v>
      </c>
      <c r="N493" s="9">
        <v>96.81</v>
      </c>
      <c r="O493" s="9">
        <v>48.018648018648022</v>
      </c>
    </row>
    <row r="494" spans="1:15" hidden="1" x14ac:dyDescent="0.25">
      <c r="A494" s="11">
        <v>46141</v>
      </c>
      <c r="B494" t="s">
        <v>40</v>
      </c>
      <c r="C494" t="s">
        <v>32</v>
      </c>
      <c r="D494" s="9">
        <v>0</v>
      </c>
      <c r="E494" s="9">
        <v>0</v>
      </c>
      <c r="F494" s="9">
        <v>0</v>
      </c>
      <c r="G494" s="9">
        <v>0</v>
      </c>
      <c r="H494" s="9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M494">
        <v>34</v>
      </c>
      <c r="N494" s="9">
        <v>96.81</v>
      </c>
      <c r="O494" s="9">
        <v>48.018648018648022</v>
      </c>
    </row>
    <row r="495" spans="1:15" hidden="1" x14ac:dyDescent="0.25">
      <c r="A495" s="11">
        <v>46142</v>
      </c>
      <c r="B495" t="s">
        <v>40</v>
      </c>
      <c r="C495" t="s">
        <v>32</v>
      </c>
      <c r="D495" s="9">
        <v>0</v>
      </c>
      <c r="E495" s="9">
        <v>0</v>
      </c>
      <c r="F495" s="9">
        <v>0</v>
      </c>
      <c r="G495" s="9">
        <v>0</v>
      </c>
      <c r="H495" s="9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M495">
        <v>16</v>
      </c>
      <c r="N495" s="9">
        <v>96.81</v>
      </c>
      <c r="O495" s="9">
        <v>48.018648018648022</v>
      </c>
    </row>
    <row r="496" spans="1:15" hidden="1" x14ac:dyDescent="0.25">
      <c r="A496" s="5">
        <v>46146</v>
      </c>
      <c r="B496" s="6" t="s">
        <v>40</v>
      </c>
      <c r="C496" s="9" t="s">
        <v>32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9">
        <v>20</v>
      </c>
      <c r="N496" s="9">
        <v>96.84</v>
      </c>
      <c r="O496" s="9">
        <v>16.338028169014081</v>
      </c>
    </row>
    <row r="497" spans="1:15" hidden="1" x14ac:dyDescent="0.25">
      <c r="A497" s="5">
        <v>46147</v>
      </c>
      <c r="B497" s="6" t="s">
        <v>40</v>
      </c>
      <c r="C497" s="9" t="s">
        <v>32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96.84</v>
      </c>
      <c r="O497" s="3">
        <v>16.338028169014081</v>
      </c>
    </row>
    <row r="498" spans="1:15" hidden="1" x14ac:dyDescent="0.25">
      <c r="A498" s="5">
        <v>46148</v>
      </c>
      <c r="B498" s="6" t="s">
        <v>40</v>
      </c>
      <c r="C498" s="9" t="s">
        <v>32</v>
      </c>
      <c r="D498" s="3">
        <v>27</v>
      </c>
      <c r="E498" s="3">
        <v>25</v>
      </c>
      <c r="F498" s="9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96.84</v>
      </c>
      <c r="O498" s="3">
        <v>16.338028169014081</v>
      </c>
    </row>
    <row r="499" spans="1:15" x14ac:dyDescent="0.25">
      <c r="A499" s="11">
        <v>46168</v>
      </c>
      <c r="B499" t="s">
        <v>51</v>
      </c>
      <c r="C499" t="s">
        <v>48</v>
      </c>
      <c r="D499" s="12">
        <v>0</v>
      </c>
      <c r="E499" s="12">
        <v>0</v>
      </c>
      <c r="F499" s="12">
        <v>0</v>
      </c>
      <c r="G499" s="12">
        <v>0</v>
      </c>
      <c r="H499" s="12">
        <v>0</v>
      </c>
      <c r="I499" s="12">
        <v>0</v>
      </c>
      <c r="J499" s="12">
        <v>0</v>
      </c>
      <c r="K499" s="12">
        <v>0</v>
      </c>
      <c r="M499" s="12">
        <v>0</v>
      </c>
      <c r="N499" s="12">
        <v>98.81</v>
      </c>
      <c r="O499" s="12">
        <v>22.767857142857139</v>
      </c>
    </row>
    <row r="500" spans="1:15" hidden="1" x14ac:dyDescent="0.25">
      <c r="A500" s="11">
        <v>46140</v>
      </c>
      <c r="B500" t="s">
        <v>41</v>
      </c>
      <c r="C500" t="s">
        <v>32</v>
      </c>
      <c r="D500" s="9">
        <v>29</v>
      </c>
      <c r="E500" s="9">
        <v>28</v>
      </c>
      <c r="F500" s="9">
        <v>17.309999999999999</v>
      </c>
      <c r="G500" s="9">
        <v>0</v>
      </c>
      <c r="H500" s="9">
        <v>0</v>
      </c>
      <c r="I500" s="3">
        <f>E500+G500+H500</f>
        <v>28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34</v>
      </c>
      <c r="K500" s="3">
        <f>I500-J500</f>
        <v>-6</v>
      </c>
      <c r="L500" s="3" t="str">
        <f>IF(K500&lt;-5,"CRÍTICO",IF(K500&lt;0,"ATENÇÃO",IF(K500&lt;=5,"OPORTUNO","MUITO BOM")))</f>
        <v>CRÍTICO</v>
      </c>
      <c r="M500">
        <v>27</v>
      </c>
      <c r="N500" s="9">
        <v>99.15</v>
      </c>
      <c r="O500" s="9">
        <v>27.586206896551719</v>
      </c>
    </row>
    <row r="501" spans="1:15" hidden="1" x14ac:dyDescent="0.25">
      <c r="A501" s="11">
        <v>46141</v>
      </c>
      <c r="B501" t="s">
        <v>41</v>
      </c>
      <c r="C501" t="s">
        <v>32</v>
      </c>
      <c r="D501" s="9">
        <v>32</v>
      </c>
      <c r="E501" s="9">
        <v>26</v>
      </c>
      <c r="F501" s="9">
        <v>12.16</v>
      </c>
      <c r="G501" s="9">
        <v>0</v>
      </c>
      <c r="H501" s="9">
        <v>0</v>
      </c>
      <c r="I501" s="3">
        <f>E501+G501+H501</f>
        <v>26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35</v>
      </c>
      <c r="K501" s="3">
        <f>I501-J501</f>
        <v>-9</v>
      </c>
      <c r="L501" s="3" t="str">
        <f>IF(K501&lt;-5,"CRÍTICO",IF(K501&lt;0,"ATENÇÃO",IF(K501&lt;=5,"OPORTUNO","MUITO BOM")))</f>
        <v>CRÍTICO</v>
      </c>
      <c r="M501">
        <v>27</v>
      </c>
      <c r="N501" s="9">
        <v>99.15</v>
      </c>
      <c r="O501" s="9">
        <v>27.586206896551719</v>
      </c>
    </row>
    <row r="502" spans="1:15" hidden="1" x14ac:dyDescent="0.25">
      <c r="A502" s="11">
        <v>46142</v>
      </c>
      <c r="B502" t="s">
        <v>41</v>
      </c>
      <c r="C502" t="s">
        <v>32</v>
      </c>
      <c r="D502" s="9">
        <v>31</v>
      </c>
      <c r="E502" s="9">
        <v>29</v>
      </c>
      <c r="F502" s="9">
        <v>13.5</v>
      </c>
      <c r="G502" s="9">
        <v>0</v>
      </c>
      <c r="H502" s="9">
        <v>0</v>
      </c>
      <c r="I502" s="3">
        <f>E502+G502+H502</f>
        <v>29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32</v>
      </c>
      <c r="K502" s="3">
        <f>I502-J502</f>
        <v>-3</v>
      </c>
      <c r="L502" s="3" t="str">
        <f>IF(K502&lt;-5,"CRÍTICO",IF(K502&lt;0,"ATENÇÃO",IF(K502&lt;=5,"OPORTUNO","MUITO BOM")))</f>
        <v>ATENÇÃO</v>
      </c>
      <c r="M502">
        <v>30</v>
      </c>
      <c r="N502" s="9">
        <v>99.15</v>
      </c>
      <c r="O502" s="9">
        <v>27.586206896551719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>I504-J504</f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hidden="1" x14ac:dyDescent="0.25">
      <c r="A505" s="5">
        <v>46146</v>
      </c>
      <c r="B505" s="6" t="s">
        <v>41</v>
      </c>
      <c r="C505" s="9" t="s">
        <v>32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>E505+G505+H505</f>
        <v>29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35</v>
      </c>
      <c r="K505" s="3">
        <f>I505-J505</f>
        <v>-6</v>
      </c>
      <c r="L505" s="3" t="str">
        <f>IF(K505&lt;-5,"CRÍTICO",IF(K505&lt;0,"ATENÇÃO",IF(K505&lt;=5,"BOM","EXCELENTE")))</f>
        <v>CRÍTICO</v>
      </c>
      <c r="M505" s="9">
        <v>27</v>
      </c>
      <c r="N505" s="9">
        <v>100</v>
      </c>
      <c r="O505" s="9">
        <v>18.244803695150122</v>
      </c>
    </row>
    <row r="506" spans="1:15" hidden="1" x14ac:dyDescent="0.25">
      <c r="A506" s="5">
        <v>46147</v>
      </c>
      <c r="B506" s="6" t="s">
        <v>41</v>
      </c>
      <c r="C506" s="9" t="s">
        <v>32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>E506+G506+H506</f>
        <v>25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35</v>
      </c>
      <c r="K506" s="3">
        <f>I506-J506</f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18.244803695150122</v>
      </c>
    </row>
    <row r="507" spans="1:15" hidden="1" x14ac:dyDescent="0.25">
      <c r="A507" s="5">
        <v>46148</v>
      </c>
      <c r="B507" s="6" t="s">
        <v>41</v>
      </c>
      <c r="C507" s="9" t="s">
        <v>32</v>
      </c>
      <c r="D507" s="3">
        <v>38</v>
      </c>
      <c r="E507" s="3">
        <v>38</v>
      </c>
      <c r="F507" s="9">
        <v>16.420000000000002</v>
      </c>
      <c r="G507" s="3">
        <v>0</v>
      </c>
      <c r="H507" s="3">
        <v>0</v>
      </c>
      <c r="I507" s="3">
        <f>E507+G507+H507</f>
        <v>38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35</v>
      </c>
      <c r="K507" s="3">
        <f>I507-J507</f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18.244803695150122</v>
      </c>
    </row>
    <row r="508" spans="1:15" x14ac:dyDescent="0.25">
      <c r="A508" s="11">
        <v>46168</v>
      </c>
      <c r="B508" t="s">
        <v>61</v>
      </c>
      <c r="C508" t="s">
        <v>23</v>
      </c>
      <c r="D508" s="12">
        <v>20</v>
      </c>
      <c r="E508" s="12">
        <v>17</v>
      </c>
      <c r="F508" s="12">
        <v>16.54</v>
      </c>
      <c r="G508" s="12">
        <v>0</v>
      </c>
      <c r="M508" s="12">
        <v>13</v>
      </c>
      <c r="N508" s="12">
        <v>100</v>
      </c>
      <c r="O508" s="12">
        <v>20.788530465949819</v>
      </c>
    </row>
    <row r="509" spans="1:15" hidden="1" x14ac:dyDescent="0.25">
      <c r="A509" s="11">
        <v>46140</v>
      </c>
      <c r="B509" t="s">
        <v>42</v>
      </c>
      <c r="C509" t="s">
        <v>32</v>
      </c>
      <c r="D509" s="9">
        <v>0</v>
      </c>
      <c r="E509" s="9">
        <v>0</v>
      </c>
      <c r="F509" s="9">
        <v>0</v>
      </c>
      <c r="G509" s="9">
        <v>0</v>
      </c>
      <c r="H509" s="9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M509">
        <v>0</v>
      </c>
      <c r="N509" s="9">
        <v>88.68</v>
      </c>
      <c r="O509" s="9">
        <v>22.03389830508474</v>
      </c>
    </row>
    <row r="510" spans="1:15" hidden="1" x14ac:dyDescent="0.25">
      <c r="A510" s="11">
        <v>46141</v>
      </c>
      <c r="B510" t="s">
        <v>42</v>
      </c>
      <c r="C510" t="s">
        <v>32</v>
      </c>
      <c r="D510" s="9">
        <v>0</v>
      </c>
      <c r="E510" s="9">
        <v>0</v>
      </c>
      <c r="F510" s="9">
        <v>0</v>
      </c>
      <c r="G510" s="9">
        <v>0</v>
      </c>
      <c r="H510" s="9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M510">
        <v>0</v>
      </c>
      <c r="N510" s="9">
        <v>88.68</v>
      </c>
      <c r="O510" s="9">
        <v>22.03389830508474</v>
      </c>
    </row>
    <row r="511" spans="1:15" hidden="1" x14ac:dyDescent="0.25">
      <c r="A511" s="11">
        <v>46142</v>
      </c>
      <c r="B511" t="s">
        <v>42</v>
      </c>
      <c r="C511" t="s">
        <v>32</v>
      </c>
      <c r="D511" s="9">
        <v>0</v>
      </c>
      <c r="E511" s="9">
        <v>0</v>
      </c>
      <c r="F511" s="9">
        <v>0</v>
      </c>
      <c r="G511" s="9">
        <v>0</v>
      </c>
      <c r="H511" s="9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M511">
        <v>0</v>
      </c>
      <c r="N511" s="9">
        <v>88.68</v>
      </c>
      <c r="O511" s="9">
        <v>22.03389830508474</v>
      </c>
    </row>
    <row r="512" spans="1:15" hidden="1" x14ac:dyDescent="0.25">
      <c r="A512" s="5">
        <v>46146</v>
      </c>
      <c r="B512" s="6" t="s">
        <v>42</v>
      </c>
      <c r="C512" s="3" t="s">
        <v>32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9">
        <v>0</v>
      </c>
      <c r="N512" s="9">
        <v>100</v>
      </c>
      <c r="O512" s="9">
        <v>15.789473684210529</v>
      </c>
    </row>
    <row r="513" spans="1:15" hidden="1" x14ac:dyDescent="0.25">
      <c r="A513" s="5">
        <v>46147</v>
      </c>
      <c r="B513" s="6" t="s">
        <v>42</v>
      </c>
      <c r="C513" s="3" t="s">
        <v>32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15.789473684210529</v>
      </c>
    </row>
    <row r="514" spans="1:15" hidden="1" x14ac:dyDescent="0.25">
      <c r="A514" s="5">
        <v>46148</v>
      </c>
      <c r="B514" s="6" t="s">
        <v>42</v>
      </c>
      <c r="C514" s="3" t="s">
        <v>32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15.789473684210529</v>
      </c>
    </row>
    <row r="515" spans="1:15" x14ac:dyDescent="0.25">
      <c r="A515" s="11">
        <v>46168</v>
      </c>
      <c r="B515" t="s">
        <v>35</v>
      </c>
      <c r="C515" t="s">
        <v>32</v>
      </c>
      <c r="D515" s="12">
        <v>0</v>
      </c>
      <c r="E515" s="12">
        <v>0</v>
      </c>
      <c r="F515" s="12">
        <v>0</v>
      </c>
      <c r="G515" s="12">
        <v>0</v>
      </c>
      <c r="H515" s="12">
        <v>0</v>
      </c>
      <c r="I515" s="12">
        <v>0</v>
      </c>
      <c r="J515" s="12">
        <v>0</v>
      </c>
      <c r="K515" s="12">
        <v>0</v>
      </c>
      <c r="M515" s="12">
        <v>0</v>
      </c>
      <c r="N515" s="12">
        <v>99.19</v>
      </c>
      <c r="O515" s="12">
        <v>28.404669260700391</v>
      </c>
    </row>
    <row r="516" spans="1:15" hidden="1" x14ac:dyDescent="0.25">
      <c r="A516" s="11">
        <v>46140</v>
      </c>
      <c r="B516" t="s">
        <v>43</v>
      </c>
      <c r="C516" t="s">
        <v>32</v>
      </c>
      <c r="D516" s="9">
        <v>35</v>
      </c>
      <c r="E516" s="9">
        <v>34</v>
      </c>
      <c r="F516" s="9">
        <v>15.13</v>
      </c>
      <c r="G516" s="9">
        <v>0</v>
      </c>
      <c r="H516" s="9">
        <v>0</v>
      </c>
      <c r="I516" s="3">
        <f>E516+G516+H516</f>
        <v>34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34</v>
      </c>
      <c r="K516" s="3">
        <f>I516-J516</f>
        <v>0</v>
      </c>
      <c r="L516" s="3" t="str">
        <f>IF(K516&lt;-5,"CRÍTICO",IF(K516&lt;0,"ATENÇÃO",IF(K516&lt;=5,"OPORTUNO","MUITO BOM")))</f>
        <v>OPORTUNO</v>
      </c>
      <c r="M516">
        <v>45</v>
      </c>
      <c r="N516" s="9">
        <v>100</v>
      </c>
      <c r="O516" s="9">
        <v>23.9870340356564</v>
      </c>
    </row>
    <row r="517" spans="1:15" hidden="1" x14ac:dyDescent="0.25">
      <c r="A517" s="11">
        <v>46141</v>
      </c>
      <c r="B517" t="s">
        <v>43</v>
      </c>
      <c r="C517" t="s">
        <v>32</v>
      </c>
      <c r="D517" s="9">
        <v>26</v>
      </c>
      <c r="E517" s="9">
        <v>23</v>
      </c>
      <c r="F517" s="9">
        <v>11.5</v>
      </c>
      <c r="G517" s="9">
        <v>0</v>
      </c>
      <c r="H517" s="9">
        <v>0</v>
      </c>
      <c r="I517" s="3">
        <f>E517+G517+H517</f>
        <v>23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35</v>
      </c>
      <c r="K517" s="3">
        <f>I517-J517</f>
        <v>-12</v>
      </c>
      <c r="L517" s="3" t="str">
        <f>IF(K517&lt;-5,"CRÍTICO",IF(K517&lt;0,"ATENÇÃO",IF(K517&lt;=5,"OPORTUNO","MUITO BOM")))</f>
        <v>CRÍTICO</v>
      </c>
      <c r="M517">
        <v>33</v>
      </c>
      <c r="N517" s="9">
        <v>100</v>
      </c>
      <c r="O517" s="9">
        <v>23.9870340356564</v>
      </c>
    </row>
    <row r="518" spans="1:15" hidden="1" x14ac:dyDescent="0.25">
      <c r="A518" s="11">
        <v>46142</v>
      </c>
      <c r="B518" t="s">
        <v>43</v>
      </c>
      <c r="C518" t="s">
        <v>32</v>
      </c>
      <c r="D518" s="9">
        <v>15</v>
      </c>
      <c r="E518" s="9">
        <v>13</v>
      </c>
      <c r="F518" s="9">
        <v>11.57</v>
      </c>
      <c r="G518" s="9">
        <v>0</v>
      </c>
      <c r="H518" s="9">
        <v>0</v>
      </c>
      <c r="I518" s="3">
        <f>E518+G518+H518</f>
        <v>13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32</v>
      </c>
      <c r="K518" s="3">
        <f>I518-J518</f>
        <v>-19</v>
      </c>
      <c r="L518" s="3" t="str">
        <f>IF(K518&lt;-5,"CRÍTICO",IF(K518&lt;0,"ATENÇÃO",IF(K518&lt;=5,"OPORTUNO","MUITO BOM")))</f>
        <v>CRÍTICO</v>
      </c>
      <c r="M518">
        <v>33</v>
      </c>
      <c r="N518" s="9">
        <v>100</v>
      </c>
      <c r="O518" s="9">
        <v>23.9870340356564</v>
      </c>
    </row>
    <row r="519" spans="1:15" hidden="1" x14ac:dyDescent="0.25">
      <c r="A519" s="5">
        <v>46146</v>
      </c>
      <c r="B519" s="6" t="s">
        <v>43</v>
      </c>
      <c r="C519" s="3" t="s">
        <v>32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>E519+G519+H519</f>
        <v>57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35</v>
      </c>
      <c r="K519" s="3">
        <f>I519-J519</f>
        <v>22</v>
      </c>
      <c r="L519" s="3" t="str">
        <f>IF(K519&lt;-5,"CRÍTICO",IF(K519&lt;0,"ATENÇÃO",IF(K519&lt;=5,"BOM","EXCELENTE")))</f>
        <v>EXCELENTE</v>
      </c>
      <c r="M519" s="9">
        <v>36</v>
      </c>
      <c r="N519" s="9">
        <v>98.39</v>
      </c>
      <c r="O519" s="9">
        <v>8.7999999999999989</v>
      </c>
    </row>
    <row r="520" spans="1:15" hidden="1" x14ac:dyDescent="0.25">
      <c r="A520" s="5">
        <v>46147</v>
      </c>
      <c r="B520" s="6" t="s">
        <v>43</v>
      </c>
      <c r="C520" s="3" t="s">
        <v>32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>E520+G520+H520</f>
        <v>35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35</v>
      </c>
      <c r="K520" s="3">
        <f>I520-J520</f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98.39</v>
      </c>
      <c r="O520" s="3">
        <v>8.7999999999999989</v>
      </c>
    </row>
    <row r="521" spans="1:15" hidden="1" x14ac:dyDescent="0.25">
      <c r="A521" s="5">
        <v>46148</v>
      </c>
      <c r="B521" s="6" t="s">
        <v>43</v>
      </c>
      <c r="C521" s="3" t="s">
        <v>32</v>
      </c>
      <c r="D521" s="3">
        <v>24</v>
      </c>
      <c r="E521" s="3">
        <v>24</v>
      </c>
      <c r="F521" s="9">
        <v>18.39</v>
      </c>
      <c r="G521" s="3">
        <v>0</v>
      </c>
      <c r="H521" s="3">
        <v>17</v>
      </c>
      <c r="I521" s="3">
        <f>E521+G521+H521</f>
        <v>41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35</v>
      </c>
      <c r="K521" s="3">
        <f>I521-J521</f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98.39</v>
      </c>
      <c r="O521" s="3">
        <v>8.7999999999999989</v>
      </c>
    </row>
    <row r="522" spans="1:15" x14ac:dyDescent="0.25">
      <c r="A522" s="11">
        <v>46168</v>
      </c>
      <c r="B522" t="s">
        <v>52</v>
      </c>
      <c r="C522" t="s">
        <v>48</v>
      </c>
      <c r="D522" s="12">
        <v>21</v>
      </c>
      <c r="E522" s="12">
        <v>21</v>
      </c>
      <c r="F522" s="12">
        <v>13.22</v>
      </c>
      <c r="G522" s="12">
        <v>1</v>
      </c>
      <c r="M522" s="12">
        <v>17</v>
      </c>
      <c r="N522" s="12">
        <v>99.01</v>
      </c>
      <c r="O522" s="12">
        <v>17.766497461928939</v>
      </c>
    </row>
    <row r="523" spans="1:15" hidden="1" x14ac:dyDescent="0.25">
      <c r="A523" s="11">
        <v>46140</v>
      </c>
      <c r="B523" t="s">
        <v>44</v>
      </c>
      <c r="C523" t="s">
        <v>32</v>
      </c>
      <c r="D523" s="9">
        <v>38</v>
      </c>
      <c r="E523" s="9">
        <v>32</v>
      </c>
      <c r="F523" s="9">
        <v>12.32</v>
      </c>
      <c r="G523" s="9">
        <v>0</v>
      </c>
      <c r="H523" s="9">
        <v>0</v>
      </c>
      <c r="I523" s="3">
        <f>E523+G523+H523</f>
        <v>32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34</v>
      </c>
      <c r="K523" s="3">
        <f>I523-J523</f>
        <v>-2</v>
      </c>
      <c r="L523" s="3" t="str">
        <f>IF(K523&lt;-5,"CRÍTICO",IF(K523&lt;0,"ATENÇÃO",IF(K523&lt;=5,"OPORTUNO","MUITO BOM")))</f>
        <v>ATENÇÃO</v>
      </c>
      <c r="M523">
        <v>31</v>
      </c>
      <c r="N523" s="9">
        <v>95.49</v>
      </c>
      <c r="O523" s="9">
        <v>28.370221327967808</v>
      </c>
    </row>
    <row r="524" spans="1:15" hidden="1" x14ac:dyDescent="0.25">
      <c r="A524" s="11">
        <v>46141</v>
      </c>
      <c r="B524" t="s">
        <v>44</v>
      </c>
      <c r="C524" t="s">
        <v>32</v>
      </c>
      <c r="D524" s="9">
        <v>32</v>
      </c>
      <c r="E524" s="9">
        <v>29</v>
      </c>
      <c r="F524" s="9">
        <v>12.35</v>
      </c>
      <c r="G524" s="9">
        <v>0</v>
      </c>
      <c r="H524" s="9">
        <v>0</v>
      </c>
      <c r="I524" s="3">
        <f>E524+G524+H524</f>
        <v>29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35</v>
      </c>
      <c r="K524" s="3">
        <f>I524-J524</f>
        <v>-6</v>
      </c>
      <c r="L524" s="3" t="str">
        <f>IF(K524&lt;-5,"CRÍTICO",IF(K524&lt;0,"ATENÇÃO",IF(K524&lt;=5,"OPORTUNO","MUITO BOM")))</f>
        <v>CRÍTICO</v>
      </c>
      <c r="M524">
        <v>27</v>
      </c>
      <c r="N524" s="9">
        <v>95.49</v>
      </c>
      <c r="O524" s="9">
        <v>28.370221327967808</v>
      </c>
    </row>
    <row r="525" spans="1:15" hidden="1" x14ac:dyDescent="0.25">
      <c r="A525" s="11">
        <v>46142</v>
      </c>
      <c r="B525" t="s">
        <v>44</v>
      </c>
      <c r="C525" t="s">
        <v>32</v>
      </c>
      <c r="D525" s="9">
        <v>35</v>
      </c>
      <c r="E525" s="9">
        <v>34</v>
      </c>
      <c r="F525" s="9">
        <v>14.14</v>
      </c>
      <c r="G525" s="9">
        <v>0</v>
      </c>
      <c r="H525" s="9">
        <v>0</v>
      </c>
      <c r="I525" s="3">
        <f>E525+G525+H525</f>
        <v>34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32</v>
      </c>
      <c r="K525" s="3">
        <f>I525-J525</f>
        <v>2</v>
      </c>
      <c r="L525" s="3" t="str">
        <f>IF(K525&lt;-5,"CRÍTICO",IF(K525&lt;0,"ATENÇÃO",IF(K525&lt;=5,"OPORTUNO","MUITO BOM")))</f>
        <v>OPORTUNO</v>
      </c>
      <c r="M525">
        <v>27</v>
      </c>
      <c r="N525" s="9">
        <v>95.49</v>
      </c>
      <c r="O525" s="9">
        <v>28.370221327967808</v>
      </c>
    </row>
    <row r="526" spans="1:15" hidden="1" x14ac:dyDescent="0.25">
      <c r="A526" s="5">
        <v>46146</v>
      </c>
      <c r="B526" s="6" t="s">
        <v>44</v>
      </c>
      <c r="C526" s="3" t="s">
        <v>32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>E526+G526+H526</f>
        <v>38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35</v>
      </c>
      <c r="K526" s="3">
        <f>I526-J526</f>
        <v>3</v>
      </c>
      <c r="L526" s="3" t="str">
        <f>IF(K526&lt;-5,"CRÍTICO",IF(K526&lt;0,"ATENÇÃO",IF(K526&lt;=5,"BOM","EXCELENTE")))</f>
        <v>BOM</v>
      </c>
      <c r="M526" s="9">
        <v>33</v>
      </c>
      <c r="N526" s="9">
        <v>96.38</v>
      </c>
      <c r="O526" s="9">
        <v>23.198198198198199</v>
      </c>
    </row>
    <row r="527" spans="1:15" hidden="1" x14ac:dyDescent="0.25">
      <c r="A527" s="5">
        <v>46147</v>
      </c>
      <c r="B527" s="6" t="s">
        <v>44</v>
      </c>
      <c r="C527" s="3" t="s">
        <v>32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>E527+G527+H527</f>
        <v>40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35</v>
      </c>
      <c r="K527" s="3">
        <f>I527-J527</f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96.38</v>
      </c>
      <c r="O527" s="3">
        <v>23.198198198198199</v>
      </c>
    </row>
    <row r="528" spans="1:15" hidden="1" x14ac:dyDescent="0.25">
      <c r="A528" s="5">
        <v>46148</v>
      </c>
      <c r="B528" s="6" t="s">
        <v>44</v>
      </c>
      <c r="C528" s="3" t="s">
        <v>32</v>
      </c>
      <c r="D528" s="3">
        <v>32</v>
      </c>
      <c r="E528" s="3">
        <v>30</v>
      </c>
      <c r="F528" s="9">
        <v>19.04</v>
      </c>
      <c r="G528" s="3">
        <v>1</v>
      </c>
      <c r="H528" s="3">
        <v>0</v>
      </c>
      <c r="I528" s="3">
        <f>E528+G528+H528</f>
        <v>31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35</v>
      </c>
      <c r="K528" s="3">
        <f>I528-J528</f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96.38</v>
      </c>
      <c r="O528" s="3">
        <v>23.198198198198199</v>
      </c>
    </row>
    <row r="529" spans="1:15" x14ac:dyDescent="0.25">
      <c r="A529" s="11">
        <v>46168</v>
      </c>
      <c r="B529" t="s">
        <v>36</v>
      </c>
      <c r="C529" t="s">
        <v>32</v>
      </c>
      <c r="D529" s="12">
        <v>38</v>
      </c>
      <c r="E529" s="12">
        <v>35</v>
      </c>
      <c r="F529" s="12">
        <v>12</v>
      </c>
      <c r="G529" s="12">
        <v>3</v>
      </c>
      <c r="M529" s="12">
        <v>34</v>
      </c>
      <c r="N529" s="12">
        <v>100</v>
      </c>
      <c r="O529" s="12">
        <v>13.51351351351351</v>
      </c>
    </row>
    <row r="530" spans="1:15" hidden="1" x14ac:dyDescent="0.25">
      <c r="A530" s="11">
        <v>46140</v>
      </c>
      <c r="B530" t="s">
        <v>45</v>
      </c>
      <c r="C530" t="s">
        <v>32</v>
      </c>
      <c r="D530" s="9">
        <v>43</v>
      </c>
      <c r="E530" s="9">
        <v>39</v>
      </c>
      <c r="F530" s="9">
        <v>12.1</v>
      </c>
      <c r="G530" s="9">
        <v>0</v>
      </c>
      <c r="H530" s="9">
        <v>0</v>
      </c>
      <c r="I530" s="3">
        <f>E530+G530+H530</f>
        <v>39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34</v>
      </c>
      <c r="K530" s="3">
        <f>I530-J530</f>
        <v>5</v>
      </c>
      <c r="L530" s="3" t="str">
        <f>IF(K530&lt;-5,"CRÍTICO",IF(K530&lt;0,"ATENÇÃO",IF(K530&lt;=5,"OPORTUNO","MUITO BOM")))</f>
        <v>OPORTUNO</v>
      </c>
      <c r="M530">
        <v>31</v>
      </c>
      <c r="N530" s="9">
        <v>100</v>
      </c>
      <c r="O530" s="9">
        <v>31.135531135531139</v>
      </c>
    </row>
    <row r="531" spans="1:15" hidden="1" x14ac:dyDescent="0.25">
      <c r="A531" s="11">
        <v>46141</v>
      </c>
      <c r="B531" t="s">
        <v>45</v>
      </c>
      <c r="C531" t="s">
        <v>32</v>
      </c>
      <c r="D531" s="9">
        <v>52</v>
      </c>
      <c r="E531" s="9">
        <v>48</v>
      </c>
      <c r="F531" s="9">
        <v>10.56</v>
      </c>
      <c r="G531" s="9">
        <v>0</v>
      </c>
      <c r="H531" s="9">
        <v>0</v>
      </c>
      <c r="I531" s="3">
        <f>E531+G531+H531</f>
        <v>48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35</v>
      </c>
      <c r="K531" s="3">
        <f>I531-J531</f>
        <v>13</v>
      </c>
      <c r="L531" s="3" t="str">
        <f>IF(K531&lt;-5,"CRÍTICO",IF(K531&lt;0,"ATENÇÃO",IF(K531&lt;=5,"OPORTUNO","MUITO BOM")))</f>
        <v>MUITO BOM</v>
      </c>
      <c r="M531">
        <v>40</v>
      </c>
      <c r="N531" s="9">
        <v>100</v>
      </c>
      <c r="O531" s="9">
        <v>31.135531135531139</v>
      </c>
    </row>
    <row r="532" spans="1:15" hidden="1" x14ac:dyDescent="0.25">
      <c r="A532" s="11">
        <v>46142</v>
      </c>
      <c r="B532" t="s">
        <v>45</v>
      </c>
      <c r="C532" t="s">
        <v>32</v>
      </c>
      <c r="D532" s="9">
        <v>36</v>
      </c>
      <c r="E532" s="9">
        <v>33</v>
      </c>
      <c r="F532" s="9">
        <v>18.2</v>
      </c>
      <c r="G532" s="9">
        <v>0</v>
      </c>
      <c r="H532" s="9">
        <v>0</v>
      </c>
      <c r="I532" s="3">
        <f>E532+G532+H532</f>
        <v>33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32</v>
      </c>
      <c r="K532" s="3">
        <f>I532-J532</f>
        <v>1</v>
      </c>
      <c r="L532" s="3" t="str">
        <f>IF(K532&lt;-5,"CRÍTICO",IF(K532&lt;0,"ATENÇÃO",IF(K532&lt;=5,"OPORTUNO","MUITO BOM")))</f>
        <v>OPORTUNO</v>
      </c>
      <c r="M532">
        <v>30</v>
      </c>
      <c r="N532" s="9">
        <v>100</v>
      </c>
      <c r="O532" s="9">
        <v>31.135531135531139</v>
      </c>
    </row>
    <row r="533" spans="1:15" hidden="1" x14ac:dyDescent="0.25">
      <c r="A533" s="5">
        <v>46146</v>
      </c>
      <c r="B533" s="6" t="s">
        <v>45</v>
      </c>
      <c r="C533" s="3" t="s">
        <v>32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>E533+G533+H533</f>
        <v>47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35</v>
      </c>
      <c r="K533" s="3">
        <f>I533-J533</f>
        <v>12</v>
      </c>
      <c r="L533" s="3" t="str">
        <f>IF(K533&lt;-5,"CRÍTICO",IF(K533&lt;0,"ATENÇÃO",IF(K533&lt;=5,"BOM","EXCELENTE")))</f>
        <v>EXCELENTE</v>
      </c>
      <c r="M533" s="9">
        <v>32</v>
      </c>
      <c r="N533" s="9">
        <v>99.39</v>
      </c>
      <c r="O533" s="9">
        <v>25.203252032520329</v>
      </c>
    </row>
    <row r="534" spans="1:15" hidden="1" x14ac:dyDescent="0.25">
      <c r="A534" s="5">
        <v>46147</v>
      </c>
      <c r="B534" s="6" t="s">
        <v>45</v>
      </c>
      <c r="C534" s="3" t="s">
        <v>32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>E534+G534+H534</f>
        <v>54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35</v>
      </c>
      <c r="K534" s="3">
        <f>I534-J534</f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99.39</v>
      </c>
      <c r="O534" s="3">
        <v>25.203252032520329</v>
      </c>
    </row>
    <row r="535" spans="1:15" hidden="1" x14ac:dyDescent="0.25">
      <c r="A535" s="5">
        <v>46148</v>
      </c>
      <c r="B535" s="6" t="s">
        <v>45</v>
      </c>
      <c r="C535" s="3" t="s">
        <v>32</v>
      </c>
      <c r="D535" s="3">
        <v>57</v>
      </c>
      <c r="E535" s="3">
        <v>51</v>
      </c>
      <c r="F535" s="9">
        <v>10.53</v>
      </c>
      <c r="G535" s="3">
        <v>1</v>
      </c>
      <c r="H535" s="3">
        <v>0</v>
      </c>
      <c r="I535" s="3">
        <f>E535+G535+H535</f>
        <v>52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35</v>
      </c>
      <c r="K535" s="3">
        <f>I535-J535</f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99.39</v>
      </c>
      <c r="O535" s="3">
        <v>25.203252032520329</v>
      </c>
    </row>
    <row r="536" spans="1:15" x14ac:dyDescent="0.25">
      <c r="A536" s="11">
        <v>46168</v>
      </c>
      <c r="B536" t="s">
        <v>53</v>
      </c>
      <c r="C536" t="s">
        <v>48</v>
      </c>
      <c r="D536" s="12">
        <v>0</v>
      </c>
      <c r="E536" s="12">
        <v>0</v>
      </c>
      <c r="F536" s="12">
        <v>0</v>
      </c>
      <c r="G536" s="12">
        <v>0</v>
      </c>
      <c r="H536" s="12">
        <v>0</v>
      </c>
      <c r="I536" s="12">
        <v>0</v>
      </c>
      <c r="J536" s="12">
        <v>0</v>
      </c>
      <c r="K536" s="12">
        <v>0</v>
      </c>
      <c r="M536" s="12">
        <v>0</v>
      </c>
      <c r="N536" s="12">
        <v>100</v>
      </c>
      <c r="O536" s="12">
        <v>17.241379310344829</v>
      </c>
    </row>
    <row r="537" spans="1:15" hidden="1" x14ac:dyDescent="0.25">
      <c r="A537" s="11">
        <v>46140</v>
      </c>
      <c r="B537" t="s">
        <v>46</v>
      </c>
      <c r="C537" t="s">
        <v>32</v>
      </c>
      <c r="D537" s="9">
        <v>30</v>
      </c>
      <c r="E537" s="9">
        <v>28</v>
      </c>
      <c r="F537" s="9">
        <v>17.329999999999998</v>
      </c>
      <c r="G537" s="9">
        <v>0</v>
      </c>
      <c r="H537" s="9">
        <v>0</v>
      </c>
      <c r="I537" s="3">
        <f>E537+G537+H537</f>
        <v>28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34</v>
      </c>
      <c r="K537" s="3">
        <f>I537-J537</f>
        <v>-6</v>
      </c>
      <c r="L537" s="3" t="str">
        <f>IF(K537&lt;-5,"CRÍTICO",IF(K537&lt;0,"ATENÇÃO",IF(K537&lt;=5,"OPORTUNO","MUITO BOM")))</f>
        <v>CRÍTICO</v>
      </c>
      <c r="M537">
        <v>24</v>
      </c>
      <c r="N537" s="9">
        <v>99.21</v>
      </c>
      <c r="O537" s="9">
        <v>25.188916876574311</v>
      </c>
    </row>
    <row r="538" spans="1:15" hidden="1" x14ac:dyDescent="0.25">
      <c r="A538" s="11">
        <v>46141</v>
      </c>
      <c r="B538" t="s">
        <v>46</v>
      </c>
      <c r="C538" t="s">
        <v>32</v>
      </c>
      <c r="D538" s="9">
        <v>30</v>
      </c>
      <c r="E538" s="9">
        <v>30</v>
      </c>
      <c r="F538" s="9">
        <v>15</v>
      </c>
      <c r="G538" s="9">
        <v>0</v>
      </c>
      <c r="H538" s="9">
        <v>0</v>
      </c>
      <c r="I538" s="3">
        <f>E538+G538+H538</f>
        <v>30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35</v>
      </c>
      <c r="K538" s="3">
        <f>I538-J538</f>
        <v>-5</v>
      </c>
      <c r="L538" s="3" t="str">
        <f>IF(K538&lt;-5,"CRÍTICO",IF(K538&lt;0,"ATENÇÃO",IF(K538&lt;=5,"OPORTUNO","MUITO BOM")))</f>
        <v>ATENÇÃO</v>
      </c>
      <c r="M538">
        <v>28</v>
      </c>
      <c r="N538" s="9">
        <v>99.21</v>
      </c>
      <c r="O538" s="9">
        <v>25.188916876574311</v>
      </c>
    </row>
    <row r="539" spans="1:15" hidden="1" x14ac:dyDescent="0.25">
      <c r="A539" s="11">
        <v>46142</v>
      </c>
      <c r="B539" t="s">
        <v>46</v>
      </c>
      <c r="C539" t="s">
        <v>32</v>
      </c>
      <c r="D539" s="9">
        <v>10</v>
      </c>
      <c r="E539" s="9">
        <v>10</v>
      </c>
      <c r="F539" s="9">
        <v>20.23</v>
      </c>
      <c r="G539" s="9">
        <v>0</v>
      </c>
      <c r="H539" s="9">
        <v>0</v>
      </c>
      <c r="I539" s="3">
        <f>E539+G539+H539</f>
        <v>10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32</v>
      </c>
      <c r="K539" s="3">
        <f>I539-J539</f>
        <v>-22</v>
      </c>
      <c r="L539" s="3" t="str">
        <f>IF(K539&lt;-5,"CRÍTICO",IF(K539&lt;0,"ATENÇÃO",IF(K539&lt;=5,"OPORTUNO","MUITO BOM")))</f>
        <v>CRÍTICO</v>
      </c>
      <c r="M539">
        <v>10</v>
      </c>
      <c r="N539" s="9">
        <v>99.21</v>
      </c>
      <c r="O539" s="9">
        <v>25.188916876574311</v>
      </c>
    </row>
    <row r="540" spans="1:15" hidden="1" x14ac:dyDescent="0.25">
      <c r="A540" s="5">
        <v>46146</v>
      </c>
      <c r="B540" s="6" t="s">
        <v>46</v>
      </c>
      <c r="C540" s="3" t="s">
        <v>32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>E540+G540+H540</f>
        <v>29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35</v>
      </c>
      <c r="K540" s="3">
        <f>I540-J540</f>
        <v>-6</v>
      </c>
      <c r="L540" s="3" t="str">
        <f>IF(K540&lt;-5,"CRÍTICO",IF(K540&lt;0,"ATENÇÃO",IF(K540&lt;=5,"BOM","EXCELENTE")))</f>
        <v>CRÍTICO</v>
      </c>
      <c r="M540" s="9">
        <v>26</v>
      </c>
      <c r="N540" s="9">
        <v>97</v>
      </c>
      <c r="O540" s="9">
        <v>20.325203252032519</v>
      </c>
    </row>
    <row r="541" spans="1:15" hidden="1" x14ac:dyDescent="0.25">
      <c r="A541" s="5">
        <v>46147</v>
      </c>
      <c r="B541" s="6" t="s">
        <v>46</v>
      </c>
      <c r="C541" s="3" t="s">
        <v>32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>E541+G541+H541</f>
        <v>32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35</v>
      </c>
      <c r="K541" s="3">
        <f>I541-J541</f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</v>
      </c>
      <c r="O541" s="3">
        <v>20.325203252032519</v>
      </c>
    </row>
    <row r="542" spans="1:15" hidden="1" x14ac:dyDescent="0.25">
      <c r="A542" s="5">
        <v>46148</v>
      </c>
      <c r="B542" s="6" t="s">
        <v>46</v>
      </c>
      <c r="C542" s="3" t="s">
        <v>32</v>
      </c>
      <c r="D542" s="3">
        <v>21</v>
      </c>
      <c r="E542" s="3">
        <v>20</v>
      </c>
      <c r="F542" s="9">
        <v>18.47</v>
      </c>
      <c r="G542" s="3">
        <v>8</v>
      </c>
      <c r="H542" s="3">
        <v>0</v>
      </c>
      <c r="I542" s="3">
        <f>E542+G542+H542</f>
        <v>28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35</v>
      </c>
      <c r="K542" s="3">
        <f>I542-J542</f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</v>
      </c>
      <c r="O542" s="3">
        <v>20.325203252032519</v>
      </c>
    </row>
    <row r="543" spans="1:15" x14ac:dyDescent="0.25">
      <c r="A543" s="11">
        <v>46168</v>
      </c>
      <c r="B543" t="s">
        <v>22</v>
      </c>
      <c r="C543" t="s">
        <v>23</v>
      </c>
      <c r="D543" s="12">
        <v>20</v>
      </c>
      <c r="E543" s="12">
        <v>20</v>
      </c>
      <c r="F543" s="12">
        <v>21.49</v>
      </c>
      <c r="G543" s="12">
        <v>2</v>
      </c>
      <c r="M543" s="12">
        <v>19</v>
      </c>
      <c r="N543" s="12">
        <v>99.06</v>
      </c>
      <c r="O543" s="12">
        <v>19.417475728155338</v>
      </c>
    </row>
    <row r="544" spans="1:15" hidden="1" x14ac:dyDescent="0.25">
      <c r="A544" s="5">
        <v>46146</v>
      </c>
      <c r="B544" s="6" t="s">
        <v>47</v>
      </c>
      <c r="C544" s="3" t="s">
        <v>48</v>
      </c>
      <c r="D544" s="3">
        <v>40</v>
      </c>
      <c r="E544" s="3">
        <v>38</v>
      </c>
      <c r="F544" s="3">
        <v>13.5</v>
      </c>
      <c r="G544" s="3">
        <v>4</v>
      </c>
      <c r="H544" s="3">
        <v>0</v>
      </c>
      <c r="I544" s="3">
        <f>E544+G544+H544</f>
        <v>42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28</v>
      </c>
      <c r="K544" s="3">
        <f>I544-J544</f>
        <v>14</v>
      </c>
      <c r="L544" s="3" t="str">
        <f>IF(K544&lt;-5,"CRÍTICO",IF(K544&lt;0,"ATENÇÃO",IF(K544&lt;=5,"BOM","EXCELENTE")))</f>
        <v>EXCELENTE</v>
      </c>
      <c r="M544" s="9">
        <v>36</v>
      </c>
      <c r="N544" s="9">
        <v>99.18</v>
      </c>
      <c r="O544" s="9">
        <v>24.501424501424498</v>
      </c>
    </row>
    <row r="545" spans="1:15" hidden="1" x14ac:dyDescent="0.25">
      <c r="A545" s="5">
        <v>46146</v>
      </c>
      <c r="B545" s="6" t="s">
        <v>49</v>
      </c>
      <c r="C545" s="3" t="s">
        <v>48</v>
      </c>
      <c r="D545" s="3">
        <v>41</v>
      </c>
      <c r="E545" s="3">
        <v>38</v>
      </c>
      <c r="F545" s="3">
        <v>11.44</v>
      </c>
      <c r="G545" s="3">
        <v>5</v>
      </c>
      <c r="H545" s="3">
        <v>0</v>
      </c>
      <c r="I545" s="3">
        <f>E545+G545+H545</f>
        <v>43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28</v>
      </c>
      <c r="K545" s="3">
        <f>I545-J545</f>
        <v>15</v>
      </c>
      <c r="L545" s="3" t="str">
        <f>IF(K545&lt;-5,"CRÍTICO",IF(K545&lt;0,"ATENÇÃO",IF(K545&lt;=5,"BOM","EXCELENTE")))</f>
        <v>EXCELENTE</v>
      </c>
      <c r="M545" s="9">
        <v>43</v>
      </c>
      <c r="N545" s="9">
        <v>99.35</v>
      </c>
      <c r="O545" s="9">
        <v>19.852941176470591</v>
      </c>
    </row>
    <row r="546" spans="1:15" hidden="1" x14ac:dyDescent="0.25">
      <c r="A546" s="5">
        <v>46146</v>
      </c>
      <c r="B546" s="6" t="s">
        <v>50</v>
      </c>
      <c r="C546" s="9" t="s">
        <v>48</v>
      </c>
      <c r="D546" s="3">
        <v>31</v>
      </c>
      <c r="E546" s="3">
        <v>29</v>
      </c>
      <c r="F546" s="3">
        <v>20.3</v>
      </c>
      <c r="G546" s="3">
        <v>0</v>
      </c>
      <c r="H546" s="3">
        <v>0</v>
      </c>
      <c r="I546" s="3">
        <f>E546+G546+H546</f>
        <v>29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28</v>
      </c>
      <c r="K546" s="3">
        <f>I546-J546</f>
        <v>1</v>
      </c>
      <c r="L546" s="3" t="str">
        <f>IF(K546&lt;-5,"CRÍTICO",IF(K546&lt;0,"ATENÇÃO",IF(K546&lt;=5,"BOM","EXCELENTE")))</f>
        <v>BOM</v>
      </c>
      <c r="M546" s="9">
        <v>28</v>
      </c>
      <c r="N546" s="9">
        <v>99.07</v>
      </c>
      <c r="O546" s="9">
        <v>20.098039215686271</v>
      </c>
    </row>
    <row r="547" spans="1:15" hidden="1" x14ac:dyDescent="0.25">
      <c r="A547" s="5">
        <v>46146</v>
      </c>
      <c r="B547" s="6" t="s">
        <v>51</v>
      </c>
      <c r="C547" s="3" t="s">
        <v>48</v>
      </c>
      <c r="D547" s="3">
        <v>37</v>
      </c>
      <c r="E547" s="3">
        <v>30</v>
      </c>
      <c r="F547" s="3">
        <v>15.15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>IF(K547&lt;-5,"CRÍTICO",IF(K547&lt;0,"ATENÇÃO",IF(K547&lt;=5,"BOM","EXCELENTE")))</f>
        <v>BOM</v>
      </c>
      <c r="M547" s="9">
        <v>25</v>
      </c>
      <c r="N547" s="9">
        <v>98.81</v>
      </c>
      <c r="O547" s="9">
        <v>22.767857142857139</v>
      </c>
    </row>
    <row r="548" spans="1:15" hidden="1" x14ac:dyDescent="0.25">
      <c r="A548" s="11">
        <v>46048</v>
      </c>
      <c r="B548" t="s">
        <v>22</v>
      </c>
      <c r="C548" t="s">
        <v>23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>E548+G548+H548</f>
        <v>17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15</v>
      </c>
      <c r="K548" s="3">
        <f>I548-J548</f>
        <v>2</v>
      </c>
      <c r="L548" s="3" t="str">
        <f>IF(K548&lt;-5,"CRÍTICO",IF(K548&lt;0,"ATENÇÃO",IF(K548&lt;=5,"BOM","EXCELENTE")))</f>
        <v>BOM</v>
      </c>
      <c r="M548">
        <v>17</v>
      </c>
      <c r="N548">
        <v>98.91</v>
      </c>
      <c r="O548">
        <v>31.367292225201069</v>
      </c>
    </row>
    <row r="549" spans="1:15" hidden="1" x14ac:dyDescent="0.25">
      <c r="A549" s="11">
        <v>46049</v>
      </c>
      <c r="B549" t="s">
        <v>22</v>
      </c>
      <c r="C549" t="s">
        <v>23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>E549+G549+H549</f>
        <v>20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17</v>
      </c>
      <c r="K549" s="3">
        <f>I549-J549</f>
        <v>3</v>
      </c>
      <c r="L549" s="3" t="str">
        <f>IF(K549&lt;-5,"CRÍTICO",IF(K549&lt;0,"ATENÇÃO",IF(K549&lt;=5,"BOM","EXCELENTE")))</f>
        <v>BOM</v>
      </c>
      <c r="M549">
        <v>20</v>
      </c>
      <c r="N549">
        <v>98.91</v>
      </c>
      <c r="O549">
        <v>31.367292225201069</v>
      </c>
    </row>
    <row r="550" spans="1:15" hidden="1" x14ac:dyDescent="0.25">
      <c r="A550" s="5">
        <v>46146</v>
      </c>
      <c r="B550" s="6" t="s">
        <v>52</v>
      </c>
      <c r="C550" s="3" t="s">
        <v>48</v>
      </c>
      <c r="D550" s="3">
        <v>31</v>
      </c>
      <c r="E550" s="3">
        <v>28</v>
      </c>
      <c r="F550" s="3">
        <v>15.09</v>
      </c>
      <c r="G550" s="3">
        <v>7</v>
      </c>
      <c r="H550" s="3">
        <v>0</v>
      </c>
      <c r="I550" s="3">
        <f>E550+G550+H550</f>
        <v>35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28</v>
      </c>
      <c r="K550" s="3">
        <f>I550-J550</f>
        <v>7</v>
      </c>
      <c r="L550" s="3" t="str">
        <f>IF(K550&lt;-5,"CRÍTICO",IF(K550&lt;0,"ATENÇÃO",IF(K550&lt;=5,"BOM","EXCELENTE")))</f>
        <v>EXCELENTE</v>
      </c>
      <c r="M550" s="9">
        <v>29</v>
      </c>
      <c r="N550" s="9">
        <v>99.01</v>
      </c>
      <c r="O550" s="9">
        <v>17.766497461928939</v>
      </c>
    </row>
    <row r="551" spans="1:15" hidden="1" x14ac:dyDescent="0.25">
      <c r="A551" s="5">
        <v>46146</v>
      </c>
      <c r="B551" s="6" t="s">
        <v>53</v>
      </c>
      <c r="C551" s="3" t="s">
        <v>48</v>
      </c>
      <c r="D551" s="3">
        <v>36</v>
      </c>
      <c r="E551" s="3">
        <v>33</v>
      </c>
      <c r="F551" s="3">
        <v>18.37</v>
      </c>
      <c r="G551" s="3">
        <v>0</v>
      </c>
      <c r="H551" s="3">
        <v>0</v>
      </c>
      <c r="I551" s="3">
        <f>E551+G551+H551</f>
        <v>33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28</v>
      </c>
      <c r="K551" s="3">
        <f>I551-J551</f>
        <v>5</v>
      </c>
      <c r="L551" s="3" t="str">
        <f>IF(K551&lt;-5,"CRÍTICO",IF(K551&lt;0,"ATENÇÃO",IF(K551&lt;=5,"BOM","EXCELENTE")))</f>
        <v>BOM</v>
      </c>
      <c r="M551" s="9">
        <v>29</v>
      </c>
      <c r="N551" s="9">
        <v>100</v>
      </c>
      <c r="O551" s="9">
        <v>17.241379310344829</v>
      </c>
    </row>
    <row r="552" spans="1:15" hidden="1" x14ac:dyDescent="0.25">
      <c r="A552" s="5">
        <v>46146</v>
      </c>
      <c r="B552" s="6" t="s">
        <v>54</v>
      </c>
      <c r="C552" s="9" t="s">
        <v>48</v>
      </c>
      <c r="D552" s="3">
        <v>36</v>
      </c>
      <c r="E552" s="3">
        <v>34</v>
      </c>
      <c r="F552" s="3">
        <v>14.11</v>
      </c>
      <c r="G552" s="3">
        <v>0</v>
      </c>
      <c r="H552" s="3">
        <v>0</v>
      </c>
      <c r="I552" s="3">
        <f>E552+G552+H552</f>
        <v>34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28</v>
      </c>
      <c r="K552" s="3">
        <f>I552-J552</f>
        <v>6</v>
      </c>
      <c r="L552" s="3" t="str">
        <f>IF(K552&lt;-5,"CRÍTICO",IF(K552&lt;0,"ATENÇÃO",IF(K552&lt;=5,"BOM","EXCELENTE")))</f>
        <v>EXCELENTE</v>
      </c>
      <c r="M552" s="9">
        <v>33</v>
      </c>
      <c r="N552" s="9">
        <v>98.98</v>
      </c>
      <c r="O552" s="9">
        <v>19.35483870967742</v>
      </c>
    </row>
    <row r="553" spans="1:15" hidden="1" x14ac:dyDescent="0.25">
      <c r="A553" s="5">
        <v>46146</v>
      </c>
      <c r="B553" s="6" t="s">
        <v>55</v>
      </c>
      <c r="C553" s="3" t="s">
        <v>48</v>
      </c>
      <c r="D553" s="3">
        <v>32</v>
      </c>
      <c r="E553" s="3">
        <v>28</v>
      </c>
      <c r="F553" s="3">
        <v>14.15</v>
      </c>
      <c r="G553" s="3">
        <v>4</v>
      </c>
      <c r="H553" s="3">
        <v>0</v>
      </c>
      <c r="I553" s="3">
        <f>E553+G553+H553</f>
        <v>32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28</v>
      </c>
      <c r="K553" s="3">
        <f>I553-J553</f>
        <v>4</v>
      </c>
      <c r="L553" s="3" t="str">
        <f>IF(K553&lt;-5,"CRÍTICO",IF(K553&lt;0,"ATENÇÃO",IF(K553&lt;=5,"BOM","EXCELENTE")))</f>
        <v>BOM</v>
      </c>
      <c r="M553" s="9">
        <v>31</v>
      </c>
      <c r="N553" s="9">
        <v>98.94</v>
      </c>
      <c r="O553" s="9">
        <v>21.270718232044199</v>
      </c>
    </row>
    <row r="554" spans="1:15" hidden="1" x14ac:dyDescent="0.25">
      <c r="A554" s="5">
        <v>46146</v>
      </c>
      <c r="B554" s="6" t="s">
        <v>56</v>
      </c>
      <c r="C554" s="3" t="s">
        <v>48</v>
      </c>
      <c r="D554" s="3">
        <v>29</v>
      </c>
      <c r="E554" s="3">
        <v>26</v>
      </c>
      <c r="F554" s="3">
        <v>15.47</v>
      </c>
      <c r="G554" s="3">
        <v>0</v>
      </c>
      <c r="H554" s="3">
        <v>0</v>
      </c>
      <c r="I554" s="3">
        <f>E554+G554+H554</f>
        <v>26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28</v>
      </c>
      <c r="K554" s="3">
        <f>I554-J554</f>
        <v>-2</v>
      </c>
      <c r="L554" s="3" t="str">
        <f>IF(K554&lt;-5,"CRÍTICO",IF(K554&lt;0,"ATENÇÃO",IF(K554&lt;=5,"BOM","EXCELENTE")))</f>
        <v>ATENÇÃO</v>
      </c>
      <c r="M554" s="9">
        <v>15</v>
      </c>
      <c r="N554" s="9">
        <v>99</v>
      </c>
      <c r="O554" s="9">
        <v>22.010869565217391</v>
      </c>
    </row>
    <row r="555" spans="1:15" hidden="1" x14ac:dyDescent="0.25">
      <c r="A555" s="5">
        <v>46146</v>
      </c>
      <c r="B555" s="6" t="s">
        <v>57</v>
      </c>
      <c r="C555" s="3" t="s">
        <v>48</v>
      </c>
      <c r="D555" s="3">
        <v>41</v>
      </c>
      <c r="E555" s="3">
        <v>40</v>
      </c>
      <c r="F555" s="3">
        <v>15.1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3" t="str">
        <f>IF(K555&lt;-5,"CRÍTICO",IF(K555&lt;0,"ATENÇÃO",IF(K555&lt;=5,"BOM","EXCELENTE")))</f>
        <v>BOM</v>
      </c>
      <c r="M555" s="9">
        <v>31</v>
      </c>
      <c r="N555" s="9">
        <v>100</v>
      </c>
      <c r="O555" s="9">
        <v>25</v>
      </c>
    </row>
    <row r="556" spans="1:15" hidden="1" x14ac:dyDescent="0.25">
      <c r="A556" s="5">
        <v>46146</v>
      </c>
      <c r="B556" s="6" t="s">
        <v>58</v>
      </c>
      <c r="C556" s="3" t="s">
        <v>48</v>
      </c>
      <c r="D556" s="3">
        <v>20</v>
      </c>
      <c r="E556" s="3">
        <v>16</v>
      </c>
      <c r="F556" s="3">
        <v>16.510000000000002</v>
      </c>
      <c r="G556" s="3">
        <v>0</v>
      </c>
      <c r="H556" s="3">
        <v>0</v>
      </c>
      <c r="I556" s="3">
        <f>E556+G556+H556</f>
        <v>16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28</v>
      </c>
      <c r="K556" s="3">
        <f>I556-J556</f>
        <v>-12</v>
      </c>
      <c r="L556" s="3" t="str">
        <f>IF(K556&lt;-5,"CRÍTICO",IF(K556&lt;0,"ATENÇÃO",IF(K556&lt;=5,"BOM","EXCELENTE")))</f>
        <v>CRÍTICO</v>
      </c>
      <c r="M556" s="9">
        <v>14</v>
      </c>
      <c r="N556" s="9">
        <v>100</v>
      </c>
      <c r="O556" s="9">
        <v>20.183486238532112</v>
      </c>
    </row>
    <row r="557" spans="1:15" hidden="1" x14ac:dyDescent="0.25">
      <c r="A557" s="5">
        <v>46147</v>
      </c>
      <c r="B557" s="6" t="s">
        <v>47</v>
      </c>
      <c r="C557" s="3" t="s">
        <v>48</v>
      </c>
      <c r="D557" s="3">
        <v>42</v>
      </c>
      <c r="E557" s="3">
        <v>37</v>
      </c>
      <c r="F557" s="3">
        <v>12.29</v>
      </c>
      <c r="G557" s="3">
        <v>4</v>
      </c>
      <c r="H557" s="3">
        <v>0</v>
      </c>
      <c r="I557" s="3">
        <f>E557+G557+H557</f>
        <v>41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28</v>
      </c>
      <c r="K557" s="3">
        <f>I557-J557</f>
        <v>13</v>
      </c>
      <c r="L557" s="3" t="str">
        <f>IF(K557&lt;-5,"CRÍTICO",IF(K557&lt;0,"ATENÇÃO",IF(K557&lt;=5,"BOM","EXCELENTE")))</f>
        <v>EXCELENTE</v>
      </c>
      <c r="M557" s="3">
        <v>32</v>
      </c>
      <c r="N557" s="3">
        <v>99.18</v>
      </c>
      <c r="O557" s="3">
        <v>24.501424501424498</v>
      </c>
    </row>
    <row r="558" spans="1:15" hidden="1" x14ac:dyDescent="0.25">
      <c r="A558" s="5">
        <v>46147</v>
      </c>
      <c r="B558" s="6" t="s">
        <v>49</v>
      </c>
      <c r="C558" s="3" t="s">
        <v>48</v>
      </c>
      <c r="D558" s="3">
        <v>45</v>
      </c>
      <c r="E558" s="3">
        <v>37</v>
      </c>
      <c r="F558" s="3">
        <v>13.52</v>
      </c>
      <c r="G558" s="3">
        <v>6</v>
      </c>
      <c r="H558" s="3">
        <v>0</v>
      </c>
      <c r="I558" s="3">
        <f>E558+G558+H558</f>
        <v>43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28</v>
      </c>
      <c r="K558" s="3">
        <f>I558-J558</f>
        <v>15</v>
      </c>
      <c r="L558" s="3" t="str">
        <f>IF(K558&lt;-5,"CRÍTICO",IF(K558&lt;0,"ATENÇÃO",IF(K558&lt;=5,"BOM","EXCELENTE")))</f>
        <v>EXCELENTE</v>
      </c>
      <c r="M558" s="3">
        <v>43</v>
      </c>
      <c r="N558" s="3">
        <v>99.35</v>
      </c>
      <c r="O558" s="3">
        <v>19.852941176470591</v>
      </c>
    </row>
    <row r="559" spans="1:15" hidden="1" x14ac:dyDescent="0.25">
      <c r="A559" s="5">
        <v>46147</v>
      </c>
      <c r="B559" s="6" t="s">
        <v>50</v>
      </c>
      <c r="C559" s="9" t="s">
        <v>48</v>
      </c>
      <c r="D559" s="3">
        <v>19</v>
      </c>
      <c r="E559" s="3">
        <v>18</v>
      </c>
      <c r="F559" s="3">
        <v>26.46</v>
      </c>
      <c r="G559" s="3">
        <v>9</v>
      </c>
      <c r="H559" s="3">
        <v>0</v>
      </c>
      <c r="I559" s="3">
        <f>E559+G559+H559</f>
        <v>27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28</v>
      </c>
      <c r="K559" s="3">
        <f>I559-J559</f>
        <v>-1</v>
      </c>
      <c r="L559" s="3" t="str">
        <f>IF(K559&lt;-5,"CRÍTICO",IF(K559&lt;0,"ATENÇÃO",IF(K559&lt;=5,"BOM","EXCELENTE")))</f>
        <v>ATENÇÃO</v>
      </c>
      <c r="M559" s="3">
        <v>27</v>
      </c>
      <c r="N559" s="3">
        <v>99.07</v>
      </c>
      <c r="O559" s="3">
        <v>20.098039215686271</v>
      </c>
    </row>
    <row r="560" spans="1:15" hidden="1" x14ac:dyDescent="0.25">
      <c r="A560" s="5">
        <v>46147</v>
      </c>
      <c r="B560" s="6" t="s">
        <v>51</v>
      </c>
      <c r="C560" s="3" t="s">
        <v>48</v>
      </c>
      <c r="D560" s="3">
        <v>23</v>
      </c>
      <c r="E560" s="3">
        <v>21</v>
      </c>
      <c r="F560" s="3">
        <v>19.190000000000001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3" t="str">
        <f>IF(K560&lt;-5,"CRÍTICO",IF(K560&lt;0,"ATENÇÃO",IF(K560&lt;=5,"BOM","EXCELENTE")))</f>
        <v>BOM</v>
      </c>
      <c r="M560" s="3">
        <v>26</v>
      </c>
      <c r="N560" s="3">
        <v>98.81</v>
      </c>
      <c r="O560" s="3">
        <v>22.767857142857139</v>
      </c>
    </row>
    <row r="561" spans="1:15" hidden="1" x14ac:dyDescent="0.25">
      <c r="A561" s="5">
        <v>46147</v>
      </c>
      <c r="B561" s="6" t="s">
        <v>52</v>
      </c>
      <c r="C561" s="3" t="s">
        <v>48</v>
      </c>
      <c r="D561" s="3">
        <v>34</v>
      </c>
      <c r="E561" s="3">
        <v>31</v>
      </c>
      <c r="F561" s="3">
        <v>14.15</v>
      </c>
      <c r="G561" s="3">
        <v>3</v>
      </c>
      <c r="H561" s="3">
        <v>0</v>
      </c>
      <c r="I561" s="3">
        <f>E561+G561+H561</f>
        <v>34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28</v>
      </c>
      <c r="K561" s="3">
        <f>I561-J561</f>
        <v>6</v>
      </c>
      <c r="L561" s="3" t="str">
        <f>IF(K561&lt;-5,"CRÍTICO",IF(K561&lt;0,"ATENÇÃO",IF(K561&lt;=5,"BOM","EXCELENTE")))</f>
        <v>EXCELENTE</v>
      </c>
      <c r="M561" s="3">
        <v>31</v>
      </c>
      <c r="N561" s="3">
        <v>99.01</v>
      </c>
      <c r="O561" s="3">
        <v>17.766497461928939</v>
      </c>
    </row>
    <row r="562" spans="1:15" hidden="1" x14ac:dyDescent="0.25">
      <c r="A562" s="5">
        <v>46147</v>
      </c>
      <c r="B562" s="6" t="s">
        <v>53</v>
      </c>
      <c r="C562" s="3" t="s">
        <v>48</v>
      </c>
      <c r="D562" s="3">
        <v>0</v>
      </c>
      <c r="E562" s="3">
        <v>0</v>
      </c>
      <c r="F562" s="3">
        <v>0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3" t="str">
        <f>IF(K562&lt;-5,"CRÍTICO",IF(K562&lt;0,"ATENÇÃO",IF(K562&lt;=5,"BOM","EXCELENTE")))</f>
        <v>BOM</v>
      </c>
      <c r="M562" s="3">
        <v>0</v>
      </c>
      <c r="N562" s="3">
        <v>100</v>
      </c>
      <c r="O562" s="3">
        <v>17.241379310344829</v>
      </c>
    </row>
    <row r="563" spans="1:15" hidden="1" x14ac:dyDescent="0.25">
      <c r="A563" s="5">
        <v>46147</v>
      </c>
      <c r="B563" s="6" t="s">
        <v>54</v>
      </c>
      <c r="C563" s="9" t="s">
        <v>48</v>
      </c>
      <c r="D563" s="3">
        <v>26</v>
      </c>
      <c r="E563" s="3">
        <v>26</v>
      </c>
      <c r="F563" s="3">
        <v>20.010000000000002</v>
      </c>
      <c r="G563" s="3">
        <v>1</v>
      </c>
      <c r="H563" s="3">
        <v>0</v>
      </c>
      <c r="I563" s="3">
        <f>E563+G563+H563</f>
        <v>27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28</v>
      </c>
      <c r="K563" s="3">
        <f>I563-J563</f>
        <v>-1</v>
      </c>
      <c r="L563" s="3" t="str">
        <f>IF(K563&lt;-5,"CRÍTICO",IF(K563&lt;0,"ATENÇÃO",IF(K563&lt;=5,"BOM","EXCELENTE")))</f>
        <v>ATENÇÃO</v>
      </c>
      <c r="M563" s="3">
        <v>31</v>
      </c>
      <c r="N563" s="3">
        <v>98.98</v>
      </c>
      <c r="O563" s="3">
        <v>19.35483870967742</v>
      </c>
    </row>
    <row r="564" spans="1:15" hidden="1" x14ac:dyDescent="0.25">
      <c r="A564" s="5">
        <v>46147</v>
      </c>
      <c r="B564" s="6" t="s">
        <v>55</v>
      </c>
      <c r="C564" s="3" t="s">
        <v>48</v>
      </c>
      <c r="D564" s="3">
        <v>39</v>
      </c>
      <c r="E564" s="3">
        <v>30</v>
      </c>
      <c r="F564" s="3">
        <v>14.13</v>
      </c>
      <c r="G564" s="3">
        <v>0</v>
      </c>
      <c r="H564" s="3">
        <v>0</v>
      </c>
      <c r="I564" s="3">
        <f>E564+G564+H564</f>
        <v>30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28</v>
      </c>
      <c r="K564" s="3">
        <f>I564-J564</f>
        <v>2</v>
      </c>
      <c r="L564" s="3" t="str">
        <f>IF(K564&lt;-5,"CRÍTICO",IF(K564&lt;0,"ATENÇÃO",IF(K564&lt;=5,"BOM","EXCELENTE")))</f>
        <v>BOM</v>
      </c>
      <c r="M564" s="3">
        <v>30</v>
      </c>
      <c r="N564" s="3">
        <v>98.94</v>
      </c>
      <c r="O564" s="3">
        <v>21.270718232044199</v>
      </c>
    </row>
    <row r="565" spans="1:15" hidden="1" x14ac:dyDescent="0.25">
      <c r="A565" s="5">
        <v>46147</v>
      </c>
      <c r="B565" s="6" t="s">
        <v>56</v>
      </c>
      <c r="C565" s="3" t="s">
        <v>48</v>
      </c>
      <c r="D565" s="3">
        <v>18</v>
      </c>
      <c r="E565" s="3">
        <v>18</v>
      </c>
      <c r="F565" s="3">
        <v>18.28</v>
      </c>
      <c r="G565" s="3">
        <v>4</v>
      </c>
      <c r="H565" s="3">
        <v>0</v>
      </c>
      <c r="I565" s="3">
        <f>E565+G565+H565</f>
        <v>22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28</v>
      </c>
      <c r="K565" s="3">
        <f>I565-J565</f>
        <v>-6</v>
      </c>
      <c r="L565" s="3" t="str">
        <f>IF(K565&lt;-5,"CRÍTICO",IF(K565&lt;0,"ATENÇÃO",IF(K565&lt;=5,"BOM","EXCELENTE")))</f>
        <v>CRÍTICO</v>
      </c>
      <c r="M565" s="3">
        <v>25</v>
      </c>
      <c r="N565" s="3">
        <v>99</v>
      </c>
      <c r="O565" s="3">
        <v>22.010869565217391</v>
      </c>
    </row>
    <row r="566" spans="1:15" hidden="1" x14ac:dyDescent="0.25">
      <c r="A566" s="5">
        <v>46147</v>
      </c>
      <c r="B566" s="6" t="s">
        <v>57</v>
      </c>
      <c r="C566" s="3" t="s">
        <v>48</v>
      </c>
      <c r="D566" s="3">
        <v>37</v>
      </c>
      <c r="E566" s="3">
        <v>35</v>
      </c>
      <c r="F566" s="3">
        <v>15.27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 t="str">
        <f>IF(K566&lt;-5,"CRÍTICO",IF(K566&lt;0,"ATENÇÃO",IF(K566&lt;=5,"BOM","EXCELENTE")))</f>
        <v>BOM</v>
      </c>
      <c r="M566" s="3">
        <v>37</v>
      </c>
      <c r="N566" s="3">
        <v>100</v>
      </c>
      <c r="O566" s="3">
        <v>25</v>
      </c>
    </row>
    <row r="567" spans="1:15" hidden="1" x14ac:dyDescent="0.25">
      <c r="A567" s="5">
        <v>46147</v>
      </c>
      <c r="B567" s="6" t="s">
        <v>58</v>
      </c>
      <c r="C567" s="3" t="s">
        <v>48</v>
      </c>
      <c r="D567" s="3">
        <v>27</v>
      </c>
      <c r="E567" s="3">
        <v>25</v>
      </c>
      <c r="F567" s="3">
        <v>17.39</v>
      </c>
      <c r="G567" s="3">
        <v>0</v>
      </c>
      <c r="H567" s="3">
        <v>0</v>
      </c>
      <c r="I567" s="3">
        <f>E567+G567+H567</f>
        <v>25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28</v>
      </c>
      <c r="K567" s="3">
        <f>I567-J567</f>
        <v>-3</v>
      </c>
      <c r="L567" s="3" t="str">
        <f>IF(K567&lt;-5,"CRÍTICO",IF(K567&lt;0,"ATENÇÃO",IF(K567&lt;=5,"BOM","EXCELENTE")))</f>
        <v>ATENÇÃO</v>
      </c>
      <c r="M567" s="3">
        <v>21</v>
      </c>
      <c r="N567" s="3">
        <v>100</v>
      </c>
      <c r="O567" s="3">
        <v>20.183486238532112</v>
      </c>
    </row>
    <row r="568" spans="1:15" hidden="1" x14ac:dyDescent="0.25">
      <c r="A568" s="5">
        <v>46148</v>
      </c>
      <c r="B568" s="6" t="s">
        <v>47</v>
      </c>
      <c r="C568" s="3" t="s">
        <v>48</v>
      </c>
      <c r="D568" s="3">
        <v>35</v>
      </c>
      <c r="E568" s="3">
        <v>29</v>
      </c>
      <c r="F568">
        <v>12.32</v>
      </c>
      <c r="G568" s="3">
        <v>11</v>
      </c>
      <c r="H568" s="3">
        <v>0</v>
      </c>
      <c r="I568" s="3">
        <f>E568+G568+H568</f>
        <v>40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28</v>
      </c>
      <c r="K568" s="3">
        <f>I568-J568</f>
        <v>12</v>
      </c>
      <c r="L568" s="3" t="str">
        <f>IF(K568&lt;-5,"CRÍTICO",IF(K568&lt;0,"ATENÇÃO",IF(K568&lt;=5,"BOM","EXCELENTE")))</f>
        <v>EXCELENTE</v>
      </c>
      <c r="M568" s="3">
        <v>32</v>
      </c>
      <c r="N568" s="3">
        <v>99.18</v>
      </c>
      <c r="O568" s="3">
        <v>24.501424501424498</v>
      </c>
    </row>
    <row r="569" spans="1:15" hidden="1" x14ac:dyDescent="0.25">
      <c r="A569" s="5">
        <v>46148</v>
      </c>
      <c r="B569" s="6" t="s">
        <v>49</v>
      </c>
      <c r="C569" s="3" t="s">
        <v>48</v>
      </c>
      <c r="D569" s="3">
        <v>31</v>
      </c>
      <c r="E569" s="3">
        <v>28</v>
      </c>
      <c r="F569">
        <v>18.45</v>
      </c>
      <c r="G569" s="3">
        <v>9</v>
      </c>
      <c r="H569" s="3">
        <v>0</v>
      </c>
      <c r="I569" s="3">
        <f>E569+G569+H569</f>
        <v>37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28</v>
      </c>
      <c r="K569" s="3">
        <f>I569-J569</f>
        <v>9</v>
      </c>
      <c r="L569" s="3" t="str">
        <f>IF(K569&lt;-5,"CRÍTICO",IF(K569&lt;0,"ATENÇÃO",IF(K569&lt;=5,"BOM","EXCELENTE")))</f>
        <v>EXCELENTE</v>
      </c>
      <c r="M569" s="3">
        <v>35</v>
      </c>
      <c r="N569" s="3">
        <v>99.35</v>
      </c>
      <c r="O569" s="3">
        <v>19.852941176470591</v>
      </c>
    </row>
    <row r="570" spans="1:15" hidden="1" x14ac:dyDescent="0.25">
      <c r="A570" s="5">
        <v>46148</v>
      </c>
      <c r="B570" s="6" t="s">
        <v>50</v>
      </c>
      <c r="C570" s="9" t="s">
        <v>48</v>
      </c>
      <c r="D570" s="3">
        <v>34</v>
      </c>
      <c r="E570" s="3">
        <v>32</v>
      </c>
      <c r="F570">
        <v>14.16</v>
      </c>
      <c r="G570" s="3">
        <v>1</v>
      </c>
      <c r="H570" s="3">
        <v>0</v>
      </c>
      <c r="I570" s="3">
        <f>E570+G570+H570</f>
        <v>33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28</v>
      </c>
      <c r="K570" s="3">
        <f>I570-J570</f>
        <v>5</v>
      </c>
      <c r="L570" s="3" t="str">
        <f>IF(K570&lt;-5,"CRÍTICO",IF(K570&lt;0,"ATENÇÃO",IF(K570&lt;=5,"BOM","EXCELENTE")))</f>
        <v>BOM</v>
      </c>
      <c r="M570" s="3">
        <v>31</v>
      </c>
      <c r="N570" s="3">
        <v>99.07</v>
      </c>
      <c r="O570" s="3">
        <v>20.098039215686271</v>
      </c>
    </row>
    <row r="571" spans="1:15" hidden="1" x14ac:dyDescent="0.25">
      <c r="A571" s="5">
        <v>46148</v>
      </c>
      <c r="B571" s="6" t="s">
        <v>51</v>
      </c>
      <c r="C571" s="3" t="s">
        <v>48</v>
      </c>
      <c r="D571" s="3">
        <v>40</v>
      </c>
      <c r="E571" s="3">
        <v>35</v>
      </c>
      <c r="F571">
        <v>15.25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>IF(K571&lt;-5,"CRÍTICO",IF(K571&lt;0,"ATENÇÃO",IF(K571&lt;=5,"BOM","EXCELENTE")))</f>
        <v>BOM</v>
      </c>
      <c r="M571" s="3">
        <v>29</v>
      </c>
      <c r="N571" s="3">
        <v>98.81</v>
      </c>
      <c r="O571" s="3">
        <v>22.767857142857139</v>
      </c>
    </row>
    <row r="572" spans="1:15" hidden="1" x14ac:dyDescent="0.25">
      <c r="A572" s="5">
        <v>46148</v>
      </c>
      <c r="B572" s="6" t="s">
        <v>52</v>
      </c>
      <c r="C572" s="3" t="s">
        <v>48</v>
      </c>
      <c r="D572" s="3">
        <v>15</v>
      </c>
      <c r="E572" s="3">
        <v>14</v>
      </c>
      <c r="F572">
        <v>17.309999999999999</v>
      </c>
      <c r="G572" s="3">
        <v>9</v>
      </c>
      <c r="H572" s="3">
        <v>0</v>
      </c>
      <c r="I572" s="3">
        <f>E572+G572+H572</f>
        <v>23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28</v>
      </c>
      <c r="K572" s="3">
        <f>I572-J572</f>
        <v>-5</v>
      </c>
      <c r="L572" s="3" t="str">
        <f>IF(K572&lt;-5,"CRÍTICO",IF(K572&lt;0,"ATENÇÃO",IF(K572&lt;=5,"BOM","EXCELENTE")))</f>
        <v>ATENÇÃO</v>
      </c>
      <c r="M572" s="3">
        <v>22</v>
      </c>
      <c r="N572" s="3">
        <v>99.01</v>
      </c>
      <c r="O572" s="3">
        <v>17.766497461928939</v>
      </c>
    </row>
    <row r="573" spans="1:15" hidden="1" x14ac:dyDescent="0.25">
      <c r="A573" s="5">
        <v>46148</v>
      </c>
      <c r="B573" s="6" t="s">
        <v>53</v>
      </c>
      <c r="C573" s="3" t="s">
        <v>48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3" t="str">
        <f>IF(K573&lt;-5,"CRÍTICO",IF(K573&lt;0,"ATENÇÃO",IF(K573&lt;=5,"BOM","EXCELENTE")))</f>
        <v>BOM</v>
      </c>
      <c r="M573" s="3">
        <v>0</v>
      </c>
      <c r="N573" s="3">
        <v>100</v>
      </c>
      <c r="O573" s="3">
        <v>17.241379310344829</v>
      </c>
    </row>
    <row r="574" spans="1:15" hidden="1" x14ac:dyDescent="0.25">
      <c r="A574" s="5">
        <v>46148</v>
      </c>
      <c r="B574" s="6" t="s">
        <v>54</v>
      </c>
      <c r="C574" s="9" t="s">
        <v>48</v>
      </c>
      <c r="D574" s="3">
        <v>33</v>
      </c>
      <c r="E574" s="3">
        <v>32</v>
      </c>
      <c r="F574">
        <v>20.010000000000002</v>
      </c>
      <c r="G574" s="3">
        <v>9</v>
      </c>
      <c r="H574" s="3">
        <v>0</v>
      </c>
      <c r="I574" s="3">
        <f>E574+G574+H574</f>
        <v>41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28</v>
      </c>
      <c r="K574" s="3">
        <f>I574-J574</f>
        <v>13</v>
      </c>
      <c r="L574" s="3" t="str">
        <f>IF(K574&lt;-5,"CRÍTICO",IF(K574&lt;0,"ATENÇÃO",IF(K574&lt;=5,"BOM","EXCELENTE")))</f>
        <v>EXCELENTE</v>
      </c>
      <c r="M574" s="3">
        <v>30</v>
      </c>
      <c r="N574" s="3">
        <v>98.98</v>
      </c>
      <c r="O574" s="3">
        <v>19.35483870967742</v>
      </c>
    </row>
    <row r="575" spans="1:15" hidden="1" x14ac:dyDescent="0.25">
      <c r="A575" s="5">
        <v>46148</v>
      </c>
      <c r="B575" s="6" t="s">
        <v>55</v>
      </c>
      <c r="C575" s="3" t="s">
        <v>48</v>
      </c>
      <c r="D575" s="3">
        <v>29</v>
      </c>
      <c r="E575" s="3">
        <v>28</v>
      </c>
      <c r="F575">
        <v>10.28</v>
      </c>
      <c r="G575" s="3">
        <v>7</v>
      </c>
      <c r="H575" s="3">
        <v>0</v>
      </c>
      <c r="I575" s="3">
        <f>E575+G575+H575</f>
        <v>35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>I575-J575</f>
        <v>7</v>
      </c>
      <c r="L575" s="3" t="str">
        <f>IF(K575&lt;-5,"CRÍTICO",IF(K575&lt;0,"ATENÇÃO",IF(K575&lt;=5,"BOM","EXCELENTE")))</f>
        <v>EXCELENTE</v>
      </c>
      <c r="M575" s="3">
        <v>34</v>
      </c>
      <c r="N575" s="3">
        <v>98.94</v>
      </c>
      <c r="O575" s="3">
        <v>21.270718232044199</v>
      </c>
    </row>
    <row r="576" spans="1:15" hidden="1" x14ac:dyDescent="0.25">
      <c r="A576" s="5">
        <v>46148</v>
      </c>
      <c r="B576" s="6" t="s">
        <v>56</v>
      </c>
      <c r="C576" s="3" t="s">
        <v>48</v>
      </c>
      <c r="D576" s="3">
        <v>38</v>
      </c>
      <c r="E576" s="3">
        <v>36</v>
      </c>
      <c r="F576">
        <v>15.35</v>
      </c>
      <c r="G576" s="3">
        <v>2</v>
      </c>
      <c r="H576" s="3">
        <v>0</v>
      </c>
      <c r="I576" s="3">
        <f>E576+G576+H576</f>
        <v>38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28</v>
      </c>
      <c r="K576" s="3">
        <f>I576-J576</f>
        <v>10</v>
      </c>
      <c r="L576" s="3" t="str">
        <f>IF(K576&lt;-5,"CRÍTICO",IF(K576&lt;0,"ATENÇÃO",IF(K576&lt;=5,"BOM","EXCELENTE")))</f>
        <v>EXCELENTE</v>
      </c>
      <c r="M576" s="3">
        <v>16</v>
      </c>
      <c r="N576" s="3">
        <v>99</v>
      </c>
      <c r="O576" s="3">
        <v>22.010869565217391</v>
      </c>
    </row>
    <row r="577" spans="1:15" hidden="1" x14ac:dyDescent="0.25">
      <c r="A577" s="5">
        <v>46148</v>
      </c>
      <c r="B577" s="6" t="s">
        <v>57</v>
      </c>
      <c r="C577" s="3" t="s">
        <v>48</v>
      </c>
      <c r="D577" s="3">
        <v>34</v>
      </c>
      <c r="E577" s="3">
        <v>31</v>
      </c>
      <c r="F577">
        <v>16.420000000000002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 t="str">
        <f>IF(K577&lt;-5,"CRÍTICO",IF(K577&lt;0,"ATENÇÃO",IF(K577&lt;=5,"BOM","EXCELENTE")))</f>
        <v>BOM</v>
      </c>
      <c r="M577" s="3">
        <v>28</v>
      </c>
      <c r="N577" s="3">
        <v>100</v>
      </c>
      <c r="O577" s="3">
        <v>25</v>
      </c>
    </row>
    <row r="578" spans="1:15" hidden="1" x14ac:dyDescent="0.25">
      <c r="A578" s="5">
        <v>46148</v>
      </c>
      <c r="B578" s="6" t="s">
        <v>58</v>
      </c>
      <c r="C578" s="3" t="s">
        <v>48</v>
      </c>
      <c r="D578" s="3">
        <v>35</v>
      </c>
      <c r="E578" s="3">
        <v>33</v>
      </c>
      <c r="F578">
        <v>15.19</v>
      </c>
      <c r="G578" s="3">
        <v>0</v>
      </c>
      <c r="H578" s="3">
        <v>0</v>
      </c>
      <c r="I578" s="3">
        <f>E578+G578+H578</f>
        <v>33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28</v>
      </c>
      <c r="K578" s="3">
        <f>I578-J578</f>
        <v>5</v>
      </c>
      <c r="L578" s="3" t="str">
        <f>IF(K578&lt;-5,"CRÍTICO",IF(K578&lt;0,"ATENÇÃO",IF(K578&lt;=5,"BOM","EXCELENTE")))</f>
        <v>BOM</v>
      </c>
      <c r="M578" s="3">
        <v>30</v>
      </c>
      <c r="N578" s="3">
        <v>100</v>
      </c>
      <c r="O578" s="3">
        <v>20.183486238532112</v>
      </c>
    </row>
    <row r="579" spans="1:15" hidden="1" x14ac:dyDescent="0.25">
      <c r="A579" s="5">
        <v>46149</v>
      </c>
      <c r="B579" s="6" t="s">
        <v>47</v>
      </c>
      <c r="C579" s="3" t="s">
        <v>48</v>
      </c>
      <c r="D579" s="3">
        <v>39</v>
      </c>
      <c r="E579" s="3">
        <v>34</v>
      </c>
      <c r="F579">
        <v>8.33</v>
      </c>
      <c r="G579" s="3">
        <v>0</v>
      </c>
      <c r="H579" s="3">
        <v>0</v>
      </c>
      <c r="I579" s="3">
        <f>E579+G579+H579</f>
        <v>34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26</v>
      </c>
      <c r="K579" s="3">
        <f>I579-J579</f>
        <v>8</v>
      </c>
      <c r="L579" s="3" t="str">
        <f>IF(K579&lt;-5,"CRÍTICO",IF(K579&lt;0,"ATENÇÃO",IF(K579&lt;=5,"BOM","EXCELENTE")))</f>
        <v>EXCELENTE</v>
      </c>
      <c r="M579" s="3">
        <v>19</v>
      </c>
      <c r="N579" s="3">
        <v>99.18</v>
      </c>
      <c r="O579" s="3">
        <v>24.501424501424498</v>
      </c>
    </row>
    <row r="580" spans="1:15" hidden="1" x14ac:dyDescent="0.25">
      <c r="A580" s="5">
        <v>46149</v>
      </c>
      <c r="B580" s="6" t="s">
        <v>49</v>
      </c>
      <c r="C580" s="3" t="s">
        <v>48</v>
      </c>
      <c r="D580" s="3">
        <v>33</v>
      </c>
      <c r="E580" s="3">
        <v>29</v>
      </c>
      <c r="F580">
        <v>13.37</v>
      </c>
      <c r="G580" s="3">
        <v>5</v>
      </c>
      <c r="H580" s="3">
        <v>0</v>
      </c>
      <c r="I580" s="3">
        <f>E580+G580+H580</f>
        <v>34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26</v>
      </c>
      <c r="K580" s="3">
        <f>I580-J580</f>
        <v>8</v>
      </c>
      <c r="L580" s="3" t="str">
        <f>IF(K580&lt;-5,"CRÍTICO",IF(K580&lt;0,"ATENÇÃO",IF(K580&lt;=5,"BOM","EXCELENTE")))</f>
        <v>EXCELENTE</v>
      </c>
      <c r="M580" s="3">
        <v>31</v>
      </c>
      <c r="N580" s="3">
        <v>99.35</v>
      </c>
      <c r="O580" s="3">
        <v>19.852941176470591</v>
      </c>
    </row>
    <row r="581" spans="1:15" hidden="1" x14ac:dyDescent="0.25">
      <c r="A581" s="5">
        <v>46149</v>
      </c>
      <c r="B581" s="6" t="s">
        <v>50</v>
      </c>
      <c r="C581" s="9" t="s">
        <v>48</v>
      </c>
      <c r="D581" s="3">
        <v>24</v>
      </c>
      <c r="E581" s="3">
        <v>24</v>
      </c>
      <c r="F581">
        <v>25.23</v>
      </c>
      <c r="G581" s="3">
        <v>5</v>
      </c>
      <c r="H581" s="3">
        <v>0</v>
      </c>
      <c r="I581" s="3">
        <f>E581+G581+H581</f>
        <v>29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26</v>
      </c>
      <c r="K581" s="3">
        <f>I581-J581</f>
        <v>3</v>
      </c>
      <c r="L581" s="3" t="str">
        <f>IF(K581&lt;-5,"CRÍTICO",IF(K581&lt;0,"ATENÇÃO",IF(K581&lt;=5,"BOM","EXCELENTE")))</f>
        <v>BOM</v>
      </c>
      <c r="M581" s="3">
        <v>27</v>
      </c>
      <c r="N581" s="3">
        <v>99.07</v>
      </c>
      <c r="O581" s="3">
        <v>20.098039215686271</v>
      </c>
    </row>
    <row r="582" spans="1:15" hidden="1" x14ac:dyDescent="0.25">
      <c r="A582" s="5">
        <v>46149</v>
      </c>
      <c r="B582" s="6" t="s">
        <v>51</v>
      </c>
      <c r="C582" s="3" t="s">
        <v>48</v>
      </c>
      <c r="D582" s="3">
        <v>17</v>
      </c>
      <c r="E582" s="3">
        <v>16</v>
      </c>
      <c r="F582">
        <v>30.25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 t="str">
        <f>IF(K582&lt;-5,"CRÍTICO",IF(K582&lt;0,"ATENÇÃO",IF(K582&lt;=5,"BOM","EXCELENTE")))</f>
        <v>BOM</v>
      </c>
      <c r="M582" s="3">
        <v>19</v>
      </c>
      <c r="N582" s="3">
        <v>98.81</v>
      </c>
      <c r="O582" s="3">
        <v>22.767857142857139</v>
      </c>
    </row>
    <row r="583" spans="1:15" hidden="1" x14ac:dyDescent="0.25">
      <c r="A583" s="5">
        <v>46149</v>
      </c>
      <c r="B583" s="6" t="s">
        <v>52</v>
      </c>
      <c r="C583" s="3" t="s">
        <v>48</v>
      </c>
      <c r="D583" s="3">
        <v>30</v>
      </c>
      <c r="E583" s="3">
        <v>29</v>
      </c>
      <c r="F583">
        <v>17.100000000000001</v>
      </c>
      <c r="G583" s="3">
        <v>2</v>
      </c>
      <c r="H583" s="3">
        <v>0</v>
      </c>
      <c r="I583" s="3">
        <f>E583+G583+H583</f>
        <v>31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26</v>
      </c>
      <c r="K583" s="3">
        <f>I583-J583</f>
        <v>5</v>
      </c>
      <c r="L583" s="3" t="str">
        <f>IF(K583&lt;-5,"CRÍTICO",IF(K583&lt;0,"ATENÇÃO",IF(K583&lt;=5,"BOM","EXCELENTE")))</f>
        <v>BOM</v>
      </c>
      <c r="M583" s="3">
        <v>28</v>
      </c>
      <c r="N583" s="3">
        <v>99.01</v>
      </c>
      <c r="O583" s="3">
        <v>17.766497461928939</v>
      </c>
    </row>
    <row r="584" spans="1:15" hidden="1" x14ac:dyDescent="0.25">
      <c r="A584" s="5">
        <v>46149</v>
      </c>
      <c r="B584" s="6" t="s">
        <v>53</v>
      </c>
      <c r="C584" s="3" t="s">
        <v>48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 t="str">
        <f>IF(K584&lt;-5,"CRÍTICO",IF(K584&lt;0,"ATENÇÃO",IF(K584&lt;=5,"BOM","EXCELENTE")))</f>
        <v>BOM</v>
      </c>
      <c r="M584" s="3">
        <v>0</v>
      </c>
      <c r="N584" s="3">
        <v>100</v>
      </c>
      <c r="O584" s="3">
        <v>17.241379310344829</v>
      </c>
    </row>
    <row r="585" spans="1:15" hidden="1" x14ac:dyDescent="0.25">
      <c r="A585" s="5">
        <v>46149</v>
      </c>
      <c r="B585" s="6" t="s">
        <v>54</v>
      </c>
      <c r="C585" s="9" t="s">
        <v>48</v>
      </c>
      <c r="D585" s="3">
        <v>25</v>
      </c>
      <c r="E585" s="3">
        <v>24</v>
      </c>
      <c r="F585">
        <v>24.02</v>
      </c>
      <c r="G585" s="3">
        <v>0</v>
      </c>
      <c r="H585" s="3">
        <v>0</v>
      </c>
      <c r="I585" s="3">
        <f>E585+G585+H585</f>
        <v>24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-2</v>
      </c>
      <c r="L585" s="3" t="str">
        <f>IF(K585&lt;-5,"CRÍTICO",IF(K585&lt;0,"ATENÇÃO",IF(K585&lt;=5,"BOM","EXCELENTE")))</f>
        <v>ATENÇÃO</v>
      </c>
      <c r="M585" s="3">
        <v>22</v>
      </c>
      <c r="N585" s="3">
        <v>98.98</v>
      </c>
      <c r="O585" s="3">
        <v>19.35483870967742</v>
      </c>
    </row>
    <row r="586" spans="1:15" hidden="1" x14ac:dyDescent="0.25">
      <c r="A586" s="5">
        <v>46149</v>
      </c>
      <c r="B586" s="6" t="s">
        <v>55</v>
      </c>
      <c r="C586" s="3" t="s">
        <v>48</v>
      </c>
      <c r="D586" s="3">
        <v>34</v>
      </c>
      <c r="E586" s="3">
        <v>28</v>
      </c>
      <c r="F586">
        <v>13.53</v>
      </c>
      <c r="G586" s="3">
        <v>0</v>
      </c>
      <c r="H586" s="3">
        <v>0</v>
      </c>
      <c r="I586" s="3">
        <f>E586+G586+H586</f>
        <v>28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2</v>
      </c>
      <c r="L586" s="3" t="str">
        <f>IF(K586&lt;-5,"CRÍTICO",IF(K586&lt;0,"ATENÇÃO",IF(K586&lt;=5,"BOM","EXCELENTE")))</f>
        <v>BOM</v>
      </c>
      <c r="M586" s="3">
        <v>26</v>
      </c>
      <c r="N586" s="3">
        <v>98.94</v>
      </c>
      <c r="O586" s="3">
        <v>21.270718232044199</v>
      </c>
    </row>
    <row r="587" spans="1:15" hidden="1" x14ac:dyDescent="0.25">
      <c r="A587" s="5">
        <v>46149</v>
      </c>
      <c r="B587" s="6" t="s">
        <v>56</v>
      </c>
      <c r="C587" s="3" t="s">
        <v>48</v>
      </c>
      <c r="D587" s="3">
        <v>40</v>
      </c>
      <c r="E587" s="3">
        <v>37</v>
      </c>
      <c r="F587">
        <v>13.54</v>
      </c>
      <c r="G587" s="3">
        <v>6</v>
      </c>
      <c r="H587" s="3">
        <v>0</v>
      </c>
      <c r="I587" s="3">
        <f>E587+G587+H587</f>
        <v>43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26</v>
      </c>
      <c r="K587" s="3">
        <f>I587-J587</f>
        <v>17</v>
      </c>
      <c r="L587" s="3" t="str">
        <f>IF(K587&lt;-5,"CRÍTICO",IF(K587&lt;0,"ATENÇÃO",IF(K587&lt;=5,"BOM","EXCELENTE")))</f>
        <v>EXCELENTE</v>
      </c>
      <c r="M587" s="3">
        <v>51</v>
      </c>
      <c r="N587" s="3">
        <v>99</v>
      </c>
      <c r="O587" s="3">
        <v>22.010869565217391</v>
      </c>
    </row>
    <row r="588" spans="1:15" hidden="1" x14ac:dyDescent="0.25">
      <c r="A588" s="5">
        <v>46149</v>
      </c>
      <c r="B588" s="6" t="s">
        <v>57</v>
      </c>
      <c r="C588" s="3" t="s">
        <v>48</v>
      </c>
      <c r="D588" s="3">
        <v>26</v>
      </c>
      <c r="E588" s="3">
        <v>24</v>
      </c>
      <c r="F588">
        <v>18.21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>IF(K588&lt;-5,"CRÍTICO",IF(K588&lt;0,"ATENÇÃO",IF(K588&lt;=5,"BOM","EXCELENTE")))</f>
        <v>BOM</v>
      </c>
      <c r="M588" s="3">
        <v>26</v>
      </c>
      <c r="N588" s="3">
        <v>100</v>
      </c>
      <c r="O588" s="3">
        <v>25</v>
      </c>
    </row>
    <row r="589" spans="1:15" hidden="1" x14ac:dyDescent="0.25">
      <c r="A589" s="5">
        <v>46149</v>
      </c>
      <c r="B589" s="6" t="s">
        <v>58</v>
      </c>
      <c r="C589" s="3" t="s">
        <v>48</v>
      </c>
      <c r="D589" s="3">
        <v>10</v>
      </c>
      <c r="E589" s="3">
        <v>10</v>
      </c>
      <c r="F589">
        <v>28.38</v>
      </c>
      <c r="G589" s="3">
        <v>0</v>
      </c>
      <c r="H589" s="3">
        <v>0</v>
      </c>
      <c r="I589" s="3">
        <f>E589+G589+H589</f>
        <v>10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26</v>
      </c>
      <c r="K589" s="3">
        <f>I589-J589</f>
        <v>-16</v>
      </c>
      <c r="L589" s="3" t="str">
        <f>IF(K589&lt;-5,"CRÍTICO",IF(K589&lt;0,"ATENÇÃO",IF(K589&lt;=5,"BOM","EXCELENTE")))</f>
        <v>CRÍTICO</v>
      </c>
      <c r="M589" s="3">
        <v>9</v>
      </c>
      <c r="N589" s="3">
        <v>100</v>
      </c>
      <c r="O589" s="3">
        <v>20.183486238532112</v>
      </c>
    </row>
    <row r="590" spans="1:15" hidden="1" x14ac:dyDescent="0.25">
      <c r="A590" s="5">
        <v>46150</v>
      </c>
      <c r="B590" s="6" t="s">
        <v>47</v>
      </c>
      <c r="C590" s="3" t="s">
        <v>48</v>
      </c>
      <c r="D590" s="3">
        <v>34</v>
      </c>
      <c r="E590" s="3">
        <v>30</v>
      </c>
      <c r="F590">
        <v>11.56</v>
      </c>
      <c r="G590" s="3">
        <v>4</v>
      </c>
      <c r="H590" s="3">
        <v>0</v>
      </c>
      <c r="I590" s="3">
        <f>E590+G590+H590</f>
        <v>34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11</v>
      </c>
      <c r="L590" s="3" t="str">
        <f>IF(K590&lt;-5,"CRÍTICO",IF(K590&lt;0,"ATENÇÃO",IF(K590&lt;=5,"BOM","EXCELENTE")))</f>
        <v>EXCELENTE</v>
      </c>
      <c r="M590" s="3">
        <v>21</v>
      </c>
      <c r="N590" s="3">
        <v>99.18</v>
      </c>
      <c r="O590" s="3">
        <v>24.501424501424498</v>
      </c>
    </row>
    <row r="591" spans="1:15" hidden="1" x14ac:dyDescent="0.25">
      <c r="A591" s="5">
        <v>46150</v>
      </c>
      <c r="B591" s="6" t="s">
        <v>49</v>
      </c>
      <c r="C591" s="3" t="s">
        <v>48</v>
      </c>
      <c r="D591" s="3">
        <v>31</v>
      </c>
      <c r="E591" s="3">
        <v>28</v>
      </c>
      <c r="F591">
        <v>15.19</v>
      </c>
      <c r="G591" s="3">
        <v>4</v>
      </c>
      <c r="H591" s="3">
        <v>0</v>
      </c>
      <c r="I591" s="3">
        <f>E591+G591+H591</f>
        <v>32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9</v>
      </c>
      <c r="L591" s="3" t="str">
        <f>IF(K591&lt;-5,"CRÍTICO",IF(K591&lt;0,"ATENÇÃO",IF(K591&lt;=5,"BOM","EXCELENTE")))</f>
        <v>EXCELENTE</v>
      </c>
      <c r="M591">
        <v>35</v>
      </c>
      <c r="N591">
        <v>99.35</v>
      </c>
      <c r="O591">
        <v>19.852941176470591</v>
      </c>
    </row>
    <row r="592" spans="1:15" hidden="1" x14ac:dyDescent="0.25">
      <c r="A592" s="5">
        <v>46150</v>
      </c>
      <c r="B592" s="6" t="s">
        <v>50</v>
      </c>
      <c r="C592" s="9" t="s">
        <v>48</v>
      </c>
      <c r="D592" s="3">
        <v>12</v>
      </c>
      <c r="E592" s="3">
        <v>12</v>
      </c>
      <c r="F592">
        <v>38.58</v>
      </c>
      <c r="G592" s="3">
        <v>0</v>
      </c>
      <c r="H592" s="3">
        <v>0</v>
      </c>
      <c r="I592" s="3">
        <f>E592+G592+H592</f>
        <v>12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23</v>
      </c>
      <c r="K592" s="3">
        <f>I592-J592</f>
        <v>-11</v>
      </c>
      <c r="L592" s="3" t="str">
        <f>IF(K592&lt;-5,"CRÍTICO",IF(K592&lt;0,"ATENÇÃO",IF(K592&lt;=5,"BOM","EXCELENTE")))</f>
        <v>CRÍTICO</v>
      </c>
      <c r="M592">
        <v>12</v>
      </c>
      <c r="N592">
        <v>99.07</v>
      </c>
      <c r="O592">
        <v>20.098039215686271</v>
      </c>
    </row>
    <row r="593" spans="1:15" hidden="1" x14ac:dyDescent="0.25">
      <c r="A593" s="11">
        <v>46050</v>
      </c>
      <c r="B593" t="s">
        <v>22</v>
      </c>
      <c r="C593" t="s">
        <v>23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>E593+G593+H593</f>
        <v>25</v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19</v>
      </c>
      <c r="K593" s="3">
        <f>I593-J593</f>
        <v>6</v>
      </c>
      <c r="L593" s="3" t="str">
        <f>IF(K593&lt;-5,"CRÍTICO",IF(K593&lt;0,"ATENÇÃO",IF(K593&lt;=5,"BOM","EXCELENTE")))</f>
        <v>EXCELENTE</v>
      </c>
      <c r="M593">
        <v>21</v>
      </c>
      <c r="N593">
        <v>98.91</v>
      </c>
      <c r="O593">
        <v>31.367292225201069</v>
      </c>
    </row>
    <row r="594" spans="1:15" hidden="1" x14ac:dyDescent="0.25">
      <c r="A594" s="11">
        <v>46051</v>
      </c>
      <c r="B594" t="s">
        <v>22</v>
      </c>
      <c r="C594" t="s">
        <v>23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v>0</v>
      </c>
      <c r="J594" s="3">
        <v>0</v>
      </c>
      <c r="K594" s="3">
        <v>0</v>
      </c>
      <c r="L594" s="3" t="str">
        <f>IF(K594&lt;-5,"CRÍTICO",IF(K594&lt;0,"ATENÇÃO",IF(K594&lt;=5,"BOM","EXCELENTE")))</f>
        <v>BOM</v>
      </c>
      <c r="M594">
        <v>0</v>
      </c>
      <c r="N594">
        <v>98.91</v>
      </c>
      <c r="O594">
        <v>31.367292225201069</v>
      </c>
    </row>
    <row r="595" spans="1:15" hidden="1" x14ac:dyDescent="0.25">
      <c r="A595" s="5">
        <v>46150</v>
      </c>
      <c r="B595" s="6" t="s">
        <v>51</v>
      </c>
      <c r="C595" s="3" t="s">
        <v>48</v>
      </c>
      <c r="D595" s="3">
        <v>19</v>
      </c>
      <c r="E595" s="3">
        <v>17</v>
      </c>
      <c r="F595">
        <v>23.59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 t="str">
        <f>IF(K595&lt;-5,"CRÍTICO",IF(K595&lt;0,"ATENÇÃO",IF(K595&lt;=5,"BOM","EXCELENTE")))</f>
        <v>BOM</v>
      </c>
      <c r="M595">
        <v>16</v>
      </c>
      <c r="N595">
        <v>98.81</v>
      </c>
      <c r="O595">
        <v>22.767857142857139</v>
      </c>
    </row>
    <row r="596" spans="1:15" hidden="1" x14ac:dyDescent="0.25">
      <c r="A596" s="5">
        <v>46150</v>
      </c>
      <c r="B596" s="6" t="s">
        <v>52</v>
      </c>
      <c r="C596" s="3" t="s">
        <v>48</v>
      </c>
      <c r="D596" s="3">
        <v>25</v>
      </c>
      <c r="E596" s="3">
        <v>23</v>
      </c>
      <c r="F596">
        <v>12.17</v>
      </c>
      <c r="G596" s="3">
        <v>6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6</v>
      </c>
      <c r="L596" s="3" t="str">
        <f>IF(K596&lt;-5,"CRÍTICO",IF(K596&lt;0,"ATENÇÃO",IF(K596&lt;=5,"BOM","EXCELENTE")))</f>
        <v>EXCELENTE</v>
      </c>
      <c r="M596">
        <v>26</v>
      </c>
      <c r="N596">
        <v>99.01</v>
      </c>
      <c r="O596">
        <v>17.766497461928939</v>
      </c>
    </row>
    <row r="597" spans="1:15" hidden="1" x14ac:dyDescent="0.25">
      <c r="A597" s="5">
        <v>46150</v>
      </c>
      <c r="B597" s="6" t="s">
        <v>53</v>
      </c>
      <c r="C597" s="3" t="s">
        <v>48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 t="str">
        <f>IF(K597&lt;-5,"CRÍTICO",IF(K597&lt;0,"ATENÇÃO",IF(K597&lt;=5,"BOM","EXCELENTE")))</f>
        <v>BOM</v>
      </c>
      <c r="M597" s="9">
        <v>0</v>
      </c>
      <c r="N597" s="9">
        <v>100</v>
      </c>
      <c r="O597" s="9">
        <v>17.241379310344829</v>
      </c>
    </row>
    <row r="598" spans="1:15" hidden="1" x14ac:dyDescent="0.25">
      <c r="A598" s="5">
        <v>46150</v>
      </c>
      <c r="B598" s="6" t="s">
        <v>54</v>
      </c>
      <c r="C598" s="9" t="s">
        <v>48</v>
      </c>
      <c r="D598" s="3">
        <v>30</v>
      </c>
      <c r="E598" s="3">
        <v>27</v>
      </c>
      <c r="F598">
        <v>15.28</v>
      </c>
      <c r="G598" s="3">
        <v>0</v>
      </c>
      <c r="H598" s="3">
        <v>0</v>
      </c>
      <c r="I598" s="3">
        <f>E598+G598+H598</f>
        <v>27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4</v>
      </c>
      <c r="L598" s="3" t="str">
        <f>IF(K598&lt;-5,"CRÍTICO",IF(K598&lt;0,"ATENÇÃO",IF(K598&lt;=5,"BOM","EXCELENTE")))</f>
        <v>BOM</v>
      </c>
      <c r="M598">
        <v>22</v>
      </c>
      <c r="N598">
        <v>98.98</v>
      </c>
      <c r="O598">
        <v>19.35483870967742</v>
      </c>
    </row>
    <row r="599" spans="1:15" hidden="1" x14ac:dyDescent="0.25">
      <c r="A599" s="5">
        <v>46150</v>
      </c>
      <c r="B599" s="6" t="s">
        <v>55</v>
      </c>
      <c r="C599" s="3" t="s">
        <v>48</v>
      </c>
      <c r="D599" s="3">
        <v>25</v>
      </c>
      <c r="E599" s="3">
        <v>20</v>
      </c>
      <c r="F599">
        <v>14.16</v>
      </c>
      <c r="G599" s="3">
        <v>3</v>
      </c>
      <c r="H599" s="3">
        <v>0</v>
      </c>
      <c r="I599" s="3">
        <f>E599+G599+H599</f>
        <v>23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0</v>
      </c>
      <c r="L599" s="3" t="str">
        <f>IF(K599&lt;-5,"CRÍTICO",IF(K599&lt;0,"ATENÇÃO",IF(K599&lt;=5,"BOM","EXCELENTE")))</f>
        <v>BOM</v>
      </c>
      <c r="M599">
        <v>24</v>
      </c>
      <c r="N599">
        <v>98.94</v>
      </c>
      <c r="O599">
        <v>21.270718232044199</v>
      </c>
    </row>
    <row r="600" spans="1:15" hidden="1" x14ac:dyDescent="0.25">
      <c r="A600" s="5">
        <v>46150</v>
      </c>
      <c r="B600" s="6" t="s">
        <v>56</v>
      </c>
      <c r="C600" s="3" t="s">
        <v>48</v>
      </c>
      <c r="D600" s="3">
        <v>22</v>
      </c>
      <c r="E600" s="3">
        <v>18</v>
      </c>
      <c r="F600">
        <v>15.45</v>
      </c>
      <c r="G600" s="3">
        <v>3</v>
      </c>
      <c r="H600" s="3">
        <v>0</v>
      </c>
      <c r="I600" s="3">
        <f>E600+G600+H600</f>
        <v>21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-2</v>
      </c>
      <c r="L600" s="3" t="str">
        <f>IF(K600&lt;-5,"CRÍTICO",IF(K600&lt;0,"ATENÇÃO",IF(K600&lt;=5,"BOM","EXCELENTE")))</f>
        <v>ATENÇÃO</v>
      </c>
      <c r="M600">
        <v>18</v>
      </c>
      <c r="N600">
        <v>99</v>
      </c>
      <c r="O600">
        <v>22.010869565217391</v>
      </c>
    </row>
    <row r="601" spans="1:15" hidden="1" x14ac:dyDescent="0.25">
      <c r="A601" s="5">
        <v>46150</v>
      </c>
      <c r="B601" s="6" t="s">
        <v>57</v>
      </c>
      <c r="C601" s="3" t="s">
        <v>48</v>
      </c>
      <c r="D601" s="3">
        <v>26</v>
      </c>
      <c r="E601" s="3">
        <v>26</v>
      </c>
      <c r="F601">
        <v>20.059999999999999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>IF(K601&lt;-5,"CRÍTICO",IF(K601&lt;0,"ATENÇÃO",IF(K601&lt;=5,"BOM","EXCELENTE")))</f>
        <v>BOM</v>
      </c>
      <c r="M601">
        <v>21</v>
      </c>
      <c r="N601">
        <v>100</v>
      </c>
      <c r="O601">
        <v>25</v>
      </c>
    </row>
    <row r="602" spans="1:15" hidden="1" x14ac:dyDescent="0.25">
      <c r="A602" s="5">
        <v>46150</v>
      </c>
      <c r="B602" s="6" t="s">
        <v>58</v>
      </c>
      <c r="C602" s="3" t="s">
        <v>48</v>
      </c>
      <c r="D602" s="3">
        <v>19</v>
      </c>
      <c r="E602" s="3">
        <v>19</v>
      </c>
      <c r="F602">
        <v>17.079999999999998</v>
      </c>
      <c r="G602" s="3">
        <v>0</v>
      </c>
      <c r="H602" s="3">
        <v>0</v>
      </c>
      <c r="I602" s="3">
        <f>E602+G602+H602</f>
        <v>19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-4</v>
      </c>
      <c r="L602" s="3" t="str">
        <f>IF(K602&lt;-5,"CRÍTICO",IF(K602&lt;0,"ATENÇÃO",IF(K602&lt;=5,"BOM","EXCELENTE")))</f>
        <v>ATENÇÃO</v>
      </c>
      <c r="M602">
        <v>17</v>
      </c>
      <c r="N602">
        <v>100</v>
      </c>
      <c r="O602">
        <v>20.183486238532112</v>
      </c>
    </row>
    <row r="603" spans="1:15" hidden="1" x14ac:dyDescent="0.25">
      <c r="A603" s="5">
        <v>46153</v>
      </c>
      <c r="B603" s="6" t="s">
        <v>47</v>
      </c>
      <c r="C603" s="3" t="s">
        <v>48</v>
      </c>
      <c r="D603" s="3">
        <v>36</v>
      </c>
      <c r="E603" s="3">
        <v>29</v>
      </c>
      <c r="F603">
        <v>11.5</v>
      </c>
      <c r="G603" s="3">
        <v>5</v>
      </c>
      <c r="H603" s="3">
        <v>0</v>
      </c>
      <c r="I603" s="3">
        <f>E603+G603+H603</f>
        <v>34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10</v>
      </c>
      <c r="L603" s="3" t="str">
        <f>IF(K603&lt;-5,"CRÍTICO",IF(K603&lt;0,"ATENÇÃO",IF(K603&lt;=5,"BOM","EXCELENTE")))</f>
        <v>EXCELENTE</v>
      </c>
      <c r="M603" s="3">
        <v>18</v>
      </c>
      <c r="N603" s="3">
        <v>99.18</v>
      </c>
      <c r="O603" s="3">
        <v>24.501424501424498</v>
      </c>
    </row>
    <row r="604" spans="1:15" hidden="1" x14ac:dyDescent="0.25">
      <c r="A604" s="5">
        <v>46153</v>
      </c>
      <c r="B604" s="6" t="s">
        <v>49</v>
      </c>
      <c r="C604" s="3" t="s">
        <v>48</v>
      </c>
      <c r="D604" s="3">
        <v>31</v>
      </c>
      <c r="E604" s="3">
        <v>29</v>
      </c>
      <c r="F604">
        <v>17.13</v>
      </c>
      <c r="G604" s="3">
        <v>1</v>
      </c>
      <c r="H604" s="3">
        <v>0</v>
      </c>
      <c r="I604" s="3">
        <f>E604+G604+H604</f>
        <v>30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6</v>
      </c>
      <c r="L604" s="3" t="str">
        <f>IF(K604&lt;-5,"CRÍTICO",IF(K604&lt;0,"ATENÇÃO",IF(K604&lt;=5,"BOM","EXCELENTE")))</f>
        <v>EXCELENTE</v>
      </c>
      <c r="M604">
        <v>30</v>
      </c>
      <c r="N604">
        <v>99.35</v>
      </c>
      <c r="O604">
        <v>19.852941176470591</v>
      </c>
    </row>
    <row r="605" spans="1:15" hidden="1" x14ac:dyDescent="0.25">
      <c r="A605" s="5">
        <v>46153</v>
      </c>
      <c r="B605" s="6" t="s">
        <v>50</v>
      </c>
      <c r="C605" s="9" t="s">
        <v>48</v>
      </c>
      <c r="D605" s="3">
        <v>22</v>
      </c>
      <c r="E605" s="3">
        <v>22</v>
      </c>
      <c r="F605">
        <v>26.55</v>
      </c>
      <c r="G605" s="3">
        <v>4</v>
      </c>
      <c r="H605" s="3">
        <v>0</v>
      </c>
      <c r="I605" s="3">
        <f>E605+G605+H605</f>
        <v>26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24</v>
      </c>
      <c r="K605" s="3">
        <f>I605-J605</f>
        <v>2</v>
      </c>
      <c r="L605" s="3" t="str">
        <f>IF(K605&lt;-5,"CRÍTICO",IF(K605&lt;0,"ATENÇÃO",IF(K605&lt;=5,"BOM","EXCELENTE")))</f>
        <v>BOM</v>
      </c>
      <c r="M605">
        <v>26</v>
      </c>
      <c r="N605">
        <v>99.07</v>
      </c>
      <c r="O605">
        <v>20.098039215686271</v>
      </c>
    </row>
    <row r="606" spans="1:15" hidden="1" x14ac:dyDescent="0.25">
      <c r="A606" s="5">
        <v>46153</v>
      </c>
      <c r="B606" s="6" t="s">
        <v>51</v>
      </c>
      <c r="C606" s="3" t="s">
        <v>48</v>
      </c>
      <c r="D606" s="3">
        <v>30</v>
      </c>
      <c r="E606" s="3">
        <v>27</v>
      </c>
      <c r="F606">
        <v>16.46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 t="str">
        <f>IF(K606&lt;-5,"CRÍTICO",IF(K606&lt;0,"ATENÇÃO",IF(K606&lt;=5,"BOM","EXCELENTE")))</f>
        <v>BOM</v>
      </c>
      <c r="M606">
        <v>22</v>
      </c>
      <c r="N606">
        <v>98.81</v>
      </c>
      <c r="O606">
        <v>22.767857142857139</v>
      </c>
    </row>
    <row r="607" spans="1:15" hidden="1" x14ac:dyDescent="0.25">
      <c r="A607" s="5">
        <v>46153</v>
      </c>
      <c r="B607" s="6" t="s">
        <v>52</v>
      </c>
      <c r="C607" s="3" t="s">
        <v>48</v>
      </c>
      <c r="D607" s="3">
        <v>28</v>
      </c>
      <c r="E607" s="3">
        <v>27</v>
      </c>
      <c r="F607">
        <v>15.05</v>
      </c>
      <c r="G607" s="3">
        <v>4</v>
      </c>
      <c r="H607" s="3">
        <v>0</v>
      </c>
      <c r="I607" s="3">
        <f>E607+G607+H607</f>
        <v>31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24</v>
      </c>
      <c r="K607" s="3">
        <f>I607-J607</f>
        <v>7</v>
      </c>
      <c r="L607" s="3" t="str">
        <f>IF(K607&lt;-5,"CRÍTICO",IF(K607&lt;0,"ATENÇÃO",IF(K607&lt;=5,"BOM","EXCELENTE")))</f>
        <v>EXCELENTE</v>
      </c>
      <c r="M607">
        <v>27</v>
      </c>
      <c r="N607">
        <v>99.01</v>
      </c>
      <c r="O607">
        <v>17.766497461928939</v>
      </c>
    </row>
    <row r="608" spans="1:15" hidden="1" x14ac:dyDescent="0.25">
      <c r="A608" s="5">
        <v>46153</v>
      </c>
      <c r="B608" s="6" t="s">
        <v>53</v>
      </c>
      <c r="C608" s="3" t="s">
        <v>48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 t="str">
        <f>IF(K608&lt;-5,"CRÍTICO",IF(K608&lt;0,"ATENÇÃO",IF(K608&lt;=5,"BOM","EXCELENTE")))</f>
        <v>BOM</v>
      </c>
      <c r="M608" s="9">
        <v>0</v>
      </c>
      <c r="N608" s="9">
        <v>100</v>
      </c>
      <c r="O608" s="9">
        <v>17.241379310344829</v>
      </c>
    </row>
    <row r="609" spans="1:15" hidden="1" x14ac:dyDescent="0.25">
      <c r="A609" s="5">
        <v>46153</v>
      </c>
      <c r="B609" s="6" t="s">
        <v>54</v>
      </c>
      <c r="C609" s="9" t="s">
        <v>48</v>
      </c>
      <c r="D609" s="3">
        <v>26</v>
      </c>
      <c r="E609" s="3">
        <v>24</v>
      </c>
      <c r="F609">
        <v>18.309999999999999</v>
      </c>
      <c r="G609" s="3">
        <v>0</v>
      </c>
      <c r="H609" s="3">
        <v>0</v>
      </c>
      <c r="I609" s="3">
        <f>E609+G609+H609</f>
        <v>24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0</v>
      </c>
      <c r="L609" s="3" t="str">
        <f>IF(K609&lt;-5,"CRÍTICO",IF(K609&lt;0,"ATENÇÃO",IF(K609&lt;=5,"BOM","EXCELENTE")))</f>
        <v>BOM</v>
      </c>
      <c r="M609">
        <v>23</v>
      </c>
      <c r="N609">
        <v>98.98</v>
      </c>
      <c r="O609">
        <v>19.35483870967742</v>
      </c>
    </row>
    <row r="610" spans="1:15" hidden="1" x14ac:dyDescent="0.25">
      <c r="A610" s="5">
        <v>46153</v>
      </c>
      <c r="B610" s="6" t="s">
        <v>55</v>
      </c>
      <c r="C610" s="3" t="s">
        <v>48</v>
      </c>
      <c r="D610" s="3">
        <v>39</v>
      </c>
      <c r="E610" s="3">
        <v>31</v>
      </c>
      <c r="F610">
        <v>12</v>
      </c>
      <c r="G610" s="3">
        <v>1</v>
      </c>
      <c r="H610" s="3">
        <v>0</v>
      </c>
      <c r="I610" s="3">
        <f>E610+G610+H610</f>
        <v>32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8</v>
      </c>
      <c r="L610" s="3" t="str">
        <f>IF(K610&lt;-5,"CRÍTICO",IF(K610&lt;0,"ATENÇÃO",IF(K610&lt;=5,"BOM","EXCELENTE")))</f>
        <v>EXCELENTE</v>
      </c>
      <c r="M610">
        <v>25</v>
      </c>
      <c r="N610">
        <v>98.94</v>
      </c>
      <c r="O610">
        <v>21.270718232044199</v>
      </c>
    </row>
    <row r="611" spans="1:15" hidden="1" x14ac:dyDescent="0.25">
      <c r="A611" s="5">
        <v>46153</v>
      </c>
      <c r="B611" s="6" t="s">
        <v>56</v>
      </c>
      <c r="C611" s="3" t="s">
        <v>48</v>
      </c>
      <c r="D611" s="3">
        <v>25</v>
      </c>
      <c r="E611" s="3">
        <v>22</v>
      </c>
      <c r="F611">
        <v>17.13</v>
      </c>
      <c r="G611" s="3">
        <v>2</v>
      </c>
      <c r="H611" s="3">
        <v>0</v>
      </c>
      <c r="I611" s="3">
        <f>E611+G611+H611</f>
        <v>24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24</v>
      </c>
      <c r="K611" s="3">
        <f>I611-J611</f>
        <v>0</v>
      </c>
      <c r="L611" s="3" t="str">
        <f>IF(K611&lt;-5,"CRÍTICO",IF(K611&lt;0,"ATENÇÃO",IF(K611&lt;=5,"BOM","EXCELENTE")))</f>
        <v>BOM</v>
      </c>
      <c r="M611">
        <v>21</v>
      </c>
      <c r="N611">
        <v>99</v>
      </c>
      <c r="O611">
        <v>22.010869565217391</v>
      </c>
    </row>
    <row r="612" spans="1:15" hidden="1" x14ac:dyDescent="0.25">
      <c r="A612" s="5">
        <v>46153</v>
      </c>
      <c r="B612" s="6" t="s">
        <v>57</v>
      </c>
      <c r="C612" s="3" t="s">
        <v>48</v>
      </c>
      <c r="D612" s="3">
        <v>31</v>
      </c>
      <c r="E612" s="3">
        <v>30</v>
      </c>
      <c r="F612">
        <v>17.05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>IF(K612&lt;-5,"CRÍTICO",IF(K612&lt;0,"ATENÇÃO",IF(K612&lt;=5,"BOM","EXCELENTE")))</f>
        <v>BOM</v>
      </c>
      <c r="M612">
        <v>25</v>
      </c>
      <c r="N612">
        <v>100</v>
      </c>
      <c r="O612">
        <v>25</v>
      </c>
    </row>
    <row r="613" spans="1:15" hidden="1" x14ac:dyDescent="0.25">
      <c r="A613" s="5">
        <v>46153</v>
      </c>
      <c r="B613" s="6" t="s">
        <v>58</v>
      </c>
      <c r="C613" s="3" t="s">
        <v>48</v>
      </c>
      <c r="D613" s="3">
        <v>9</v>
      </c>
      <c r="E613" s="3">
        <v>8</v>
      </c>
      <c r="F613">
        <v>23.37</v>
      </c>
      <c r="G613" s="3">
        <v>0</v>
      </c>
      <c r="H613" s="3">
        <v>0</v>
      </c>
      <c r="I613" s="3">
        <f>E613+G613+H613</f>
        <v>8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24</v>
      </c>
      <c r="K613" s="3">
        <f>I613-J613</f>
        <v>-16</v>
      </c>
      <c r="L613" s="3" t="str">
        <f>IF(K613&lt;-5,"CRÍTICO",IF(K613&lt;0,"ATENÇÃO",IF(K613&lt;=5,"BOM","EXCELENTE")))</f>
        <v>CRÍTICO</v>
      </c>
      <c r="M613">
        <v>7</v>
      </c>
      <c r="N613">
        <v>100</v>
      </c>
      <c r="O613">
        <v>20.183486238532112</v>
      </c>
    </row>
    <row r="614" spans="1:15" hidden="1" x14ac:dyDescent="0.25">
      <c r="A614" s="5">
        <v>46154</v>
      </c>
      <c r="B614" s="6" t="s">
        <v>47</v>
      </c>
      <c r="C614" s="3" t="s">
        <v>48</v>
      </c>
      <c r="D614" s="3">
        <v>25</v>
      </c>
      <c r="E614" s="3">
        <v>18</v>
      </c>
      <c r="F614">
        <v>9</v>
      </c>
      <c r="G614" s="3">
        <v>8</v>
      </c>
      <c r="H614" s="3">
        <v>0</v>
      </c>
      <c r="I614" s="3">
        <f>E614+G614+H614</f>
        <v>26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</v>
      </c>
      <c r="L614" s="3" t="str">
        <f>IF(K614&lt;-5,"CRÍTICO",IF(K614&lt;0,"ATENÇÃO",IF(K614&lt;=5,"BOM","EXCELENTE")))</f>
        <v>BOM</v>
      </c>
      <c r="M614" s="3">
        <v>17</v>
      </c>
      <c r="N614" s="3">
        <v>99.18</v>
      </c>
      <c r="O614" s="3">
        <v>24.501424501424498</v>
      </c>
    </row>
    <row r="615" spans="1:15" hidden="1" x14ac:dyDescent="0.25">
      <c r="A615" s="5">
        <v>46154</v>
      </c>
      <c r="B615" s="6" t="s">
        <v>49</v>
      </c>
      <c r="C615" s="3" t="s">
        <v>48</v>
      </c>
      <c r="D615" s="3">
        <v>38</v>
      </c>
      <c r="E615" s="3">
        <v>35</v>
      </c>
      <c r="F615">
        <v>12.22</v>
      </c>
      <c r="G615" s="3">
        <v>3</v>
      </c>
      <c r="H615" s="3">
        <v>0</v>
      </c>
      <c r="I615" s="3">
        <f>E615+G615+H615</f>
        <v>38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13</v>
      </c>
      <c r="L615" s="3" t="str">
        <f>IF(K615&lt;-5,"CRÍTICO",IF(K615&lt;0,"ATENÇÃO",IF(K615&lt;=5,"BOM","EXCELENTE")))</f>
        <v>EXCELENTE</v>
      </c>
      <c r="M615">
        <v>34</v>
      </c>
      <c r="N615">
        <v>99.35</v>
      </c>
      <c r="O615">
        <v>19.852941176470591</v>
      </c>
    </row>
    <row r="616" spans="1:15" hidden="1" x14ac:dyDescent="0.25">
      <c r="A616" s="5">
        <v>46154</v>
      </c>
      <c r="B616" s="6" t="s">
        <v>50</v>
      </c>
      <c r="C616" s="9" t="s">
        <v>48</v>
      </c>
      <c r="D616" s="3">
        <v>26</v>
      </c>
      <c r="E616" s="3">
        <v>26</v>
      </c>
      <c r="F616">
        <v>27</v>
      </c>
      <c r="G616" s="3">
        <v>0</v>
      </c>
      <c r="H616" s="3">
        <v>0</v>
      </c>
      <c r="I616" s="3">
        <f>E616+G616+H616</f>
        <v>26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25</v>
      </c>
      <c r="K616" s="3">
        <f>I616-J616</f>
        <v>1</v>
      </c>
      <c r="L616" s="3" t="str">
        <f>IF(K616&lt;-5,"CRÍTICO",IF(K616&lt;0,"ATENÇÃO",IF(K616&lt;=5,"BOM","EXCELENTE")))</f>
        <v>BOM</v>
      </c>
      <c r="M616">
        <v>24</v>
      </c>
      <c r="N616">
        <v>99.07</v>
      </c>
      <c r="O616">
        <v>20.098039215686271</v>
      </c>
    </row>
    <row r="617" spans="1:15" hidden="1" x14ac:dyDescent="0.25">
      <c r="A617" s="5">
        <v>46154</v>
      </c>
      <c r="B617" s="6" t="s">
        <v>51</v>
      </c>
      <c r="C617" s="3" t="s">
        <v>48</v>
      </c>
      <c r="D617" s="3">
        <v>37</v>
      </c>
      <c r="E617" s="3">
        <v>30</v>
      </c>
      <c r="F617">
        <v>13.28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 t="str">
        <f>IF(K617&lt;-5,"CRÍTICO",IF(K617&lt;0,"ATENÇÃO",IF(K617&lt;=5,"BOM","EXCELENTE")))</f>
        <v>BOM</v>
      </c>
      <c r="M617">
        <v>27</v>
      </c>
      <c r="N617">
        <v>98.81</v>
      </c>
      <c r="O617">
        <v>22.767857142857139</v>
      </c>
    </row>
    <row r="618" spans="1:15" hidden="1" x14ac:dyDescent="0.25">
      <c r="A618" s="5">
        <v>46154</v>
      </c>
      <c r="B618" s="6" t="s">
        <v>52</v>
      </c>
      <c r="C618" s="3" t="s">
        <v>48</v>
      </c>
      <c r="D618" s="3">
        <v>25</v>
      </c>
      <c r="E618" s="3">
        <v>24</v>
      </c>
      <c r="F618">
        <v>17.21</v>
      </c>
      <c r="G618" s="3">
        <v>5</v>
      </c>
      <c r="H618" s="3">
        <v>0</v>
      </c>
      <c r="I618" s="3">
        <f>E618+G618+H618</f>
        <v>29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25</v>
      </c>
      <c r="K618" s="3">
        <f>I618-J618</f>
        <v>4</v>
      </c>
      <c r="L618" s="3" t="str">
        <f>IF(K618&lt;-5,"CRÍTICO",IF(K618&lt;0,"ATENÇÃO",IF(K618&lt;=5,"BOM","EXCELENTE")))</f>
        <v>BOM</v>
      </c>
      <c r="M618">
        <v>26</v>
      </c>
      <c r="N618">
        <v>99.01</v>
      </c>
      <c r="O618">
        <v>17.766497461928939</v>
      </c>
    </row>
    <row r="619" spans="1:15" hidden="1" x14ac:dyDescent="0.25">
      <c r="A619" s="5">
        <v>46154</v>
      </c>
      <c r="B619" s="6" t="s">
        <v>53</v>
      </c>
      <c r="C619" s="3" t="s">
        <v>48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 t="str">
        <f>IF(K619&lt;-5,"CRÍTICO",IF(K619&lt;0,"ATENÇÃO",IF(K619&lt;=5,"BOM","EXCELENTE")))</f>
        <v>BOM</v>
      </c>
      <c r="M619" s="9">
        <v>0</v>
      </c>
      <c r="N619" s="9">
        <v>100</v>
      </c>
      <c r="O619" s="9">
        <v>17.241379310344829</v>
      </c>
    </row>
    <row r="620" spans="1:15" hidden="1" x14ac:dyDescent="0.25">
      <c r="A620" s="5">
        <v>46154</v>
      </c>
      <c r="B620" s="6" t="s">
        <v>54</v>
      </c>
      <c r="C620" s="9" t="s">
        <v>48</v>
      </c>
      <c r="D620" s="3">
        <v>26</v>
      </c>
      <c r="E620" s="3">
        <v>24</v>
      </c>
      <c r="F620">
        <v>25.14</v>
      </c>
      <c r="G620" s="3">
        <v>0</v>
      </c>
      <c r="H620" s="3">
        <v>0</v>
      </c>
      <c r="I620" s="3">
        <f>E620+G620+H620</f>
        <v>24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-1</v>
      </c>
      <c r="L620" s="3" t="str">
        <f>IF(K620&lt;-5,"CRÍTICO",IF(K620&lt;0,"ATENÇÃO",IF(K620&lt;=5,"BOM","EXCELENTE")))</f>
        <v>ATENÇÃO</v>
      </c>
      <c r="M620">
        <v>18</v>
      </c>
      <c r="N620">
        <v>98.98</v>
      </c>
      <c r="O620">
        <v>19.35483870967742</v>
      </c>
    </row>
    <row r="621" spans="1:15" hidden="1" x14ac:dyDescent="0.25">
      <c r="A621" s="5">
        <v>46154</v>
      </c>
      <c r="B621" s="6" t="s">
        <v>55</v>
      </c>
      <c r="C621" s="3" t="s">
        <v>48</v>
      </c>
      <c r="D621" s="3">
        <v>29</v>
      </c>
      <c r="E621" s="3">
        <v>26</v>
      </c>
      <c r="F621">
        <v>15.07</v>
      </c>
      <c r="G621" s="3">
        <v>5</v>
      </c>
      <c r="H621" s="3">
        <v>0</v>
      </c>
      <c r="I621" s="3">
        <f>E621+G621+H621</f>
        <v>31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6</v>
      </c>
      <c r="L621" s="3" t="str">
        <f>IF(K621&lt;-5,"CRÍTICO",IF(K621&lt;0,"ATENÇÃO",IF(K621&lt;=5,"BOM","EXCELENTE")))</f>
        <v>EXCELENTE</v>
      </c>
      <c r="M621">
        <v>26</v>
      </c>
      <c r="N621">
        <v>98.94</v>
      </c>
      <c r="O621">
        <v>21.270718232044199</v>
      </c>
    </row>
    <row r="622" spans="1:15" hidden="1" x14ac:dyDescent="0.25">
      <c r="A622" s="5">
        <v>46154</v>
      </c>
      <c r="B622" s="6" t="s">
        <v>56</v>
      </c>
      <c r="C622" s="3" t="s">
        <v>48</v>
      </c>
      <c r="D622" s="3">
        <v>28</v>
      </c>
      <c r="E622" s="3">
        <v>26</v>
      </c>
      <c r="F622">
        <v>23.59</v>
      </c>
      <c r="G622" s="3">
        <v>2</v>
      </c>
      <c r="H622" s="3">
        <v>0</v>
      </c>
      <c r="I622" s="3">
        <f>E622+G622+H622</f>
        <v>28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25</v>
      </c>
      <c r="K622" s="3">
        <f>I622-J622</f>
        <v>3</v>
      </c>
      <c r="L622" s="3" t="str">
        <f>IF(K622&lt;-5,"CRÍTICO",IF(K622&lt;0,"ATENÇÃO",IF(K622&lt;=5,"BOM","EXCELENTE")))</f>
        <v>BOM</v>
      </c>
      <c r="M622">
        <v>22</v>
      </c>
      <c r="N622">
        <v>99</v>
      </c>
      <c r="O622">
        <v>22.010869565217391</v>
      </c>
    </row>
    <row r="623" spans="1:15" hidden="1" x14ac:dyDescent="0.25">
      <c r="A623" s="5">
        <v>46154</v>
      </c>
      <c r="B623" s="6" t="s">
        <v>57</v>
      </c>
      <c r="C623" s="3" t="s">
        <v>48</v>
      </c>
      <c r="D623" s="3">
        <v>25</v>
      </c>
      <c r="E623" s="3">
        <v>24</v>
      </c>
      <c r="F623">
        <v>25.44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 t="str">
        <f>IF(K623&lt;-5,"CRÍTICO",IF(K623&lt;0,"ATENÇÃO",IF(K623&lt;=5,"BOM","EXCELENTE")))</f>
        <v>BOM</v>
      </c>
      <c r="M623">
        <v>19</v>
      </c>
      <c r="N623">
        <v>100</v>
      </c>
      <c r="O623">
        <v>25</v>
      </c>
    </row>
    <row r="624" spans="1:15" hidden="1" x14ac:dyDescent="0.25">
      <c r="A624" s="5">
        <v>46154</v>
      </c>
      <c r="B624" s="6" t="s">
        <v>58</v>
      </c>
      <c r="C624" s="3" t="s">
        <v>48</v>
      </c>
      <c r="D624" s="3">
        <v>30</v>
      </c>
      <c r="E624" s="3">
        <v>26</v>
      </c>
      <c r="F624">
        <v>17.190000000000001</v>
      </c>
      <c r="G624" s="3">
        <v>0</v>
      </c>
      <c r="H624" s="3">
        <v>0</v>
      </c>
      <c r="I624" s="3">
        <f>E624+G624+H624</f>
        <v>26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25</v>
      </c>
      <c r="K624" s="3">
        <f>I624-J624</f>
        <v>1</v>
      </c>
      <c r="L624" s="3" t="str">
        <f>IF(K624&lt;-5,"CRÍTICO",IF(K624&lt;0,"ATENÇÃO",IF(K624&lt;=5,"BOM","EXCELENTE")))</f>
        <v>BOM</v>
      </c>
      <c r="M624">
        <v>22</v>
      </c>
      <c r="N624">
        <v>100</v>
      </c>
      <c r="O624">
        <v>20.183486238532112</v>
      </c>
    </row>
    <row r="625" spans="1:15" hidden="1" x14ac:dyDescent="0.25">
      <c r="A625" s="5">
        <v>46155</v>
      </c>
      <c r="B625" s="6" t="s">
        <v>47</v>
      </c>
      <c r="C625" s="3" t="s">
        <v>48</v>
      </c>
      <c r="D625" s="3">
        <v>28</v>
      </c>
      <c r="E625" s="3">
        <v>21</v>
      </c>
      <c r="F625">
        <v>17.22</v>
      </c>
      <c r="G625" s="3">
        <v>2</v>
      </c>
      <c r="H625" s="3">
        <v>0</v>
      </c>
      <c r="I625" s="3">
        <f>E625+G625+H625</f>
        <v>23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0</v>
      </c>
      <c r="L625" s="3" t="str">
        <f>IF(K625&lt;-5,"CRÍTICO",IF(K625&lt;0,"ATENÇÃO",IF(K625&lt;=5,"BOM","EXCELENTE")))</f>
        <v>BOM</v>
      </c>
      <c r="M625" s="3">
        <v>17</v>
      </c>
      <c r="N625" s="3">
        <v>99.18</v>
      </c>
      <c r="O625" s="3">
        <v>24.501424501424498</v>
      </c>
    </row>
    <row r="626" spans="1:15" hidden="1" x14ac:dyDescent="0.25">
      <c r="A626" s="5">
        <v>46155</v>
      </c>
      <c r="B626" s="6" t="s">
        <v>49</v>
      </c>
      <c r="C626" s="3" t="s">
        <v>48</v>
      </c>
      <c r="D626" s="3">
        <v>33</v>
      </c>
      <c r="E626" s="3">
        <v>29</v>
      </c>
      <c r="F626">
        <v>18.309999999999999</v>
      </c>
      <c r="G626" s="3">
        <v>1</v>
      </c>
      <c r="H626" s="3">
        <v>0</v>
      </c>
      <c r="I626" s="3">
        <f>E626+G626+H626</f>
        <v>30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7</v>
      </c>
      <c r="L626" s="3" t="str">
        <f>IF(K626&lt;-5,"CRÍTICO",IF(K626&lt;0,"ATENÇÃO",IF(K626&lt;=5,"BOM","EXCELENTE")))</f>
        <v>EXCELENTE</v>
      </c>
      <c r="M626">
        <v>30</v>
      </c>
      <c r="N626">
        <v>99.35</v>
      </c>
      <c r="O626">
        <v>19.852941176470591</v>
      </c>
    </row>
    <row r="627" spans="1:15" hidden="1" x14ac:dyDescent="0.25">
      <c r="A627" s="5">
        <v>46155</v>
      </c>
      <c r="B627" s="6" t="s">
        <v>50</v>
      </c>
      <c r="C627" s="9" t="s">
        <v>48</v>
      </c>
      <c r="D627" s="3">
        <v>17</v>
      </c>
      <c r="E627" s="3">
        <v>16</v>
      </c>
      <c r="F627">
        <v>28.53</v>
      </c>
      <c r="G627" s="3">
        <v>5</v>
      </c>
      <c r="H627" s="3">
        <v>0</v>
      </c>
      <c r="I627" s="3">
        <f>E627+G627+H627</f>
        <v>21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-2</v>
      </c>
      <c r="L627" s="3" t="str">
        <f>IF(K627&lt;-5,"CRÍTICO",IF(K627&lt;0,"ATENÇÃO",IF(K627&lt;=5,"BOM","EXCELENTE")))</f>
        <v>ATENÇÃO</v>
      </c>
      <c r="M627">
        <v>19</v>
      </c>
      <c r="N627">
        <v>99.07</v>
      </c>
      <c r="O627">
        <v>20.098039215686271</v>
      </c>
    </row>
    <row r="628" spans="1:15" hidden="1" x14ac:dyDescent="0.25">
      <c r="A628" s="5">
        <v>46155</v>
      </c>
      <c r="B628" s="6" t="s">
        <v>51</v>
      </c>
      <c r="C628" s="3" t="s">
        <v>48</v>
      </c>
      <c r="D628" s="3">
        <v>12</v>
      </c>
      <c r="E628" s="3">
        <v>9</v>
      </c>
      <c r="F628">
        <v>22.13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 t="str">
        <f>IF(K628&lt;-5,"CRÍTICO",IF(K628&lt;0,"ATENÇÃO",IF(K628&lt;=5,"BOM","EXCELENTE")))</f>
        <v>BOM</v>
      </c>
      <c r="M628">
        <v>13</v>
      </c>
      <c r="N628">
        <v>98.81</v>
      </c>
      <c r="O628">
        <v>22.767857142857139</v>
      </c>
    </row>
    <row r="629" spans="1:15" hidden="1" x14ac:dyDescent="0.25">
      <c r="A629" s="5">
        <v>46155</v>
      </c>
      <c r="B629" s="6" t="s">
        <v>52</v>
      </c>
      <c r="C629" s="3" t="s">
        <v>48</v>
      </c>
      <c r="D629" s="3">
        <v>28</v>
      </c>
      <c r="E629" s="3">
        <v>25</v>
      </c>
      <c r="F629">
        <v>20.05</v>
      </c>
      <c r="G629" s="3">
        <v>2</v>
      </c>
      <c r="H629" s="3">
        <v>0</v>
      </c>
      <c r="I629" s="3">
        <f>E629+G629+H629</f>
        <v>27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4</v>
      </c>
      <c r="L629" s="3" t="str">
        <f>IF(K629&lt;-5,"CRÍTICO",IF(K629&lt;0,"ATENÇÃO",IF(K629&lt;=5,"BOM","EXCELENTE")))</f>
        <v>BOM</v>
      </c>
      <c r="M629">
        <v>19</v>
      </c>
      <c r="N629">
        <v>99.01</v>
      </c>
      <c r="O629">
        <v>17.766497461928939</v>
      </c>
    </row>
    <row r="630" spans="1:15" hidden="1" x14ac:dyDescent="0.25">
      <c r="A630" s="5">
        <v>46155</v>
      </c>
      <c r="B630" s="6" t="s">
        <v>53</v>
      </c>
      <c r="C630" s="3" t="s">
        <v>48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 t="str">
        <f>IF(K630&lt;-5,"CRÍTICO",IF(K630&lt;0,"ATENÇÃO",IF(K630&lt;=5,"BOM","EXCELENTE")))</f>
        <v>BOM</v>
      </c>
      <c r="M630" s="9">
        <v>0</v>
      </c>
      <c r="N630" s="9">
        <v>100</v>
      </c>
      <c r="O630" s="9">
        <v>17.241379310344829</v>
      </c>
    </row>
    <row r="631" spans="1:15" hidden="1" x14ac:dyDescent="0.25">
      <c r="A631" s="5">
        <v>46155</v>
      </c>
      <c r="B631" s="6" t="s">
        <v>54</v>
      </c>
      <c r="C631" s="9" t="s">
        <v>48</v>
      </c>
      <c r="D631" s="3">
        <v>21</v>
      </c>
      <c r="E631" s="3">
        <v>21</v>
      </c>
      <c r="F631">
        <v>28.56</v>
      </c>
      <c r="G631" s="3">
        <v>1</v>
      </c>
      <c r="H631" s="3">
        <v>0</v>
      </c>
      <c r="I631" s="3">
        <f>E631+G631+H631</f>
        <v>22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-1</v>
      </c>
      <c r="L631" s="3" t="str">
        <f>IF(K631&lt;-5,"CRÍTICO",IF(K631&lt;0,"ATENÇÃO",IF(K631&lt;=5,"BOM","EXCELENTE")))</f>
        <v>ATENÇÃO</v>
      </c>
      <c r="M631">
        <v>22</v>
      </c>
      <c r="N631">
        <v>98.98</v>
      </c>
      <c r="O631">
        <v>19.35483870967742</v>
      </c>
    </row>
    <row r="632" spans="1:15" hidden="1" x14ac:dyDescent="0.25">
      <c r="A632" s="5">
        <v>46155</v>
      </c>
      <c r="B632" s="6" t="s">
        <v>55</v>
      </c>
      <c r="C632" s="3" t="s">
        <v>48</v>
      </c>
      <c r="D632" s="3">
        <v>33</v>
      </c>
      <c r="E632" s="3">
        <v>27</v>
      </c>
      <c r="F632">
        <v>15.43</v>
      </c>
      <c r="G632" s="3">
        <v>0</v>
      </c>
      <c r="H632" s="3">
        <v>0</v>
      </c>
      <c r="I632" s="3">
        <f>E632+G632+H632</f>
        <v>27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4</v>
      </c>
      <c r="L632" s="3" t="str">
        <f>IF(K632&lt;-5,"CRÍTICO",IF(K632&lt;0,"ATENÇÃO",IF(K632&lt;=5,"BOM","EXCELENTE")))</f>
        <v>BOM</v>
      </c>
      <c r="M632">
        <v>23</v>
      </c>
      <c r="N632">
        <v>98.94</v>
      </c>
      <c r="O632">
        <v>21.270718232044199</v>
      </c>
    </row>
    <row r="633" spans="1:15" hidden="1" x14ac:dyDescent="0.25">
      <c r="A633" s="5">
        <v>46155</v>
      </c>
      <c r="B633" s="6" t="s">
        <v>56</v>
      </c>
      <c r="C633" s="3" t="s">
        <v>48</v>
      </c>
      <c r="D633" s="3">
        <v>21</v>
      </c>
      <c r="E633" s="3">
        <v>20</v>
      </c>
      <c r="F633">
        <v>22.3</v>
      </c>
      <c r="G633" s="3">
        <v>5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>IF(K633&lt;-5,"CRÍTICO",IF(K633&lt;0,"ATENÇÃO",IF(K633&lt;=5,"BOM","EXCELENTE")))</f>
        <v>BOM</v>
      </c>
      <c r="M633">
        <v>22</v>
      </c>
      <c r="N633">
        <v>99</v>
      </c>
      <c r="O633">
        <v>22.010869565217391</v>
      </c>
    </row>
    <row r="634" spans="1:15" hidden="1" x14ac:dyDescent="0.25">
      <c r="A634" s="5">
        <v>46155</v>
      </c>
      <c r="B634" s="6" t="s">
        <v>57</v>
      </c>
      <c r="C634" s="3" t="s">
        <v>48</v>
      </c>
      <c r="D634" s="3">
        <v>30</v>
      </c>
      <c r="E634" s="3">
        <v>29</v>
      </c>
      <c r="F634">
        <v>15.49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>IF(K634&lt;-5,"CRÍTICO",IF(K634&lt;0,"ATENÇÃO",IF(K634&lt;=5,"BOM","EXCELENTE")))</f>
        <v>BOM</v>
      </c>
      <c r="M634">
        <v>26</v>
      </c>
      <c r="N634">
        <v>100</v>
      </c>
      <c r="O634">
        <v>25</v>
      </c>
    </row>
    <row r="635" spans="1:15" hidden="1" x14ac:dyDescent="0.25">
      <c r="A635" s="5">
        <v>46155</v>
      </c>
      <c r="B635" s="6" t="s">
        <v>58</v>
      </c>
      <c r="C635" s="3" t="s">
        <v>48</v>
      </c>
      <c r="D635" s="3">
        <v>24</v>
      </c>
      <c r="E635" s="3">
        <v>22</v>
      </c>
      <c r="F635">
        <v>21.47</v>
      </c>
      <c r="G635" s="3">
        <v>0</v>
      </c>
      <c r="H635" s="3">
        <v>0</v>
      </c>
      <c r="I635" s="3">
        <f>E635+G635+H635</f>
        <v>22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-1</v>
      </c>
      <c r="L635" s="3" t="str">
        <f>IF(K635&lt;-5,"CRÍTICO",IF(K635&lt;0,"ATENÇÃO",IF(K635&lt;=5,"BOM","EXCELENTE")))</f>
        <v>ATENÇÃO</v>
      </c>
      <c r="M635">
        <v>18</v>
      </c>
      <c r="N635">
        <v>100</v>
      </c>
      <c r="O635">
        <v>20.183486238532112</v>
      </c>
    </row>
    <row r="636" spans="1:15" hidden="1" x14ac:dyDescent="0.25">
      <c r="A636" s="5">
        <v>46156</v>
      </c>
      <c r="B636" s="6" t="s">
        <v>47</v>
      </c>
      <c r="C636" s="3" t="s">
        <v>48</v>
      </c>
      <c r="D636" s="3">
        <v>33</v>
      </c>
      <c r="E636" s="3">
        <v>28</v>
      </c>
      <c r="F636">
        <v>10.58</v>
      </c>
      <c r="G636" s="3">
        <v>6</v>
      </c>
      <c r="H636" s="3">
        <v>0</v>
      </c>
      <c r="I636" s="3">
        <f>E636+G636+H636</f>
        <v>34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11</v>
      </c>
      <c r="L636" s="3" t="str">
        <f>IF(K636&lt;-5,"CRÍTICO",IF(K636&lt;0,"ATENÇÃO",IF(K636&lt;=5,"BOM","EXCELENTE")))</f>
        <v>EXCELENTE</v>
      </c>
      <c r="M636" s="3">
        <v>23</v>
      </c>
      <c r="N636" s="3">
        <v>99.18</v>
      </c>
      <c r="O636" s="3">
        <v>24.501424501424498</v>
      </c>
    </row>
    <row r="637" spans="1:15" hidden="1" x14ac:dyDescent="0.25">
      <c r="A637" s="5">
        <v>46156</v>
      </c>
      <c r="B637" s="6" t="s">
        <v>49</v>
      </c>
      <c r="C637" s="3" t="s">
        <v>48</v>
      </c>
      <c r="D637" s="3">
        <v>29</v>
      </c>
      <c r="E637" s="3">
        <v>29</v>
      </c>
      <c r="F637">
        <v>12.28</v>
      </c>
      <c r="G637" s="3">
        <v>4</v>
      </c>
      <c r="H637" s="3">
        <v>0</v>
      </c>
      <c r="I637" s="3">
        <f>E637+G637+H637</f>
        <v>33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23</v>
      </c>
      <c r="K637" s="3">
        <f>I637-J637</f>
        <v>10</v>
      </c>
      <c r="L637" s="3" t="str">
        <f>IF(K637&lt;-5,"CRÍTICO",IF(K637&lt;0,"ATENÇÃO",IF(K637&lt;=5,"BOM","EXCELENTE")))</f>
        <v>EXCELENTE</v>
      </c>
      <c r="M637">
        <v>33</v>
      </c>
      <c r="N637">
        <v>99.35</v>
      </c>
      <c r="O637">
        <v>19.852941176470591</v>
      </c>
    </row>
    <row r="638" spans="1:15" hidden="1" x14ac:dyDescent="0.25">
      <c r="A638" s="11">
        <v>46052</v>
      </c>
      <c r="B638" t="s">
        <v>22</v>
      </c>
      <c r="C638" t="s">
        <v>23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>E638+G638+H638</f>
        <v>31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18</v>
      </c>
      <c r="K638" s="3">
        <f>I638-J638</f>
        <v>13</v>
      </c>
      <c r="L638" s="3" t="str">
        <f>IF(K638&lt;-5,"CRÍTICO",IF(K638&lt;0,"ATENÇÃO",IF(K638&lt;=5,"BOM","EXCELENTE")))</f>
        <v>EXCELENTE</v>
      </c>
      <c r="M638">
        <v>31</v>
      </c>
      <c r="N638">
        <v>98.91</v>
      </c>
      <c r="O638">
        <v>31.367292225201069</v>
      </c>
    </row>
    <row r="639" spans="1:15" hidden="1" x14ac:dyDescent="0.25">
      <c r="A639" s="11">
        <v>46055</v>
      </c>
      <c r="B639" t="s">
        <v>22</v>
      </c>
      <c r="C639" t="s">
        <v>23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>E639+G639+H639</f>
        <v>15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19</v>
      </c>
      <c r="K639" s="3">
        <f>I639-J639</f>
        <v>-4</v>
      </c>
      <c r="L639" s="3" t="str">
        <f>IF(K639&lt;-5,"CRÍTICO",IF(K639&lt;0,"ATENÇÃO",IF(K639&lt;=5,"BOM","EXCELENTE")))</f>
        <v>ATENÇÃO</v>
      </c>
      <c r="M639">
        <v>14</v>
      </c>
      <c r="N639">
        <v>96.67</v>
      </c>
      <c r="O639">
        <v>31.451612903225811</v>
      </c>
    </row>
    <row r="640" spans="1:15" hidden="1" x14ac:dyDescent="0.25">
      <c r="A640" s="5">
        <v>46156</v>
      </c>
      <c r="B640" s="6" t="s">
        <v>50</v>
      </c>
      <c r="C640" s="9" t="s">
        <v>48</v>
      </c>
      <c r="D640" s="3">
        <v>25</v>
      </c>
      <c r="E640" s="3">
        <v>23</v>
      </c>
      <c r="F640">
        <v>20.56</v>
      </c>
      <c r="G640" s="3">
        <v>4</v>
      </c>
      <c r="H640" s="3">
        <v>0</v>
      </c>
      <c r="I640" s="3">
        <f>E640+G640+H640</f>
        <v>27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23</v>
      </c>
      <c r="K640" s="3">
        <f>I640-J640</f>
        <v>4</v>
      </c>
      <c r="L640" s="3" t="str">
        <f>IF(K640&lt;-5,"CRÍTICO",IF(K640&lt;0,"ATENÇÃO",IF(K640&lt;=5,"BOM","EXCELENTE")))</f>
        <v>BOM</v>
      </c>
      <c r="M640">
        <v>25</v>
      </c>
      <c r="N640">
        <v>99.07</v>
      </c>
      <c r="O640">
        <v>20.098039215686271</v>
      </c>
    </row>
    <row r="641" spans="1:15" hidden="1" x14ac:dyDescent="0.25">
      <c r="A641" s="5">
        <v>46156</v>
      </c>
      <c r="B641" s="6" t="s">
        <v>51</v>
      </c>
      <c r="C641" s="3" t="s">
        <v>48</v>
      </c>
      <c r="D641" s="3">
        <v>22</v>
      </c>
      <c r="E641" s="3">
        <v>18</v>
      </c>
      <c r="F641">
        <v>25.02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 t="str">
        <f>IF(K641&lt;-5,"CRÍTICO",IF(K641&lt;0,"ATENÇÃO",IF(K641&lt;=5,"BOM","EXCELENTE")))</f>
        <v>BOM</v>
      </c>
      <c r="M641">
        <v>17</v>
      </c>
      <c r="N641">
        <v>98.81</v>
      </c>
      <c r="O641">
        <v>22.767857142857139</v>
      </c>
    </row>
    <row r="642" spans="1:15" hidden="1" x14ac:dyDescent="0.25">
      <c r="A642" s="5">
        <v>46156</v>
      </c>
      <c r="B642" s="6" t="s">
        <v>52</v>
      </c>
      <c r="C642" s="3" t="s">
        <v>48</v>
      </c>
      <c r="D642" s="3">
        <v>14</v>
      </c>
      <c r="E642" s="3">
        <v>13</v>
      </c>
      <c r="F642">
        <v>19.05</v>
      </c>
      <c r="G642" s="3">
        <v>0</v>
      </c>
      <c r="H642" s="3">
        <v>0</v>
      </c>
      <c r="I642" s="3">
        <f>E642+G642+H642</f>
        <v>13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23</v>
      </c>
      <c r="K642" s="3">
        <f>I642-J642</f>
        <v>-10</v>
      </c>
      <c r="L642" s="3" t="str">
        <f>IF(K642&lt;-5,"CRÍTICO",IF(K642&lt;0,"ATENÇÃO",IF(K642&lt;=5,"BOM","EXCELENTE")))</f>
        <v>CRÍTICO</v>
      </c>
      <c r="M642">
        <v>18</v>
      </c>
      <c r="N642">
        <v>99.01</v>
      </c>
      <c r="O642">
        <v>17.766497461928939</v>
      </c>
    </row>
    <row r="643" spans="1:15" hidden="1" x14ac:dyDescent="0.25">
      <c r="A643" s="5">
        <v>46156</v>
      </c>
      <c r="B643" s="6" t="s">
        <v>53</v>
      </c>
      <c r="C643" s="3" t="s">
        <v>48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 t="str">
        <f>IF(K643&lt;-5,"CRÍTICO",IF(K643&lt;0,"ATENÇÃO",IF(K643&lt;=5,"BOM","EXCELENTE")))</f>
        <v>BOM</v>
      </c>
      <c r="M643" s="9">
        <v>0</v>
      </c>
      <c r="N643" s="9">
        <v>100</v>
      </c>
      <c r="O643" s="9">
        <v>17.241379310344829</v>
      </c>
    </row>
    <row r="644" spans="1:15" hidden="1" x14ac:dyDescent="0.25">
      <c r="A644" s="5">
        <v>46156</v>
      </c>
      <c r="B644" s="6" t="s">
        <v>54</v>
      </c>
      <c r="C644" s="9" t="s">
        <v>48</v>
      </c>
      <c r="D644" s="3">
        <v>17</v>
      </c>
      <c r="E644" s="3">
        <v>17</v>
      </c>
      <c r="F644">
        <v>28.35</v>
      </c>
      <c r="G644" s="3">
        <v>0</v>
      </c>
      <c r="H644" s="3">
        <v>0</v>
      </c>
      <c r="I644" s="3">
        <f>E644+G644+H644</f>
        <v>17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-6</v>
      </c>
      <c r="L644" s="3" t="str">
        <f>IF(K644&lt;-5,"CRÍTICO",IF(K644&lt;0,"ATENÇÃO",IF(K644&lt;=5,"BOM","EXCELENTE")))</f>
        <v>CRÍTICO</v>
      </c>
      <c r="M644">
        <v>13</v>
      </c>
      <c r="N644">
        <v>98.98</v>
      </c>
      <c r="O644">
        <v>19.35483870967742</v>
      </c>
    </row>
    <row r="645" spans="1:15" hidden="1" x14ac:dyDescent="0.25">
      <c r="A645" s="5">
        <v>46156</v>
      </c>
      <c r="B645" s="6" t="s">
        <v>55</v>
      </c>
      <c r="C645" s="3" t="s">
        <v>48</v>
      </c>
      <c r="D645" s="3">
        <v>9</v>
      </c>
      <c r="E645" s="3">
        <v>9</v>
      </c>
      <c r="F645">
        <v>25.25</v>
      </c>
      <c r="G645" s="3">
        <v>1</v>
      </c>
      <c r="H645" s="3">
        <v>0</v>
      </c>
      <c r="I645" s="3">
        <f>E645+G645+H645</f>
        <v>10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-13</v>
      </c>
      <c r="L645" s="3" t="str">
        <f>IF(K645&lt;-5,"CRÍTICO",IF(K645&lt;0,"ATENÇÃO",IF(K645&lt;=5,"BOM","EXCELENTE")))</f>
        <v>CRÍTICO</v>
      </c>
      <c r="M645">
        <v>9</v>
      </c>
      <c r="N645">
        <v>98.94</v>
      </c>
      <c r="O645">
        <v>21.270718232044199</v>
      </c>
    </row>
    <row r="646" spans="1:15" hidden="1" x14ac:dyDescent="0.25">
      <c r="A646" s="5">
        <v>46156</v>
      </c>
      <c r="B646" s="6" t="s">
        <v>56</v>
      </c>
      <c r="C646" s="3" t="s">
        <v>48</v>
      </c>
      <c r="D646" s="3">
        <v>26</v>
      </c>
      <c r="E646" s="3">
        <v>24</v>
      </c>
      <c r="F646">
        <v>18.579999999999998</v>
      </c>
      <c r="G646" s="3">
        <v>0</v>
      </c>
      <c r="H646" s="3">
        <v>0</v>
      </c>
      <c r="I646" s="3">
        <f>E646+G646+H646</f>
        <v>24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23</v>
      </c>
      <c r="K646" s="3">
        <f>I646-J646</f>
        <v>1</v>
      </c>
      <c r="L646" s="3" t="str">
        <f>IF(K646&lt;-5,"CRÍTICO",IF(K646&lt;0,"ATENÇÃO",IF(K646&lt;=5,"BOM","EXCELENTE")))</f>
        <v>BOM</v>
      </c>
      <c r="M646">
        <v>12</v>
      </c>
      <c r="N646">
        <v>99</v>
      </c>
      <c r="O646">
        <v>22.010869565217391</v>
      </c>
    </row>
    <row r="647" spans="1:15" hidden="1" x14ac:dyDescent="0.25">
      <c r="A647" s="5">
        <v>46156</v>
      </c>
      <c r="B647" s="6" t="s">
        <v>57</v>
      </c>
      <c r="C647" s="3" t="s">
        <v>48</v>
      </c>
      <c r="D647" s="3">
        <v>22</v>
      </c>
      <c r="E647" s="3">
        <v>18</v>
      </c>
      <c r="F647">
        <v>23.52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 t="str">
        <f>IF(K647&lt;-5,"CRÍTICO",IF(K647&lt;0,"ATENÇÃO",IF(K647&lt;=5,"BOM","EXCELENTE")))</f>
        <v>BOM</v>
      </c>
      <c r="M647">
        <v>16</v>
      </c>
      <c r="N647">
        <v>100</v>
      </c>
      <c r="O647">
        <v>25</v>
      </c>
    </row>
    <row r="648" spans="1:15" hidden="1" x14ac:dyDescent="0.25">
      <c r="A648" s="5">
        <v>46156</v>
      </c>
      <c r="B648" s="6" t="s">
        <v>58</v>
      </c>
      <c r="C648" s="3" t="s">
        <v>48</v>
      </c>
      <c r="D648" s="3">
        <v>29</v>
      </c>
      <c r="E648" s="3">
        <v>26</v>
      </c>
      <c r="F648">
        <v>20.36</v>
      </c>
      <c r="G648" s="3">
        <v>0</v>
      </c>
      <c r="H648" s="3">
        <v>0</v>
      </c>
      <c r="I648" s="3">
        <f>E648+G648+H648</f>
        <v>26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3</v>
      </c>
      <c r="L648" s="3" t="str">
        <f>IF(K648&lt;-5,"CRÍTICO",IF(K648&lt;0,"ATENÇÃO",IF(K648&lt;=5,"BOM","EXCELENTE")))</f>
        <v>BOM</v>
      </c>
      <c r="M648">
        <v>23</v>
      </c>
      <c r="N648">
        <v>100</v>
      </c>
      <c r="O648">
        <v>20.183486238532112</v>
      </c>
    </row>
    <row r="649" spans="1:15" hidden="1" x14ac:dyDescent="0.25">
      <c r="A649" s="5">
        <v>46157</v>
      </c>
      <c r="B649" s="6" t="s">
        <v>47</v>
      </c>
      <c r="C649" s="3" t="s">
        <v>48</v>
      </c>
      <c r="D649" s="3">
        <v>20</v>
      </c>
      <c r="E649" s="3">
        <v>19</v>
      </c>
      <c r="F649">
        <v>13.2</v>
      </c>
      <c r="G649" s="3">
        <v>1</v>
      </c>
      <c r="H649" s="3">
        <v>0</v>
      </c>
      <c r="I649" s="3">
        <f>E649+G649+H649</f>
        <v>20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-3</v>
      </c>
      <c r="L649" s="3" t="str">
        <f>IF(K649&lt;-5,"CRÍTICO",IF(K649&lt;0,"ATENÇÃO",IF(K649&lt;=5,"BOM","EXCELENTE")))</f>
        <v>ATENÇÃO</v>
      </c>
      <c r="M649" s="3">
        <v>12</v>
      </c>
      <c r="N649" s="3">
        <v>99.18</v>
      </c>
      <c r="O649" s="3">
        <v>24.501424501424498</v>
      </c>
    </row>
    <row r="650" spans="1:15" hidden="1" x14ac:dyDescent="0.25">
      <c r="A650" s="5">
        <v>46157</v>
      </c>
      <c r="B650" s="6" t="s">
        <v>49</v>
      </c>
      <c r="C650" s="3" t="s">
        <v>48</v>
      </c>
      <c r="D650" s="3">
        <v>20</v>
      </c>
      <c r="E650" s="3">
        <v>19</v>
      </c>
      <c r="F650">
        <v>23.34</v>
      </c>
      <c r="G650" s="3">
        <v>2</v>
      </c>
      <c r="H650" s="3">
        <v>0</v>
      </c>
      <c r="I650" s="3">
        <f>E650+G650+H650</f>
        <v>21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-2</v>
      </c>
      <c r="L650" s="3" t="str">
        <f>IF(K650&lt;-5,"CRÍTICO",IF(K650&lt;0,"ATENÇÃO",IF(K650&lt;=5,"BOM","EXCELENTE")))</f>
        <v>ATENÇÃO</v>
      </c>
      <c r="M650">
        <v>21</v>
      </c>
      <c r="N650">
        <v>99.35</v>
      </c>
      <c r="O650">
        <v>19.852941176470591</v>
      </c>
    </row>
    <row r="651" spans="1:15" hidden="1" x14ac:dyDescent="0.25">
      <c r="A651" s="5">
        <v>46157</v>
      </c>
      <c r="B651" s="6" t="s">
        <v>50</v>
      </c>
      <c r="C651" s="9" t="s">
        <v>48</v>
      </c>
      <c r="D651" s="3">
        <v>26</v>
      </c>
      <c r="E651" s="3">
        <v>26</v>
      </c>
      <c r="F651">
        <v>25.22</v>
      </c>
      <c r="G651" s="3">
        <v>3</v>
      </c>
      <c r="H651" s="3">
        <v>0</v>
      </c>
      <c r="I651" s="3">
        <f>E651+G651+H651</f>
        <v>29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23</v>
      </c>
      <c r="K651" s="3">
        <f>I651-J651</f>
        <v>6</v>
      </c>
      <c r="L651" s="3" t="str">
        <f>IF(K651&lt;-5,"CRÍTICO",IF(K651&lt;0,"ATENÇÃO",IF(K651&lt;=5,"BOM","EXCELENTE")))</f>
        <v>EXCELENTE</v>
      </c>
      <c r="M651">
        <v>29</v>
      </c>
      <c r="N651">
        <v>99.07</v>
      </c>
      <c r="O651">
        <v>20.098039215686271</v>
      </c>
    </row>
    <row r="652" spans="1:15" hidden="1" x14ac:dyDescent="0.25">
      <c r="A652" s="5">
        <v>46157</v>
      </c>
      <c r="B652" s="6" t="s">
        <v>51</v>
      </c>
      <c r="C652" s="3" t="s">
        <v>48</v>
      </c>
      <c r="D652" s="3">
        <v>35</v>
      </c>
      <c r="E652" s="3">
        <v>31</v>
      </c>
      <c r="F652">
        <v>18.53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3" t="str">
        <f>IF(K652&lt;-5,"CRÍTICO",IF(K652&lt;0,"ATENÇÃO",IF(K652&lt;=5,"BOM","EXCELENTE")))</f>
        <v>BOM</v>
      </c>
      <c r="M652">
        <v>30</v>
      </c>
      <c r="N652">
        <v>98.81</v>
      </c>
      <c r="O652">
        <v>22.767857142857139</v>
      </c>
    </row>
    <row r="653" spans="1:15" hidden="1" x14ac:dyDescent="0.25">
      <c r="A653" s="5">
        <v>46157</v>
      </c>
      <c r="B653" s="6" t="s">
        <v>52</v>
      </c>
      <c r="C653" s="3" t="s">
        <v>48</v>
      </c>
      <c r="D653" s="3">
        <v>27</v>
      </c>
      <c r="E653" s="3">
        <v>25</v>
      </c>
      <c r="F653">
        <v>18.420000000000002</v>
      </c>
      <c r="G653" s="3">
        <v>2</v>
      </c>
      <c r="H653" s="3">
        <v>0</v>
      </c>
      <c r="I653" s="3">
        <f>E653+G653+H653</f>
        <v>27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23</v>
      </c>
      <c r="K653" s="3">
        <f>I653-J653</f>
        <v>4</v>
      </c>
      <c r="L653" s="3" t="str">
        <f>IF(K653&lt;-5,"CRÍTICO",IF(K653&lt;0,"ATENÇÃO",IF(K653&lt;=5,"BOM","EXCELENTE")))</f>
        <v>BOM</v>
      </c>
      <c r="M653">
        <v>23</v>
      </c>
      <c r="N653">
        <v>99.01</v>
      </c>
      <c r="O653">
        <v>17.766497461928939</v>
      </c>
    </row>
    <row r="654" spans="1:15" hidden="1" x14ac:dyDescent="0.25">
      <c r="A654" s="5">
        <v>46157</v>
      </c>
      <c r="B654" s="6" t="s">
        <v>53</v>
      </c>
      <c r="C654" s="3" t="s">
        <v>48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>IF(K654&lt;-5,"CRÍTICO",IF(K654&lt;0,"ATENÇÃO",IF(K654&lt;=5,"BOM","EXCELENTE")))</f>
        <v>BOM</v>
      </c>
      <c r="M654" s="9">
        <v>0</v>
      </c>
      <c r="N654" s="9">
        <v>100</v>
      </c>
      <c r="O654" s="9">
        <v>17.241379310344829</v>
      </c>
    </row>
    <row r="655" spans="1:15" hidden="1" x14ac:dyDescent="0.25">
      <c r="A655" s="5">
        <v>46157</v>
      </c>
      <c r="B655" s="6" t="s">
        <v>54</v>
      </c>
      <c r="C655" s="9" t="s">
        <v>48</v>
      </c>
      <c r="D655" s="3">
        <v>28</v>
      </c>
      <c r="E655" s="3">
        <v>25</v>
      </c>
      <c r="F655">
        <v>22.04</v>
      </c>
      <c r="G655" s="3">
        <v>0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2</v>
      </c>
      <c r="L655" s="3" t="str">
        <f>IF(K655&lt;-5,"CRÍTICO",IF(K655&lt;0,"ATENÇÃO",IF(K655&lt;=5,"BOM","EXCELENTE")))</f>
        <v>BOM</v>
      </c>
      <c r="M655">
        <v>23</v>
      </c>
      <c r="N655">
        <v>98.98</v>
      </c>
      <c r="O655">
        <v>19.35483870967742</v>
      </c>
    </row>
    <row r="656" spans="1:15" hidden="1" x14ac:dyDescent="0.25">
      <c r="A656" s="5">
        <v>46157</v>
      </c>
      <c r="B656" s="6" t="s">
        <v>55</v>
      </c>
      <c r="C656" s="3" t="s">
        <v>48</v>
      </c>
      <c r="D656" s="3">
        <v>17</v>
      </c>
      <c r="E656" s="3">
        <v>14</v>
      </c>
      <c r="F656">
        <v>15.05</v>
      </c>
      <c r="G656" s="3">
        <v>1</v>
      </c>
      <c r="H656" s="3">
        <v>0</v>
      </c>
      <c r="I656" s="3">
        <f>E656+G656+H656</f>
        <v>15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-8</v>
      </c>
      <c r="L656" s="3" t="str">
        <f>IF(K656&lt;-5,"CRÍTICO",IF(K656&lt;0,"ATENÇÃO",IF(K656&lt;=5,"BOM","EXCELENTE")))</f>
        <v>CRÍTICO</v>
      </c>
      <c r="M656">
        <v>14</v>
      </c>
      <c r="N656">
        <v>98.94</v>
      </c>
      <c r="O656">
        <v>21.270718232044199</v>
      </c>
    </row>
    <row r="657" spans="1:15" hidden="1" x14ac:dyDescent="0.25">
      <c r="A657" s="5">
        <v>46157</v>
      </c>
      <c r="B657" s="6" t="s">
        <v>56</v>
      </c>
      <c r="C657" s="3" t="s">
        <v>48</v>
      </c>
      <c r="D657" s="3">
        <v>34</v>
      </c>
      <c r="E657" s="3">
        <v>32</v>
      </c>
      <c r="F657">
        <v>15.4</v>
      </c>
      <c r="G657" s="3">
        <v>0</v>
      </c>
      <c r="H657" s="3">
        <v>0</v>
      </c>
      <c r="I657" s="3">
        <f>E657+G657+H657</f>
        <v>32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23</v>
      </c>
      <c r="K657" s="3">
        <f>I657-J657</f>
        <v>9</v>
      </c>
      <c r="L657" s="3" t="str">
        <f>IF(K657&lt;-5,"CRÍTICO",IF(K657&lt;0,"ATENÇÃO",IF(K657&lt;=5,"BOM","EXCELENTE")))</f>
        <v>EXCELENTE</v>
      </c>
      <c r="M657">
        <v>13</v>
      </c>
      <c r="N657">
        <v>99</v>
      </c>
      <c r="O657">
        <v>22.010869565217391</v>
      </c>
    </row>
    <row r="658" spans="1:15" hidden="1" x14ac:dyDescent="0.25">
      <c r="A658" s="5">
        <v>46157</v>
      </c>
      <c r="B658" s="6" t="s">
        <v>57</v>
      </c>
      <c r="C658" s="3" t="s">
        <v>48</v>
      </c>
      <c r="D658" s="3">
        <v>28</v>
      </c>
      <c r="E658" s="3">
        <v>25</v>
      </c>
      <c r="F658">
        <v>25.42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3" t="str">
        <f>IF(K658&lt;-5,"CRÍTICO",IF(K658&lt;0,"ATENÇÃO",IF(K658&lt;=5,"BOM","EXCELENTE")))</f>
        <v>BOM</v>
      </c>
      <c r="M658">
        <v>24</v>
      </c>
      <c r="N658">
        <v>100</v>
      </c>
      <c r="O658">
        <v>25</v>
      </c>
    </row>
    <row r="659" spans="1:15" hidden="1" x14ac:dyDescent="0.25">
      <c r="A659" s="5">
        <v>46157</v>
      </c>
      <c r="B659" s="6" t="s">
        <v>58</v>
      </c>
      <c r="C659" s="3" t="s">
        <v>48</v>
      </c>
      <c r="D659" s="3">
        <v>13</v>
      </c>
      <c r="E659" s="3">
        <v>13</v>
      </c>
      <c r="F659">
        <v>33.590000000000003</v>
      </c>
      <c r="G659" s="3">
        <v>0</v>
      </c>
      <c r="H659" s="3">
        <v>0</v>
      </c>
      <c r="I659" s="3">
        <f>E659+G659+H659</f>
        <v>13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23</v>
      </c>
      <c r="K659" s="3">
        <f>I659-J659</f>
        <v>-10</v>
      </c>
      <c r="L659" s="3" t="str">
        <f>IF(K659&lt;-5,"CRÍTICO",IF(K659&lt;0,"ATENÇÃO",IF(K659&lt;=5,"BOM","EXCELENTE")))</f>
        <v>CRÍTICO</v>
      </c>
      <c r="M659">
        <v>11</v>
      </c>
      <c r="N659">
        <v>100</v>
      </c>
      <c r="O659">
        <v>20.183486238532112</v>
      </c>
    </row>
    <row r="660" spans="1:15" hidden="1" x14ac:dyDescent="0.25">
      <c r="A660" s="5">
        <v>46160</v>
      </c>
      <c r="B660" s="6" t="s">
        <v>47</v>
      </c>
      <c r="C660" s="3" t="s">
        <v>48</v>
      </c>
      <c r="D660" s="3">
        <v>42</v>
      </c>
      <c r="E660" s="3">
        <v>27</v>
      </c>
      <c r="F660">
        <v>7.38</v>
      </c>
      <c r="G660" s="3">
        <v>4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10</v>
      </c>
      <c r="L660" s="3" t="str">
        <f>IF(K660&lt;-5,"CRÍTICO",IF(K660&lt;0,"ATENÇÃO",IF(K660&lt;=5,"BOM","EXCELENTE")))</f>
        <v>EXCELENTE</v>
      </c>
      <c r="M660" s="3">
        <v>19</v>
      </c>
      <c r="N660" s="3">
        <v>99.18</v>
      </c>
      <c r="O660" s="3">
        <v>24.501424501424498</v>
      </c>
    </row>
    <row r="661" spans="1:15" hidden="1" x14ac:dyDescent="0.25">
      <c r="A661" s="5">
        <v>46160</v>
      </c>
      <c r="B661" s="6" t="s">
        <v>49</v>
      </c>
      <c r="C661" s="3" t="s">
        <v>48</v>
      </c>
      <c r="D661" s="3">
        <v>46</v>
      </c>
      <c r="E661" s="3">
        <v>39</v>
      </c>
      <c r="F661">
        <v>11.41</v>
      </c>
      <c r="G661" s="3">
        <v>7</v>
      </c>
      <c r="H661" s="3">
        <v>0</v>
      </c>
      <c r="I661" s="3">
        <f>E661+G661+H661</f>
        <v>46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25</v>
      </c>
      <c r="L661" s="3" t="str">
        <f>IF(K661&lt;-5,"CRÍTICO",IF(K661&lt;0,"ATENÇÃO",IF(K661&lt;=5,"BOM","EXCELENTE")))</f>
        <v>EXCELENTE</v>
      </c>
      <c r="M661">
        <v>42</v>
      </c>
      <c r="N661">
        <v>99.35</v>
      </c>
      <c r="O661">
        <v>19.852941176470591</v>
      </c>
    </row>
    <row r="662" spans="1:15" hidden="1" x14ac:dyDescent="0.25">
      <c r="A662" s="5">
        <v>46160</v>
      </c>
      <c r="B662" s="6" t="s">
        <v>50</v>
      </c>
      <c r="C662" s="9" t="s">
        <v>48</v>
      </c>
      <c r="D662" s="3">
        <v>23</v>
      </c>
      <c r="E662" s="3">
        <v>23</v>
      </c>
      <c r="F662">
        <v>21.44</v>
      </c>
      <c r="G662" s="3">
        <v>3</v>
      </c>
      <c r="H662" s="3">
        <v>0</v>
      </c>
      <c r="I662" s="3">
        <f>E662+G662+H662</f>
        <v>26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21</v>
      </c>
      <c r="K662" s="3">
        <f>I662-J662</f>
        <v>5</v>
      </c>
      <c r="L662" s="3" t="str">
        <f>IF(K662&lt;-5,"CRÍTICO",IF(K662&lt;0,"ATENÇÃO",IF(K662&lt;=5,"BOM","EXCELENTE")))</f>
        <v>BOM</v>
      </c>
      <c r="M662">
        <v>26</v>
      </c>
      <c r="N662">
        <v>99.07</v>
      </c>
      <c r="O662">
        <v>20.098039215686271</v>
      </c>
    </row>
    <row r="663" spans="1:15" hidden="1" x14ac:dyDescent="0.25">
      <c r="A663" s="5">
        <v>46160</v>
      </c>
      <c r="B663" s="6" t="s">
        <v>51</v>
      </c>
      <c r="C663" s="3" t="s">
        <v>48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3" t="str">
        <f>IF(K663&lt;-5,"CRÍTICO",IF(K663&lt;0,"ATENÇÃO",IF(K663&lt;=5,"BOM","EXCELENTE")))</f>
        <v>BOM</v>
      </c>
      <c r="M663" s="9">
        <v>0</v>
      </c>
      <c r="N663" s="9">
        <v>98.81</v>
      </c>
      <c r="O663" s="9">
        <v>22.767857142857139</v>
      </c>
    </row>
    <row r="664" spans="1:15" hidden="1" x14ac:dyDescent="0.25">
      <c r="A664" s="5">
        <v>46160</v>
      </c>
      <c r="B664" s="6" t="s">
        <v>52</v>
      </c>
      <c r="C664" s="3" t="s">
        <v>48</v>
      </c>
      <c r="D664" s="3">
        <v>29</v>
      </c>
      <c r="E664" s="3">
        <v>27</v>
      </c>
      <c r="F664">
        <v>12.34</v>
      </c>
      <c r="G664" s="3">
        <v>3</v>
      </c>
      <c r="H664" s="3">
        <v>0</v>
      </c>
      <c r="I664" s="3">
        <f>E664+G664+H664</f>
        <v>30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21</v>
      </c>
      <c r="K664" s="3">
        <f>I664-J664</f>
        <v>9</v>
      </c>
      <c r="L664" s="3" t="str">
        <f>IF(K664&lt;-5,"CRÍTICO",IF(K664&lt;0,"ATENÇÃO",IF(K664&lt;=5,"BOM","EXCELENTE")))</f>
        <v>EXCELENTE</v>
      </c>
      <c r="M664">
        <v>25</v>
      </c>
      <c r="N664">
        <v>99.01</v>
      </c>
      <c r="O664">
        <v>17.766497461928939</v>
      </c>
    </row>
    <row r="665" spans="1:15" hidden="1" x14ac:dyDescent="0.25">
      <c r="A665" s="5">
        <v>46160</v>
      </c>
      <c r="B665" s="6" t="s">
        <v>53</v>
      </c>
      <c r="C665" s="3" t="s">
        <v>48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3" t="str">
        <f>IF(K665&lt;-5,"CRÍTICO",IF(K665&lt;0,"ATENÇÃO",IF(K665&lt;=5,"BOM","EXCELENTE")))</f>
        <v>BOM</v>
      </c>
      <c r="M665" s="9">
        <v>0</v>
      </c>
      <c r="N665" s="9">
        <v>100</v>
      </c>
      <c r="O665" s="9">
        <v>17.241379310344829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3"/>
      <c r="M666" s="3"/>
      <c r="N666" s="3"/>
      <c r="O666" s="3"/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3"/>
      <c r="M667" s="3"/>
      <c r="N667" s="3"/>
      <c r="O667" s="3"/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3"/>
      <c r="M668" s="3"/>
      <c r="N668" s="3"/>
      <c r="O668" s="3"/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3"/>
      <c r="M669" s="3"/>
      <c r="N669" s="3"/>
      <c r="O669" s="3"/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3"/>
      <c r="M670" s="3"/>
      <c r="N670" s="3"/>
      <c r="O670" s="3"/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3"/>
      <c r="M671" s="3"/>
      <c r="N671" s="3"/>
      <c r="O671" s="3"/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L672" s="3"/>
      <c r="M672" s="3"/>
      <c r="N672" s="3"/>
      <c r="O672" s="3"/>
    </row>
    <row r="673" spans="4:15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L673" s="3"/>
      <c r="M673" s="3"/>
      <c r="N673" s="3"/>
      <c r="O673" s="3"/>
    </row>
    <row r="674" spans="4:15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3"/>
      <c r="M674" s="3"/>
      <c r="N674" s="3"/>
      <c r="O674" s="3"/>
    </row>
    <row r="675" spans="4:15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3"/>
      <c r="M675" s="3"/>
      <c r="N675" s="3"/>
      <c r="O675" s="3"/>
    </row>
    <row r="676" spans="4:15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3"/>
      <c r="M676" s="3"/>
      <c r="N676" s="3"/>
      <c r="O676" s="3"/>
    </row>
    <row r="677" spans="4:15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3"/>
      <c r="M677" s="3"/>
      <c r="N677" s="3"/>
      <c r="O677" s="3"/>
    </row>
    <row r="678" spans="4:15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3"/>
      <c r="M678" s="3"/>
      <c r="N678" s="3"/>
      <c r="O678" s="3"/>
    </row>
    <row r="679" spans="4:15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3"/>
      <c r="M679" s="3"/>
      <c r="N679" s="3"/>
      <c r="O679" s="3"/>
    </row>
    <row r="680" spans="4:15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3"/>
      <c r="M680" s="3"/>
      <c r="N680" s="3"/>
      <c r="O680" s="3"/>
    </row>
    <row r="681" spans="4:15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3"/>
      <c r="M681" s="3"/>
      <c r="N681" s="3"/>
      <c r="O681" s="3"/>
    </row>
    <row r="682" spans="4:15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3"/>
      <c r="M682" s="3"/>
      <c r="N682" s="3"/>
      <c r="O682" s="3"/>
    </row>
    <row r="683" spans="4:15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3"/>
      <c r="M683" s="3"/>
      <c r="N683" s="3"/>
      <c r="O683" s="3"/>
    </row>
    <row r="684" spans="4:15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L684" s="3"/>
      <c r="M684" s="3"/>
      <c r="N684" s="3"/>
      <c r="O684" s="3"/>
    </row>
    <row r="685" spans="4:15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L685" s="3"/>
      <c r="M685" s="3"/>
      <c r="N685" s="3"/>
      <c r="O685" s="3"/>
    </row>
    <row r="686" spans="4:15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L686" s="3"/>
      <c r="M686" s="3"/>
      <c r="N686" s="3"/>
      <c r="O686" s="3"/>
    </row>
    <row r="687" spans="4:15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3"/>
      <c r="M687" s="3"/>
      <c r="N687" s="3"/>
      <c r="O687" s="3"/>
    </row>
    <row r="688" spans="4:15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3"/>
      <c r="M688" s="3"/>
      <c r="N688" s="3"/>
      <c r="O688" s="3"/>
    </row>
    <row r="689" spans="4:15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3"/>
      <c r="M689" s="3"/>
      <c r="N689" s="3"/>
      <c r="O689" s="3"/>
    </row>
    <row r="690" spans="4:15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3"/>
      <c r="M690" s="3"/>
      <c r="N690" s="3"/>
      <c r="O690" s="3"/>
    </row>
    <row r="691" spans="4:15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3"/>
      <c r="M691" s="3"/>
      <c r="N691" s="3"/>
      <c r="O691" s="3"/>
    </row>
    <row r="692" spans="4:15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3"/>
      <c r="M692" s="3"/>
      <c r="N692" s="3"/>
      <c r="O692" s="3"/>
    </row>
    <row r="693" spans="4:15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3"/>
      <c r="M693" s="3"/>
      <c r="N693" s="3"/>
      <c r="O693" s="3"/>
    </row>
    <row r="694" spans="4:15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3"/>
      <c r="M694" s="3"/>
      <c r="N694" s="3"/>
      <c r="O694" s="3"/>
    </row>
    <row r="695" spans="4:15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3"/>
      <c r="M695" s="3"/>
      <c r="N695" s="3"/>
      <c r="O695" s="3"/>
    </row>
    <row r="696" spans="4:15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3"/>
      <c r="M696" s="3"/>
      <c r="N696" s="3"/>
      <c r="O696" s="3"/>
    </row>
    <row r="697" spans="4:15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3"/>
      <c r="M697" s="3"/>
      <c r="N697" s="3"/>
      <c r="O697" s="3"/>
    </row>
    <row r="698" spans="4:15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3"/>
      <c r="M698" s="3"/>
      <c r="N698" s="3"/>
      <c r="O698" s="3"/>
    </row>
    <row r="699" spans="4:15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3"/>
      <c r="M699" s="3"/>
      <c r="N699" s="3"/>
      <c r="O699" s="3"/>
    </row>
    <row r="700" spans="4:15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3"/>
      <c r="M700" s="3"/>
      <c r="N700" s="3"/>
      <c r="O700" s="3"/>
    </row>
    <row r="701" spans="4:15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3"/>
      <c r="M701" s="3"/>
      <c r="N701" s="3"/>
      <c r="O701" s="3"/>
    </row>
    <row r="702" spans="4:15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3"/>
      <c r="M702" s="3"/>
      <c r="N702" s="3"/>
      <c r="O702" s="3"/>
    </row>
    <row r="703" spans="4:15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3"/>
      <c r="M703" s="3"/>
      <c r="N703" s="3"/>
      <c r="O703" s="3"/>
    </row>
    <row r="704" spans="4:15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3"/>
      <c r="M704" s="3"/>
      <c r="N704" s="3"/>
      <c r="O704" s="3"/>
    </row>
    <row r="705" spans="4:15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3"/>
      <c r="M705" s="3"/>
      <c r="N705" s="3"/>
      <c r="O705" s="3"/>
    </row>
    <row r="706" spans="4:15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3"/>
      <c r="M706" s="3"/>
      <c r="N706" s="3"/>
      <c r="O706" s="3"/>
    </row>
    <row r="707" spans="4:15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3"/>
      <c r="M707" s="3"/>
      <c r="N707" s="3"/>
      <c r="O707" s="3"/>
    </row>
    <row r="708" spans="4:15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3"/>
      <c r="M708" s="3"/>
      <c r="N708" s="3"/>
      <c r="O708" s="3"/>
    </row>
    <row r="709" spans="4:15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3"/>
      <c r="M709" s="3"/>
      <c r="N709" s="3"/>
      <c r="O709" s="3"/>
    </row>
    <row r="710" spans="4:15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3"/>
      <c r="M710" s="3"/>
      <c r="N710" s="3"/>
      <c r="O710" s="3"/>
    </row>
    <row r="711" spans="4:15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3"/>
      <c r="M711" s="3"/>
      <c r="N711" s="3"/>
      <c r="O711" s="3"/>
    </row>
    <row r="712" spans="4:15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3"/>
      <c r="M712" s="3"/>
      <c r="N712" s="3"/>
      <c r="O712" s="3"/>
    </row>
    <row r="713" spans="4:15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3"/>
      <c r="M713" s="3"/>
      <c r="N713" s="3"/>
      <c r="O713" s="3"/>
    </row>
    <row r="714" spans="4:15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3"/>
      <c r="M714" s="3"/>
      <c r="N714" s="3"/>
      <c r="O714" s="3"/>
    </row>
    <row r="715" spans="4:15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3"/>
      <c r="M715" s="3"/>
      <c r="N715" s="3"/>
      <c r="O715" s="3"/>
    </row>
    <row r="716" spans="4:15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3"/>
      <c r="M716" s="3"/>
      <c r="N716" s="3"/>
      <c r="O716" s="3"/>
    </row>
    <row r="717" spans="4:15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3"/>
      <c r="M717" s="3"/>
      <c r="N717" s="3"/>
      <c r="O717" s="3"/>
    </row>
    <row r="718" spans="4:15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3"/>
      <c r="M718" s="3"/>
      <c r="N718" s="3"/>
      <c r="O718" s="3"/>
    </row>
    <row r="719" spans="4:15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3"/>
      <c r="M719" s="3"/>
      <c r="N719" s="3"/>
      <c r="O719" s="3"/>
    </row>
    <row r="720" spans="4:15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3"/>
      <c r="M720" s="3"/>
      <c r="N720" s="3"/>
      <c r="O720" s="3"/>
    </row>
    <row r="721" spans="1:15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3"/>
      <c r="M721" s="3"/>
      <c r="N721" s="3"/>
      <c r="O721" s="3"/>
    </row>
    <row r="722" spans="1:15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3"/>
      <c r="M722" s="3"/>
      <c r="N722" s="3"/>
      <c r="O722" s="3"/>
    </row>
    <row r="723" spans="1:15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3"/>
      <c r="M723" s="3"/>
      <c r="N723" s="3"/>
      <c r="O723" s="3"/>
    </row>
    <row r="724" spans="1:15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3"/>
      <c r="M724" s="3"/>
      <c r="N724" s="3"/>
      <c r="O724" s="3"/>
    </row>
    <row r="725" spans="1:15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3"/>
      <c r="M725" s="3"/>
      <c r="N725" s="3"/>
      <c r="O725" s="3"/>
    </row>
    <row r="726" spans="1:15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L726" s="3"/>
      <c r="M726" s="3"/>
      <c r="N726" s="3"/>
      <c r="O726" s="3"/>
    </row>
    <row r="727" spans="1:15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L727" s="3"/>
      <c r="M727" s="3"/>
      <c r="N727" s="3"/>
      <c r="O727" s="3"/>
    </row>
    <row r="728" spans="1:15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L728" s="3"/>
      <c r="M728" s="3"/>
      <c r="N728" s="3"/>
      <c r="O728" s="3"/>
    </row>
    <row r="729" spans="1:15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L729" s="3"/>
      <c r="M729" s="3"/>
      <c r="N729" s="3"/>
      <c r="O729" s="3"/>
    </row>
    <row r="730" spans="1:15" hidden="1" x14ac:dyDescent="0.25">
      <c r="A730" s="5">
        <v>46160</v>
      </c>
      <c r="B730" s="6" t="s">
        <v>54</v>
      </c>
      <c r="C730" s="9" t="s">
        <v>48</v>
      </c>
      <c r="D730" s="3">
        <v>20</v>
      </c>
      <c r="E730" s="3">
        <v>20</v>
      </c>
      <c r="F730">
        <v>24.07</v>
      </c>
      <c r="G730" s="3">
        <v>3</v>
      </c>
      <c r="H730" s="3">
        <v>0</v>
      </c>
      <c r="I730" s="3">
        <f>E730+G730+H730</f>
        <v>23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2</v>
      </c>
      <c r="L730" s="3" t="str">
        <f>IF(K730&lt;-5,"CRÍTICO",IF(K730&lt;0,"ATENÇÃO",IF(K730&lt;=5,"BOM","EXCELENTE")))</f>
        <v>BOM</v>
      </c>
      <c r="M730">
        <v>21</v>
      </c>
      <c r="N730">
        <v>98.98</v>
      </c>
      <c r="O730">
        <v>19.35483870967742</v>
      </c>
    </row>
    <row r="731" spans="1:15" hidden="1" x14ac:dyDescent="0.25">
      <c r="A731" s="5">
        <v>46160</v>
      </c>
      <c r="B731" s="6" t="s">
        <v>55</v>
      </c>
      <c r="C731" s="3" t="s">
        <v>48</v>
      </c>
      <c r="D731" s="3">
        <v>28</v>
      </c>
      <c r="E731" s="3">
        <v>22</v>
      </c>
      <c r="F731">
        <v>17.149999999999999</v>
      </c>
      <c r="G731" s="3">
        <v>0</v>
      </c>
      <c r="H731" s="3">
        <v>0</v>
      </c>
      <c r="I731" s="3">
        <f>E731+G731+H731</f>
        <v>22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1</v>
      </c>
      <c r="L731" s="3" t="str">
        <f>IF(K731&lt;-5,"CRÍTICO",IF(K731&lt;0,"ATENÇÃO",IF(K731&lt;=5,"BOM","EXCELENTE")))</f>
        <v>BOM</v>
      </c>
      <c r="M731">
        <v>19</v>
      </c>
      <c r="N731">
        <v>98.94</v>
      </c>
      <c r="O731">
        <v>21.270718232044199</v>
      </c>
    </row>
    <row r="732" spans="1:15" hidden="1" x14ac:dyDescent="0.25">
      <c r="A732" s="5">
        <v>46160</v>
      </c>
      <c r="B732" s="6" t="s">
        <v>56</v>
      </c>
      <c r="C732" s="3" t="s">
        <v>48</v>
      </c>
      <c r="D732" s="3">
        <v>25</v>
      </c>
      <c r="E732" s="3">
        <v>23</v>
      </c>
      <c r="F732">
        <v>16.55</v>
      </c>
      <c r="G732" s="3">
        <v>2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21</v>
      </c>
      <c r="K732" s="3">
        <f>I732-J732</f>
        <v>4</v>
      </c>
      <c r="L732" s="3" t="str">
        <f>IF(K732&lt;-5,"CRÍTICO",IF(K732&lt;0,"ATENÇÃO",IF(K732&lt;=5,"BOM","EXCELENTE")))</f>
        <v>BOM</v>
      </c>
      <c r="M732">
        <v>20</v>
      </c>
      <c r="N732">
        <v>99</v>
      </c>
      <c r="O732">
        <v>22.010869565217391</v>
      </c>
    </row>
    <row r="733" spans="1:15" hidden="1" x14ac:dyDescent="0.25">
      <c r="A733" s="5">
        <v>46160</v>
      </c>
      <c r="B733" s="6" t="s">
        <v>57</v>
      </c>
      <c r="C733" s="3" t="s">
        <v>48</v>
      </c>
      <c r="D733" s="3">
        <v>28</v>
      </c>
      <c r="E733" s="3">
        <v>26</v>
      </c>
      <c r="F733">
        <v>13.58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3" t="str">
        <f>IF(K733&lt;-5,"CRÍTICO",IF(K733&lt;0,"ATENÇÃO",IF(K733&lt;=5,"BOM","EXCELENTE")))</f>
        <v>BOM</v>
      </c>
      <c r="M733">
        <v>23</v>
      </c>
      <c r="N733">
        <v>100</v>
      </c>
      <c r="O733">
        <v>25</v>
      </c>
    </row>
    <row r="734" spans="1:15" hidden="1" x14ac:dyDescent="0.25">
      <c r="A734" s="5">
        <v>46160</v>
      </c>
      <c r="B734" s="6" t="s">
        <v>58</v>
      </c>
      <c r="C734" s="3" t="s">
        <v>48</v>
      </c>
      <c r="D734" s="3">
        <v>16</v>
      </c>
      <c r="E734" s="3">
        <v>15</v>
      </c>
      <c r="F734">
        <v>19.190000000000001</v>
      </c>
      <c r="G734" s="3">
        <v>0</v>
      </c>
      <c r="H734" s="3">
        <v>0</v>
      </c>
      <c r="I734" s="3">
        <f>E734+G734+H734</f>
        <v>15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21</v>
      </c>
      <c r="K734" s="3">
        <f>I734-J734</f>
        <v>-6</v>
      </c>
      <c r="L734" s="3" t="str">
        <f>IF(K734&lt;-5,"CRÍTICO",IF(K734&lt;0,"ATENÇÃO",IF(K734&lt;=5,"BOM","EXCELENTE")))</f>
        <v>CRÍTICO</v>
      </c>
      <c r="M734">
        <v>13</v>
      </c>
      <c r="N734">
        <v>100</v>
      </c>
      <c r="O734">
        <v>20.183486238532112</v>
      </c>
    </row>
    <row r="735" spans="1:15" hidden="1" x14ac:dyDescent="0.25">
      <c r="A735" s="7">
        <v>46161</v>
      </c>
      <c r="B735" s="8" t="s">
        <v>47</v>
      </c>
      <c r="C735" s="9" t="s">
        <v>48</v>
      </c>
      <c r="D735" s="3">
        <v>38</v>
      </c>
      <c r="E735" s="3">
        <v>33</v>
      </c>
      <c r="F735">
        <v>12.17</v>
      </c>
      <c r="G735" s="3">
        <v>1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>IF(K735&lt;-5,"CRÍTICO",IF(K735&lt;0,"ATENÇÃO",IF(K735&lt;=5,"BOM","EXCELENTE")))</f>
        <v>EXCELENTE</v>
      </c>
      <c r="M735" s="3">
        <v>17</v>
      </c>
      <c r="N735" s="3">
        <v>99.18</v>
      </c>
      <c r="O735" s="3">
        <v>24.501424501424498</v>
      </c>
    </row>
    <row r="736" spans="1:15" hidden="1" x14ac:dyDescent="0.25">
      <c r="A736" s="7">
        <v>46161</v>
      </c>
      <c r="B736" s="8" t="s">
        <v>49</v>
      </c>
      <c r="C736" s="9" t="s">
        <v>48</v>
      </c>
      <c r="D736" s="3">
        <v>33</v>
      </c>
      <c r="E736" s="3">
        <v>31</v>
      </c>
      <c r="F736">
        <v>16.46</v>
      </c>
      <c r="G736" s="3">
        <v>3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>IF(K736&lt;-5,"CRÍTICO",IF(K736&lt;0,"ATENÇÃO",IF(K736&lt;=5,"BOM","EXCELENTE")))</f>
        <v>EXCELENTE</v>
      </c>
      <c r="M736">
        <v>33</v>
      </c>
      <c r="N736">
        <v>99.35</v>
      </c>
      <c r="O736">
        <v>19.852941176470591</v>
      </c>
    </row>
    <row r="737" spans="1:15" hidden="1" x14ac:dyDescent="0.25">
      <c r="A737" s="7">
        <v>46161</v>
      </c>
      <c r="B737" s="8" t="s">
        <v>50</v>
      </c>
      <c r="C737" s="9" t="s">
        <v>48</v>
      </c>
      <c r="D737" s="3">
        <v>33</v>
      </c>
      <c r="E737" s="3">
        <v>32</v>
      </c>
      <c r="F737">
        <v>16.54</v>
      </c>
      <c r="G737" s="3">
        <v>2</v>
      </c>
      <c r="H737" s="3">
        <v>0</v>
      </c>
      <c r="I737" s="3">
        <f>E737+G737+H737</f>
        <v>34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23</v>
      </c>
      <c r="K737" s="3">
        <f>I737-J737</f>
        <v>11</v>
      </c>
      <c r="L737" s="3" t="str">
        <f>IF(K737&lt;-5,"CRÍTICO",IF(K737&lt;0,"ATENÇÃO",IF(K737&lt;=5,"BOM","EXCELENTE")))</f>
        <v>EXCELENTE</v>
      </c>
      <c r="M737">
        <v>29</v>
      </c>
      <c r="N737">
        <v>99.07</v>
      </c>
      <c r="O737">
        <v>20.098039215686271</v>
      </c>
    </row>
    <row r="738" spans="1:15" hidden="1" x14ac:dyDescent="0.25">
      <c r="A738" s="7">
        <v>46161</v>
      </c>
      <c r="B738" s="8" t="s">
        <v>51</v>
      </c>
      <c r="C738" s="9" t="s">
        <v>48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3" t="str">
        <f>IF(K738&lt;-5,"CRÍTICO",IF(K738&lt;0,"ATENÇÃO",IF(K738&lt;=5,"BOM","EXCELENTE")))</f>
        <v>BOM</v>
      </c>
      <c r="M738" s="9">
        <v>0</v>
      </c>
      <c r="N738" s="9">
        <v>98.81</v>
      </c>
      <c r="O738" s="9">
        <v>22.767857142857139</v>
      </c>
    </row>
    <row r="739" spans="1:15" hidden="1" x14ac:dyDescent="0.25">
      <c r="A739" s="7">
        <v>46161</v>
      </c>
      <c r="B739" s="8" t="s">
        <v>52</v>
      </c>
      <c r="C739" s="9" t="s">
        <v>48</v>
      </c>
      <c r="D739" s="3">
        <v>23</v>
      </c>
      <c r="E739" s="3">
        <v>22</v>
      </c>
      <c r="F739">
        <v>13.4</v>
      </c>
      <c r="G739" s="3">
        <v>2</v>
      </c>
      <c r="H739" s="3">
        <v>0</v>
      </c>
      <c r="I739" s="3">
        <f>E739+G739+H739</f>
        <v>24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23</v>
      </c>
      <c r="K739" s="3">
        <f>I739-J739</f>
        <v>1</v>
      </c>
      <c r="L739" s="3" t="str">
        <f>IF(K739&lt;-5,"CRÍTICO",IF(K739&lt;0,"ATENÇÃO",IF(K739&lt;=5,"BOM","EXCELENTE")))</f>
        <v>BOM</v>
      </c>
      <c r="M739">
        <v>23</v>
      </c>
      <c r="N739">
        <v>99.01</v>
      </c>
      <c r="O739">
        <v>17.766497461928939</v>
      </c>
    </row>
    <row r="740" spans="1:15" hidden="1" x14ac:dyDescent="0.25">
      <c r="A740" s="7">
        <v>46161</v>
      </c>
      <c r="B740" s="8" t="s">
        <v>53</v>
      </c>
      <c r="C740" s="9" t="s">
        <v>48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3" t="str">
        <f>IF(K740&lt;-5,"CRÍTICO",IF(K740&lt;0,"ATENÇÃO",IF(K740&lt;=5,"BOM","EXCELENTE")))</f>
        <v>BOM</v>
      </c>
      <c r="M740" s="9">
        <v>0</v>
      </c>
      <c r="N740" s="9">
        <v>100</v>
      </c>
      <c r="O740" s="9">
        <v>17.241379310344829</v>
      </c>
    </row>
    <row r="741" spans="1:15" hidden="1" x14ac:dyDescent="0.25">
      <c r="A741" s="7">
        <v>46161</v>
      </c>
      <c r="B741" s="8" t="s">
        <v>54</v>
      </c>
      <c r="C741" s="9" t="s">
        <v>48</v>
      </c>
      <c r="D741" s="3">
        <v>28</v>
      </c>
      <c r="E741" s="3">
        <v>25</v>
      </c>
      <c r="F741">
        <v>16.55</v>
      </c>
      <c r="G741" s="3">
        <v>0</v>
      </c>
      <c r="H741" s="3">
        <v>0</v>
      </c>
      <c r="I741" s="3">
        <f>E741+G741+H741</f>
        <v>25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2</v>
      </c>
      <c r="L741" s="3" t="str">
        <f>IF(K741&lt;-5,"CRÍTICO",IF(K741&lt;0,"ATENÇÃO",IF(K741&lt;=5,"BOM","EXCELENTE")))</f>
        <v>BOM</v>
      </c>
      <c r="M741">
        <v>22</v>
      </c>
      <c r="N741">
        <v>98.98</v>
      </c>
      <c r="O741">
        <v>19.35483870967742</v>
      </c>
    </row>
    <row r="742" spans="1:15" hidden="1" x14ac:dyDescent="0.25">
      <c r="A742" s="7">
        <v>46161</v>
      </c>
      <c r="B742" s="8" t="s">
        <v>55</v>
      </c>
      <c r="C742" s="9" t="s">
        <v>48</v>
      </c>
      <c r="D742" s="3">
        <v>24</v>
      </c>
      <c r="E742" s="3">
        <v>20</v>
      </c>
      <c r="F742">
        <v>17</v>
      </c>
      <c r="G742" s="3">
        <v>2</v>
      </c>
      <c r="H742" s="3">
        <v>0</v>
      </c>
      <c r="I742" s="3">
        <f>E742+G742+H742</f>
        <v>22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-1</v>
      </c>
      <c r="L742" s="3" t="str">
        <f>IF(K742&lt;-5,"CRÍTICO",IF(K742&lt;0,"ATENÇÃO",IF(K742&lt;=5,"BOM","EXCELENTE")))</f>
        <v>ATENÇÃO</v>
      </c>
      <c r="M742">
        <v>16</v>
      </c>
      <c r="N742">
        <v>98.94</v>
      </c>
      <c r="O742">
        <v>21.270718232044199</v>
      </c>
    </row>
    <row r="743" spans="1:15" hidden="1" x14ac:dyDescent="0.25">
      <c r="A743" s="7">
        <v>46161</v>
      </c>
      <c r="B743" s="8" t="s">
        <v>56</v>
      </c>
      <c r="C743" s="9" t="s">
        <v>48</v>
      </c>
      <c r="D743" s="3">
        <v>28</v>
      </c>
      <c r="E743" s="3">
        <v>25</v>
      </c>
      <c r="F743">
        <v>19.03</v>
      </c>
      <c r="G743" s="3">
        <v>3</v>
      </c>
      <c r="H743" s="3">
        <v>0</v>
      </c>
      <c r="I743" s="3">
        <f>E743+G743+H743</f>
        <v>28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23</v>
      </c>
      <c r="K743" s="3">
        <f>I743-J743</f>
        <v>5</v>
      </c>
      <c r="L743" s="3" t="str">
        <f>IF(K743&lt;-5,"CRÍTICO",IF(K743&lt;0,"ATENÇÃO",IF(K743&lt;=5,"BOM","EXCELENTE")))</f>
        <v>BOM</v>
      </c>
      <c r="M743">
        <v>45</v>
      </c>
      <c r="N743">
        <v>99</v>
      </c>
      <c r="O743">
        <v>22.010869565217391</v>
      </c>
    </row>
    <row r="744" spans="1:15" hidden="1" x14ac:dyDescent="0.25">
      <c r="A744" s="7">
        <v>46161</v>
      </c>
      <c r="B744" s="8" t="s">
        <v>57</v>
      </c>
      <c r="C744" s="9" t="s">
        <v>48</v>
      </c>
      <c r="D744" s="3">
        <v>22</v>
      </c>
      <c r="E744" s="3">
        <v>21</v>
      </c>
      <c r="F744">
        <v>24.02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>IF(K744&lt;-5,"CRÍTICO",IF(K744&lt;0,"ATENÇÃO",IF(K744&lt;=5,"BOM","EXCELENTE")))</f>
        <v>BOM</v>
      </c>
      <c r="M744">
        <v>19</v>
      </c>
      <c r="N744">
        <v>100</v>
      </c>
      <c r="O744">
        <v>25</v>
      </c>
    </row>
    <row r="745" spans="1:15" hidden="1" x14ac:dyDescent="0.25">
      <c r="A745" s="7">
        <v>46161</v>
      </c>
      <c r="B745" s="8" t="s">
        <v>58</v>
      </c>
      <c r="C745" s="9" t="s">
        <v>48</v>
      </c>
      <c r="D745" s="3">
        <v>25</v>
      </c>
      <c r="E745" s="3">
        <v>23</v>
      </c>
      <c r="F745">
        <v>17.03</v>
      </c>
      <c r="G745" s="3">
        <v>0</v>
      </c>
      <c r="H745" s="3">
        <v>0</v>
      </c>
      <c r="I745" s="3">
        <f>E745+G745+H745</f>
        <v>23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23</v>
      </c>
      <c r="K745" s="3">
        <f>I745-J745</f>
        <v>0</v>
      </c>
      <c r="L745" s="3" t="str">
        <f>IF(K745&lt;-5,"CRÍTICO",IF(K745&lt;0,"ATENÇÃO",IF(K745&lt;=5,"BOM","EXCELENTE")))</f>
        <v>BOM</v>
      </c>
      <c r="M745">
        <v>22</v>
      </c>
      <c r="N745">
        <v>100</v>
      </c>
      <c r="O745">
        <v>20.183486238532112</v>
      </c>
    </row>
    <row r="746" spans="1:15" hidden="1" x14ac:dyDescent="0.25">
      <c r="A746" s="7">
        <v>46162</v>
      </c>
      <c r="B746" s="8" t="s">
        <v>47</v>
      </c>
      <c r="C746" s="9" t="s">
        <v>48</v>
      </c>
      <c r="D746" s="3">
        <v>36</v>
      </c>
      <c r="E746" s="3">
        <v>25</v>
      </c>
      <c r="F746" s="3">
        <v>11.43</v>
      </c>
      <c r="G746" s="3">
        <v>6</v>
      </c>
      <c r="H746" s="3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IF(K746&lt;-5,"CRÍTICO",IF(K746&lt;0,"ATENÇÃO",IF(K746&lt;=5,"OPORTUNO","MUITO BOM")))</f>
        <v>MUITO BOM</v>
      </c>
      <c r="M746" s="3">
        <v>20</v>
      </c>
      <c r="N746" s="3">
        <v>99.18</v>
      </c>
      <c r="O746" s="3">
        <v>24.501424501424498</v>
      </c>
    </row>
    <row r="747" spans="1:15" hidden="1" x14ac:dyDescent="0.25">
      <c r="A747" s="11">
        <v>46056</v>
      </c>
      <c r="B747" t="s">
        <v>22</v>
      </c>
      <c r="C747" t="s">
        <v>23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>E747+G747+H747</f>
        <v>31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10</v>
      </c>
      <c r="L747" s="3" t="str">
        <f>IF(K747&lt;-5,"CRÍTICO",IF(K747&lt;0,"ATENÇÃO",IF(K747&lt;=5,"BOM","EXCELENTE")))</f>
        <v>EXCELENTE</v>
      </c>
      <c r="M747">
        <v>31</v>
      </c>
      <c r="N747">
        <v>96.67</v>
      </c>
      <c r="O747">
        <v>31.451612903225811</v>
      </c>
    </row>
    <row r="748" spans="1:15" hidden="1" x14ac:dyDescent="0.25">
      <c r="A748" s="11">
        <v>46057</v>
      </c>
      <c r="B748" t="s">
        <v>22</v>
      </c>
      <c r="C748" t="s">
        <v>23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>E748+G748+H748</f>
        <v>19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21</v>
      </c>
      <c r="K748" s="3">
        <f>I748-J748</f>
        <v>-2</v>
      </c>
      <c r="L748" s="3" t="str">
        <f>IF(K748&lt;-5,"CRÍTICO",IF(K748&lt;0,"ATENÇÃO",IF(K748&lt;=5,"BOM","EXCELENTE")))</f>
        <v>ATENÇÃO</v>
      </c>
      <c r="M748">
        <v>18</v>
      </c>
      <c r="N748">
        <v>96.67</v>
      </c>
      <c r="O748">
        <v>31.451612903225811</v>
      </c>
    </row>
    <row r="749" spans="1:15" hidden="1" x14ac:dyDescent="0.25">
      <c r="A749" s="7">
        <v>46162</v>
      </c>
      <c r="B749" s="8" t="s">
        <v>49</v>
      </c>
      <c r="C749" s="9" t="s">
        <v>48</v>
      </c>
      <c r="D749" s="3">
        <v>25</v>
      </c>
      <c r="E749" s="3">
        <v>23</v>
      </c>
      <c r="F749" s="3">
        <v>15.11</v>
      </c>
      <c r="G749" s="3">
        <v>2</v>
      </c>
      <c r="H749" s="3">
        <v>0</v>
      </c>
      <c r="I749" s="3">
        <f>E749+G749+H749</f>
        <v>25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21</v>
      </c>
      <c r="K749" s="3">
        <f>I749-J749</f>
        <v>4</v>
      </c>
      <c r="L749" s="3" t="str">
        <f>IF(K749&lt;-5,"CRÍTICO",IF(K749&lt;0,"ATENÇÃO",IF(K749&lt;=5,"OPORTUNO","MUITO BOM")))</f>
        <v>OPORTUNO</v>
      </c>
      <c r="M749" s="9">
        <v>29</v>
      </c>
      <c r="N749" s="9">
        <v>99.35</v>
      </c>
      <c r="O749" s="9">
        <v>19.852941176470591</v>
      </c>
    </row>
    <row r="750" spans="1:15" hidden="1" x14ac:dyDescent="0.25">
      <c r="A750" s="7">
        <v>46162</v>
      </c>
      <c r="B750" s="8" t="s">
        <v>50</v>
      </c>
      <c r="C750" s="9" t="s">
        <v>48</v>
      </c>
      <c r="D750" s="3">
        <v>27</v>
      </c>
      <c r="E750" s="3">
        <v>26</v>
      </c>
      <c r="F750" s="3">
        <v>18.579999999999998</v>
      </c>
      <c r="G750" s="3">
        <v>1</v>
      </c>
      <c r="H750" s="3">
        <v>0</v>
      </c>
      <c r="I750" s="3">
        <f>E750+G750+H750</f>
        <v>27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21</v>
      </c>
      <c r="K750" s="3">
        <f>I750-J750</f>
        <v>6</v>
      </c>
      <c r="L750" s="3" t="str">
        <f>IF(K750&lt;-5,"CRÍTICO",IF(K750&lt;0,"ATENÇÃO",IF(K750&lt;=5,"OPORTUNO","MUITO BOM")))</f>
        <v>MUITO BOM</v>
      </c>
      <c r="M750" s="9">
        <v>25</v>
      </c>
      <c r="N750" s="9">
        <v>99.07</v>
      </c>
      <c r="O750" s="9">
        <v>20.098039215686271</v>
      </c>
    </row>
    <row r="751" spans="1:15" hidden="1" x14ac:dyDescent="0.25">
      <c r="A751" s="7">
        <v>46162</v>
      </c>
      <c r="B751" s="8" t="s">
        <v>51</v>
      </c>
      <c r="C751" s="9" t="s">
        <v>48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3" t="str">
        <f>IF(K751&lt;-5,"CRÍTICO",IF(K751&lt;0,"ATENÇÃO",IF(K751&lt;=5,"OPORTUNO","MUITO BOM")))</f>
        <v>OPORTUNO</v>
      </c>
      <c r="M751" s="9">
        <v>0</v>
      </c>
      <c r="N751" s="9">
        <v>98.81</v>
      </c>
      <c r="O751" s="9">
        <v>22.767857142857139</v>
      </c>
    </row>
    <row r="752" spans="1:15" hidden="1" x14ac:dyDescent="0.25">
      <c r="A752" s="7">
        <v>46162</v>
      </c>
      <c r="B752" s="8" t="s">
        <v>52</v>
      </c>
      <c r="C752" s="9" t="s">
        <v>48</v>
      </c>
      <c r="D752" s="3">
        <v>30</v>
      </c>
      <c r="E752" s="3">
        <v>28</v>
      </c>
      <c r="F752" s="3">
        <v>10.26</v>
      </c>
      <c r="G752" s="3">
        <v>2</v>
      </c>
      <c r="H752" s="3">
        <v>0</v>
      </c>
      <c r="I752" s="3">
        <f>E752+G752+H752</f>
        <v>30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21</v>
      </c>
      <c r="K752" s="3">
        <f>I752-J752</f>
        <v>9</v>
      </c>
      <c r="L752" s="3" t="str">
        <f>IF(K752&lt;-5,"CRÍTICO",IF(K752&lt;0,"ATENÇÃO",IF(K752&lt;=5,"OPORTUNO","MUITO BOM")))</f>
        <v>MUITO BOM</v>
      </c>
      <c r="M752" s="9">
        <v>28</v>
      </c>
      <c r="N752" s="9">
        <v>99.01</v>
      </c>
      <c r="O752" s="9">
        <v>17.766497461928939</v>
      </c>
    </row>
    <row r="753" spans="1:15" hidden="1" x14ac:dyDescent="0.25">
      <c r="A753" s="7">
        <v>46162</v>
      </c>
      <c r="B753" s="8" t="s">
        <v>53</v>
      </c>
      <c r="C753" s="9" t="s">
        <v>48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3" t="str">
        <f>IF(K753&lt;-5,"CRÍTICO",IF(K753&lt;0,"ATENÇÃO",IF(K753&lt;=5,"OPORTUNO","MUITO BOM")))</f>
        <v>OPORTUNO</v>
      </c>
      <c r="M753" s="9">
        <v>0</v>
      </c>
      <c r="N753" s="9">
        <v>100</v>
      </c>
      <c r="O753" s="9">
        <v>17.241379310344829</v>
      </c>
    </row>
    <row r="754" spans="1:15" hidden="1" x14ac:dyDescent="0.25">
      <c r="A754" s="7">
        <v>46162</v>
      </c>
      <c r="B754" s="8" t="s">
        <v>54</v>
      </c>
      <c r="C754" s="9" t="s">
        <v>48</v>
      </c>
      <c r="D754" s="3">
        <v>24</v>
      </c>
      <c r="E754" s="3">
        <v>24</v>
      </c>
      <c r="F754" s="3">
        <v>23.52</v>
      </c>
      <c r="G754" s="3">
        <v>1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4</v>
      </c>
      <c r="L754" s="3" t="str">
        <f>IF(K754&lt;-5,"CRÍTICO",IF(K754&lt;0,"ATENÇÃO",IF(K754&lt;=5,"OPORTUNO","MUITO BOM")))</f>
        <v>OPORTUNO</v>
      </c>
      <c r="M754" s="9">
        <v>22</v>
      </c>
      <c r="N754" s="9">
        <v>98.98</v>
      </c>
      <c r="O754" s="9">
        <v>19.35483870967742</v>
      </c>
    </row>
    <row r="755" spans="1:15" hidden="1" x14ac:dyDescent="0.25">
      <c r="A755" s="7">
        <v>46162</v>
      </c>
      <c r="B755" s="8" t="s">
        <v>55</v>
      </c>
      <c r="C755" s="9" t="s">
        <v>48</v>
      </c>
      <c r="D755" s="3">
        <v>32</v>
      </c>
      <c r="E755" s="3">
        <v>26</v>
      </c>
      <c r="F755" s="3">
        <v>14.11</v>
      </c>
      <c r="G755" s="3">
        <v>0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5</v>
      </c>
      <c r="L755" s="3" t="str">
        <f>IF(K755&lt;-5,"CRÍTICO",IF(K755&lt;0,"ATENÇÃO",IF(K755&lt;=5,"OPORTUNO","MUITO BOM")))</f>
        <v>OPORTUNO</v>
      </c>
      <c r="M755" s="9">
        <v>23</v>
      </c>
      <c r="N755" s="9">
        <v>98.94</v>
      </c>
      <c r="O755" s="9">
        <v>21.270718232044199</v>
      </c>
    </row>
    <row r="756" spans="1:15" hidden="1" x14ac:dyDescent="0.25">
      <c r="A756" s="7">
        <v>46162</v>
      </c>
      <c r="B756" s="8" t="s">
        <v>56</v>
      </c>
      <c r="C756" s="9" t="s">
        <v>48</v>
      </c>
      <c r="D756" s="3">
        <v>25</v>
      </c>
      <c r="E756" s="3">
        <v>23</v>
      </c>
      <c r="F756" s="3">
        <v>20.02</v>
      </c>
      <c r="G756" s="3">
        <v>2</v>
      </c>
      <c r="H756" s="3">
        <v>0</v>
      </c>
      <c r="I756" s="3">
        <f>E756+G756+H756</f>
        <v>25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21</v>
      </c>
      <c r="K756" s="3">
        <f>I756-J756</f>
        <v>4</v>
      </c>
      <c r="L756" s="3" t="str">
        <f>IF(K756&lt;-5,"CRÍTICO",IF(K756&lt;0,"ATENÇÃO",IF(K756&lt;=5,"OPORTUNO","MUITO BOM")))</f>
        <v>OPORTUNO</v>
      </c>
      <c r="M756" s="9">
        <v>19</v>
      </c>
      <c r="N756" s="9">
        <v>99</v>
      </c>
      <c r="O756" s="9">
        <v>22.010869565217391</v>
      </c>
    </row>
    <row r="757" spans="1:15" hidden="1" x14ac:dyDescent="0.25">
      <c r="A757" s="7">
        <v>46162</v>
      </c>
      <c r="B757" s="8" t="s">
        <v>57</v>
      </c>
      <c r="C757" s="9" t="s">
        <v>48</v>
      </c>
      <c r="D757" s="3">
        <v>16</v>
      </c>
      <c r="E757" s="3">
        <v>13</v>
      </c>
      <c r="F757" s="3">
        <v>25.44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>IF(K757&lt;-5,"CRÍTICO",IF(K757&lt;0,"ATENÇÃO",IF(K757&lt;=5,"OPORTUNO","MUITO BOM")))</f>
        <v>OPORTUNO</v>
      </c>
      <c r="M757" s="9">
        <v>8</v>
      </c>
      <c r="N757" s="9">
        <v>100</v>
      </c>
      <c r="O757" s="9">
        <v>25</v>
      </c>
    </row>
    <row r="758" spans="1:15" hidden="1" x14ac:dyDescent="0.25">
      <c r="A758" s="7">
        <v>46162</v>
      </c>
      <c r="B758" s="8" t="s">
        <v>58</v>
      </c>
      <c r="C758" s="9" t="s">
        <v>48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3" t="str">
        <f>IF(K758&lt;-5,"CRÍTICO",IF(K758&lt;0,"ATENÇÃO",IF(K758&lt;=5,"OPORTUNO","MUITO BOM")))</f>
        <v>OPORTUNO</v>
      </c>
      <c r="M758" s="9">
        <v>0</v>
      </c>
      <c r="N758" s="9">
        <v>100</v>
      </c>
      <c r="O758" s="9">
        <v>20.183486238532112</v>
      </c>
    </row>
    <row r="759" spans="1:15" hidden="1" x14ac:dyDescent="0.25">
      <c r="A759" s="5">
        <v>46163</v>
      </c>
      <c r="B759" s="6" t="s">
        <v>47</v>
      </c>
      <c r="C759" s="3" t="s">
        <v>48</v>
      </c>
      <c r="D759" s="3">
        <v>31</v>
      </c>
      <c r="E759" s="3">
        <v>19</v>
      </c>
      <c r="F759" s="3">
        <v>5.55</v>
      </c>
      <c r="G759" s="3">
        <v>1</v>
      </c>
      <c r="H759" s="3">
        <v>0</v>
      </c>
      <c r="I759" s="3">
        <f>E759+G759+H759</f>
        <v>20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2</v>
      </c>
      <c r="L759" s="3" t="str">
        <f>IF(K759&lt;-5,"CRÍTICO",IF(K759&lt;0,"ATENÇÃO",IF(K759&lt;=5,"OPORTUNO","MUITO BOM")))</f>
        <v>OPORTUNO</v>
      </c>
      <c r="M759" s="3">
        <v>17</v>
      </c>
      <c r="N759" s="3">
        <v>99.18</v>
      </c>
      <c r="O759" s="3">
        <v>24.501424501424498</v>
      </c>
    </row>
    <row r="760" spans="1:15" hidden="1" x14ac:dyDescent="0.25">
      <c r="A760" s="5">
        <v>46163</v>
      </c>
      <c r="B760" s="6" t="s">
        <v>49</v>
      </c>
      <c r="C760" s="3" t="s">
        <v>48</v>
      </c>
      <c r="D760" s="3">
        <v>31</v>
      </c>
      <c r="E760" s="3">
        <v>27</v>
      </c>
      <c r="F760" s="3">
        <v>10.15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13</v>
      </c>
      <c r="L760" s="3" t="str">
        <f>IF(K760&lt;-5,"CRÍTICO",IF(K760&lt;0,"ATENÇÃO",IF(K760&lt;=5,"OPORTUNO","MUITO BOM")))</f>
        <v>MUITO BOM</v>
      </c>
      <c r="M760" s="3">
        <v>28</v>
      </c>
      <c r="N760" s="3">
        <v>99.35</v>
      </c>
      <c r="O760" s="3">
        <v>19.852941176470591</v>
      </c>
    </row>
    <row r="761" spans="1:15" hidden="1" x14ac:dyDescent="0.25">
      <c r="A761" s="5">
        <v>46163</v>
      </c>
      <c r="B761" s="6" t="s">
        <v>50</v>
      </c>
      <c r="C761" s="3" t="s">
        <v>48</v>
      </c>
      <c r="D761" s="3">
        <v>24</v>
      </c>
      <c r="E761" s="3">
        <v>22</v>
      </c>
      <c r="F761" s="3">
        <v>18.55</v>
      </c>
      <c r="G761" s="3">
        <v>1</v>
      </c>
      <c r="H761" s="3">
        <v>0</v>
      </c>
      <c r="I761" s="3">
        <f>E761+G761+H761</f>
        <v>23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18</v>
      </c>
      <c r="K761" s="3">
        <f>I761-J761</f>
        <v>5</v>
      </c>
      <c r="L761" s="3" t="str">
        <f>IF(K761&lt;-5,"CRÍTICO",IF(K761&lt;0,"ATENÇÃO",IF(K761&lt;=5,"OPORTUNO","MUITO BOM")))</f>
        <v>OPORTUNO</v>
      </c>
      <c r="M761" s="3">
        <v>21</v>
      </c>
      <c r="N761" s="3">
        <v>99.07</v>
      </c>
      <c r="O761" s="3">
        <v>20.098039215686271</v>
      </c>
    </row>
    <row r="762" spans="1:15" hidden="1" x14ac:dyDescent="0.25">
      <c r="A762" s="5">
        <v>46163</v>
      </c>
      <c r="B762" s="6" t="s">
        <v>51</v>
      </c>
      <c r="C762" s="3" t="s">
        <v>48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3" t="str">
        <f>IF(K762&lt;-5,"CRÍTICO",IF(K762&lt;0,"ATENÇÃO",IF(K762&lt;=5,"OPORTUNO","MUITO BOM")))</f>
        <v>OPORTUNO</v>
      </c>
      <c r="M762" s="3">
        <v>0</v>
      </c>
      <c r="N762" s="3">
        <v>98.81</v>
      </c>
      <c r="O762" s="3">
        <v>22.767857142857139</v>
      </c>
    </row>
    <row r="763" spans="1:15" hidden="1" x14ac:dyDescent="0.25">
      <c r="A763" s="5">
        <v>46163</v>
      </c>
      <c r="B763" s="6" t="s">
        <v>52</v>
      </c>
      <c r="C763" s="3" t="s">
        <v>48</v>
      </c>
      <c r="D763" s="3">
        <v>28</v>
      </c>
      <c r="E763" s="3">
        <v>23</v>
      </c>
      <c r="F763" s="3">
        <v>9.02</v>
      </c>
      <c r="G763" s="3">
        <v>3</v>
      </c>
      <c r="H763" s="3">
        <v>0</v>
      </c>
      <c r="I763" s="3">
        <f>E763+G763+H763</f>
        <v>26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18</v>
      </c>
      <c r="K763" s="3">
        <f>I763-J763</f>
        <v>8</v>
      </c>
      <c r="L763" s="3" t="str">
        <f>IF(K763&lt;-5,"CRÍTICO",IF(K763&lt;0,"ATENÇÃO",IF(K763&lt;=5,"OPORTUNO","MUITO BOM")))</f>
        <v>MUITO BOM</v>
      </c>
      <c r="M763" s="3">
        <v>25</v>
      </c>
      <c r="N763" s="3">
        <v>99.01</v>
      </c>
      <c r="O763" s="3">
        <v>17.766497461928939</v>
      </c>
    </row>
    <row r="764" spans="1:15" hidden="1" x14ac:dyDescent="0.25">
      <c r="A764" s="5">
        <v>46163</v>
      </c>
      <c r="B764" s="6" t="s">
        <v>53</v>
      </c>
      <c r="C764" s="3" t="s">
        <v>48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3" t="str">
        <f>IF(K764&lt;-5,"CRÍTICO",IF(K764&lt;0,"ATENÇÃO",IF(K764&lt;=5,"OPORTUNO","MUITO BOM")))</f>
        <v>OPORTUNO</v>
      </c>
      <c r="M764" s="3">
        <v>0</v>
      </c>
      <c r="N764" s="3">
        <v>100</v>
      </c>
      <c r="O764" s="3">
        <v>17.241379310344829</v>
      </c>
    </row>
    <row r="765" spans="1:15" hidden="1" x14ac:dyDescent="0.25">
      <c r="A765" s="5">
        <v>46163</v>
      </c>
      <c r="B765" s="6" t="s">
        <v>54</v>
      </c>
      <c r="C765" s="3" t="s">
        <v>48</v>
      </c>
      <c r="D765" s="3">
        <v>22</v>
      </c>
      <c r="E765" s="3">
        <v>21</v>
      </c>
      <c r="F765" s="3">
        <v>19.05</v>
      </c>
      <c r="G765" s="3">
        <v>1</v>
      </c>
      <c r="H765" s="3">
        <v>0</v>
      </c>
      <c r="I765" s="3">
        <f>E765+G765+H765</f>
        <v>22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4</v>
      </c>
      <c r="L765" s="3" t="str">
        <f>IF(K765&lt;-5,"CRÍTICO",IF(K765&lt;0,"ATENÇÃO",IF(K765&lt;=5,"OPORTUNO","MUITO BOM")))</f>
        <v>OPORTUNO</v>
      </c>
      <c r="M765" s="3">
        <v>19</v>
      </c>
      <c r="N765" s="3">
        <v>98.98</v>
      </c>
      <c r="O765" s="3">
        <v>19.35483870967742</v>
      </c>
    </row>
    <row r="766" spans="1:15" hidden="1" x14ac:dyDescent="0.25">
      <c r="A766" s="5">
        <v>46163</v>
      </c>
      <c r="B766" s="6" t="s">
        <v>55</v>
      </c>
      <c r="C766" s="3" t="s">
        <v>48</v>
      </c>
      <c r="D766" s="3">
        <v>17</v>
      </c>
      <c r="E766" s="3">
        <v>14</v>
      </c>
      <c r="F766" s="3">
        <v>17.2</v>
      </c>
      <c r="G766" s="3">
        <v>0</v>
      </c>
      <c r="H766" s="3">
        <v>0</v>
      </c>
      <c r="I766" s="3">
        <f>E766+G766+H766</f>
        <v>14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-4</v>
      </c>
      <c r="L766" s="3" t="str">
        <f>IF(K766&lt;-5,"CRÍTICO",IF(K766&lt;0,"ATENÇÃO",IF(K766&lt;=5,"OPORTUNO","MUITO BOM")))</f>
        <v>ATENÇÃO</v>
      </c>
      <c r="M766" s="3">
        <v>14</v>
      </c>
      <c r="N766" s="3">
        <v>98.94</v>
      </c>
      <c r="O766" s="3">
        <v>21.270718232044199</v>
      </c>
    </row>
    <row r="767" spans="1:15" hidden="1" x14ac:dyDescent="0.25">
      <c r="A767" s="5">
        <v>46163</v>
      </c>
      <c r="B767" s="6" t="s">
        <v>56</v>
      </c>
      <c r="C767" s="3" t="s">
        <v>48</v>
      </c>
      <c r="D767" s="3">
        <v>19</v>
      </c>
      <c r="E767" s="3">
        <v>19</v>
      </c>
      <c r="F767" s="3">
        <v>24.12</v>
      </c>
      <c r="G767" s="3">
        <v>0</v>
      </c>
      <c r="H767" s="3">
        <v>0</v>
      </c>
      <c r="I767" s="3">
        <f>E767+G767+H767</f>
        <v>19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18</v>
      </c>
      <c r="K767" s="3">
        <f>I767-J767</f>
        <v>1</v>
      </c>
      <c r="L767" s="3" t="str">
        <f>IF(K767&lt;-5,"CRÍTICO",IF(K767&lt;0,"ATENÇÃO",IF(K767&lt;=5,"OPORTUNO","MUITO BOM")))</f>
        <v>OPORTUNO</v>
      </c>
      <c r="M767" s="3">
        <v>17</v>
      </c>
      <c r="N767" s="3">
        <v>99</v>
      </c>
      <c r="O767" s="3">
        <v>22.010869565217391</v>
      </c>
    </row>
    <row r="768" spans="1:15" hidden="1" x14ac:dyDescent="0.25">
      <c r="A768" s="5">
        <v>46163</v>
      </c>
      <c r="B768" s="6" t="s">
        <v>57</v>
      </c>
      <c r="C768" s="3" t="s">
        <v>48</v>
      </c>
      <c r="D768" s="3">
        <v>18</v>
      </c>
      <c r="E768" s="3">
        <v>15</v>
      </c>
      <c r="F768" s="3">
        <v>14.09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>IF(K768&lt;-5,"CRÍTICO",IF(K768&lt;0,"ATENÇÃO",IF(K768&lt;=5,"OPORTUNO","MUITO BOM")))</f>
        <v>OPORTUNO</v>
      </c>
      <c r="M768" s="3">
        <v>15</v>
      </c>
      <c r="N768" s="3">
        <v>100</v>
      </c>
      <c r="O768" s="3">
        <v>25</v>
      </c>
    </row>
    <row r="769" spans="1:15" hidden="1" x14ac:dyDescent="0.25">
      <c r="A769" s="5">
        <v>46163</v>
      </c>
      <c r="B769" s="6" t="s">
        <v>58</v>
      </c>
      <c r="C769" s="3" t="s">
        <v>48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3" t="str">
        <f>IF(K769&lt;-5,"CRÍTICO",IF(K769&lt;0,"ATENÇÃO",IF(K769&lt;=5,"OPORTUNO","MUITO BOM")))</f>
        <v>OPORTUNO</v>
      </c>
      <c r="M769" s="3">
        <v>0</v>
      </c>
      <c r="N769" s="3">
        <v>100</v>
      </c>
      <c r="O769" s="3">
        <v>20.183486238532112</v>
      </c>
    </row>
    <row r="770" spans="1:15" hidden="1" x14ac:dyDescent="0.25">
      <c r="A770" s="10">
        <v>46164</v>
      </c>
      <c r="B770" s="6" t="s">
        <v>47</v>
      </c>
      <c r="C770" s="3" t="s">
        <v>48</v>
      </c>
      <c r="D770" s="3">
        <v>23</v>
      </c>
      <c r="E770" s="3">
        <v>15</v>
      </c>
      <c r="F770" s="3">
        <v>15.08</v>
      </c>
      <c r="G770" s="3">
        <v>1</v>
      </c>
      <c r="H770" s="3">
        <v>0</v>
      </c>
      <c r="I770" s="3">
        <f>E770+G770+H770</f>
        <v>16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</v>
      </c>
      <c r="L770" s="3" t="str">
        <f>IF(K770&lt;-5,"CRÍTICO",IF(K770&lt;0,"ATENÇÃO",IF(K770&lt;=5,"OPORTUNO","MUITO BOM")))</f>
        <v>OPORTUNO</v>
      </c>
      <c r="M770" s="3">
        <v>11</v>
      </c>
      <c r="N770" s="3">
        <v>99.18</v>
      </c>
      <c r="O770" s="3">
        <v>24.501424501424498</v>
      </c>
    </row>
    <row r="771" spans="1:15" hidden="1" x14ac:dyDescent="0.25">
      <c r="A771" s="10">
        <v>46164</v>
      </c>
      <c r="B771" s="6" t="s">
        <v>49</v>
      </c>
      <c r="C771" s="3" t="s">
        <v>48</v>
      </c>
      <c r="D771" s="3">
        <v>30</v>
      </c>
      <c r="E771" s="3">
        <v>27</v>
      </c>
      <c r="F771" s="3">
        <v>9.15</v>
      </c>
      <c r="G771" s="3">
        <v>6</v>
      </c>
      <c r="H771" s="3">
        <v>0</v>
      </c>
      <c r="I771" s="3">
        <f>E771+G771+H771</f>
        <v>33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18</v>
      </c>
      <c r="L771" s="3" t="str">
        <f>IF(K771&lt;-5,"CRÍTICO",IF(K771&lt;0,"ATENÇÃO",IF(K771&lt;=5,"OPORTUNO","MUITO BOM")))</f>
        <v>MUITO BOM</v>
      </c>
      <c r="M771" s="3">
        <v>24</v>
      </c>
      <c r="N771" s="3">
        <v>99.35</v>
      </c>
      <c r="O771" s="3">
        <v>19.852941176470591</v>
      </c>
    </row>
    <row r="772" spans="1:15" hidden="1" x14ac:dyDescent="0.25">
      <c r="A772" s="10">
        <v>46164</v>
      </c>
      <c r="B772" s="6" t="s">
        <v>50</v>
      </c>
      <c r="C772" s="3" t="s">
        <v>48</v>
      </c>
      <c r="D772" s="3">
        <v>13</v>
      </c>
      <c r="E772" s="3">
        <v>12</v>
      </c>
      <c r="F772" s="3">
        <v>16.53</v>
      </c>
      <c r="G772" s="3">
        <v>0</v>
      </c>
      <c r="H772" s="3">
        <v>0</v>
      </c>
      <c r="I772" s="3">
        <f>E772+G772+H772</f>
        <v>12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15</v>
      </c>
      <c r="K772" s="3">
        <f>I772-J772</f>
        <v>-3</v>
      </c>
      <c r="L772" s="3" t="str">
        <f>IF(K772&lt;-5,"CRÍTICO",IF(K772&lt;0,"ATENÇÃO",IF(K772&lt;=5,"OPORTUNO","MUITO BOM")))</f>
        <v>ATENÇÃO</v>
      </c>
      <c r="M772" s="3">
        <v>12</v>
      </c>
      <c r="N772" s="3">
        <v>99.07</v>
      </c>
      <c r="O772" s="3">
        <v>20.098039215686271</v>
      </c>
    </row>
    <row r="773" spans="1:15" hidden="1" x14ac:dyDescent="0.25">
      <c r="A773" s="10">
        <v>46164</v>
      </c>
      <c r="B773" s="6" t="s">
        <v>51</v>
      </c>
      <c r="C773" s="3" t="s">
        <v>48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>IF(K773&lt;-5,"CRÍTICO",IF(K773&lt;0,"ATENÇÃO",IF(K773&lt;=5,"OPORTUNO","MUITO BOM")))</f>
        <v>OPORTUNO</v>
      </c>
      <c r="M773" s="3">
        <v>0</v>
      </c>
      <c r="N773" s="3">
        <v>98.81</v>
      </c>
      <c r="O773" s="3">
        <v>22.767857142857139</v>
      </c>
    </row>
    <row r="774" spans="1:15" hidden="1" x14ac:dyDescent="0.25">
      <c r="A774" s="10">
        <v>46164</v>
      </c>
      <c r="B774" s="6" t="s">
        <v>52</v>
      </c>
      <c r="C774" s="3" t="s">
        <v>48</v>
      </c>
      <c r="D774" s="3">
        <v>17</v>
      </c>
      <c r="E774" s="3">
        <v>14</v>
      </c>
      <c r="F774" s="3">
        <v>13.23</v>
      </c>
      <c r="G774" s="3">
        <v>1</v>
      </c>
      <c r="H774" s="3">
        <v>0</v>
      </c>
      <c r="I774" s="3">
        <f>E774+G774+H774</f>
        <v>15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15</v>
      </c>
      <c r="K774" s="3">
        <f>I774-J774</f>
        <v>0</v>
      </c>
      <c r="L774" s="3" t="str">
        <f>IF(K774&lt;-5,"CRÍTICO",IF(K774&lt;0,"ATENÇÃO",IF(K774&lt;=5,"OPORTUNO","MUITO BOM")))</f>
        <v>OPORTUNO</v>
      </c>
      <c r="M774" s="3">
        <v>13</v>
      </c>
      <c r="N774" s="3">
        <v>99.01</v>
      </c>
      <c r="O774" s="3">
        <v>17.766497461928939</v>
      </c>
    </row>
    <row r="775" spans="1:15" hidden="1" x14ac:dyDescent="0.25">
      <c r="A775" s="11">
        <v>46024</v>
      </c>
      <c r="B775" t="s">
        <v>47</v>
      </c>
      <c r="C775" t="s">
        <v>48</v>
      </c>
      <c r="D775">
        <v>21</v>
      </c>
      <c r="E775">
        <v>17</v>
      </c>
      <c r="F775">
        <v>12.2</v>
      </c>
      <c r="G775" s="3"/>
      <c r="H775" s="3"/>
      <c r="I775" s="3">
        <f>E775+G775+H775</f>
        <v>17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11</v>
      </c>
      <c r="K775" s="3">
        <f>I775-J775</f>
        <v>6</v>
      </c>
      <c r="L775" s="3" t="str">
        <f>IF(K775&lt;-5,"CRÍTICO",IF(K775&lt;0,"ATENÇÃO",IF(K775&lt;=5,"BOM","EXCELENTE")))</f>
        <v>EXCELENTE</v>
      </c>
      <c r="M775">
        <v>15</v>
      </c>
      <c r="N775">
        <v>96.81</v>
      </c>
      <c r="O775">
        <v>27.980535279805348</v>
      </c>
    </row>
    <row r="776" spans="1:15" hidden="1" x14ac:dyDescent="0.25">
      <c r="A776" s="11">
        <v>46024</v>
      </c>
      <c r="B776" t="s">
        <v>31</v>
      </c>
      <c r="C776" t="s">
        <v>32</v>
      </c>
      <c r="D776">
        <v>0</v>
      </c>
      <c r="E776">
        <v>0</v>
      </c>
      <c r="F776">
        <v>0</v>
      </c>
      <c r="G776">
        <v>0</v>
      </c>
      <c r="H776">
        <v>0</v>
      </c>
      <c r="I776" s="3">
        <v>0</v>
      </c>
      <c r="J776" s="3">
        <v>0</v>
      </c>
      <c r="K776" s="3">
        <v>0</v>
      </c>
      <c r="L776" s="3" t="str">
        <f>IF(K776&lt;-5,"CRÍTICO",IF(K776&lt;0,"ATENÇÃO",IF(K776&lt;=5,"BOM","EXCELENTE")))</f>
        <v>BOM</v>
      </c>
      <c r="M776">
        <v>21</v>
      </c>
      <c r="N776">
        <v>98.73</v>
      </c>
      <c r="O776">
        <v>35.756385068762278</v>
      </c>
    </row>
    <row r="777" spans="1:15" hidden="1" x14ac:dyDescent="0.25">
      <c r="A777" s="11">
        <v>46024</v>
      </c>
      <c r="B777" t="s">
        <v>59</v>
      </c>
      <c r="C777" t="s">
        <v>23</v>
      </c>
      <c r="D777">
        <v>21</v>
      </c>
      <c r="E777">
        <v>19</v>
      </c>
      <c r="F777">
        <v>20.149999999999999</v>
      </c>
      <c r="G777" s="3"/>
      <c r="H777" s="3"/>
      <c r="I777" s="3">
        <f>E777+G777+H777</f>
        <v>19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9</v>
      </c>
      <c r="K777" s="3">
        <f>I777-J777</f>
        <v>10</v>
      </c>
      <c r="L777" s="3" t="str">
        <f>IF(K777&lt;-5,"CRÍTICO",IF(K777&lt;0,"ATENÇÃO",IF(K777&lt;=5,"BOM","EXCELENTE")))</f>
        <v>EXCELENTE</v>
      </c>
      <c r="M777">
        <v>18</v>
      </c>
      <c r="N777">
        <v>98.32</v>
      </c>
      <c r="O777">
        <v>26.763485477178421</v>
      </c>
    </row>
    <row r="778" spans="1:15" hidden="1" x14ac:dyDescent="0.25">
      <c r="A778" s="11">
        <v>46024</v>
      </c>
      <c r="B778" t="s">
        <v>33</v>
      </c>
      <c r="C778" t="s">
        <v>32</v>
      </c>
      <c r="D778">
        <v>21</v>
      </c>
      <c r="E778">
        <v>20</v>
      </c>
      <c r="F778">
        <v>21.43</v>
      </c>
      <c r="G778" s="3"/>
      <c r="H778" s="3"/>
      <c r="I778" s="3">
        <f>E778+G778+H778</f>
        <v>20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14</v>
      </c>
      <c r="K778" s="3">
        <f>I778-J778</f>
        <v>6</v>
      </c>
      <c r="L778" s="3" t="str">
        <f>IF(K778&lt;-5,"CRÍTICO",IF(K778&lt;0,"ATENÇÃO",IF(K778&lt;=5,"BOM","EXCELENTE")))</f>
        <v>EXCELENTE</v>
      </c>
      <c r="M778">
        <v>17</v>
      </c>
      <c r="N778">
        <v>99.19</v>
      </c>
      <c r="O778">
        <v>27.637130801687761</v>
      </c>
    </row>
    <row r="779" spans="1:15" hidden="1" x14ac:dyDescent="0.25">
      <c r="A779" s="11">
        <v>46024</v>
      </c>
      <c r="B779" t="s">
        <v>15</v>
      </c>
      <c r="C779" t="s">
        <v>16</v>
      </c>
      <c r="D779">
        <v>0</v>
      </c>
      <c r="E779">
        <v>0</v>
      </c>
      <c r="F779">
        <v>0</v>
      </c>
      <c r="G779">
        <v>0</v>
      </c>
      <c r="H779">
        <v>0</v>
      </c>
      <c r="I779" s="3">
        <v>0</v>
      </c>
      <c r="J779" s="3">
        <v>0</v>
      </c>
      <c r="K779" s="3">
        <v>0</v>
      </c>
      <c r="L779" s="3" t="str">
        <f>IF(K779&lt;-5,"CRÍTICO",IF(K779&lt;0,"ATENÇÃO",IF(K779&lt;=5,"BOM","EXCELENTE")))</f>
        <v>BOM</v>
      </c>
      <c r="M779">
        <v>0</v>
      </c>
      <c r="N779">
        <v>100</v>
      </c>
      <c r="O779">
        <v>39.568345323741013</v>
      </c>
    </row>
    <row r="780" spans="1:15" hidden="1" x14ac:dyDescent="0.25">
      <c r="A780" s="11">
        <v>46024</v>
      </c>
      <c r="B780" t="s">
        <v>49</v>
      </c>
      <c r="C780" t="s">
        <v>48</v>
      </c>
      <c r="D780">
        <v>28</v>
      </c>
      <c r="E780">
        <v>25</v>
      </c>
      <c r="F780">
        <v>13.37</v>
      </c>
      <c r="G780" s="3"/>
      <c r="H780" s="3"/>
      <c r="I780" s="3">
        <f>E780+G780+H780</f>
        <v>25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14</v>
      </c>
      <c r="L780" s="3" t="str">
        <f>IF(K780&lt;-5,"CRÍTICO",IF(K780&lt;0,"ATENÇÃO",IF(K780&lt;=5,"BOM","EXCELENTE")))</f>
        <v>EXCELENTE</v>
      </c>
      <c r="M780">
        <v>23</v>
      </c>
      <c r="N780">
        <v>98.54</v>
      </c>
      <c r="O780">
        <v>28.544776119402989</v>
      </c>
    </row>
    <row r="781" spans="1:15" hidden="1" x14ac:dyDescent="0.25">
      <c r="A781" s="11">
        <v>46024</v>
      </c>
      <c r="B781" t="s">
        <v>50</v>
      </c>
      <c r="C781" t="s">
        <v>48</v>
      </c>
      <c r="D781">
        <v>22</v>
      </c>
      <c r="E781">
        <v>19</v>
      </c>
      <c r="F781">
        <v>16.579999999999998</v>
      </c>
      <c r="G781" s="3"/>
      <c r="H781" s="3"/>
      <c r="I781" s="3">
        <f>E781+G781+H781</f>
        <v>19</v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>11</v>
      </c>
      <c r="K781" s="3">
        <f>I781-J781</f>
        <v>8</v>
      </c>
      <c r="L781" s="3" t="str">
        <f>IF(K781&lt;-5,"CRÍTICO",IF(K781&lt;0,"ATENÇÃO",IF(K781&lt;=5,"BOM","EXCELENTE")))</f>
        <v>EXCELENTE</v>
      </c>
      <c r="M781">
        <v>20</v>
      </c>
      <c r="N781">
        <v>100</v>
      </c>
      <c r="O781">
        <v>34.366925064599492</v>
      </c>
    </row>
    <row r="782" spans="1:15" hidden="1" x14ac:dyDescent="0.25">
      <c r="A782" s="11">
        <v>46024</v>
      </c>
      <c r="B782" t="s">
        <v>17</v>
      </c>
      <c r="C782" t="s">
        <v>16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>
        <v>0</v>
      </c>
      <c r="N782">
        <v>0</v>
      </c>
      <c r="O782">
        <v>0</v>
      </c>
    </row>
    <row r="783" spans="1:15" hidden="1" x14ac:dyDescent="0.25">
      <c r="A783" s="11">
        <v>46024</v>
      </c>
      <c r="B783" t="s">
        <v>60</v>
      </c>
      <c r="C783" t="s">
        <v>23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>
        <v>0</v>
      </c>
      <c r="N783">
        <v>100</v>
      </c>
      <c r="O783">
        <v>29.518072289156631</v>
      </c>
    </row>
    <row r="784" spans="1:15" hidden="1" x14ac:dyDescent="0.25">
      <c r="A784" s="11">
        <v>46024</v>
      </c>
      <c r="B784" t="s">
        <v>34</v>
      </c>
      <c r="C784" t="s">
        <v>32</v>
      </c>
      <c r="D784">
        <v>0</v>
      </c>
      <c r="E784">
        <v>0</v>
      </c>
      <c r="F784">
        <v>0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>
        <v>0</v>
      </c>
      <c r="N784">
        <v>97.45</v>
      </c>
      <c r="O784">
        <v>41.421143847487002</v>
      </c>
    </row>
    <row r="785" spans="1:15" hidden="1" x14ac:dyDescent="0.25">
      <c r="A785" s="11">
        <v>46024</v>
      </c>
      <c r="B785" t="s">
        <v>51</v>
      </c>
      <c r="C785" t="s">
        <v>48</v>
      </c>
      <c r="D785">
        <v>25</v>
      </c>
      <c r="E785">
        <v>16</v>
      </c>
      <c r="F785">
        <v>8.3699999999999992</v>
      </c>
      <c r="G785">
        <v>0</v>
      </c>
      <c r="H785">
        <v>0</v>
      </c>
      <c r="I785" s="3">
        <v>0</v>
      </c>
      <c r="J785" s="3">
        <v>0</v>
      </c>
      <c r="K785" s="3">
        <v>0</v>
      </c>
      <c r="L785" s="3" t="str">
        <f>IF(K785&lt;-5,"CRÍTICO",IF(K785&lt;0,"ATENÇÃO",IF(K785&lt;=5,"BOM","EXCELENTE")))</f>
        <v>BOM</v>
      </c>
      <c r="M785">
        <v>13</v>
      </c>
      <c r="N785">
        <v>96.58</v>
      </c>
      <c r="O785">
        <v>30.396475770925111</v>
      </c>
    </row>
    <row r="786" spans="1:15" hidden="1" x14ac:dyDescent="0.25">
      <c r="A786" s="11">
        <v>46024</v>
      </c>
      <c r="B786" t="s">
        <v>61</v>
      </c>
      <c r="C786" t="s">
        <v>23</v>
      </c>
      <c r="D786">
        <v>14</v>
      </c>
      <c r="E786">
        <v>14</v>
      </c>
      <c r="F786">
        <v>26.53</v>
      </c>
      <c r="G786" s="3"/>
      <c r="H786" s="3"/>
      <c r="I786" s="3">
        <f>E786+G786+H786</f>
        <v>14</v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9</v>
      </c>
      <c r="K786" s="3">
        <f>I786-J786</f>
        <v>5</v>
      </c>
      <c r="L786" s="3" t="str">
        <f>IF(K786&lt;-5,"CRÍTICO",IF(K786&lt;0,"ATENÇÃO",IF(K786&lt;=5,"BOM","EXCELENTE")))</f>
        <v>BOM</v>
      </c>
      <c r="M786">
        <v>14</v>
      </c>
      <c r="N786">
        <v>100</v>
      </c>
      <c r="O786">
        <v>27.44282744282744</v>
      </c>
    </row>
    <row r="787" spans="1:15" hidden="1" x14ac:dyDescent="0.25">
      <c r="A787" s="11">
        <v>46024</v>
      </c>
      <c r="B787" t="s">
        <v>35</v>
      </c>
      <c r="C787" t="s">
        <v>32</v>
      </c>
      <c r="D787">
        <v>18</v>
      </c>
      <c r="E787">
        <v>16</v>
      </c>
      <c r="F787">
        <v>27.31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>
        <v>16</v>
      </c>
      <c r="N787">
        <v>99.49</v>
      </c>
      <c r="O787">
        <v>40.200000000000003</v>
      </c>
    </row>
    <row r="788" spans="1:15" hidden="1" x14ac:dyDescent="0.25">
      <c r="A788" s="11">
        <v>46024</v>
      </c>
      <c r="B788" t="s">
        <v>18</v>
      </c>
      <c r="C788" t="s">
        <v>16</v>
      </c>
      <c r="D788">
        <v>0</v>
      </c>
      <c r="E788">
        <v>0</v>
      </c>
      <c r="F788">
        <v>0</v>
      </c>
      <c r="G788">
        <v>0</v>
      </c>
      <c r="H788">
        <v>0</v>
      </c>
      <c r="I788" s="3">
        <v>0</v>
      </c>
      <c r="J788" s="3">
        <v>0</v>
      </c>
      <c r="K788" s="3">
        <v>0</v>
      </c>
      <c r="L788" s="3" t="str">
        <f>IF(K788&lt;-5,"CRÍTICO",IF(K788&lt;0,"ATENÇÃO",IF(K788&lt;=5,"BOM","EXCELENTE")))</f>
        <v>BOM</v>
      </c>
      <c r="M788">
        <v>0</v>
      </c>
      <c r="N788">
        <v>100</v>
      </c>
      <c r="O788">
        <v>25</v>
      </c>
    </row>
    <row r="789" spans="1:15" hidden="1" x14ac:dyDescent="0.25">
      <c r="A789" s="11">
        <v>46024</v>
      </c>
      <c r="B789" t="s">
        <v>52</v>
      </c>
      <c r="C789" t="s">
        <v>48</v>
      </c>
      <c r="D789">
        <v>27</v>
      </c>
      <c r="E789">
        <v>26</v>
      </c>
      <c r="F789">
        <v>12.32</v>
      </c>
      <c r="G789" s="3"/>
      <c r="H789" s="3"/>
      <c r="I789" s="3">
        <f>E789+G789+H789</f>
        <v>26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11</v>
      </c>
      <c r="K789" s="3">
        <f>I789-J789</f>
        <v>15</v>
      </c>
      <c r="L789" s="3" t="str">
        <f>IF(K789&lt;-5,"CRÍTICO",IF(K789&lt;0,"ATENÇÃO",IF(K789&lt;=5,"BOM","EXCELENTE")))</f>
        <v>EXCELENTE</v>
      </c>
      <c r="M789">
        <v>24</v>
      </c>
      <c r="N789">
        <v>100</v>
      </c>
      <c r="O789">
        <v>34.15094339622641</v>
      </c>
    </row>
    <row r="790" spans="1:15" hidden="1" x14ac:dyDescent="0.25">
      <c r="A790" s="11">
        <v>46024</v>
      </c>
      <c r="B790" t="s">
        <v>36</v>
      </c>
      <c r="C790" t="s">
        <v>32</v>
      </c>
      <c r="D790">
        <v>17</v>
      </c>
      <c r="E790">
        <v>17</v>
      </c>
      <c r="F790">
        <v>16.5</v>
      </c>
      <c r="G790" s="3"/>
      <c r="H790" s="3"/>
      <c r="I790" s="3">
        <f>E790+G790+H790</f>
        <v>17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14</v>
      </c>
      <c r="K790" s="3">
        <f>I790-J790</f>
        <v>3</v>
      </c>
      <c r="L790" s="3" t="str">
        <f>IF(K790&lt;-5,"CRÍTICO",IF(K790&lt;0,"ATENÇÃO",IF(K790&lt;=5,"BOM","EXCELENTE")))</f>
        <v>BOM</v>
      </c>
      <c r="M790">
        <v>15</v>
      </c>
      <c r="N790">
        <v>100</v>
      </c>
      <c r="O790">
        <v>32.731376975169297</v>
      </c>
    </row>
    <row r="791" spans="1:15" hidden="1" x14ac:dyDescent="0.25">
      <c r="A791" s="11">
        <v>46024</v>
      </c>
      <c r="B791" t="s">
        <v>53</v>
      </c>
      <c r="C791" t="s">
        <v>48</v>
      </c>
      <c r="D791">
        <v>27</v>
      </c>
      <c r="E791">
        <v>25</v>
      </c>
      <c r="F791">
        <v>14.1</v>
      </c>
      <c r="G791" s="3"/>
      <c r="H791" s="3"/>
      <c r="I791" s="3">
        <f>E791+G791+H791</f>
        <v>25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11</v>
      </c>
      <c r="K791" s="3">
        <f>I791-J791</f>
        <v>14</v>
      </c>
      <c r="L791" s="3" t="str">
        <f>IF(K791&lt;-5,"CRÍTICO",IF(K791&lt;0,"ATENÇÃO",IF(K791&lt;=5,"BOM","EXCELENTE")))</f>
        <v>EXCELENTE</v>
      </c>
      <c r="M791">
        <v>21</v>
      </c>
      <c r="N791">
        <v>99.31</v>
      </c>
      <c r="O791">
        <v>30.96234309623431</v>
      </c>
    </row>
    <row r="792" spans="1:15" hidden="1" x14ac:dyDescent="0.25">
      <c r="A792" s="11">
        <v>46058</v>
      </c>
      <c r="B792" t="s">
        <v>22</v>
      </c>
      <c r="C792" t="s">
        <v>23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>E792+G792+H792</f>
        <v>26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23</v>
      </c>
      <c r="K792" s="3">
        <f>I792-J792</f>
        <v>3</v>
      </c>
      <c r="L792" s="3" t="str">
        <f>IF(K792&lt;-5,"CRÍTICO",IF(K792&lt;0,"ATENÇÃO",IF(K792&lt;=5,"BOM","EXCELENTE")))</f>
        <v>BOM</v>
      </c>
      <c r="M792">
        <v>27</v>
      </c>
      <c r="N792">
        <v>96.67</v>
      </c>
      <c r="O792">
        <v>31.451612903225811</v>
      </c>
    </row>
    <row r="793" spans="1:15" hidden="1" x14ac:dyDescent="0.25">
      <c r="A793" s="11">
        <v>46024</v>
      </c>
      <c r="B793" t="s">
        <v>54</v>
      </c>
      <c r="C793" t="s">
        <v>48</v>
      </c>
      <c r="D793">
        <v>21</v>
      </c>
      <c r="E793">
        <v>21</v>
      </c>
      <c r="F793">
        <v>20.28</v>
      </c>
      <c r="G793" s="3"/>
      <c r="H793" s="3"/>
      <c r="I793" s="3">
        <f>E793+G793+H793</f>
        <v>21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11</v>
      </c>
      <c r="K793" s="3">
        <f>I793-J793</f>
        <v>10</v>
      </c>
      <c r="L793" s="3" t="str">
        <f>IF(K793&lt;-5,"CRÍTICO",IF(K793&lt;0,"ATENÇÃO",IF(K793&lt;=5,"BOM","EXCELENTE")))</f>
        <v>EXCELENTE</v>
      </c>
      <c r="M793">
        <v>20</v>
      </c>
      <c r="N793">
        <v>100</v>
      </c>
      <c r="O793">
        <v>27.676767676767678</v>
      </c>
    </row>
    <row r="794" spans="1:15" hidden="1" x14ac:dyDescent="0.25">
      <c r="A794" s="11">
        <v>46024</v>
      </c>
      <c r="B794" t="s">
        <v>37</v>
      </c>
      <c r="C794" t="s">
        <v>32</v>
      </c>
      <c r="D794">
        <v>30</v>
      </c>
      <c r="E794">
        <v>27</v>
      </c>
      <c r="F794">
        <v>12.25</v>
      </c>
      <c r="G794" s="3"/>
      <c r="H794" s="3"/>
      <c r="I794" s="3">
        <f>E794+G794+H794</f>
        <v>27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13</v>
      </c>
      <c r="L794" s="3" t="str">
        <f>IF(K794&lt;-5,"CRÍTICO",IF(K794&lt;0,"ATENÇÃO",IF(K794&lt;=5,"BOM","EXCELENTE")))</f>
        <v>EXCELENTE</v>
      </c>
      <c r="M794">
        <v>27</v>
      </c>
      <c r="N794">
        <v>100</v>
      </c>
      <c r="O794">
        <v>31.17723156532988</v>
      </c>
    </row>
    <row r="795" spans="1:15" hidden="1" x14ac:dyDescent="0.25">
      <c r="A795" s="11">
        <v>46024</v>
      </c>
      <c r="B795" t="s">
        <v>38</v>
      </c>
      <c r="C795" t="s">
        <v>32</v>
      </c>
      <c r="D795">
        <v>14</v>
      </c>
      <c r="E795">
        <v>9</v>
      </c>
      <c r="F795">
        <v>8.59</v>
      </c>
      <c r="G795" s="3"/>
      <c r="H795" s="3"/>
      <c r="I795" s="3">
        <f>E795+G795+H795</f>
        <v>9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14</v>
      </c>
      <c r="K795" s="3">
        <f>I795-J795</f>
        <v>-5</v>
      </c>
      <c r="L795" s="3" t="str">
        <f>IF(K795&lt;-5,"CRÍTICO",IF(K795&lt;0,"ATENÇÃO",IF(K795&lt;=5,"BOM","EXCELENTE")))</f>
        <v>ATENÇÃO</v>
      </c>
      <c r="M795">
        <v>10</v>
      </c>
      <c r="N795">
        <v>100</v>
      </c>
      <c r="O795">
        <v>27.609427609427609</v>
      </c>
    </row>
    <row r="796" spans="1:15" hidden="1" x14ac:dyDescent="0.25">
      <c r="A796" s="11">
        <v>46024</v>
      </c>
      <c r="B796" t="s">
        <v>55</v>
      </c>
      <c r="C796" t="s">
        <v>48</v>
      </c>
      <c r="D796">
        <v>28</v>
      </c>
      <c r="E796">
        <v>24</v>
      </c>
      <c r="F796">
        <v>10.210000000000001</v>
      </c>
      <c r="G796" s="3"/>
      <c r="H796" s="3"/>
      <c r="I796" s="3">
        <f>E796+G796+H796</f>
        <v>24</v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>11</v>
      </c>
      <c r="K796" s="3">
        <f>I796-J796</f>
        <v>13</v>
      </c>
      <c r="L796" s="3" t="str">
        <f>IF(K796&lt;-5,"CRÍTICO",IF(K796&lt;0,"ATENÇÃO",IF(K796&lt;=5,"BOM","EXCELENTE")))</f>
        <v>EXCELENTE</v>
      </c>
      <c r="M796">
        <v>22</v>
      </c>
      <c r="N796">
        <v>96.4</v>
      </c>
      <c r="O796">
        <v>28.764044943820231</v>
      </c>
    </row>
    <row r="797" spans="1:15" hidden="1" x14ac:dyDescent="0.25">
      <c r="A797" s="11">
        <v>46024</v>
      </c>
      <c r="B797" t="s">
        <v>39</v>
      </c>
      <c r="C797" t="s">
        <v>32</v>
      </c>
      <c r="D797">
        <v>0</v>
      </c>
      <c r="E797">
        <v>0</v>
      </c>
      <c r="F797">
        <v>0</v>
      </c>
      <c r="G797">
        <v>0</v>
      </c>
      <c r="H797">
        <v>0</v>
      </c>
      <c r="I797" s="3">
        <v>0</v>
      </c>
      <c r="J797" s="3">
        <v>0</v>
      </c>
      <c r="K797" s="3">
        <v>0</v>
      </c>
      <c r="L797" s="3" t="str">
        <f>IF(K797&lt;-5,"CRÍTICO",IF(K797&lt;0,"ATENÇÃO",IF(K797&lt;=5,"BOM","EXCELENTE")))</f>
        <v>BOM</v>
      </c>
      <c r="M797">
        <v>0</v>
      </c>
      <c r="N797">
        <v>100</v>
      </c>
      <c r="O797">
        <v>33.980582524271853</v>
      </c>
    </row>
    <row r="798" spans="1:15" hidden="1" x14ac:dyDescent="0.25">
      <c r="A798" s="11">
        <v>46024</v>
      </c>
      <c r="B798" t="s">
        <v>25</v>
      </c>
      <c r="C798" t="s">
        <v>26</v>
      </c>
      <c r="D798">
        <v>7</v>
      </c>
      <c r="E798">
        <v>7</v>
      </c>
      <c r="F798">
        <v>29.05</v>
      </c>
      <c r="G798" s="3"/>
      <c r="H798" s="3"/>
      <c r="I798" s="3">
        <f>E798+G798+H798</f>
        <v>7</v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>8</v>
      </c>
      <c r="K798" s="3">
        <f>I798-J798</f>
        <v>-1</v>
      </c>
      <c r="L798" s="3" t="str">
        <f>IF(K798&lt;-5,"CRÍTICO",IF(K798&lt;0,"ATENÇÃO",IF(K798&lt;=5,"BOM","EXCELENTE")))</f>
        <v>ATENÇÃO</v>
      </c>
      <c r="M798">
        <v>6</v>
      </c>
      <c r="N798">
        <v>97.56</v>
      </c>
      <c r="O798">
        <v>32.515337423312893</v>
      </c>
    </row>
    <row r="799" spans="1:15" hidden="1" x14ac:dyDescent="0.25">
      <c r="A799" s="11">
        <v>46024</v>
      </c>
      <c r="B799" t="s">
        <v>40</v>
      </c>
      <c r="C799" t="s">
        <v>32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>
        <v>12</v>
      </c>
      <c r="N799">
        <v>97.11</v>
      </c>
      <c r="O799">
        <v>37.408312958435211</v>
      </c>
    </row>
    <row r="800" spans="1:15" hidden="1" x14ac:dyDescent="0.25">
      <c r="A800" s="11">
        <v>46024</v>
      </c>
      <c r="B800" t="s">
        <v>27</v>
      </c>
      <c r="C800" t="s">
        <v>26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>
        <v>0</v>
      </c>
      <c r="N800">
        <v>0</v>
      </c>
      <c r="O800">
        <v>0</v>
      </c>
    </row>
    <row r="801" spans="1:15" hidden="1" x14ac:dyDescent="0.25">
      <c r="A801" s="11">
        <v>46024</v>
      </c>
      <c r="B801" t="s">
        <v>41</v>
      </c>
      <c r="C801" t="s">
        <v>32</v>
      </c>
      <c r="D801">
        <v>0</v>
      </c>
      <c r="E801">
        <v>0</v>
      </c>
      <c r="F801">
        <v>0</v>
      </c>
      <c r="G801">
        <v>0</v>
      </c>
      <c r="H801">
        <v>0</v>
      </c>
      <c r="I801" s="3">
        <v>0</v>
      </c>
      <c r="J801" s="3">
        <v>0</v>
      </c>
      <c r="K801" s="3">
        <v>0</v>
      </c>
      <c r="L801" s="3" t="str">
        <f>IF(K801&lt;-5,"CRÍTICO",IF(K801&lt;0,"ATENÇÃO",IF(K801&lt;=5,"BOM","EXCELENTE")))</f>
        <v>BOM</v>
      </c>
      <c r="M801">
        <v>0</v>
      </c>
      <c r="N801">
        <v>100</v>
      </c>
      <c r="O801">
        <v>30.470347648261761</v>
      </c>
    </row>
    <row r="802" spans="1:15" hidden="1" x14ac:dyDescent="0.25">
      <c r="A802" s="11">
        <v>46024</v>
      </c>
      <c r="B802" t="s">
        <v>56</v>
      </c>
      <c r="C802" t="s">
        <v>48</v>
      </c>
      <c r="D802">
        <v>18</v>
      </c>
      <c r="E802">
        <v>17</v>
      </c>
      <c r="F802">
        <v>20.36</v>
      </c>
      <c r="G802" s="3"/>
      <c r="H802" s="3"/>
      <c r="I802" s="3">
        <f>E802+G802+H802</f>
        <v>17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11</v>
      </c>
      <c r="K802" s="3">
        <f>I802-J802</f>
        <v>6</v>
      </c>
      <c r="L802" s="3" t="str">
        <f>IF(K802&lt;-5,"CRÍTICO",IF(K802&lt;0,"ATENÇÃO",IF(K802&lt;=5,"BOM","EXCELENTE")))</f>
        <v>EXCELENTE</v>
      </c>
      <c r="M802">
        <v>16</v>
      </c>
      <c r="N802">
        <v>100</v>
      </c>
      <c r="O802">
        <v>32.371134020618562</v>
      </c>
    </row>
    <row r="803" spans="1:15" hidden="1" x14ac:dyDescent="0.25">
      <c r="A803" s="11">
        <v>46024</v>
      </c>
      <c r="B803" t="s">
        <v>57</v>
      </c>
      <c r="C803" t="s">
        <v>48</v>
      </c>
      <c r="D803">
        <v>12</v>
      </c>
      <c r="E803">
        <v>12</v>
      </c>
      <c r="F803">
        <v>29.09</v>
      </c>
      <c r="G803">
        <v>0</v>
      </c>
      <c r="H803">
        <v>0</v>
      </c>
      <c r="I803" s="3">
        <v>0</v>
      </c>
      <c r="J803" s="3">
        <v>0</v>
      </c>
      <c r="K803" s="3">
        <v>0</v>
      </c>
      <c r="L803" s="3" t="str">
        <f>IF(K803&lt;-5,"CRÍTICO",IF(K803&lt;0,"ATENÇÃO",IF(K803&lt;=5,"BOM","EXCELENTE")))</f>
        <v>BOM</v>
      </c>
      <c r="M803">
        <v>10</v>
      </c>
      <c r="N803">
        <v>98.32</v>
      </c>
      <c r="O803">
        <v>32.318501170960189</v>
      </c>
    </row>
    <row r="804" spans="1:15" hidden="1" x14ac:dyDescent="0.25">
      <c r="A804" s="11">
        <v>46024</v>
      </c>
      <c r="B804" t="s">
        <v>42</v>
      </c>
      <c r="C804" t="s">
        <v>32</v>
      </c>
      <c r="D804">
        <v>32</v>
      </c>
      <c r="E804">
        <v>21</v>
      </c>
      <c r="F804">
        <v>15.38</v>
      </c>
      <c r="G804" s="3"/>
      <c r="H804" s="3"/>
      <c r="I804" s="3">
        <f>E804+G804+H804</f>
        <v>21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14</v>
      </c>
      <c r="K804" s="3">
        <f>I804-J804</f>
        <v>7</v>
      </c>
      <c r="L804" s="3" t="str">
        <f>IF(K804&lt;-5,"CRÍTICO",IF(K804&lt;0,"ATENÇÃO",IF(K804&lt;=5,"BOM","EXCELENTE")))</f>
        <v>EXCELENTE</v>
      </c>
      <c r="M804">
        <v>20</v>
      </c>
      <c r="N804">
        <v>96.43</v>
      </c>
      <c r="O804">
        <v>27.015250544662312</v>
      </c>
    </row>
    <row r="805" spans="1:15" hidden="1" x14ac:dyDescent="0.25">
      <c r="A805" s="11">
        <v>46024</v>
      </c>
      <c r="B805" t="s">
        <v>62</v>
      </c>
      <c r="C805" t="s">
        <v>23</v>
      </c>
      <c r="D805">
        <v>22</v>
      </c>
      <c r="E805">
        <v>20</v>
      </c>
      <c r="F805">
        <v>17.170000000000002</v>
      </c>
      <c r="G805" s="3"/>
      <c r="H805" s="3"/>
      <c r="I805" s="3">
        <f>E805+G805+H805</f>
        <v>20</v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>9</v>
      </c>
      <c r="K805" s="3">
        <f>I805-J805</f>
        <v>11</v>
      </c>
      <c r="L805" s="3" t="str">
        <f>IF(K805&lt;-5,"CRÍTICO",IF(K805&lt;0,"ATENÇÃO",IF(K805&lt;=5,"BOM","EXCELENTE")))</f>
        <v>EXCELENTE</v>
      </c>
      <c r="M805">
        <v>20</v>
      </c>
      <c r="N805">
        <v>98.89</v>
      </c>
      <c r="O805">
        <v>28.021978021978018</v>
      </c>
    </row>
    <row r="806" spans="1:15" hidden="1" x14ac:dyDescent="0.25">
      <c r="A806" s="11">
        <v>46024</v>
      </c>
      <c r="B806" t="s">
        <v>19</v>
      </c>
      <c r="C806" t="s">
        <v>16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>
        <v>0</v>
      </c>
      <c r="N806">
        <v>100</v>
      </c>
      <c r="O806">
        <v>33.333333333333329</v>
      </c>
    </row>
    <row r="807" spans="1:15" hidden="1" x14ac:dyDescent="0.25">
      <c r="A807" s="11">
        <v>46024</v>
      </c>
      <c r="B807" t="s">
        <v>43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>
        <v>0</v>
      </c>
      <c r="N807">
        <v>100</v>
      </c>
      <c r="O807">
        <v>27.43362831858407</v>
      </c>
    </row>
    <row r="808" spans="1:15" hidden="1" x14ac:dyDescent="0.25">
      <c r="A808" s="11">
        <v>46024</v>
      </c>
      <c r="B808" t="s">
        <v>44</v>
      </c>
      <c r="C808" t="s">
        <v>32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>
        <v>0</v>
      </c>
      <c r="N808">
        <v>98.65</v>
      </c>
      <c r="O808">
        <v>30.978260869565219</v>
      </c>
    </row>
    <row r="809" spans="1:15" hidden="1" x14ac:dyDescent="0.25">
      <c r="A809" s="11">
        <v>46024</v>
      </c>
      <c r="B809" t="s">
        <v>20</v>
      </c>
      <c r="C809" t="s">
        <v>16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>
        <v>0</v>
      </c>
      <c r="N809">
        <v>100</v>
      </c>
      <c r="O809">
        <v>12</v>
      </c>
    </row>
    <row r="810" spans="1:15" hidden="1" x14ac:dyDescent="0.25">
      <c r="A810" s="11">
        <v>46024</v>
      </c>
      <c r="B810" t="s">
        <v>28</v>
      </c>
      <c r="C810" t="s">
        <v>26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>
        <v>0</v>
      </c>
      <c r="N810">
        <v>0</v>
      </c>
      <c r="O810">
        <v>0</v>
      </c>
    </row>
    <row r="811" spans="1:15" hidden="1" x14ac:dyDescent="0.25">
      <c r="A811" s="11">
        <v>46024</v>
      </c>
      <c r="B811" t="s">
        <v>58</v>
      </c>
      <c r="C811" t="s">
        <v>48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>
        <v>0</v>
      </c>
      <c r="N811">
        <v>97.56</v>
      </c>
      <c r="O811">
        <v>31.067961165048541</v>
      </c>
    </row>
    <row r="812" spans="1:15" hidden="1" x14ac:dyDescent="0.25">
      <c r="A812" s="11">
        <v>46024</v>
      </c>
      <c r="B812" t="s">
        <v>29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30</v>
      </c>
      <c r="C813" t="s">
        <v>26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21</v>
      </c>
      <c r="C814" t="s">
        <v>16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>
        <v>0</v>
      </c>
      <c r="N814">
        <v>0</v>
      </c>
      <c r="O814">
        <v>0</v>
      </c>
    </row>
    <row r="815" spans="1:15" hidden="1" x14ac:dyDescent="0.25">
      <c r="A815" s="11">
        <v>46024</v>
      </c>
      <c r="B815" t="s">
        <v>63</v>
      </c>
      <c r="C815" t="s">
        <v>23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>
        <v>0</v>
      </c>
      <c r="N815">
        <v>100</v>
      </c>
      <c r="O815">
        <v>53.846153846153847</v>
      </c>
    </row>
    <row r="816" spans="1:15" hidden="1" x14ac:dyDescent="0.25">
      <c r="A816" s="11">
        <v>46024</v>
      </c>
      <c r="B816" t="s">
        <v>45</v>
      </c>
      <c r="C816" t="s">
        <v>32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>
        <v>0</v>
      </c>
      <c r="N816">
        <v>100</v>
      </c>
      <c r="O816">
        <v>44.05594405594406</v>
      </c>
    </row>
    <row r="817" spans="1:15" hidden="1" x14ac:dyDescent="0.25">
      <c r="A817" s="11">
        <v>46024</v>
      </c>
      <c r="B817" t="s">
        <v>64</v>
      </c>
      <c r="C817" t="s">
        <v>23</v>
      </c>
      <c r="D817">
        <v>0</v>
      </c>
      <c r="E817">
        <v>0</v>
      </c>
      <c r="F817">
        <v>0</v>
      </c>
      <c r="G817">
        <v>0</v>
      </c>
      <c r="H817">
        <v>0</v>
      </c>
      <c r="I817" s="3">
        <v>0</v>
      </c>
      <c r="J817" s="3">
        <v>0</v>
      </c>
      <c r="K817" s="3">
        <v>0</v>
      </c>
      <c r="L817" s="3" t="str">
        <f>IF(K817&lt;-5,"CRÍTICO",IF(K817&lt;0,"ATENÇÃO",IF(K817&lt;=5,"BOM","EXCELENTE")))</f>
        <v>BOM</v>
      </c>
      <c r="M817">
        <v>0</v>
      </c>
      <c r="N817">
        <v>100</v>
      </c>
      <c r="O817">
        <v>31.872509960159359</v>
      </c>
    </row>
    <row r="818" spans="1:15" hidden="1" x14ac:dyDescent="0.25">
      <c r="A818" s="11">
        <v>46024</v>
      </c>
      <c r="B818" t="s">
        <v>46</v>
      </c>
      <c r="C818" t="s">
        <v>32</v>
      </c>
      <c r="D818">
        <v>25</v>
      </c>
      <c r="E818">
        <v>24</v>
      </c>
      <c r="F818">
        <v>10.49</v>
      </c>
      <c r="G818" s="3"/>
      <c r="H818" s="3"/>
      <c r="I818" s="3">
        <f>E818+G818+H818</f>
        <v>24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14</v>
      </c>
      <c r="K818" s="3">
        <f>I818-J818</f>
        <v>10</v>
      </c>
      <c r="L818" s="3" t="str">
        <f>IF(K818&lt;-5,"CRÍTICO",IF(K818&lt;0,"ATENÇÃO",IF(K818&lt;=5,"BOM","EXCELENTE")))</f>
        <v>EXCELENTE</v>
      </c>
      <c r="M818">
        <v>22</v>
      </c>
      <c r="N818">
        <v>98.41</v>
      </c>
      <c r="O818">
        <v>29.22465208747515</v>
      </c>
    </row>
    <row r="819" spans="1:15" hidden="1" x14ac:dyDescent="0.25">
      <c r="A819" s="11">
        <v>46027</v>
      </c>
      <c r="B819" t="s">
        <v>47</v>
      </c>
      <c r="C819" t="s">
        <v>48</v>
      </c>
      <c r="D819">
        <v>36</v>
      </c>
      <c r="E819">
        <v>25</v>
      </c>
      <c r="F819">
        <v>11.48</v>
      </c>
      <c r="G819">
        <v>0</v>
      </c>
      <c r="H819">
        <v>0</v>
      </c>
      <c r="I819" s="3">
        <f>E819+G819+H819</f>
        <v>25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20</v>
      </c>
      <c r="K819" s="3">
        <f>I819-J819</f>
        <v>5</v>
      </c>
      <c r="L819" s="3" t="str">
        <f>IF(K819&lt;-5,"CRÍTICO",IF(K819&lt;0,"ATENÇÃO",IF(K819&lt;=5,"BOM","EXCELENTE")))</f>
        <v>BOM</v>
      </c>
      <c r="M819">
        <v>24</v>
      </c>
      <c r="N819">
        <v>96.81</v>
      </c>
      <c r="O819">
        <v>27.980535279805348</v>
      </c>
    </row>
    <row r="820" spans="1:15" hidden="1" x14ac:dyDescent="0.25">
      <c r="A820" s="11">
        <v>46027</v>
      </c>
      <c r="B820" t="s">
        <v>31</v>
      </c>
      <c r="C820" t="s">
        <v>32</v>
      </c>
      <c r="D820">
        <v>0</v>
      </c>
      <c r="E820">
        <v>0</v>
      </c>
      <c r="F820">
        <v>0</v>
      </c>
      <c r="G820">
        <v>0</v>
      </c>
      <c r="H820">
        <v>0</v>
      </c>
      <c r="I820" s="3">
        <v>0</v>
      </c>
      <c r="J820" s="3">
        <v>0</v>
      </c>
      <c r="K820" s="3">
        <v>0</v>
      </c>
      <c r="L820" s="3" t="str">
        <f>IF(K820&lt;-5,"CRÍTICO",IF(K820&lt;0,"ATENÇÃO",IF(K820&lt;=5,"BOM","EXCELENTE")))</f>
        <v>BOM</v>
      </c>
      <c r="M820">
        <v>25</v>
      </c>
      <c r="N820">
        <v>98.73</v>
      </c>
      <c r="O820">
        <v>35.756385068762278</v>
      </c>
    </row>
    <row r="821" spans="1:15" hidden="1" x14ac:dyDescent="0.25">
      <c r="A821" s="11">
        <v>46027</v>
      </c>
      <c r="B821" t="s">
        <v>59</v>
      </c>
      <c r="C821" t="s">
        <v>23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17</v>
      </c>
      <c r="K821" s="3">
        <f>I821-J821</f>
        <v>15</v>
      </c>
      <c r="L821" s="3" t="str">
        <f>IF(K821&lt;-5,"CRÍTICO",IF(K821&lt;0,"ATENÇÃO",IF(K821&lt;=5,"BOM","EXCELENTE")))</f>
        <v>EXCELENTE</v>
      </c>
      <c r="M821">
        <v>29</v>
      </c>
      <c r="N821">
        <v>98.32</v>
      </c>
      <c r="O821">
        <v>26.763485477178421</v>
      </c>
    </row>
    <row r="822" spans="1:15" hidden="1" x14ac:dyDescent="0.25">
      <c r="A822" s="11">
        <v>46027</v>
      </c>
      <c r="B822" t="s">
        <v>33</v>
      </c>
      <c r="C822" t="s">
        <v>32</v>
      </c>
      <c r="D822">
        <v>32</v>
      </c>
      <c r="E822">
        <v>32</v>
      </c>
      <c r="F822">
        <v>15.4</v>
      </c>
      <c r="G822">
        <v>0</v>
      </c>
      <c r="H822">
        <v>0</v>
      </c>
      <c r="I822" s="3">
        <f>E822+G822+H822</f>
        <v>32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25</v>
      </c>
      <c r="K822" s="3">
        <f>I822-J822</f>
        <v>7</v>
      </c>
      <c r="L822" s="3" t="str">
        <f>IF(K822&lt;-5,"CRÍTICO",IF(K822&lt;0,"ATENÇÃO",IF(K822&lt;=5,"BOM","EXCELENTE")))</f>
        <v>EXCELENTE</v>
      </c>
      <c r="M822">
        <v>27</v>
      </c>
      <c r="N822">
        <v>99.19</v>
      </c>
      <c r="O822">
        <v>27.637130801687761</v>
      </c>
    </row>
    <row r="823" spans="1:15" hidden="1" x14ac:dyDescent="0.25">
      <c r="A823" s="11">
        <v>46027</v>
      </c>
      <c r="B823" t="s">
        <v>15</v>
      </c>
      <c r="C823" t="s">
        <v>16</v>
      </c>
      <c r="D823">
        <v>9</v>
      </c>
      <c r="E823">
        <v>9</v>
      </c>
      <c r="F823">
        <v>20.23</v>
      </c>
      <c r="G823">
        <v>0</v>
      </c>
      <c r="H823">
        <v>0</v>
      </c>
      <c r="I823" s="3">
        <f>E823+G823+H823</f>
        <v>9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7</v>
      </c>
      <c r="K823" s="3">
        <f>I823-J823</f>
        <v>2</v>
      </c>
      <c r="L823" s="3" t="str">
        <f>IF(K823&lt;-5,"CRÍTICO",IF(K823&lt;0,"ATENÇÃO",IF(K823&lt;=5,"BOM","EXCELENTE")))</f>
        <v>BOM</v>
      </c>
      <c r="M823">
        <v>9</v>
      </c>
      <c r="N823">
        <v>100</v>
      </c>
      <c r="O823">
        <v>39.568345323741013</v>
      </c>
    </row>
    <row r="824" spans="1:15" hidden="1" x14ac:dyDescent="0.25">
      <c r="A824" s="11">
        <v>46027</v>
      </c>
      <c r="B824" t="s">
        <v>49</v>
      </c>
      <c r="C824" t="s">
        <v>48</v>
      </c>
      <c r="D824">
        <v>28</v>
      </c>
      <c r="E824">
        <v>26</v>
      </c>
      <c r="F824">
        <v>18.22</v>
      </c>
      <c r="G824">
        <v>0</v>
      </c>
      <c r="H824">
        <v>0</v>
      </c>
      <c r="I824" s="3">
        <f>E824+G824+H824</f>
        <v>26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6</v>
      </c>
      <c r="L824" s="3" t="str">
        <f>IF(K824&lt;-5,"CRÍTICO",IF(K824&lt;0,"ATENÇÃO",IF(K824&lt;=5,"BOM","EXCELENTE")))</f>
        <v>EXCELENTE</v>
      </c>
      <c r="M824">
        <v>26</v>
      </c>
      <c r="N824">
        <v>98.54</v>
      </c>
      <c r="O824">
        <v>28.544776119402989</v>
      </c>
    </row>
    <row r="825" spans="1:15" hidden="1" x14ac:dyDescent="0.25">
      <c r="A825" s="11">
        <v>46027</v>
      </c>
      <c r="B825" t="s">
        <v>50</v>
      </c>
      <c r="C825" t="s">
        <v>48</v>
      </c>
      <c r="D825">
        <v>33</v>
      </c>
      <c r="E825">
        <v>31</v>
      </c>
      <c r="F825">
        <v>15.32</v>
      </c>
      <c r="G825">
        <v>0</v>
      </c>
      <c r="H825">
        <v>0</v>
      </c>
      <c r="I825" s="3">
        <f>E825+G825+H825</f>
        <v>31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20</v>
      </c>
      <c r="K825" s="3">
        <f>I825-J825</f>
        <v>11</v>
      </c>
      <c r="L825" s="3" t="str">
        <f>IF(K825&lt;-5,"CRÍTICO",IF(K825&lt;0,"ATENÇÃO",IF(K825&lt;=5,"BOM","EXCELENTE")))</f>
        <v>EXCELENTE</v>
      </c>
      <c r="M825">
        <v>27</v>
      </c>
      <c r="N825">
        <v>100</v>
      </c>
      <c r="O825">
        <v>34.366925064599492</v>
      </c>
    </row>
    <row r="826" spans="1:15" hidden="1" x14ac:dyDescent="0.25">
      <c r="A826" s="11">
        <v>46027</v>
      </c>
      <c r="B826" t="s">
        <v>17</v>
      </c>
      <c r="C826" t="s">
        <v>16</v>
      </c>
      <c r="D826">
        <v>0</v>
      </c>
      <c r="E826">
        <v>0</v>
      </c>
      <c r="F826">
        <v>0</v>
      </c>
      <c r="G826">
        <v>0</v>
      </c>
      <c r="H826">
        <v>0</v>
      </c>
      <c r="I826" s="3">
        <v>0</v>
      </c>
      <c r="J826" s="3">
        <v>0</v>
      </c>
      <c r="K826" s="3">
        <v>0</v>
      </c>
      <c r="L826" s="3" t="str">
        <f>IF(K826&lt;-5,"CRÍTICO",IF(K826&lt;0,"ATENÇÃO",IF(K826&lt;=5,"BOM","EXCELENTE")))</f>
        <v>BOM</v>
      </c>
      <c r="M826">
        <v>0</v>
      </c>
      <c r="N826">
        <v>0</v>
      </c>
      <c r="O826">
        <v>0</v>
      </c>
    </row>
    <row r="827" spans="1:15" hidden="1" x14ac:dyDescent="0.25">
      <c r="A827" s="11">
        <v>46027</v>
      </c>
      <c r="B827" t="s">
        <v>60</v>
      </c>
      <c r="C827" t="s">
        <v>23</v>
      </c>
      <c r="D827">
        <v>22</v>
      </c>
      <c r="E827">
        <v>20</v>
      </c>
      <c r="F827">
        <v>18.23</v>
      </c>
      <c r="G827">
        <v>0</v>
      </c>
      <c r="H827">
        <v>0</v>
      </c>
      <c r="I827" s="3">
        <f>E827+G827+H827</f>
        <v>20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17</v>
      </c>
      <c r="K827" s="3">
        <f>I827-J827</f>
        <v>3</v>
      </c>
      <c r="L827" s="3" t="str">
        <f>IF(K827&lt;-5,"CRÍTICO",IF(K827&lt;0,"ATENÇÃO",IF(K827&lt;=5,"BOM","EXCELENTE")))</f>
        <v>BOM</v>
      </c>
      <c r="M827">
        <v>17</v>
      </c>
      <c r="N827">
        <v>100</v>
      </c>
      <c r="O827">
        <v>29.518072289156631</v>
      </c>
    </row>
    <row r="828" spans="1:15" hidden="1" x14ac:dyDescent="0.25">
      <c r="A828" s="11">
        <v>46027</v>
      </c>
      <c r="B828" t="s">
        <v>34</v>
      </c>
      <c r="C828" t="s">
        <v>32</v>
      </c>
      <c r="D828">
        <v>42</v>
      </c>
      <c r="E828">
        <v>40</v>
      </c>
      <c r="F828">
        <v>12.27</v>
      </c>
      <c r="G828">
        <v>0</v>
      </c>
      <c r="H828">
        <v>0</v>
      </c>
      <c r="I828" s="3">
        <f>E828+G828+H828</f>
        <v>40</v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>25</v>
      </c>
      <c r="K828" s="3">
        <f>I828-J828</f>
        <v>15</v>
      </c>
      <c r="L828" s="3" t="str">
        <f>IF(K828&lt;-5,"CRÍTICO",IF(K828&lt;0,"ATENÇÃO",IF(K828&lt;=5,"BOM","EXCELENTE")))</f>
        <v>EXCELENTE</v>
      </c>
      <c r="M828">
        <v>38</v>
      </c>
      <c r="N828">
        <v>97.45</v>
      </c>
      <c r="O828">
        <v>41.421143847487002</v>
      </c>
    </row>
    <row r="829" spans="1:15" hidden="1" x14ac:dyDescent="0.25">
      <c r="A829" s="11">
        <v>46027</v>
      </c>
      <c r="B829" t="s">
        <v>51</v>
      </c>
      <c r="C829" t="s">
        <v>48</v>
      </c>
      <c r="D829">
        <v>33</v>
      </c>
      <c r="E829">
        <v>23</v>
      </c>
      <c r="F829">
        <v>13.36</v>
      </c>
      <c r="G829">
        <v>0</v>
      </c>
      <c r="H829">
        <v>0</v>
      </c>
      <c r="I829" s="3">
        <v>0</v>
      </c>
      <c r="J829" s="3">
        <v>0</v>
      </c>
      <c r="K829" s="3">
        <v>0</v>
      </c>
      <c r="L829" s="3" t="str">
        <f>IF(K829&lt;-5,"CRÍTICO",IF(K829&lt;0,"ATENÇÃO",IF(K829&lt;=5,"BOM","EXCELENTE")))</f>
        <v>BOM</v>
      </c>
      <c r="M829">
        <v>25</v>
      </c>
      <c r="N829">
        <v>96.58</v>
      </c>
      <c r="O829">
        <v>30.396475770925111</v>
      </c>
    </row>
    <row r="830" spans="1:15" hidden="1" x14ac:dyDescent="0.25">
      <c r="A830" s="11">
        <v>46027</v>
      </c>
      <c r="B830" t="s">
        <v>61</v>
      </c>
      <c r="C830" t="s">
        <v>23</v>
      </c>
      <c r="D830">
        <v>26</v>
      </c>
      <c r="E830">
        <v>22</v>
      </c>
      <c r="F830">
        <v>19.13</v>
      </c>
      <c r="G830">
        <v>0</v>
      </c>
      <c r="H830">
        <v>0</v>
      </c>
      <c r="I830" s="3">
        <f>E830+G830+H830</f>
        <v>22</v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17</v>
      </c>
      <c r="K830" s="3">
        <f>I830-J830</f>
        <v>5</v>
      </c>
      <c r="L830" s="3" t="str">
        <f>IF(K830&lt;-5,"CRÍTICO",IF(K830&lt;0,"ATENÇÃO",IF(K830&lt;=5,"BOM","EXCELENTE")))</f>
        <v>BOM</v>
      </c>
      <c r="M830">
        <v>25</v>
      </c>
      <c r="N830">
        <v>100</v>
      </c>
      <c r="O830">
        <v>27.44282744282744</v>
      </c>
    </row>
    <row r="831" spans="1:15" hidden="1" x14ac:dyDescent="0.25">
      <c r="A831" s="11">
        <v>46027</v>
      </c>
      <c r="B831" t="s">
        <v>35</v>
      </c>
      <c r="C831" t="s">
        <v>32</v>
      </c>
      <c r="D831">
        <v>22</v>
      </c>
      <c r="E831">
        <v>22</v>
      </c>
      <c r="F831">
        <v>23.55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>
        <v>24</v>
      </c>
      <c r="N831">
        <v>99.49</v>
      </c>
      <c r="O831">
        <v>40.200000000000003</v>
      </c>
    </row>
    <row r="832" spans="1:15" hidden="1" x14ac:dyDescent="0.25">
      <c r="A832" s="11">
        <v>46027</v>
      </c>
      <c r="B832" t="s">
        <v>18</v>
      </c>
      <c r="C832" t="s">
        <v>16</v>
      </c>
      <c r="D832">
        <v>0</v>
      </c>
      <c r="E832">
        <v>0</v>
      </c>
      <c r="F832">
        <v>0</v>
      </c>
      <c r="G832">
        <v>0</v>
      </c>
      <c r="H832">
        <v>0</v>
      </c>
      <c r="I832" s="3">
        <v>0</v>
      </c>
      <c r="J832" s="3">
        <v>0</v>
      </c>
      <c r="K832" s="3">
        <v>0</v>
      </c>
      <c r="L832" s="3" t="str">
        <f>IF(K832&lt;-5,"CRÍTICO",IF(K832&lt;0,"ATENÇÃO",IF(K832&lt;=5,"BOM","EXCELENTE")))</f>
        <v>BOM</v>
      </c>
      <c r="M832">
        <v>0</v>
      </c>
      <c r="N832">
        <v>100</v>
      </c>
      <c r="O832">
        <v>25</v>
      </c>
    </row>
    <row r="833" spans="1:15" hidden="1" x14ac:dyDescent="0.25">
      <c r="A833" s="11">
        <v>46027</v>
      </c>
      <c r="B833" t="s">
        <v>52</v>
      </c>
      <c r="C833" t="s">
        <v>48</v>
      </c>
      <c r="D833">
        <v>39</v>
      </c>
      <c r="E833">
        <v>38</v>
      </c>
      <c r="F833">
        <v>12.19</v>
      </c>
      <c r="G833">
        <v>0</v>
      </c>
      <c r="H833">
        <v>0</v>
      </c>
      <c r="I833" s="3">
        <f>E833+G833+H833</f>
        <v>38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20</v>
      </c>
      <c r="K833" s="3">
        <f>I833-J833</f>
        <v>18</v>
      </c>
      <c r="L833" s="3" t="str">
        <f>IF(K833&lt;-5,"CRÍTICO",IF(K833&lt;0,"ATENÇÃO",IF(K833&lt;=5,"BOM","EXCELENTE")))</f>
        <v>EXCELENTE</v>
      </c>
      <c r="M833">
        <v>34</v>
      </c>
      <c r="N833">
        <v>100</v>
      </c>
      <c r="O833">
        <v>34.15094339622641</v>
      </c>
    </row>
    <row r="834" spans="1:15" hidden="1" x14ac:dyDescent="0.25">
      <c r="A834" s="11">
        <v>46027</v>
      </c>
      <c r="B834" t="s">
        <v>36</v>
      </c>
      <c r="C834" t="s">
        <v>32</v>
      </c>
      <c r="D834">
        <v>32</v>
      </c>
      <c r="E834">
        <v>29</v>
      </c>
      <c r="F834">
        <v>11.53</v>
      </c>
      <c r="G834">
        <v>0</v>
      </c>
      <c r="H834">
        <v>0</v>
      </c>
      <c r="I834" s="3">
        <f>E834+G834+H834</f>
        <v>29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25</v>
      </c>
      <c r="K834" s="3">
        <f>I834-J834</f>
        <v>4</v>
      </c>
      <c r="L834" s="3" t="str">
        <f>IF(K834&lt;-5,"CRÍTICO",IF(K834&lt;0,"ATENÇÃO",IF(K834&lt;=5,"BOM","EXCELENTE")))</f>
        <v>BOM</v>
      </c>
      <c r="M834">
        <v>30</v>
      </c>
      <c r="N834">
        <v>100</v>
      </c>
      <c r="O834">
        <v>32.731376975169297</v>
      </c>
    </row>
    <row r="835" spans="1:15" hidden="1" x14ac:dyDescent="0.25">
      <c r="A835" s="11">
        <v>46027</v>
      </c>
      <c r="B835" t="s">
        <v>53</v>
      </c>
      <c r="C835" t="s">
        <v>48</v>
      </c>
      <c r="D835">
        <v>32</v>
      </c>
      <c r="E835">
        <v>27</v>
      </c>
      <c r="F835">
        <v>20.36</v>
      </c>
      <c r="G835">
        <v>0</v>
      </c>
      <c r="H835">
        <v>0</v>
      </c>
      <c r="I835" s="3">
        <f>E835+G835+H835</f>
        <v>27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20</v>
      </c>
      <c r="K835" s="3">
        <f>I835-J835</f>
        <v>7</v>
      </c>
      <c r="L835" s="3" t="str">
        <f>IF(K835&lt;-5,"CRÍTICO",IF(K835&lt;0,"ATENÇÃO",IF(K835&lt;=5,"BOM","EXCELENTE")))</f>
        <v>EXCELENTE</v>
      </c>
      <c r="M835">
        <v>27</v>
      </c>
      <c r="N835">
        <v>99.31</v>
      </c>
      <c r="O835">
        <v>30.96234309623431</v>
      </c>
    </row>
    <row r="836" spans="1:15" hidden="1" x14ac:dyDescent="0.25">
      <c r="A836" s="11">
        <v>46059</v>
      </c>
      <c r="B836" t="s">
        <v>22</v>
      </c>
      <c r="C836" t="s">
        <v>23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>E836+G836+H836</f>
        <v>16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22</v>
      </c>
      <c r="K836" s="3">
        <f>I836-J836</f>
        <v>-6</v>
      </c>
      <c r="L836" s="3" t="str">
        <f>IF(K836&lt;-5,"CRÍTICO",IF(K836&lt;0,"ATENÇÃO",IF(K836&lt;=5,"BOM","EXCELENTE")))</f>
        <v>CRÍTICO</v>
      </c>
      <c r="M836">
        <v>28</v>
      </c>
      <c r="N836">
        <v>96.67</v>
      </c>
      <c r="O836">
        <v>31.451612903225811</v>
      </c>
    </row>
    <row r="837" spans="1:15" hidden="1" x14ac:dyDescent="0.25">
      <c r="A837" s="11">
        <v>46027</v>
      </c>
      <c r="B837" t="s">
        <v>54</v>
      </c>
      <c r="C837" t="s">
        <v>48</v>
      </c>
      <c r="D837">
        <v>27</v>
      </c>
      <c r="E837">
        <v>24</v>
      </c>
      <c r="F837">
        <v>22.12</v>
      </c>
      <c r="G837">
        <v>0</v>
      </c>
      <c r="H837">
        <v>0</v>
      </c>
      <c r="I837" s="3">
        <f>E837+G837+H837</f>
        <v>24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20</v>
      </c>
      <c r="K837" s="3">
        <f>I837-J837</f>
        <v>4</v>
      </c>
      <c r="L837" s="3" t="str">
        <f>IF(K837&lt;-5,"CRÍTICO",IF(K837&lt;0,"ATENÇÃO",IF(K837&lt;=5,"BOM","EXCELENTE")))</f>
        <v>BOM</v>
      </c>
      <c r="M837">
        <v>25</v>
      </c>
      <c r="N837">
        <v>100</v>
      </c>
      <c r="O837">
        <v>27.676767676767678</v>
      </c>
    </row>
    <row r="838" spans="1:15" hidden="1" x14ac:dyDescent="0.25">
      <c r="A838" s="11">
        <v>46027</v>
      </c>
      <c r="B838" t="s">
        <v>37</v>
      </c>
      <c r="C838" t="s">
        <v>32</v>
      </c>
      <c r="D838">
        <v>53</v>
      </c>
      <c r="E838">
        <v>44</v>
      </c>
      <c r="F838">
        <v>12.26</v>
      </c>
      <c r="G838">
        <v>0</v>
      </c>
      <c r="H838">
        <v>0</v>
      </c>
      <c r="I838" s="3">
        <f>E838+G838+H838</f>
        <v>44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19</v>
      </c>
      <c r="L838" s="3" t="str">
        <f>IF(K838&lt;-5,"CRÍTICO",IF(K838&lt;0,"ATENÇÃO",IF(K838&lt;=5,"BOM","EXCELENTE")))</f>
        <v>EXCELENTE</v>
      </c>
      <c r="M838">
        <v>46</v>
      </c>
      <c r="N838">
        <v>100</v>
      </c>
      <c r="O838">
        <v>31.17723156532988</v>
      </c>
    </row>
    <row r="839" spans="1:15" hidden="1" x14ac:dyDescent="0.25">
      <c r="A839" s="11">
        <v>46027</v>
      </c>
      <c r="B839" t="s">
        <v>38</v>
      </c>
      <c r="C839" t="s">
        <v>32</v>
      </c>
      <c r="D839">
        <v>14</v>
      </c>
      <c r="E839">
        <v>12</v>
      </c>
      <c r="F839">
        <v>15.15</v>
      </c>
      <c r="G839">
        <v>0</v>
      </c>
      <c r="H839">
        <v>0</v>
      </c>
      <c r="I839" s="3">
        <f>E839+G839+H839</f>
        <v>12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25</v>
      </c>
      <c r="K839" s="3">
        <f>I839-J839</f>
        <v>-13</v>
      </c>
      <c r="L839" s="3" t="str">
        <f>IF(K839&lt;-5,"CRÍTICO",IF(K839&lt;0,"ATENÇÃO",IF(K839&lt;=5,"BOM","EXCELENTE")))</f>
        <v>CRÍTICO</v>
      </c>
      <c r="M839">
        <v>11</v>
      </c>
      <c r="N839">
        <v>100</v>
      </c>
      <c r="O839">
        <v>27.609427609427609</v>
      </c>
    </row>
    <row r="840" spans="1:15" hidden="1" x14ac:dyDescent="0.25">
      <c r="A840" s="11">
        <v>46027</v>
      </c>
      <c r="B840" t="s">
        <v>55</v>
      </c>
      <c r="C840" t="s">
        <v>48</v>
      </c>
      <c r="D840">
        <v>40</v>
      </c>
      <c r="E840">
        <v>30</v>
      </c>
      <c r="F840">
        <v>11.52</v>
      </c>
      <c r="G840">
        <v>0</v>
      </c>
      <c r="H840">
        <v>0</v>
      </c>
      <c r="I840" s="3">
        <f>E840+G840+H840</f>
        <v>30</v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>20</v>
      </c>
      <c r="K840" s="3">
        <f>I840-J840</f>
        <v>10</v>
      </c>
      <c r="L840" s="3" t="str">
        <f>IF(K840&lt;-5,"CRÍTICO",IF(K840&lt;0,"ATENÇÃO",IF(K840&lt;=5,"BOM","EXCELENTE")))</f>
        <v>EXCELENTE</v>
      </c>
      <c r="M840">
        <v>29</v>
      </c>
      <c r="N840">
        <v>96.4</v>
      </c>
      <c r="O840">
        <v>28.764044943820231</v>
      </c>
    </row>
    <row r="841" spans="1:15" hidden="1" x14ac:dyDescent="0.25">
      <c r="A841" s="11">
        <v>46027</v>
      </c>
      <c r="B841" t="s">
        <v>39</v>
      </c>
      <c r="C841" t="s">
        <v>32</v>
      </c>
      <c r="D841">
        <v>0</v>
      </c>
      <c r="E841">
        <v>0</v>
      </c>
      <c r="F841">
        <v>0</v>
      </c>
      <c r="G841">
        <v>0</v>
      </c>
      <c r="H841">
        <v>0</v>
      </c>
      <c r="I841" s="3">
        <v>0</v>
      </c>
      <c r="J841" s="3">
        <v>0</v>
      </c>
      <c r="K841" s="3">
        <v>0</v>
      </c>
      <c r="L841" s="3" t="str">
        <f>IF(K841&lt;-5,"CRÍTICO",IF(K841&lt;0,"ATENÇÃO",IF(K841&lt;=5,"BOM","EXCELENTE")))</f>
        <v>BOM</v>
      </c>
      <c r="M841">
        <v>21</v>
      </c>
      <c r="N841">
        <v>100</v>
      </c>
      <c r="O841">
        <v>33.980582524271853</v>
      </c>
    </row>
    <row r="842" spans="1:15" hidden="1" x14ac:dyDescent="0.25">
      <c r="A842" s="11">
        <v>46027</v>
      </c>
      <c r="B842" t="s">
        <v>25</v>
      </c>
      <c r="C842" t="s">
        <v>26</v>
      </c>
      <c r="D842">
        <v>7</v>
      </c>
      <c r="E842">
        <v>6</v>
      </c>
      <c r="F842">
        <v>29.13</v>
      </c>
      <c r="G842">
        <v>0</v>
      </c>
      <c r="H842">
        <v>0</v>
      </c>
      <c r="I842" s="3">
        <f>E842+G842+H842</f>
        <v>6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14</v>
      </c>
      <c r="K842" s="3">
        <f>I842-J842</f>
        <v>-8</v>
      </c>
      <c r="L842" s="3" t="str">
        <f>IF(K842&lt;-5,"CRÍTICO",IF(K842&lt;0,"ATENÇÃO",IF(K842&lt;=5,"BOM","EXCELENTE")))</f>
        <v>CRÍTICO</v>
      </c>
      <c r="M842">
        <v>6</v>
      </c>
      <c r="N842">
        <v>97.56</v>
      </c>
      <c r="O842">
        <v>32.515337423312893</v>
      </c>
    </row>
    <row r="843" spans="1:15" hidden="1" x14ac:dyDescent="0.25">
      <c r="A843" s="11">
        <v>46027</v>
      </c>
      <c r="B843" t="s">
        <v>40</v>
      </c>
      <c r="C843" t="s">
        <v>32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>
        <v>15</v>
      </c>
      <c r="N843">
        <v>97.11</v>
      </c>
      <c r="O843">
        <v>37.408312958435211</v>
      </c>
    </row>
    <row r="844" spans="1:15" hidden="1" x14ac:dyDescent="0.25">
      <c r="A844" s="11">
        <v>46027</v>
      </c>
      <c r="B844" t="s">
        <v>27</v>
      </c>
      <c r="C844" t="s">
        <v>26</v>
      </c>
      <c r="D844">
        <v>0</v>
      </c>
      <c r="E844">
        <v>0</v>
      </c>
      <c r="F844">
        <v>0</v>
      </c>
      <c r="G844">
        <v>0</v>
      </c>
      <c r="H844">
        <v>0</v>
      </c>
      <c r="I844" s="3">
        <v>0</v>
      </c>
      <c r="J844" s="3">
        <v>0</v>
      </c>
      <c r="K844" s="3">
        <v>0</v>
      </c>
      <c r="L844" s="3" t="str">
        <f>IF(K844&lt;-5,"CRÍTICO",IF(K844&lt;0,"ATENÇÃO",IF(K844&lt;=5,"BOM","EXCELENTE")))</f>
        <v>BOM</v>
      </c>
      <c r="M844">
        <v>0</v>
      </c>
      <c r="N844">
        <v>0</v>
      </c>
      <c r="O844">
        <v>0</v>
      </c>
    </row>
    <row r="845" spans="1:15" hidden="1" x14ac:dyDescent="0.25">
      <c r="A845" s="11">
        <v>46027</v>
      </c>
      <c r="B845" t="s">
        <v>41</v>
      </c>
      <c r="C845" t="s">
        <v>32</v>
      </c>
      <c r="D845">
        <v>31</v>
      </c>
      <c r="E845">
        <v>29</v>
      </c>
      <c r="F845">
        <v>15.57</v>
      </c>
      <c r="G845">
        <v>0</v>
      </c>
      <c r="H845">
        <v>0</v>
      </c>
      <c r="I845" s="3">
        <f>E845+G845+H845</f>
        <v>29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25</v>
      </c>
      <c r="K845" s="3">
        <f>I845-J845</f>
        <v>4</v>
      </c>
      <c r="L845" s="3" t="str">
        <f>IF(K845&lt;-5,"CRÍTICO",IF(K845&lt;0,"ATENÇÃO",IF(K845&lt;=5,"BOM","EXCELENTE")))</f>
        <v>BOM</v>
      </c>
      <c r="M845">
        <v>25</v>
      </c>
      <c r="N845">
        <v>100</v>
      </c>
      <c r="O845">
        <v>30.470347648261761</v>
      </c>
    </row>
    <row r="846" spans="1:15" hidden="1" x14ac:dyDescent="0.25">
      <c r="A846" s="11">
        <v>46027</v>
      </c>
      <c r="B846" t="s">
        <v>56</v>
      </c>
      <c r="C846" t="s">
        <v>48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20</v>
      </c>
      <c r="K846" s="3">
        <f>I846-J846</f>
        <v>8</v>
      </c>
      <c r="L846" s="3" t="str">
        <f>IF(K846&lt;-5,"CRÍTICO",IF(K846&lt;0,"ATENÇÃO",IF(K846&lt;=5,"BOM","EXCELENTE")))</f>
        <v>EXCELENTE</v>
      </c>
      <c r="M846">
        <v>28</v>
      </c>
      <c r="N846">
        <v>100</v>
      </c>
      <c r="O846">
        <v>32.371134020618562</v>
      </c>
    </row>
    <row r="847" spans="1:15" hidden="1" x14ac:dyDescent="0.25">
      <c r="A847" s="11">
        <v>46027</v>
      </c>
      <c r="B847" t="s">
        <v>57</v>
      </c>
      <c r="C847" t="s">
        <v>48</v>
      </c>
      <c r="D847">
        <v>28</v>
      </c>
      <c r="E847">
        <v>26</v>
      </c>
      <c r="F847">
        <v>17.28</v>
      </c>
      <c r="G847">
        <v>0</v>
      </c>
      <c r="H847">
        <v>0</v>
      </c>
      <c r="I847" s="3">
        <v>0</v>
      </c>
      <c r="J847" s="3">
        <v>0</v>
      </c>
      <c r="K847" s="3">
        <v>0</v>
      </c>
      <c r="L847" s="3" t="str">
        <f>IF(K847&lt;-5,"CRÍTICO",IF(K847&lt;0,"ATENÇÃO",IF(K847&lt;=5,"BOM","EXCELENTE")))</f>
        <v>BOM</v>
      </c>
      <c r="M847">
        <v>26</v>
      </c>
      <c r="N847">
        <v>98.32</v>
      </c>
      <c r="O847">
        <v>32.318501170960189</v>
      </c>
    </row>
    <row r="848" spans="1:15" hidden="1" x14ac:dyDescent="0.25">
      <c r="A848" s="11">
        <v>46027</v>
      </c>
      <c r="B848" t="s">
        <v>42</v>
      </c>
      <c r="C848" t="s">
        <v>32</v>
      </c>
      <c r="D848">
        <v>47</v>
      </c>
      <c r="E848">
        <v>40</v>
      </c>
      <c r="F848">
        <v>9</v>
      </c>
      <c r="G848">
        <v>0</v>
      </c>
      <c r="H848">
        <v>0</v>
      </c>
      <c r="I848" s="3">
        <f>E848+G848+H848</f>
        <v>40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25</v>
      </c>
      <c r="K848" s="3">
        <f>I848-J848</f>
        <v>15</v>
      </c>
      <c r="L848" s="3" t="str">
        <f>IF(K848&lt;-5,"CRÍTICO",IF(K848&lt;0,"ATENÇÃO",IF(K848&lt;=5,"BOM","EXCELENTE")))</f>
        <v>EXCELENTE</v>
      </c>
      <c r="M848">
        <v>37</v>
      </c>
      <c r="N848">
        <v>96.43</v>
      </c>
      <c r="O848">
        <v>27.015250544662312</v>
      </c>
    </row>
    <row r="849" spans="1:15" hidden="1" x14ac:dyDescent="0.25">
      <c r="A849" s="11">
        <v>46027</v>
      </c>
      <c r="B849" t="s">
        <v>62</v>
      </c>
      <c r="C849" t="s">
        <v>23</v>
      </c>
      <c r="D849">
        <v>29</v>
      </c>
      <c r="E849">
        <v>28</v>
      </c>
      <c r="F849">
        <v>16.5</v>
      </c>
      <c r="G849">
        <v>0</v>
      </c>
      <c r="H849">
        <v>0</v>
      </c>
      <c r="I849" s="3">
        <f>E849+G849+H849</f>
        <v>28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17</v>
      </c>
      <c r="K849" s="3">
        <f>I849-J849</f>
        <v>11</v>
      </c>
      <c r="L849" s="3" t="str">
        <f>IF(K849&lt;-5,"CRÍTICO",IF(K849&lt;0,"ATENÇÃO",IF(K849&lt;=5,"BOM","EXCELENTE")))</f>
        <v>EXCELENTE</v>
      </c>
      <c r="M849">
        <v>25</v>
      </c>
      <c r="N849">
        <v>98.89</v>
      </c>
      <c r="O849">
        <v>28.021978021978018</v>
      </c>
    </row>
    <row r="850" spans="1:15" hidden="1" x14ac:dyDescent="0.25">
      <c r="A850" s="11">
        <v>46027</v>
      </c>
      <c r="B850" t="s">
        <v>19</v>
      </c>
      <c r="C850" t="s">
        <v>16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 s="3">
        <f>E850+G850+H850</f>
        <v>9</v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>7</v>
      </c>
      <c r="K850" s="3">
        <f>I850-J850</f>
        <v>2</v>
      </c>
      <c r="L850" s="3" t="str">
        <f>IF(K850&lt;-5,"CRÍTICO",IF(K850&lt;0,"ATENÇÃO",IF(K850&lt;=5,"BOM","EXCELENTE")))</f>
        <v>BOM</v>
      </c>
      <c r="M850">
        <v>9</v>
      </c>
      <c r="N850">
        <v>100</v>
      </c>
      <c r="O850">
        <v>33.333333333333329</v>
      </c>
    </row>
    <row r="851" spans="1:15" hidden="1" x14ac:dyDescent="0.25">
      <c r="A851" s="11">
        <v>46027</v>
      </c>
      <c r="B851" t="s">
        <v>43</v>
      </c>
      <c r="C851" t="s">
        <v>32</v>
      </c>
      <c r="D851">
        <v>0</v>
      </c>
      <c r="E851">
        <v>0</v>
      </c>
      <c r="F851">
        <v>0</v>
      </c>
      <c r="G851">
        <v>0</v>
      </c>
      <c r="H851">
        <v>0</v>
      </c>
      <c r="I851" s="3">
        <v>0</v>
      </c>
      <c r="J851" s="3">
        <v>0</v>
      </c>
      <c r="K851" s="3">
        <v>0</v>
      </c>
      <c r="L851" s="3" t="str">
        <f>IF(K851&lt;-5,"CRÍTICO",IF(K851&lt;0,"ATENÇÃO",IF(K851&lt;=5,"BOM","EXCELENTE")))</f>
        <v>BOM</v>
      </c>
      <c r="M851">
        <v>0</v>
      </c>
      <c r="N851">
        <v>100</v>
      </c>
      <c r="O851">
        <v>27.43362831858407</v>
      </c>
    </row>
    <row r="852" spans="1:15" hidden="1" x14ac:dyDescent="0.25">
      <c r="A852" s="11">
        <v>46027</v>
      </c>
      <c r="B852" t="s">
        <v>44</v>
      </c>
      <c r="C852" t="s">
        <v>32</v>
      </c>
      <c r="D852">
        <v>44</v>
      </c>
      <c r="E852">
        <v>32</v>
      </c>
      <c r="F852">
        <v>10.58</v>
      </c>
      <c r="G852">
        <v>0</v>
      </c>
      <c r="H852">
        <v>0</v>
      </c>
      <c r="I852" s="3">
        <f>E852+G852+H852</f>
        <v>32</v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>25</v>
      </c>
      <c r="K852" s="3">
        <f>I852-J852</f>
        <v>7</v>
      </c>
      <c r="L852" s="3" t="str">
        <f>IF(K852&lt;-5,"CRÍTICO",IF(K852&lt;0,"ATENÇÃO",IF(K852&lt;=5,"BOM","EXCELENTE")))</f>
        <v>EXCELENTE</v>
      </c>
      <c r="M852">
        <v>32</v>
      </c>
      <c r="N852">
        <v>98.65</v>
      </c>
      <c r="O852">
        <v>30.978260869565219</v>
      </c>
    </row>
    <row r="853" spans="1:15" hidden="1" x14ac:dyDescent="0.25">
      <c r="A853" s="11">
        <v>46027</v>
      </c>
      <c r="B853" t="s">
        <v>20</v>
      </c>
      <c r="C853" t="s">
        <v>16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>
        <v>0</v>
      </c>
      <c r="N853">
        <v>100</v>
      </c>
      <c r="O853">
        <v>12</v>
      </c>
    </row>
    <row r="854" spans="1:15" hidden="1" x14ac:dyDescent="0.25">
      <c r="A854" s="11">
        <v>46027</v>
      </c>
      <c r="B854" t="s">
        <v>28</v>
      </c>
      <c r="C854" t="s">
        <v>26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>
        <v>0</v>
      </c>
      <c r="N854">
        <v>0</v>
      </c>
      <c r="O854">
        <v>0</v>
      </c>
    </row>
    <row r="855" spans="1:15" hidden="1" x14ac:dyDescent="0.25">
      <c r="A855" s="11">
        <v>46027</v>
      </c>
      <c r="B855" t="s">
        <v>58</v>
      </c>
      <c r="C855" t="s">
        <v>48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>
        <v>0</v>
      </c>
      <c r="N855">
        <v>97.56</v>
      </c>
      <c r="O855">
        <v>31.067961165048541</v>
      </c>
    </row>
    <row r="856" spans="1:15" hidden="1" x14ac:dyDescent="0.25">
      <c r="A856" s="11">
        <v>46027</v>
      </c>
      <c r="B856" t="s">
        <v>29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30</v>
      </c>
      <c r="C857" t="s">
        <v>26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21</v>
      </c>
      <c r="C858" t="s">
        <v>16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>
        <v>0</v>
      </c>
      <c r="N858">
        <v>0</v>
      </c>
      <c r="O858">
        <v>0</v>
      </c>
    </row>
    <row r="859" spans="1:15" hidden="1" x14ac:dyDescent="0.25">
      <c r="A859" s="11">
        <v>46027</v>
      </c>
      <c r="B859" t="s">
        <v>63</v>
      </c>
      <c r="C859" t="s">
        <v>23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>
        <v>0</v>
      </c>
      <c r="N859">
        <v>100</v>
      </c>
      <c r="O859">
        <v>53.846153846153847</v>
      </c>
    </row>
    <row r="860" spans="1:15" hidden="1" x14ac:dyDescent="0.25">
      <c r="A860" s="11">
        <v>46027</v>
      </c>
      <c r="B860" t="s">
        <v>45</v>
      </c>
      <c r="C860" t="s">
        <v>32</v>
      </c>
      <c r="D860">
        <v>0</v>
      </c>
      <c r="E860">
        <v>0</v>
      </c>
      <c r="F860">
        <v>0</v>
      </c>
      <c r="G860">
        <v>0</v>
      </c>
      <c r="H860">
        <v>0</v>
      </c>
      <c r="I860" s="3">
        <v>0</v>
      </c>
      <c r="J860" s="3">
        <v>0</v>
      </c>
      <c r="K860" s="3">
        <v>0</v>
      </c>
      <c r="L860" s="3" t="str">
        <f>IF(K860&lt;-5,"CRÍTICO",IF(K860&lt;0,"ATENÇÃO",IF(K860&lt;=5,"BOM","EXCELENTE")))</f>
        <v>BOM</v>
      </c>
      <c r="M860">
        <v>0</v>
      </c>
      <c r="N860">
        <v>100</v>
      </c>
      <c r="O860">
        <v>44.05594405594406</v>
      </c>
    </row>
    <row r="861" spans="1:15" hidden="1" x14ac:dyDescent="0.25">
      <c r="A861" s="11">
        <v>46027</v>
      </c>
      <c r="B861" t="s">
        <v>64</v>
      </c>
      <c r="C861" t="s">
        <v>23</v>
      </c>
      <c r="D861">
        <v>22</v>
      </c>
      <c r="E861">
        <v>19</v>
      </c>
      <c r="F861">
        <v>26.57</v>
      </c>
      <c r="G861">
        <v>0</v>
      </c>
      <c r="H861">
        <v>0</v>
      </c>
      <c r="I861" s="3">
        <f>E861+G861+H861</f>
        <v>19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17</v>
      </c>
      <c r="K861" s="3">
        <f>I861-J861</f>
        <v>2</v>
      </c>
      <c r="L861" s="3" t="str">
        <f>IF(K861&lt;-5,"CRÍTICO",IF(K861&lt;0,"ATENÇÃO",IF(K861&lt;=5,"BOM","EXCELENTE")))</f>
        <v>BOM</v>
      </c>
      <c r="M861">
        <v>18</v>
      </c>
      <c r="N861">
        <v>100</v>
      </c>
      <c r="O861">
        <v>31.872509960159359</v>
      </c>
    </row>
    <row r="862" spans="1:15" hidden="1" x14ac:dyDescent="0.25">
      <c r="A862" s="11">
        <v>46027</v>
      </c>
      <c r="B862" t="s">
        <v>46</v>
      </c>
      <c r="C862" t="s">
        <v>32</v>
      </c>
      <c r="D862">
        <v>30</v>
      </c>
      <c r="E862">
        <v>28</v>
      </c>
      <c r="F862">
        <v>18.21</v>
      </c>
      <c r="G862">
        <v>0</v>
      </c>
      <c r="H862">
        <v>0</v>
      </c>
      <c r="I862" s="3">
        <f>E862+G862+H862</f>
        <v>28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25</v>
      </c>
      <c r="K862" s="3">
        <f>I862-J862</f>
        <v>3</v>
      </c>
      <c r="L862" s="3" t="str">
        <f>IF(K862&lt;-5,"CRÍTICO",IF(K862&lt;0,"ATENÇÃO",IF(K862&lt;=5,"BOM","EXCELENTE")))</f>
        <v>BOM</v>
      </c>
      <c r="M862">
        <v>27</v>
      </c>
      <c r="N862">
        <v>98.41</v>
      </c>
      <c r="O862">
        <v>29.22465208747515</v>
      </c>
    </row>
    <row r="863" spans="1:15" hidden="1" x14ac:dyDescent="0.25">
      <c r="A863" s="11">
        <v>46028</v>
      </c>
      <c r="B863" t="s">
        <v>47</v>
      </c>
      <c r="C863" t="s">
        <v>48</v>
      </c>
      <c r="D863">
        <v>28</v>
      </c>
      <c r="E863">
        <v>25</v>
      </c>
      <c r="F863">
        <v>20.2</v>
      </c>
      <c r="G863">
        <v>0</v>
      </c>
      <c r="H863">
        <v>0</v>
      </c>
      <c r="I863" s="3">
        <f>E863+G863+H863</f>
        <v>25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20</v>
      </c>
      <c r="K863" s="3">
        <f>I863-J863</f>
        <v>5</v>
      </c>
      <c r="L863" s="3" t="str">
        <f>IF(K863&lt;-5,"CRÍTICO",IF(K863&lt;0,"ATENÇÃO",IF(K863&lt;=5,"BOM","EXCELENTE")))</f>
        <v>BOM</v>
      </c>
      <c r="M863">
        <v>17</v>
      </c>
      <c r="N863">
        <v>96.81</v>
      </c>
      <c r="O863">
        <v>27.980535279805348</v>
      </c>
    </row>
    <row r="864" spans="1:15" hidden="1" x14ac:dyDescent="0.25">
      <c r="A864" s="11">
        <v>46028</v>
      </c>
      <c r="B864" t="s">
        <v>31</v>
      </c>
      <c r="C864" t="s">
        <v>32</v>
      </c>
      <c r="D864">
        <v>0</v>
      </c>
      <c r="E864">
        <v>0</v>
      </c>
      <c r="F864">
        <v>0</v>
      </c>
      <c r="G864">
        <v>0</v>
      </c>
      <c r="H864">
        <v>0</v>
      </c>
      <c r="I864" s="3">
        <v>0</v>
      </c>
      <c r="J864" s="3">
        <v>0</v>
      </c>
      <c r="K864" s="3">
        <v>0</v>
      </c>
      <c r="L864" s="3" t="str">
        <f>IF(K864&lt;-5,"CRÍTICO",IF(K864&lt;0,"ATENÇÃO",IF(K864&lt;=5,"BOM","EXCELENTE")))</f>
        <v>BOM</v>
      </c>
      <c r="M864">
        <v>30</v>
      </c>
      <c r="N864">
        <v>98.73</v>
      </c>
      <c r="O864">
        <v>35.756385068762278</v>
      </c>
    </row>
    <row r="865" spans="1:15" hidden="1" x14ac:dyDescent="0.25">
      <c r="A865" s="11">
        <v>46028</v>
      </c>
      <c r="B865" t="s">
        <v>59</v>
      </c>
      <c r="C865" t="s">
        <v>23</v>
      </c>
      <c r="D865">
        <v>33</v>
      </c>
      <c r="E865">
        <v>30</v>
      </c>
      <c r="F865">
        <v>22.04</v>
      </c>
      <c r="G865">
        <v>0</v>
      </c>
      <c r="H865">
        <v>0</v>
      </c>
      <c r="I865" s="3">
        <f>E865+G865+H865</f>
        <v>30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17</v>
      </c>
      <c r="K865" s="3">
        <f>I865-J865</f>
        <v>13</v>
      </c>
      <c r="L865" s="3" t="str">
        <f>IF(K865&lt;-5,"CRÍTICO",IF(K865&lt;0,"ATENÇÃO",IF(K865&lt;=5,"BOM","EXCELENTE")))</f>
        <v>EXCELENTE</v>
      </c>
      <c r="M865">
        <v>33</v>
      </c>
      <c r="N865">
        <v>98.32</v>
      </c>
      <c r="O865">
        <v>26.763485477178421</v>
      </c>
    </row>
    <row r="866" spans="1:15" hidden="1" x14ac:dyDescent="0.25">
      <c r="A866" s="11">
        <v>46028</v>
      </c>
      <c r="B866" t="s">
        <v>33</v>
      </c>
      <c r="C866" t="s">
        <v>32</v>
      </c>
      <c r="D866">
        <v>40</v>
      </c>
      <c r="E866">
        <v>36</v>
      </c>
      <c r="F866">
        <v>15.18</v>
      </c>
      <c r="G866">
        <v>0</v>
      </c>
      <c r="H866">
        <v>0</v>
      </c>
      <c r="I866" s="3">
        <f>E866+G866+H866</f>
        <v>36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25</v>
      </c>
      <c r="K866" s="3">
        <f>I866-J866</f>
        <v>11</v>
      </c>
      <c r="L866" s="3" t="str">
        <f>IF(K866&lt;-5,"CRÍTICO",IF(K866&lt;0,"ATENÇÃO",IF(K866&lt;=5,"BOM","EXCELENTE")))</f>
        <v>EXCELENTE</v>
      </c>
      <c r="M866">
        <v>34</v>
      </c>
      <c r="N866">
        <v>99.19</v>
      </c>
      <c r="O866">
        <v>27.637130801687761</v>
      </c>
    </row>
    <row r="867" spans="1:15" hidden="1" x14ac:dyDescent="0.25">
      <c r="A867" s="11">
        <v>46028</v>
      </c>
      <c r="B867" t="s">
        <v>15</v>
      </c>
      <c r="C867" t="s">
        <v>16</v>
      </c>
      <c r="D867">
        <v>9</v>
      </c>
      <c r="E867">
        <v>9</v>
      </c>
      <c r="F867">
        <v>38.24</v>
      </c>
      <c r="G867">
        <v>0</v>
      </c>
      <c r="H867">
        <v>0</v>
      </c>
      <c r="I867" s="3">
        <f>E867+G867+H867</f>
        <v>9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7</v>
      </c>
      <c r="K867" s="3">
        <f>I867-J867</f>
        <v>2</v>
      </c>
      <c r="L867" s="3" t="str">
        <f>IF(K867&lt;-5,"CRÍTICO",IF(K867&lt;0,"ATENÇÃO",IF(K867&lt;=5,"BOM","EXCELENTE")))</f>
        <v>BOM</v>
      </c>
      <c r="M867">
        <v>8</v>
      </c>
      <c r="N867">
        <v>100</v>
      </c>
      <c r="O867">
        <v>39.568345323741013</v>
      </c>
    </row>
    <row r="868" spans="1:15" hidden="1" x14ac:dyDescent="0.25">
      <c r="A868" s="11">
        <v>46028</v>
      </c>
      <c r="B868" t="s">
        <v>49</v>
      </c>
      <c r="C868" t="s">
        <v>48</v>
      </c>
      <c r="D868">
        <v>27</v>
      </c>
      <c r="E868">
        <v>25</v>
      </c>
      <c r="F868">
        <v>23.35</v>
      </c>
      <c r="G868">
        <v>0</v>
      </c>
      <c r="H868">
        <v>0</v>
      </c>
      <c r="I868" s="3">
        <f>E868+G868+H868</f>
        <v>25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5</v>
      </c>
      <c r="L868" s="3" t="str">
        <f>IF(K868&lt;-5,"CRÍTICO",IF(K868&lt;0,"ATENÇÃO",IF(K868&lt;=5,"BOM","EXCELENTE")))</f>
        <v>BOM</v>
      </c>
      <c r="M868">
        <v>26</v>
      </c>
      <c r="N868">
        <v>98.54</v>
      </c>
      <c r="O868">
        <v>28.544776119402989</v>
      </c>
    </row>
    <row r="869" spans="1:15" hidden="1" x14ac:dyDescent="0.25">
      <c r="A869" s="11">
        <v>46028</v>
      </c>
      <c r="B869" t="s">
        <v>50</v>
      </c>
      <c r="C869" t="s">
        <v>48</v>
      </c>
      <c r="D869">
        <v>6</v>
      </c>
      <c r="E869">
        <v>6</v>
      </c>
      <c r="F869">
        <v>50.57</v>
      </c>
      <c r="G869">
        <v>0</v>
      </c>
      <c r="H869">
        <v>0</v>
      </c>
      <c r="I869" s="3">
        <f>E869+G869+H869</f>
        <v>6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20</v>
      </c>
      <c r="K869" s="3">
        <f>I869-J869</f>
        <v>-14</v>
      </c>
      <c r="L869" s="3" t="str">
        <f>IF(K869&lt;-5,"CRÍTICO",IF(K869&lt;0,"ATENÇÃO",IF(K869&lt;=5,"BOM","EXCELENTE")))</f>
        <v>CRÍTICO</v>
      </c>
      <c r="M869">
        <v>6</v>
      </c>
      <c r="N869">
        <v>100</v>
      </c>
      <c r="O869">
        <v>34.366925064599492</v>
      </c>
    </row>
    <row r="870" spans="1:15" hidden="1" x14ac:dyDescent="0.25">
      <c r="A870" s="11">
        <v>46028</v>
      </c>
      <c r="B870" t="s">
        <v>17</v>
      </c>
      <c r="C870" t="s">
        <v>16</v>
      </c>
      <c r="D870">
        <v>0</v>
      </c>
      <c r="E870">
        <v>0</v>
      </c>
      <c r="F870">
        <v>0</v>
      </c>
      <c r="G870">
        <v>0</v>
      </c>
      <c r="H870">
        <v>0</v>
      </c>
      <c r="I870" s="3">
        <v>0</v>
      </c>
      <c r="J870" s="3">
        <v>0</v>
      </c>
      <c r="K870" s="3">
        <v>0</v>
      </c>
      <c r="L870" s="3" t="str">
        <f>IF(K870&lt;-5,"CRÍTICO",IF(K870&lt;0,"ATENÇÃO",IF(K870&lt;=5,"BOM","EXCELENTE")))</f>
        <v>BOM</v>
      </c>
      <c r="M870">
        <v>0</v>
      </c>
      <c r="N870">
        <v>0</v>
      </c>
      <c r="O870">
        <v>0</v>
      </c>
    </row>
    <row r="871" spans="1:15" hidden="1" x14ac:dyDescent="0.25">
      <c r="A871" s="11">
        <v>46028</v>
      </c>
      <c r="B871" t="s">
        <v>60</v>
      </c>
      <c r="C871" t="s">
        <v>23</v>
      </c>
      <c r="D871">
        <v>21</v>
      </c>
      <c r="E871">
        <v>21</v>
      </c>
      <c r="F871">
        <v>30.15</v>
      </c>
      <c r="G871">
        <v>0</v>
      </c>
      <c r="H871">
        <v>0</v>
      </c>
      <c r="I871" s="3">
        <f>E871+G871+H871</f>
        <v>21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17</v>
      </c>
      <c r="K871" s="3">
        <f>I871-J871</f>
        <v>4</v>
      </c>
      <c r="L871" s="3" t="str">
        <f>IF(K871&lt;-5,"CRÍTICO",IF(K871&lt;0,"ATENÇÃO",IF(K871&lt;=5,"BOM","EXCELENTE")))</f>
        <v>BOM</v>
      </c>
      <c r="M871">
        <v>20</v>
      </c>
      <c r="N871">
        <v>100</v>
      </c>
      <c r="O871">
        <v>29.518072289156631</v>
      </c>
    </row>
    <row r="872" spans="1:15" hidden="1" x14ac:dyDescent="0.25">
      <c r="A872" s="11">
        <v>46028</v>
      </c>
      <c r="B872" t="s">
        <v>34</v>
      </c>
      <c r="C872" t="s">
        <v>32</v>
      </c>
      <c r="D872">
        <v>44</v>
      </c>
      <c r="E872">
        <v>41</v>
      </c>
      <c r="F872">
        <v>13.2</v>
      </c>
      <c r="G872">
        <v>0</v>
      </c>
      <c r="H872">
        <v>0</v>
      </c>
      <c r="I872" s="3">
        <f>E872+G872+H872</f>
        <v>41</v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>25</v>
      </c>
      <c r="K872" s="3">
        <f>I872-J872</f>
        <v>16</v>
      </c>
      <c r="L872" s="3" t="str">
        <f>IF(K872&lt;-5,"CRÍTICO",IF(K872&lt;0,"ATENÇÃO",IF(K872&lt;=5,"BOM","EXCELENTE")))</f>
        <v>EXCELENTE</v>
      </c>
      <c r="M872">
        <v>38</v>
      </c>
      <c r="N872">
        <v>97.45</v>
      </c>
      <c r="O872">
        <v>41.421143847487002</v>
      </c>
    </row>
    <row r="873" spans="1:15" hidden="1" x14ac:dyDescent="0.25">
      <c r="A873" s="11">
        <v>46028</v>
      </c>
      <c r="B873" t="s">
        <v>51</v>
      </c>
      <c r="C873" t="s">
        <v>48</v>
      </c>
      <c r="D873">
        <v>29</v>
      </c>
      <c r="E873">
        <v>25</v>
      </c>
      <c r="F873">
        <v>19.059999999999999</v>
      </c>
      <c r="G873">
        <v>0</v>
      </c>
      <c r="H873">
        <v>0</v>
      </c>
      <c r="I873" s="3">
        <v>0</v>
      </c>
      <c r="J873" s="3">
        <v>0</v>
      </c>
      <c r="K873" s="3">
        <v>0</v>
      </c>
      <c r="L873" s="3" t="str">
        <f>IF(K873&lt;-5,"CRÍTICO",IF(K873&lt;0,"ATENÇÃO",IF(K873&lt;=5,"BOM","EXCELENTE")))</f>
        <v>BOM</v>
      </c>
      <c r="M873">
        <v>27</v>
      </c>
      <c r="N873">
        <v>96.58</v>
      </c>
      <c r="O873">
        <v>30.396475770925111</v>
      </c>
    </row>
    <row r="874" spans="1:15" hidden="1" x14ac:dyDescent="0.25">
      <c r="A874" s="11">
        <v>46028</v>
      </c>
      <c r="B874" t="s">
        <v>61</v>
      </c>
      <c r="C874" t="s">
        <v>23</v>
      </c>
      <c r="D874">
        <v>23</v>
      </c>
      <c r="E874">
        <v>23</v>
      </c>
      <c r="F874">
        <v>23.51</v>
      </c>
      <c r="G874">
        <v>0</v>
      </c>
      <c r="H874">
        <v>0</v>
      </c>
      <c r="I874" s="3">
        <f>E874+G874+H874</f>
        <v>23</v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17</v>
      </c>
      <c r="K874" s="3">
        <f>I874-J874</f>
        <v>6</v>
      </c>
      <c r="L874" s="3" t="str">
        <f>IF(K874&lt;-5,"CRÍTICO",IF(K874&lt;0,"ATENÇÃO",IF(K874&lt;=5,"BOM","EXCELENTE")))</f>
        <v>EXCELENTE</v>
      </c>
      <c r="M874">
        <v>24</v>
      </c>
      <c r="N874">
        <v>100</v>
      </c>
      <c r="O874">
        <v>27.44282744282744</v>
      </c>
    </row>
    <row r="875" spans="1:15" hidden="1" x14ac:dyDescent="0.25">
      <c r="A875" s="11">
        <v>46028</v>
      </c>
      <c r="B875" t="s">
        <v>35</v>
      </c>
      <c r="C875" t="s">
        <v>32</v>
      </c>
      <c r="D875">
        <v>27</v>
      </c>
      <c r="E875">
        <v>26</v>
      </c>
      <c r="F875">
        <v>26.51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>
        <v>27</v>
      </c>
      <c r="N875">
        <v>99.49</v>
      </c>
      <c r="O875">
        <v>40.200000000000003</v>
      </c>
    </row>
    <row r="876" spans="1:15" hidden="1" x14ac:dyDescent="0.25">
      <c r="A876" s="11">
        <v>46028</v>
      </c>
      <c r="B876" t="s">
        <v>18</v>
      </c>
      <c r="C876" t="s">
        <v>16</v>
      </c>
      <c r="D876">
        <v>0</v>
      </c>
      <c r="E876">
        <v>0</v>
      </c>
      <c r="F876">
        <v>0</v>
      </c>
      <c r="G876">
        <v>0</v>
      </c>
      <c r="H876">
        <v>0</v>
      </c>
      <c r="I876" s="3">
        <v>0</v>
      </c>
      <c r="J876" s="3">
        <v>0</v>
      </c>
      <c r="K876" s="3">
        <v>0</v>
      </c>
      <c r="L876" s="3" t="str">
        <f>IF(K876&lt;-5,"CRÍTICO",IF(K876&lt;0,"ATENÇÃO",IF(K876&lt;=5,"BOM","EXCELENTE")))</f>
        <v>BOM</v>
      </c>
      <c r="M876">
        <v>0</v>
      </c>
      <c r="N876">
        <v>100</v>
      </c>
      <c r="O876">
        <v>25</v>
      </c>
    </row>
    <row r="877" spans="1:15" hidden="1" x14ac:dyDescent="0.25">
      <c r="A877" s="11">
        <v>46028</v>
      </c>
      <c r="B877" t="s">
        <v>52</v>
      </c>
      <c r="C877" t="s">
        <v>48</v>
      </c>
      <c r="D877">
        <v>30</v>
      </c>
      <c r="E877">
        <v>27</v>
      </c>
      <c r="F877">
        <v>15.04</v>
      </c>
      <c r="G877">
        <v>0</v>
      </c>
      <c r="H877">
        <v>0</v>
      </c>
      <c r="I877" s="3">
        <f>E877+G877+H877</f>
        <v>27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20</v>
      </c>
      <c r="K877" s="3">
        <f>I877-J877</f>
        <v>7</v>
      </c>
      <c r="L877" s="3" t="str">
        <f>IF(K877&lt;-5,"CRÍTICO",IF(K877&lt;0,"ATENÇÃO",IF(K877&lt;=5,"BOM","EXCELENTE")))</f>
        <v>EXCELENTE</v>
      </c>
      <c r="M877">
        <v>27</v>
      </c>
      <c r="N877">
        <v>100</v>
      </c>
      <c r="O877">
        <v>34.15094339622641</v>
      </c>
    </row>
    <row r="878" spans="1:15" hidden="1" x14ac:dyDescent="0.25">
      <c r="A878" s="11">
        <v>46028</v>
      </c>
      <c r="B878" t="s">
        <v>36</v>
      </c>
      <c r="C878" t="s">
        <v>32</v>
      </c>
      <c r="D878">
        <v>22</v>
      </c>
      <c r="E878">
        <v>17</v>
      </c>
      <c r="F878">
        <v>13.56</v>
      </c>
      <c r="G878">
        <v>0</v>
      </c>
      <c r="H878">
        <v>0</v>
      </c>
      <c r="I878" s="3">
        <f>E878+G878+H878</f>
        <v>17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25</v>
      </c>
      <c r="K878" s="3">
        <f>I878-J878</f>
        <v>-8</v>
      </c>
      <c r="L878" s="3" t="str">
        <f>IF(K878&lt;-5,"CRÍTICO",IF(K878&lt;0,"ATENÇÃO",IF(K878&lt;=5,"BOM","EXCELENTE")))</f>
        <v>CRÍTICO</v>
      </c>
      <c r="M878">
        <v>15</v>
      </c>
      <c r="N878">
        <v>100</v>
      </c>
      <c r="O878">
        <v>32.731376975169297</v>
      </c>
    </row>
    <row r="879" spans="1:15" hidden="1" x14ac:dyDescent="0.25">
      <c r="A879" s="11">
        <v>46028</v>
      </c>
      <c r="B879" t="s">
        <v>53</v>
      </c>
      <c r="C879" t="s">
        <v>48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 s="3">
        <f>E879+G879+H879</f>
        <v>45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20</v>
      </c>
      <c r="K879" s="3">
        <f>I879-J879</f>
        <v>25</v>
      </c>
      <c r="L879" s="3" t="str">
        <f>IF(K879&lt;-5,"CRÍTICO",IF(K879&lt;0,"ATENÇÃO",IF(K879&lt;=5,"BOM","EXCELENTE")))</f>
        <v>EXCELENTE</v>
      </c>
      <c r="M879">
        <v>38</v>
      </c>
      <c r="N879">
        <v>99.31</v>
      </c>
      <c r="O879">
        <v>30.96234309623431</v>
      </c>
    </row>
    <row r="880" spans="1:15" hidden="1" x14ac:dyDescent="0.25">
      <c r="A880" s="11">
        <v>46062</v>
      </c>
      <c r="B880" t="s">
        <v>22</v>
      </c>
      <c r="C880" t="s">
        <v>23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>E880+G880+H880</f>
        <v>13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18</v>
      </c>
      <c r="K880" s="3">
        <f>I880-J880</f>
        <v>-5</v>
      </c>
      <c r="L880" s="3" t="str">
        <f>IF(K880&lt;-5,"CRÍTICO",IF(K880&lt;0,"ATENÇÃO",IF(K880&lt;=5,"BOM","EXCELENTE")))</f>
        <v>ATENÇÃO</v>
      </c>
      <c r="M880">
        <v>25</v>
      </c>
      <c r="N880">
        <v>96.67</v>
      </c>
      <c r="O880">
        <v>31.451612903225811</v>
      </c>
    </row>
    <row r="881" spans="1:15" hidden="1" x14ac:dyDescent="0.25">
      <c r="A881" s="11">
        <v>46028</v>
      </c>
      <c r="B881" t="s">
        <v>54</v>
      </c>
      <c r="C881" t="s">
        <v>48</v>
      </c>
      <c r="D881">
        <v>24</v>
      </c>
      <c r="E881">
        <v>21</v>
      </c>
      <c r="F881">
        <v>13.58</v>
      </c>
      <c r="G881">
        <v>0</v>
      </c>
      <c r="H881">
        <v>0</v>
      </c>
      <c r="I881" s="3">
        <f>E881+G881+H881</f>
        <v>21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20</v>
      </c>
      <c r="K881" s="3">
        <f>I881-J881</f>
        <v>1</v>
      </c>
      <c r="L881" s="3" t="str">
        <f>IF(K881&lt;-5,"CRÍTICO",IF(K881&lt;0,"ATENÇÃO",IF(K881&lt;=5,"BOM","EXCELENTE")))</f>
        <v>BOM</v>
      </c>
      <c r="M881">
        <v>20</v>
      </c>
      <c r="N881">
        <v>100</v>
      </c>
      <c r="O881">
        <v>27.676767676767678</v>
      </c>
    </row>
    <row r="882" spans="1:15" hidden="1" x14ac:dyDescent="0.25">
      <c r="A882" s="11">
        <v>46028</v>
      </c>
      <c r="B882" t="s">
        <v>37</v>
      </c>
      <c r="C882" t="s">
        <v>32</v>
      </c>
      <c r="D882">
        <v>53</v>
      </c>
      <c r="E882">
        <v>46</v>
      </c>
      <c r="F882">
        <v>12.3</v>
      </c>
      <c r="G882">
        <v>0</v>
      </c>
      <c r="H882">
        <v>0</v>
      </c>
      <c r="I882" s="3">
        <f>E882+G882+H882</f>
        <v>46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21</v>
      </c>
      <c r="L882" s="3" t="str">
        <f>IF(K882&lt;-5,"CRÍTICO",IF(K882&lt;0,"ATENÇÃO",IF(K882&lt;=5,"BOM","EXCELENTE")))</f>
        <v>EXCELENTE</v>
      </c>
      <c r="M882">
        <v>49</v>
      </c>
      <c r="N882">
        <v>100</v>
      </c>
      <c r="O882">
        <v>31.17723156532988</v>
      </c>
    </row>
    <row r="883" spans="1:15" hidden="1" x14ac:dyDescent="0.25">
      <c r="A883" s="11">
        <v>46028</v>
      </c>
      <c r="B883" t="s">
        <v>38</v>
      </c>
      <c r="C883" t="s">
        <v>32</v>
      </c>
      <c r="D883">
        <v>41</v>
      </c>
      <c r="E883">
        <v>41</v>
      </c>
      <c r="F883">
        <v>13.35</v>
      </c>
      <c r="G883">
        <v>0</v>
      </c>
      <c r="H883">
        <v>0</v>
      </c>
      <c r="I883" s="3">
        <f>E883+G883+H883</f>
        <v>41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25</v>
      </c>
      <c r="K883" s="3">
        <f>I883-J883</f>
        <v>16</v>
      </c>
      <c r="L883" s="3" t="str">
        <f>IF(K883&lt;-5,"CRÍTICO",IF(K883&lt;0,"ATENÇÃO",IF(K883&lt;=5,"BOM","EXCELENTE")))</f>
        <v>EXCELENTE</v>
      </c>
      <c r="M883">
        <v>38</v>
      </c>
      <c r="N883">
        <v>100</v>
      </c>
      <c r="O883">
        <v>27.609427609427609</v>
      </c>
    </row>
    <row r="884" spans="1:15" hidden="1" x14ac:dyDescent="0.25">
      <c r="A884" s="11">
        <v>46028</v>
      </c>
      <c r="B884" t="s">
        <v>55</v>
      </c>
      <c r="C884" t="s">
        <v>48</v>
      </c>
      <c r="D884">
        <v>38</v>
      </c>
      <c r="E884">
        <v>30</v>
      </c>
      <c r="F884">
        <v>13.52</v>
      </c>
      <c r="G884">
        <v>0</v>
      </c>
      <c r="H884">
        <v>0</v>
      </c>
      <c r="I884" s="3">
        <f>E884+G884+H884</f>
        <v>30</v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>20</v>
      </c>
      <c r="K884" s="3">
        <f>I884-J884</f>
        <v>10</v>
      </c>
      <c r="L884" s="3" t="str">
        <f>IF(K884&lt;-5,"CRÍTICO",IF(K884&lt;0,"ATENÇÃO",IF(K884&lt;=5,"BOM","EXCELENTE")))</f>
        <v>EXCELENTE</v>
      </c>
      <c r="M884">
        <v>28</v>
      </c>
      <c r="N884">
        <v>96.4</v>
      </c>
      <c r="O884">
        <v>28.764044943820231</v>
      </c>
    </row>
    <row r="885" spans="1:15" hidden="1" x14ac:dyDescent="0.25">
      <c r="A885" s="11">
        <v>46028</v>
      </c>
      <c r="B885" t="s">
        <v>39</v>
      </c>
      <c r="C885" t="s">
        <v>32</v>
      </c>
      <c r="D885">
        <v>0</v>
      </c>
      <c r="E885">
        <v>0</v>
      </c>
      <c r="F885">
        <v>0</v>
      </c>
      <c r="G885">
        <v>0</v>
      </c>
      <c r="H885">
        <v>0</v>
      </c>
      <c r="I885" s="3">
        <v>0</v>
      </c>
      <c r="J885" s="3">
        <v>0</v>
      </c>
      <c r="K885" s="3">
        <v>0</v>
      </c>
      <c r="L885" s="3" t="str">
        <f>IF(K885&lt;-5,"CRÍTICO",IF(K885&lt;0,"ATENÇÃO",IF(K885&lt;=5,"BOM","EXCELENTE")))</f>
        <v>BOM</v>
      </c>
      <c r="M885">
        <v>26</v>
      </c>
      <c r="N885">
        <v>100</v>
      </c>
      <c r="O885">
        <v>33.980582524271853</v>
      </c>
    </row>
    <row r="886" spans="1:15" hidden="1" x14ac:dyDescent="0.25">
      <c r="A886" s="11">
        <v>46028</v>
      </c>
      <c r="B886" t="s">
        <v>25</v>
      </c>
      <c r="C886" t="s">
        <v>26</v>
      </c>
      <c r="D886">
        <v>3</v>
      </c>
      <c r="E886">
        <v>3</v>
      </c>
      <c r="F886">
        <v>57.08</v>
      </c>
      <c r="G886">
        <v>0</v>
      </c>
      <c r="H886">
        <v>0</v>
      </c>
      <c r="I886" s="3">
        <f>E886+G886+H886</f>
        <v>3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14</v>
      </c>
      <c r="K886" s="3">
        <f>I886-J886</f>
        <v>-11</v>
      </c>
      <c r="L886" s="3" t="str">
        <f>IF(K886&lt;-5,"CRÍTICO",IF(K886&lt;0,"ATENÇÃO",IF(K886&lt;=5,"BOM","EXCELENTE")))</f>
        <v>CRÍTICO</v>
      </c>
      <c r="M886">
        <v>3</v>
      </c>
      <c r="N886">
        <v>97.56</v>
      </c>
      <c r="O886">
        <v>32.515337423312893</v>
      </c>
    </row>
    <row r="887" spans="1:15" hidden="1" x14ac:dyDescent="0.25">
      <c r="A887" s="11">
        <v>46028</v>
      </c>
      <c r="B887" t="s">
        <v>40</v>
      </c>
      <c r="C887" t="s">
        <v>32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>
        <v>46</v>
      </c>
      <c r="N887">
        <v>97.11</v>
      </c>
      <c r="O887">
        <v>37.408312958435211</v>
      </c>
    </row>
    <row r="888" spans="1:15" hidden="1" x14ac:dyDescent="0.25">
      <c r="A888" s="11">
        <v>46028</v>
      </c>
      <c r="B888" t="s">
        <v>27</v>
      </c>
      <c r="C888" t="s">
        <v>26</v>
      </c>
      <c r="D888">
        <v>0</v>
      </c>
      <c r="E888">
        <v>0</v>
      </c>
      <c r="F888">
        <v>0</v>
      </c>
      <c r="G888">
        <v>0</v>
      </c>
      <c r="H888">
        <v>0</v>
      </c>
      <c r="I888" s="3">
        <v>0</v>
      </c>
      <c r="J888" s="3">
        <v>0</v>
      </c>
      <c r="K888" s="3">
        <v>0</v>
      </c>
      <c r="L888" s="3" t="str">
        <f>IF(K888&lt;-5,"CRÍTICO",IF(K888&lt;0,"ATENÇÃO",IF(K888&lt;=5,"BOM","EXCELENTE")))</f>
        <v>BOM</v>
      </c>
      <c r="M888">
        <v>0</v>
      </c>
      <c r="N888">
        <v>0</v>
      </c>
      <c r="O888">
        <v>0</v>
      </c>
    </row>
    <row r="889" spans="1:15" hidden="1" x14ac:dyDescent="0.25">
      <c r="A889" s="11">
        <v>46028</v>
      </c>
      <c r="B889" t="s">
        <v>41</v>
      </c>
      <c r="C889" t="s">
        <v>32</v>
      </c>
      <c r="D889">
        <v>45</v>
      </c>
      <c r="E889">
        <v>41</v>
      </c>
      <c r="F889">
        <v>15.19</v>
      </c>
      <c r="G889">
        <v>0</v>
      </c>
      <c r="H889">
        <v>0</v>
      </c>
      <c r="I889" s="3">
        <f>E889+G889+H889</f>
        <v>41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25</v>
      </c>
      <c r="K889" s="3">
        <f>I889-J889</f>
        <v>16</v>
      </c>
      <c r="L889" s="3" t="str">
        <f>IF(K889&lt;-5,"CRÍTICO",IF(K889&lt;0,"ATENÇÃO",IF(K889&lt;=5,"BOM","EXCELENTE")))</f>
        <v>EXCELENTE</v>
      </c>
      <c r="M889">
        <v>37</v>
      </c>
      <c r="N889">
        <v>100</v>
      </c>
      <c r="O889">
        <v>30.470347648261761</v>
      </c>
    </row>
    <row r="890" spans="1:15" hidden="1" x14ac:dyDescent="0.25">
      <c r="A890" s="11">
        <v>46028</v>
      </c>
      <c r="B890" t="s">
        <v>56</v>
      </c>
      <c r="C890" t="s">
        <v>48</v>
      </c>
      <c r="D890">
        <v>31</v>
      </c>
      <c r="E890">
        <v>29</v>
      </c>
      <c r="F890">
        <v>16.57</v>
      </c>
      <c r="G890">
        <v>0</v>
      </c>
      <c r="H890">
        <v>0</v>
      </c>
      <c r="I890" s="3">
        <f>E890+G890+H890</f>
        <v>29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20</v>
      </c>
      <c r="K890" s="3">
        <f>I890-J890</f>
        <v>9</v>
      </c>
      <c r="L890" s="3" t="str">
        <f>IF(K890&lt;-5,"CRÍTICO",IF(K890&lt;0,"ATENÇÃO",IF(K890&lt;=5,"BOM","EXCELENTE")))</f>
        <v>EXCELENTE</v>
      </c>
      <c r="M890">
        <v>28</v>
      </c>
      <c r="N890">
        <v>100</v>
      </c>
      <c r="O890">
        <v>32.371134020618562</v>
      </c>
    </row>
    <row r="891" spans="1:15" hidden="1" x14ac:dyDescent="0.25">
      <c r="A891" s="11">
        <v>46028</v>
      </c>
      <c r="B891" t="s">
        <v>57</v>
      </c>
      <c r="C891" t="s">
        <v>48</v>
      </c>
      <c r="D891">
        <v>33</v>
      </c>
      <c r="E891">
        <v>32</v>
      </c>
      <c r="F891">
        <v>17.16</v>
      </c>
      <c r="G891">
        <v>0</v>
      </c>
      <c r="H891">
        <v>0</v>
      </c>
      <c r="I891" s="3">
        <v>0</v>
      </c>
      <c r="J891" s="3">
        <v>0</v>
      </c>
      <c r="K891" s="3">
        <v>0</v>
      </c>
      <c r="L891" s="3" t="str">
        <f>IF(K891&lt;-5,"CRÍTICO",IF(K891&lt;0,"ATENÇÃO",IF(K891&lt;=5,"BOM","EXCELENTE")))</f>
        <v>BOM</v>
      </c>
      <c r="M891">
        <v>26</v>
      </c>
      <c r="N891">
        <v>98.32</v>
      </c>
      <c r="O891">
        <v>32.318501170960189</v>
      </c>
    </row>
    <row r="892" spans="1:15" hidden="1" x14ac:dyDescent="0.25">
      <c r="A892" s="11">
        <v>46028</v>
      </c>
      <c r="B892" t="s">
        <v>42</v>
      </c>
      <c r="C892" t="s">
        <v>32</v>
      </c>
      <c r="D892">
        <v>21</v>
      </c>
      <c r="E892">
        <v>16</v>
      </c>
      <c r="F892">
        <v>15.06</v>
      </c>
      <c r="G892">
        <v>0</v>
      </c>
      <c r="H892">
        <v>0</v>
      </c>
      <c r="I892" s="3">
        <f>E892+G892+H892</f>
        <v>16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25</v>
      </c>
      <c r="K892" s="3">
        <f>I892-J892</f>
        <v>-9</v>
      </c>
      <c r="L892" s="3" t="str">
        <f>IF(K892&lt;-5,"CRÍTICO",IF(K892&lt;0,"ATENÇÃO",IF(K892&lt;=5,"BOM","EXCELENTE")))</f>
        <v>CRÍTICO</v>
      </c>
      <c r="M892">
        <v>13</v>
      </c>
      <c r="N892">
        <v>96.43</v>
      </c>
      <c r="O892">
        <v>27.015250544662312</v>
      </c>
    </row>
    <row r="893" spans="1:15" hidden="1" x14ac:dyDescent="0.25">
      <c r="A893" s="11">
        <v>46028</v>
      </c>
      <c r="B893" t="s">
        <v>62</v>
      </c>
      <c r="C893" t="s">
        <v>23</v>
      </c>
      <c r="D893">
        <v>21</v>
      </c>
      <c r="E893">
        <v>21</v>
      </c>
      <c r="F893">
        <v>29.07</v>
      </c>
      <c r="G893">
        <v>0</v>
      </c>
      <c r="H893">
        <v>0</v>
      </c>
      <c r="I893" s="3">
        <f>E893+G893+H893</f>
        <v>21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17</v>
      </c>
      <c r="K893" s="3">
        <f>I893-J893</f>
        <v>4</v>
      </c>
      <c r="L893" s="3" t="str">
        <f>IF(K893&lt;-5,"CRÍTICO",IF(K893&lt;0,"ATENÇÃO",IF(K893&lt;=5,"BOM","EXCELENTE")))</f>
        <v>BOM</v>
      </c>
      <c r="M893">
        <v>19</v>
      </c>
      <c r="N893">
        <v>98.89</v>
      </c>
      <c r="O893">
        <v>28.021978021978018</v>
      </c>
    </row>
    <row r="894" spans="1:15" hidden="1" x14ac:dyDescent="0.25">
      <c r="A894" s="11">
        <v>46028</v>
      </c>
      <c r="B894" t="s">
        <v>19</v>
      </c>
      <c r="C894" t="s">
        <v>16</v>
      </c>
      <c r="D894">
        <v>11</v>
      </c>
      <c r="E894">
        <v>10</v>
      </c>
      <c r="F894">
        <v>37.26</v>
      </c>
      <c r="G894">
        <v>0</v>
      </c>
      <c r="H894">
        <v>0</v>
      </c>
      <c r="I894" s="3">
        <f>E894+G894+H894</f>
        <v>10</v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>7</v>
      </c>
      <c r="K894" s="3">
        <f>I894-J894</f>
        <v>3</v>
      </c>
      <c r="L894" s="3" t="str">
        <f>IF(K894&lt;-5,"CRÍTICO",IF(K894&lt;0,"ATENÇÃO",IF(K894&lt;=5,"BOM","EXCELENTE")))</f>
        <v>BOM</v>
      </c>
      <c r="M894">
        <v>8</v>
      </c>
      <c r="N894">
        <v>100</v>
      </c>
      <c r="O894">
        <v>33.333333333333329</v>
      </c>
    </row>
    <row r="895" spans="1:15" hidden="1" x14ac:dyDescent="0.25">
      <c r="A895" s="11">
        <v>46028</v>
      </c>
      <c r="B895" t="s">
        <v>43</v>
      </c>
      <c r="C895" t="s">
        <v>32</v>
      </c>
      <c r="D895">
        <v>0</v>
      </c>
      <c r="E895">
        <v>0</v>
      </c>
      <c r="F895">
        <v>0</v>
      </c>
      <c r="G895">
        <v>0</v>
      </c>
      <c r="H895">
        <v>0</v>
      </c>
      <c r="I895" s="3">
        <v>0</v>
      </c>
      <c r="J895" s="3">
        <v>0</v>
      </c>
      <c r="K895" s="3">
        <v>0</v>
      </c>
      <c r="L895" s="3" t="str">
        <f>IF(K895&lt;-5,"CRÍTICO",IF(K895&lt;0,"ATENÇÃO",IF(K895&lt;=5,"BOM","EXCELENTE")))</f>
        <v>BOM</v>
      </c>
      <c r="M895">
        <v>0</v>
      </c>
      <c r="N895">
        <v>100</v>
      </c>
      <c r="O895">
        <v>27.43362831858407</v>
      </c>
    </row>
    <row r="896" spans="1:15" hidden="1" x14ac:dyDescent="0.25">
      <c r="A896" s="11">
        <v>46028</v>
      </c>
      <c r="B896" t="s">
        <v>44</v>
      </c>
      <c r="C896" t="s">
        <v>32</v>
      </c>
      <c r="D896">
        <v>49</v>
      </c>
      <c r="E896">
        <v>42</v>
      </c>
      <c r="F896">
        <v>10.4</v>
      </c>
      <c r="G896">
        <v>0</v>
      </c>
      <c r="H896">
        <v>0</v>
      </c>
      <c r="I896" s="3">
        <f>E896+G896+H896</f>
        <v>42</v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>25</v>
      </c>
      <c r="K896" s="3">
        <f>I896-J896</f>
        <v>17</v>
      </c>
      <c r="L896" s="3" t="str">
        <f>IF(K896&lt;-5,"CRÍTICO",IF(K896&lt;0,"ATENÇÃO",IF(K896&lt;=5,"BOM","EXCELENTE")))</f>
        <v>EXCELENTE</v>
      </c>
      <c r="M896">
        <v>45</v>
      </c>
      <c r="N896">
        <v>98.65</v>
      </c>
      <c r="O896">
        <v>30.978260869565219</v>
      </c>
    </row>
    <row r="897" spans="1:15" hidden="1" x14ac:dyDescent="0.25">
      <c r="A897" s="11">
        <v>46028</v>
      </c>
      <c r="B897" t="s">
        <v>20</v>
      </c>
      <c r="C897" t="s">
        <v>16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>
        <v>0</v>
      </c>
      <c r="N897">
        <v>100</v>
      </c>
      <c r="O897">
        <v>12</v>
      </c>
    </row>
    <row r="898" spans="1:15" hidden="1" x14ac:dyDescent="0.25">
      <c r="A898" s="11">
        <v>46028</v>
      </c>
      <c r="B898" t="s">
        <v>28</v>
      </c>
      <c r="C898" t="s">
        <v>26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>
        <v>0</v>
      </c>
      <c r="N898">
        <v>0</v>
      </c>
      <c r="O898">
        <v>0</v>
      </c>
    </row>
    <row r="899" spans="1:15" hidden="1" x14ac:dyDescent="0.25">
      <c r="A899" s="11">
        <v>46028</v>
      </c>
      <c r="B899" t="s">
        <v>58</v>
      </c>
      <c r="C899" t="s">
        <v>48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>
        <v>0</v>
      </c>
      <c r="N899">
        <v>97.56</v>
      </c>
      <c r="O899">
        <v>31.067961165048541</v>
      </c>
    </row>
    <row r="900" spans="1:15" hidden="1" x14ac:dyDescent="0.25">
      <c r="A900" s="11">
        <v>46028</v>
      </c>
      <c r="B900" t="s">
        <v>29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30</v>
      </c>
      <c r="C901" t="s">
        <v>26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21</v>
      </c>
      <c r="C902" t="s">
        <v>16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>
        <v>0</v>
      </c>
      <c r="N902">
        <v>0</v>
      </c>
      <c r="O902">
        <v>0</v>
      </c>
    </row>
    <row r="903" spans="1:15" hidden="1" x14ac:dyDescent="0.25">
      <c r="A903" s="11">
        <v>46028</v>
      </c>
      <c r="B903" t="s">
        <v>63</v>
      </c>
      <c r="C903" t="s">
        <v>23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>
        <v>0</v>
      </c>
      <c r="N903">
        <v>100</v>
      </c>
      <c r="O903">
        <v>53.846153846153847</v>
      </c>
    </row>
    <row r="904" spans="1:15" hidden="1" x14ac:dyDescent="0.25">
      <c r="A904" s="11">
        <v>46028</v>
      </c>
      <c r="B904" t="s">
        <v>45</v>
      </c>
      <c r="C904" t="s">
        <v>32</v>
      </c>
      <c r="D904">
        <v>0</v>
      </c>
      <c r="E904">
        <v>0</v>
      </c>
      <c r="F904">
        <v>0</v>
      </c>
      <c r="G904">
        <v>0</v>
      </c>
      <c r="H904">
        <v>0</v>
      </c>
      <c r="I904" s="3">
        <v>0</v>
      </c>
      <c r="J904" s="3">
        <v>0</v>
      </c>
      <c r="K904" s="3">
        <v>0</v>
      </c>
      <c r="L904" s="3" t="str">
        <f>IF(K904&lt;-5,"CRÍTICO",IF(K904&lt;0,"ATENÇÃO",IF(K904&lt;=5,"BOM","EXCELENTE")))</f>
        <v>BOM</v>
      </c>
      <c r="M904">
        <v>0</v>
      </c>
      <c r="N904">
        <v>100</v>
      </c>
      <c r="O904">
        <v>44.05594405594406</v>
      </c>
    </row>
    <row r="905" spans="1:15" hidden="1" x14ac:dyDescent="0.25">
      <c r="A905" s="11">
        <v>46028</v>
      </c>
      <c r="B905" t="s">
        <v>64</v>
      </c>
      <c r="C905" t="s">
        <v>23</v>
      </c>
      <c r="D905">
        <v>15</v>
      </c>
      <c r="E905">
        <v>11</v>
      </c>
      <c r="F905">
        <v>27.36</v>
      </c>
      <c r="G905">
        <v>0</v>
      </c>
      <c r="H905">
        <v>0</v>
      </c>
      <c r="I905" s="3">
        <f>E905+G905+H905</f>
        <v>11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17</v>
      </c>
      <c r="K905" s="3">
        <f>I905-J905</f>
        <v>-6</v>
      </c>
      <c r="L905" s="3" t="str">
        <f>IF(K905&lt;-5,"CRÍTICO",IF(K905&lt;0,"ATENÇÃO",IF(K905&lt;=5,"BOM","EXCELENTE")))</f>
        <v>CRÍTICO</v>
      </c>
      <c r="M905">
        <v>12</v>
      </c>
      <c r="N905">
        <v>100</v>
      </c>
      <c r="O905">
        <v>31.872509960159359</v>
      </c>
    </row>
    <row r="906" spans="1:15" hidden="1" x14ac:dyDescent="0.25">
      <c r="A906" s="11">
        <v>46028</v>
      </c>
      <c r="B906" t="s">
        <v>46</v>
      </c>
      <c r="C906" t="s">
        <v>32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 s="3">
        <f>E906+G906+H906</f>
        <v>27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25</v>
      </c>
      <c r="K906" s="3">
        <f>I906-J906</f>
        <v>2</v>
      </c>
      <c r="L906" s="3" t="str">
        <f>IF(K906&lt;-5,"CRÍTICO",IF(K906&lt;0,"ATENÇÃO",IF(K906&lt;=5,"BOM","EXCELENTE")))</f>
        <v>BOM</v>
      </c>
      <c r="M906">
        <v>25</v>
      </c>
      <c r="N906">
        <v>98.41</v>
      </c>
      <c r="O906">
        <v>29.22465208747515</v>
      </c>
    </row>
    <row r="907" spans="1:15" hidden="1" x14ac:dyDescent="0.25">
      <c r="A907" s="11">
        <v>46029</v>
      </c>
      <c r="B907" t="s">
        <v>47</v>
      </c>
      <c r="C907" t="s">
        <v>48</v>
      </c>
      <c r="D907">
        <v>26</v>
      </c>
      <c r="E907">
        <v>23</v>
      </c>
      <c r="F907">
        <v>20.57</v>
      </c>
      <c r="G907">
        <v>0</v>
      </c>
      <c r="H907">
        <v>0</v>
      </c>
      <c r="I907" s="3">
        <f>E907+G907+H907</f>
        <v>23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21</v>
      </c>
      <c r="K907" s="3">
        <f>I907-J907</f>
        <v>2</v>
      </c>
      <c r="L907" s="3" t="str">
        <f>IF(K907&lt;-5,"CRÍTICO",IF(K907&lt;0,"ATENÇÃO",IF(K907&lt;=5,"BOM","EXCELENTE")))</f>
        <v>BOM</v>
      </c>
      <c r="M907">
        <v>19</v>
      </c>
      <c r="N907">
        <v>96.81</v>
      </c>
      <c r="O907">
        <v>27.980535279805348</v>
      </c>
    </row>
    <row r="908" spans="1:15" hidden="1" x14ac:dyDescent="0.25">
      <c r="A908" s="11">
        <v>46029</v>
      </c>
      <c r="B908" t="s">
        <v>31</v>
      </c>
      <c r="C908" t="s">
        <v>32</v>
      </c>
      <c r="D908">
        <v>0</v>
      </c>
      <c r="E908">
        <v>0</v>
      </c>
      <c r="F908">
        <v>0</v>
      </c>
      <c r="G908">
        <v>0</v>
      </c>
      <c r="H908">
        <v>0</v>
      </c>
      <c r="I908" s="3">
        <v>0</v>
      </c>
      <c r="J908" s="3">
        <v>0</v>
      </c>
      <c r="K908" s="3">
        <v>0</v>
      </c>
      <c r="L908" s="3" t="str">
        <f>IF(K908&lt;-5,"CRÍTICO",IF(K908&lt;0,"ATENÇÃO",IF(K908&lt;=5,"BOM","EXCELENTE")))</f>
        <v>BOM</v>
      </c>
      <c r="M908">
        <v>26</v>
      </c>
      <c r="N908">
        <v>98.73</v>
      </c>
      <c r="O908">
        <v>35.756385068762278</v>
      </c>
    </row>
    <row r="909" spans="1:15" hidden="1" x14ac:dyDescent="0.25">
      <c r="A909" s="11">
        <v>46029</v>
      </c>
      <c r="B909" t="s">
        <v>59</v>
      </c>
      <c r="C909" t="s">
        <v>23</v>
      </c>
      <c r="D909">
        <v>30</v>
      </c>
      <c r="E909">
        <v>25</v>
      </c>
      <c r="F909">
        <v>15.14</v>
      </c>
      <c r="G909">
        <v>0</v>
      </c>
      <c r="H909">
        <v>0</v>
      </c>
      <c r="I909" s="3">
        <f>E909+G909+H909</f>
        <v>25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17</v>
      </c>
      <c r="K909" s="3">
        <f>I909-J909</f>
        <v>8</v>
      </c>
      <c r="L909" s="3" t="str">
        <f>IF(K909&lt;-5,"CRÍTICO",IF(K909&lt;0,"ATENÇÃO",IF(K909&lt;=5,"BOM","EXCELENTE")))</f>
        <v>EXCELENTE</v>
      </c>
      <c r="M909">
        <v>24</v>
      </c>
      <c r="N909">
        <v>98.32</v>
      </c>
      <c r="O909">
        <v>26.763485477178421</v>
      </c>
    </row>
    <row r="910" spans="1:15" hidden="1" x14ac:dyDescent="0.25">
      <c r="A910" s="11">
        <v>46029</v>
      </c>
      <c r="B910" t="s">
        <v>33</v>
      </c>
      <c r="C910" t="s">
        <v>32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 s="3">
        <f>E910+G910+H910</f>
        <v>30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26</v>
      </c>
      <c r="K910" s="3">
        <f>I910-J910</f>
        <v>4</v>
      </c>
      <c r="L910" s="3" t="str">
        <f>IF(K910&lt;-5,"CRÍTICO",IF(K910&lt;0,"ATENÇÃO",IF(K910&lt;=5,"BOM","EXCELENTE")))</f>
        <v>BOM</v>
      </c>
      <c r="M910">
        <v>28</v>
      </c>
      <c r="N910">
        <v>99.19</v>
      </c>
      <c r="O910">
        <v>27.637130801687761</v>
      </c>
    </row>
    <row r="911" spans="1:15" hidden="1" x14ac:dyDescent="0.25">
      <c r="A911" s="11">
        <v>46029</v>
      </c>
      <c r="B911" t="s">
        <v>15</v>
      </c>
      <c r="C911" t="s">
        <v>16</v>
      </c>
      <c r="D911">
        <v>15</v>
      </c>
      <c r="E911">
        <v>14</v>
      </c>
      <c r="F911">
        <v>32.35</v>
      </c>
      <c r="G911">
        <v>0</v>
      </c>
      <c r="H911">
        <v>0</v>
      </c>
      <c r="I911" s="3">
        <f>E911+G911+H911</f>
        <v>14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8</v>
      </c>
      <c r="K911" s="3">
        <f>I911-J911</f>
        <v>6</v>
      </c>
      <c r="L911" s="3" t="str">
        <f>IF(K911&lt;-5,"CRÍTICO",IF(K911&lt;0,"ATENÇÃO",IF(K911&lt;=5,"BOM","EXCELENTE")))</f>
        <v>EXCELENTE</v>
      </c>
      <c r="M911">
        <v>13</v>
      </c>
      <c r="N911">
        <v>100</v>
      </c>
      <c r="O911">
        <v>39.568345323741013</v>
      </c>
    </row>
    <row r="912" spans="1:15" hidden="1" x14ac:dyDescent="0.25">
      <c r="A912" s="11">
        <v>46029</v>
      </c>
      <c r="B912" t="s">
        <v>49</v>
      </c>
      <c r="C912" t="s">
        <v>48</v>
      </c>
      <c r="D912">
        <v>31</v>
      </c>
      <c r="E912">
        <v>28</v>
      </c>
      <c r="F912">
        <v>20.12</v>
      </c>
      <c r="G912">
        <v>0</v>
      </c>
      <c r="H912">
        <v>0</v>
      </c>
      <c r="I912" s="3">
        <f>E912+G912+H912</f>
        <v>28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7</v>
      </c>
      <c r="L912" s="3" t="str">
        <f>IF(K912&lt;-5,"CRÍTICO",IF(K912&lt;0,"ATENÇÃO",IF(K912&lt;=5,"BOM","EXCELENTE")))</f>
        <v>EXCELENTE</v>
      </c>
      <c r="M912">
        <v>26</v>
      </c>
      <c r="N912">
        <v>98.54</v>
      </c>
      <c r="O912">
        <v>28.544776119402989</v>
      </c>
    </row>
    <row r="913" spans="1:15" hidden="1" x14ac:dyDescent="0.25">
      <c r="A913" s="11">
        <v>46029</v>
      </c>
      <c r="B913" t="s">
        <v>50</v>
      </c>
      <c r="C913" t="s">
        <v>48</v>
      </c>
      <c r="D913">
        <v>28</v>
      </c>
      <c r="E913">
        <v>23</v>
      </c>
      <c r="F913">
        <v>19.14</v>
      </c>
      <c r="G913">
        <v>0</v>
      </c>
      <c r="H913">
        <v>0</v>
      </c>
      <c r="I913" s="3">
        <f>E913+G913+H913</f>
        <v>23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21</v>
      </c>
      <c r="K913" s="3">
        <f>I913-J913</f>
        <v>2</v>
      </c>
      <c r="L913" s="3" t="str">
        <f>IF(K913&lt;-5,"CRÍTICO",IF(K913&lt;0,"ATENÇÃO",IF(K913&lt;=5,"BOM","EXCELENTE")))</f>
        <v>BOM</v>
      </c>
      <c r="M913">
        <v>20</v>
      </c>
      <c r="N913">
        <v>100</v>
      </c>
      <c r="O913">
        <v>34.366925064599492</v>
      </c>
    </row>
    <row r="914" spans="1:15" hidden="1" x14ac:dyDescent="0.25">
      <c r="A914" s="11">
        <v>46029</v>
      </c>
      <c r="B914" t="s">
        <v>17</v>
      </c>
      <c r="C914" t="s">
        <v>16</v>
      </c>
      <c r="D914">
        <v>0</v>
      </c>
      <c r="E914">
        <v>0</v>
      </c>
      <c r="F914">
        <v>0</v>
      </c>
      <c r="G914">
        <v>0</v>
      </c>
      <c r="H914">
        <v>0</v>
      </c>
      <c r="I914" s="3">
        <v>0</v>
      </c>
      <c r="J914" s="3">
        <v>0</v>
      </c>
      <c r="K914" s="3">
        <v>0</v>
      </c>
      <c r="L914" s="3" t="str">
        <f>IF(K914&lt;-5,"CRÍTICO",IF(K914&lt;0,"ATENÇÃO",IF(K914&lt;=5,"BOM","EXCELENTE")))</f>
        <v>BOM</v>
      </c>
      <c r="M914">
        <v>0</v>
      </c>
      <c r="N914">
        <v>0</v>
      </c>
      <c r="O914">
        <v>0</v>
      </c>
    </row>
    <row r="915" spans="1:15" hidden="1" x14ac:dyDescent="0.25">
      <c r="A915" s="11">
        <v>46029</v>
      </c>
      <c r="B915" t="s">
        <v>60</v>
      </c>
      <c r="C915" t="s">
        <v>23</v>
      </c>
      <c r="D915">
        <v>17</v>
      </c>
      <c r="E915">
        <v>17</v>
      </c>
      <c r="F915">
        <v>30.57</v>
      </c>
      <c r="G915">
        <v>0</v>
      </c>
      <c r="H915">
        <v>0</v>
      </c>
      <c r="I915" s="3">
        <f>E915+G915+H915</f>
        <v>17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17</v>
      </c>
      <c r="K915" s="3">
        <f>I915-J915</f>
        <v>0</v>
      </c>
      <c r="L915" s="3" t="str">
        <f>IF(K915&lt;-5,"CRÍTICO",IF(K915&lt;0,"ATENÇÃO",IF(K915&lt;=5,"BOM","EXCELENTE")))</f>
        <v>BOM</v>
      </c>
      <c r="M915">
        <v>14</v>
      </c>
      <c r="N915">
        <v>100</v>
      </c>
      <c r="O915">
        <v>29.518072289156631</v>
      </c>
    </row>
    <row r="916" spans="1:15" hidden="1" x14ac:dyDescent="0.25">
      <c r="A916" s="11">
        <v>46029</v>
      </c>
      <c r="B916" t="s">
        <v>34</v>
      </c>
      <c r="C916" t="s">
        <v>32</v>
      </c>
      <c r="D916">
        <v>55</v>
      </c>
      <c r="E916">
        <v>45</v>
      </c>
      <c r="F916">
        <v>9.11</v>
      </c>
      <c r="G916">
        <v>0</v>
      </c>
      <c r="H916">
        <v>0</v>
      </c>
      <c r="I916" s="3">
        <f>E916+G916+H916</f>
        <v>45</v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>26</v>
      </c>
      <c r="K916" s="3">
        <f>I916-J916</f>
        <v>19</v>
      </c>
      <c r="L916" s="3" t="str">
        <f>IF(K916&lt;-5,"CRÍTICO",IF(K916&lt;0,"ATENÇÃO",IF(K916&lt;=5,"BOM","EXCELENTE")))</f>
        <v>EXCELENTE</v>
      </c>
      <c r="M916">
        <v>42</v>
      </c>
      <c r="N916">
        <v>97.45</v>
      </c>
      <c r="O916">
        <v>41.421143847487002</v>
      </c>
    </row>
    <row r="917" spans="1:15" hidden="1" x14ac:dyDescent="0.25">
      <c r="A917" s="11">
        <v>46029</v>
      </c>
      <c r="B917" t="s">
        <v>51</v>
      </c>
      <c r="C917" t="s">
        <v>48</v>
      </c>
      <c r="D917">
        <v>37</v>
      </c>
      <c r="E917">
        <v>33</v>
      </c>
      <c r="F917">
        <v>15.37</v>
      </c>
      <c r="G917">
        <v>0</v>
      </c>
      <c r="H917">
        <v>0</v>
      </c>
      <c r="I917" s="3">
        <v>0</v>
      </c>
      <c r="J917" s="3">
        <v>0</v>
      </c>
      <c r="K917" s="3">
        <v>0</v>
      </c>
      <c r="L917" s="3" t="str">
        <f>IF(K917&lt;-5,"CRÍTICO",IF(K917&lt;0,"ATENÇÃO",IF(K917&lt;=5,"BOM","EXCELENTE")))</f>
        <v>BOM</v>
      </c>
      <c r="M917">
        <v>26</v>
      </c>
      <c r="N917">
        <v>96.58</v>
      </c>
      <c r="O917">
        <v>30.396475770925111</v>
      </c>
    </row>
    <row r="918" spans="1:15" hidden="1" x14ac:dyDescent="0.25">
      <c r="A918" s="11">
        <v>46029</v>
      </c>
      <c r="B918" t="s">
        <v>61</v>
      </c>
      <c r="C918" t="s">
        <v>23</v>
      </c>
      <c r="D918">
        <v>27</v>
      </c>
      <c r="E918">
        <v>27</v>
      </c>
      <c r="F918">
        <v>21.4</v>
      </c>
      <c r="G918">
        <v>0</v>
      </c>
      <c r="H918">
        <v>0</v>
      </c>
      <c r="I918" s="3">
        <f>E918+G918+H918</f>
        <v>27</v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17</v>
      </c>
      <c r="K918" s="3">
        <f>I918-J918</f>
        <v>10</v>
      </c>
      <c r="L918" s="3" t="str">
        <f>IF(K918&lt;-5,"CRÍTICO",IF(K918&lt;0,"ATENÇÃO",IF(K918&lt;=5,"BOM","EXCELENTE")))</f>
        <v>EXCELENTE</v>
      </c>
      <c r="M918">
        <v>25</v>
      </c>
      <c r="N918">
        <v>100</v>
      </c>
      <c r="O918">
        <v>27.44282744282744</v>
      </c>
    </row>
    <row r="919" spans="1:15" hidden="1" x14ac:dyDescent="0.25">
      <c r="A919" s="11">
        <v>46029</v>
      </c>
      <c r="B919" t="s">
        <v>35</v>
      </c>
      <c r="C919" t="s">
        <v>32</v>
      </c>
      <c r="D919">
        <v>34</v>
      </c>
      <c r="E919">
        <v>33</v>
      </c>
      <c r="F919">
        <v>21.41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>
        <v>33</v>
      </c>
      <c r="N919">
        <v>99.49</v>
      </c>
      <c r="O919">
        <v>40.200000000000003</v>
      </c>
    </row>
    <row r="920" spans="1:15" hidden="1" x14ac:dyDescent="0.25">
      <c r="A920" s="11">
        <v>46029</v>
      </c>
      <c r="B920" t="s">
        <v>18</v>
      </c>
      <c r="C920" t="s">
        <v>16</v>
      </c>
      <c r="D920">
        <v>0</v>
      </c>
      <c r="E920">
        <v>0</v>
      </c>
      <c r="F920">
        <v>0</v>
      </c>
      <c r="G920">
        <v>0</v>
      </c>
      <c r="H920">
        <v>0</v>
      </c>
      <c r="I920" s="3">
        <v>0</v>
      </c>
      <c r="J920" s="3">
        <v>0</v>
      </c>
      <c r="K920" s="3">
        <v>0</v>
      </c>
      <c r="L920" s="3" t="str">
        <f>IF(K920&lt;-5,"CRÍTICO",IF(K920&lt;0,"ATENÇÃO",IF(K920&lt;=5,"BOM","EXCELENTE")))</f>
        <v>BOM</v>
      </c>
      <c r="M920">
        <v>0</v>
      </c>
      <c r="N920">
        <v>100</v>
      </c>
      <c r="O920">
        <v>25</v>
      </c>
    </row>
    <row r="921" spans="1:15" hidden="1" x14ac:dyDescent="0.25">
      <c r="A921" s="11">
        <v>46029</v>
      </c>
      <c r="B921" t="s">
        <v>52</v>
      </c>
      <c r="C921" t="s">
        <v>48</v>
      </c>
      <c r="D921">
        <v>34</v>
      </c>
      <c r="E921">
        <v>33</v>
      </c>
      <c r="F921">
        <v>16.43</v>
      </c>
      <c r="G921">
        <v>0</v>
      </c>
      <c r="H921">
        <v>0</v>
      </c>
      <c r="I921" s="3">
        <f>E921+G921+H921</f>
        <v>33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21</v>
      </c>
      <c r="K921" s="3">
        <f>I921-J921</f>
        <v>12</v>
      </c>
      <c r="L921" s="3" t="str">
        <f>IF(K921&lt;-5,"CRÍTICO",IF(K921&lt;0,"ATENÇÃO",IF(K921&lt;=5,"BOM","EXCELENTE")))</f>
        <v>EXCELENTE</v>
      </c>
      <c r="M921">
        <v>27</v>
      </c>
      <c r="N921">
        <v>100</v>
      </c>
      <c r="O921">
        <v>34.15094339622641</v>
      </c>
    </row>
    <row r="922" spans="1:15" hidden="1" x14ac:dyDescent="0.25">
      <c r="A922" s="11">
        <v>46029</v>
      </c>
      <c r="B922" t="s">
        <v>36</v>
      </c>
      <c r="C922" t="s">
        <v>32</v>
      </c>
      <c r="D922">
        <v>34</v>
      </c>
      <c r="E922">
        <v>31</v>
      </c>
      <c r="F922">
        <v>12.38</v>
      </c>
      <c r="G922">
        <v>0</v>
      </c>
      <c r="H922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26</v>
      </c>
      <c r="K922" s="3">
        <f>I922-J922</f>
        <v>5</v>
      </c>
      <c r="L922" s="3" t="str">
        <f>IF(K922&lt;-5,"CRÍTICO",IF(K922&lt;0,"ATENÇÃO",IF(K922&lt;=5,"BOM","EXCELENTE")))</f>
        <v>BOM</v>
      </c>
      <c r="M922">
        <v>32</v>
      </c>
      <c r="N922">
        <v>100</v>
      </c>
      <c r="O922">
        <v>32.731376975169297</v>
      </c>
    </row>
    <row r="923" spans="1:15" hidden="1" x14ac:dyDescent="0.25">
      <c r="A923" s="11">
        <v>46029</v>
      </c>
      <c r="B923" t="s">
        <v>53</v>
      </c>
      <c r="C923" t="s">
        <v>48</v>
      </c>
      <c r="D923">
        <v>33</v>
      </c>
      <c r="E923">
        <v>31</v>
      </c>
      <c r="F923">
        <v>25.16</v>
      </c>
      <c r="G923">
        <v>0</v>
      </c>
      <c r="H923">
        <v>0</v>
      </c>
      <c r="I923" s="3">
        <f>E923+G923+H923</f>
        <v>31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21</v>
      </c>
      <c r="K923" s="3">
        <f>I923-J923</f>
        <v>10</v>
      </c>
      <c r="L923" s="3" t="str">
        <f>IF(K923&lt;-5,"CRÍTICO",IF(K923&lt;0,"ATENÇÃO",IF(K923&lt;=5,"BOM","EXCELENTE")))</f>
        <v>EXCELENTE</v>
      </c>
      <c r="M923">
        <v>29</v>
      </c>
      <c r="N923">
        <v>99.31</v>
      </c>
      <c r="O923">
        <v>30.96234309623431</v>
      </c>
    </row>
    <row r="924" spans="1:15" hidden="1" x14ac:dyDescent="0.25">
      <c r="A924" s="11">
        <v>46063</v>
      </c>
      <c r="B924" t="s">
        <v>22</v>
      </c>
      <c r="C924" t="s">
        <v>23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>E924+G924+H924</f>
        <v>6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20</v>
      </c>
      <c r="K924" s="3">
        <f>I924-J924</f>
        <v>-14</v>
      </c>
      <c r="L924" s="3" t="str">
        <f>IF(K924&lt;-5,"CRÍTICO",IF(K924&lt;0,"ATENÇÃO",IF(K924&lt;=5,"BOM","EXCELENTE")))</f>
        <v>CRÍTICO</v>
      </c>
      <c r="M924">
        <v>28</v>
      </c>
      <c r="N924">
        <v>96.67</v>
      </c>
      <c r="O924">
        <v>31.451612903225811</v>
      </c>
    </row>
    <row r="925" spans="1:15" hidden="1" x14ac:dyDescent="0.25">
      <c r="A925" s="11">
        <v>46029</v>
      </c>
      <c r="B925" t="s">
        <v>54</v>
      </c>
      <c r="C925" t="s">
        <v>48</v>
      </c>
      <c r="D925">
        <v>28</v>
      </c>
      <c r="E925">
        <v>25</v>
      </c>
      <c r="F925">
        <v>15.12</v>
      </c>
      <c r="G925">
        <v>0</v>
      </c>
      <c r="H925">
        <v>0</v>
      </c>
      <c r="I925" s="3">
        <f>E925+G925+H925</f>
        <v>25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21</v>
      </c>
      <c r="K925" s="3">
        <f>I925-J925</f>
        <v>4</v>
      </c>
      <c r="L925" s="3" t="str">
        <f>IF(K925&lt;-5,"CRÍTICO",IF(K925&lt;0,"ATENÇÃO",IF(K925&lt;=5,"BOM","EXCELENTE")))</f>
        <v>BOM</v>
      </c>
      <c r="M925">
        <v>27</v>
      </c>
      <c r="N925">
        <v>100</v>
      </c>
      <c r="O925">
        <v>27.676767676767678</v>
      </c>
    </row>
    <row r="926" spans="1:15" hidden="1" x14ac:dyDescent="0.25">
      <c r="A926" s="11">
        <v>46029</v>
      </c>
      <c r="B926" t="s">
        <v>37</v>
      </c>
      <c r="C926" t="s">
        <v>32</v>
      </c>
      <c r="D926">
        <v>59</v>
      </c>
      <c r="E926">
        <v>53</v>
      </c>
      <c r="F926">
        <v>10.35</v>
      </c>
      <c r="G926">
        <v>0</v>
      </c>
      <c r="H926">
        <v>0</v>
      </c>
      <c r="I926" s="3">
        <f>E926+G926+H926</f>
        <v>53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27</v>
      </c>
      <c r="L926" s="3" t="str">
        <f>IF(K926&lt;-5,"CRÍTICO",IF(K926&lt;0,"ATENÇÃO",IF(K926&lt;=5,"BOM","EXCELENTE")))</f>
        <v>EXCELENTE</v>
      </c>
      <c r="M926">
        <v>51</v>
      </c>
      <c r="N926">
        <v>100</v>
      </c>
      <c r="O926">
        <v>31.17723156532988</v>
      </c>
    </row>
    <row r="927" spans="1:15" hidden="1" x14ac:dyDescent="0.25">
      <c r="A927" s="11">
        <v>46029</v>
      </c>
      <c r="B927" t="s">
        <v>38</v>
      </c>
      <c r="C927" t="s">
        <v>32</v>
      </c>
      <c r="D927">
        <v>30</v>
      </c>
      <c r="E927">
        <v>27</v>
      </c>
      <c r="F927">
        <v>12.23</v>
      </c>
      <c r="G927">
        <v>0</v>
      </c>
      <c r="H927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26</v>
      </c>
      <c r="K927" s="3">
        <f>I927-J927</f>
        <v>1</v>
      </c>
      <c r="L927" s="3" t="str">
        <f>IF(K927&lt;-5,"CRÍTICO",IF(K927&lt;0,"ATENÇÃO",IF(K927&lt;=5,"BOM","EXCELENTE")))</f>
        <v>BOM</v>
      </c>
      <c r="M927">
        <v>24</v>
      </c>
      <c r="N927">
        <v>100</v>
      </c>
      <c r="O927">
        <v>27.609427609427609</v>
      </c>
    </row>
    <row r="928" spans="1:15" hidden="1" x14ac:dyDescent="0.25">
      <c r="A928" s="11">
        <v>46029</v>
      </c>
      <c r="B928" t="s">
        <v>55</v>
      </c>
      <c r="C928" t="s">
        <v>48</v>
      </c>
      <c r="D928">
        <v>33</v>
      </c>
      <c r="E928">
        <v>27</v>
      </c>
      <c r="F928">
        <v>11.54</v>
      </c>
      <c r="G928">
        <v>0</v>
      </c>
      <c r="H928">
        <v>0</v>
      </c>
      <c r="I928" s="3">
        <f>E928+G928+H928</f>
        <v>27</v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>21</v>
      </c>
      <c r="K928" s="3">
        <f>I928-J928</f>
        <v>6</v>
      </c>
      <c r="L928" s="3" t="str">
        <f>IF(K928&lt;-5,"CRÍTICO",IF(K928&lt;0,"ATENÇÃO",IF(K928&lt;=5,"BOM","EXCELENTE")))</f>
        <v>EXCELENTE</v>
      </c>
      <c r="M928">
        <v>26</v>
      </c>
      <c r="N928">
        <v>96.4</v>
      </c>
      <c r="O928">
        <v>28.764044943820231</v>
      </c>
    </row>
    <row r="929" spans="1:15" hidden="1" x14ac:dyDescent="0.25">
      <c r="A929" s="11">
        <v>46029</v>
      </c>
      <c r="B929" t="s">
        <v>39</v>
      </c>
      <c r="C929" t="s">
        <v>32</v>
      </c>
      <c r="D929">
        <v>0</v>
      </c>
      <c r="E929">
        <v>0</v>
      </c>
      <c r="F929">
        <v>0</v>
      </c>
      <c r="G929">
        <v>0</v>
      </c>
      <c r="H929">
        <v>0</v>
      </c>
      <c r="I929" s="3">
        <v>0</v>
      </c>
      <c r="J929" s="3">
        <v>0</v>
      </c>
      <c r="K929" s="3">
        <v>0</v>
      </c>
      <c r="L929" s="3" t="str">
        <f>IF(K929&lt;-5,"CRÍTICO",IF(K929&lt;0,"ATENÇÃO",IF(K929&lt;=5,"BOM","EXCELENTE")))</f>
        <v>BOM</v>
      </c>
      <c r="M929">
        <v>28</v>
      </c>
      <c r="N929">
        <v>100</v>
      </c>
      <c r="O929">
        <v>33.980582524271853</v>
      </c>
    </row>
    <row r="930" spans="1:15" hidden="1" x14ac:dyDescent="0.25">
      <c r="A930" s="11">
        <v>46029</v>
      </c>
      <c r="B930" t="s">
        <v>25</v>
      </c>
      <c r="C930" t="s">
        <v>26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 s="3">
        <f>E930+G930+H930</f>
        <v>8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15</v>
      </c>
      <c r="K930" s="3">
        <f>I930-J930</f>
        <v>-7</v>
      </c>
      <c r="L930" s="3" t="str">
        <f>IF(K930&lt;-5,"CRÍTICO",IF(K930&lt;0,"ATENÇÃO",IF(K930&lt;=5,"BOM","EXCELENTE")))</f>
        <v>CRÍTICO</v>
      </c>
      <c r="M930">
        <v>7</v>
      </c>
      <c r="N930">
        <v>97.56</v>
      </c>
      <c r="O930">
        <v>32.515337423312893</v>
      </c>
    </row>
    <row r="931" spans="1:15" hidden="1" x14ac:dyDescent="0.25">
      <c r="A931" s="11">
        <v>46029</v>
      </c>
      <c r="B931" t="s">
        <v>40</v>
      </c>
      <c r="C931" t="s">
        <v>32</v>
      </c>
      <c r="D931">
        <v>15</v>
      </c>
      <c r="E931">
        <v>15</v>
      </c>
      <c r="F931">
        <v>34.14</v>
      </c>
      <c r="G931">
        <v>0</v>
      </c>
      <c r="H931">
        <v>0</v>
      </c>
      <c r="I931" s="3">
        <f>E931+G931+H931</f>
        <v>15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26</v>
      </c>
      <c r="K931" s="3">
        <f>I931-J931</f>
        <v>-11</v>
      </c>
      <c r="L931" s="3" t="str">
        <f>IF(K931&lt;-5,"CRÍTICO",IF(K931&lt;0,"ATENÇÃO",IF(K931&lt;=5,"BOM","EXCELENTE")))</f>
        <v>CRÍTICO</v>
      </c>
      <c r="M931">
        <v>15</v>
      </c>
      <c r="N931">
        <v>97.11</v>
      </c>
      <c r="O931">
        <v>37.408312958435211</v>
      </c>
    </row>
    <row r="932" spans="1:15" hidden="1" x14ac:dyDescent="0.25">
      <c r="A932" s="11">
        <v>46029</v>
      </c>
      <c r="B932" t="s">
        <v>27</v>
      </c>
      <c r="C932" t="s">
        <v>26</v>
      </c>
      <c r="D932">
        <v>0</v>
      </c>
      <c r="E932">
        <v>0</v>
      </c>
      <c r="F932">
        <v>0</v>
      </c>
      <c r="G932">
        <v>0</v>
      </c>
      <c r="H932">
        <v>0</v>
      </c>
      <c r="I932" s="3">
        <v>0</v>
      </c>
      <c r="J932" s="3">
        <v>0</v>
      </c>
      <c r="K932" s="3">
        <v>0</v>
      </c>
      <c r="L932" s="3" t="str">
        <f>IF(K932&lt;-5,"CRÍTICO",IF(K932&lt;0,"ATENÇÃO",IF(K932&lt;=5,"BOM","EXCELENTE")))</f>
        <v>BOM</v>
      </c>
      <c r="M932">
        <v>0</v>
      </c>
      <c r="N932">
        <v>0</v>
      </c>
      <c r="O932">
        <v>0</v>
      </c>
    </row>
    <row r="933" spans="1:15" hidden="1" x14ac:dyDescent="0.25">
      <c r="A933" s="11">
        <v>46029</v>
      </c>
      <c r="B933" t="s">
        <v>41</v>
      </c>
      <c r="C933" t="s">
        <v>32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 s="3">
        <f>E933+G933+H933</f>
        <v>30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26</v>
      </c>
      <c r="K933" s="3">
        <f>I933-J933</f>
        <v>4</v>
      </c>
      <c r="L933" s="3" t="str">
        <f>IF(K933&lt;-5,"CRÍTICO",IF(K933&lt;0,"ATENÇÃO",IF(K933&lt;=5,"BOM","EXCELENTE")))</f>
        <v>BOM</v>
      </c>
      <c r="M933">
        <v>33</v>
      </c>
      <c r="N933">
        <v>100</v>
      </c>
      <c r="O933">
        <v>30.470347648261761</v>
      </c>
    </row>
    <row r="934" spans="1:15" hidden="1" x14ac:dyDescent="0.25">
      <c r="A934" s="11">
        <v>46029</v>
      </c>
      <c r="B934" t="s">
        <v>56</v>
      </c>
      <c r="C934" t="s">
        <v>48</v>
      </c>
      <c r="D934">
        <v>29</v>
      </c>
      <c r="E934">
        <v>26</v>
      </c>
      <c r="F934">
        <v>20.34</v>
      </c>
      <c r="G934">
        <v>0</v>
      </c>
      <c r="H934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21</v>
      </c>
      <c r="K934" s="3">
        <f>I934-J934</f>
        <v>5</v>
      </c>
      <c r="L934" s="3" t="str">
        <f>IF(K934&lt;-5,"CRÍTICO",IF(K934&lt;0,"ATENÇÃO",IF(K934&lt;=5,"BOM","EXCELENTE")))</f>
        <v>BOM</v>
      </c>
      <c r="M934">
        <v>23</v>
      </c>
      <c r="N934">
        <v>100</v>
      </c>
      <c r="O934">
        <v>32.371134020618562</v>
      </c>
    </row>
    <row r="935" spans="1:15" hidden="1" x14ac:dyDescent="0.25">
      <c r="A935" s="11">
        <v>46029</v>
      </c>
      <c r="B935" t="s">
        <v>57</v>
      </c>
      <c r="C935" t="s">
        <v>48</v>
      </c>
      <c r="D935">
        <v>21</v>
      </c>
      <c r="E935">
        <v>21</v>
      </c>
      <c r="F935">
        <v>20.100000000000001</v>
      </c>
      <c r="G935">
        <v>0</v>
      </c>
      <c r="H935">
        <v>0</v>
      </c>
      <c r="I935" s="3">
        <v>0</v>
      </c>
      <c r="J935" s="3">
        <v>0</v>
      </c>
      <c r="K935" s="3">
        <v>0</v>
      </c>
      <c r="L935" s="3" t="str">
        <f>IF(K935&lt;-5,"CRÍTICO",IF(K935&lt;0,"ATENÇÃO",IF(K935&lt;=5,"BOM","EXCELENTE")))</f>
        <v>BOM</v>
      </c>
      <c r="M935">
        <v>18</v>
      </c>
      <c r="N935">
        <v>98.32</v>
      </c>
      <c r="O935">
        <v>32.318501170960189</v>
      </c>
    </row>
    <row r="936" spans="1:15" hidden="1" x14ac:dyDescent="0.25">
      <c r="A936" s="11">
        <v>46029</v>
      </c>
      <c r="B936" t="s">
        <v>42</v>
      </c>
      <c r="C936" t="s">
        <v>32</v>
      </c>
      <c r="D936">
        <v>48</v>
      </c>
      <c r="E936">
        <v>43</v>
      </c>
      <c r="F936">
        <v>17.34</v>
      </c>
      <c r="G936">
        <v>0</v>
      </c>
      <c r="H936">
        <v>0</v>
      </c>
      <c r="I936" s="3">
        <f>E936+G936+H936</f>
        <v>43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26</v>
      </c>
      <c r="K936" s="3">
        <f>I936-J936</f>
        <v>17</v>
      </c>
      <c r="L936" s="3" t="str">
        <f>IF(K936&lt;-5,"CRÍTICO",IF(K936&lt;0,"ATENÇÃO",IF(K936&lt;=5,"BOM","EXCELENTE")))</f>
        <v>EXCELENTE</v>
      </c>
      <c r="M936">
        <v>39</v>
      </c>
      <c r="N936">
        <v>96.43</v>
      </c>
      <c r="O936">
        <v>27.015250544662312</v>
      </c>
    </row>
    <row r="937" spans="1:15" hidden="1" x14ac:dyDescent="0.25">
      <c r="A937" s="11">
        <v>46029</v>
      </c>
      <c r="B937" t="s">
        <v>62</v>
      </c>
      <c r="C937" t="s">
        <v>23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 s="3">
        <f>E937+G937+H937</f>
        <v>26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17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>
        <v>22</v>
      </c>
      <c r="N937">
        <v>98.89</v>
      </c>
      <c r="O937">
        <v>28.021978021978018</v>
      </c>
    </row>
    <row r="938" spans="1:15" hidden="1" x14ac:dyDescent="0.25">
      <c r="A938" s="11">
        <v>46029</v>
      </c>
      <c r="B938" t="s">
        <v>19</v>
      </c>
      <c r="C938" t="s">
        <v>16</v>
      </c>
      <c r="D938">
        <v>18</v>
      </c>
      <c r="E938">
        <v>17</v>
      </c>
      <c r="F938">
        <v>37.01</v>
      </c>
      <c r="G938">
        <v>0</v>
      </c>
      <c r="H938">
        <v>0</v>
      </c>
      <c r="I938" s="3">
        <f>E938+G938+H938</f>
        <v>17</v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>8</v>
      </c>
      <c r="K938" s="3">
        <f>I938-J938</f>
        <v>9</v>
      </c>
      <c r="L938" s="3" t="str">
        <f>IF(K938&lt;-5,"CRÍTICO",IF(K938&lt;0,"ATENÇÃO",IF(K938&lt;=5,"BOM","EXCELENTE")))</f>
        <v>EXCELENTE</v>
      </c>
      <c r="M938">
        <v>14</v>
      </c>
      <c r="N938">
        <v>100</v>
      </c>
      <c r="O938">
        <v>33.333333333333329</v>
      </c>
    </row>
    <row r="939" spans="1:15" hidden="1" x14ac:dyDescent="0.25">
      <c r="A939" s="11">
        <v>46029</v>
      </c>
      <c r="B939" t="s">
        <v>43</v>
      </c>
      <c r="C939" t="s">
        <v>32</v>
      </c>
      <c r="D939">
        <v>0</v>
      </c>
      <c r="E939">
        <v>0</v>
      </c>
      <c r="F939">
        <v>0</v>
      </c>
      <c r="G939">
        <v>0</v>
      </c>
      <c r="H939">
        <v>0</v>
      </c>
      <c r="I939" s="3">
        <v>0</v>
      </c>
      <c r="J939" s="3">
        <v>0</v>
      </c>
      <c r="K939" s="3">
        <v>0</v>
      </c>
      <c r="L939" s="3" t="str">
        <f>IF(K939&lt;-5,"CRÍTICO",IF(K939&lt;0,"ATENÇÃO",IF(K939&lt;=5,"BOM","EXCELENTE")))</f>
        <v>BOM</v>
      </c>
      <c r="M939">
        <v>0</v>
      </c>
      <c r="N939">
        <v>100</v>
      </c>
      <c r="O939">
        <v>27.43362831858407</v>
      </c>
    </row>
    <row r="940" spans="1:15" hidden="1" x14ac:dyDescent="0.25">
      <c r="A940" s="11">
        <v>46029</v>
      </c>
      <c r="B940" t="s">
        <v>44</v>
      </c>
      <c r="C940" t="s">
        <v>32</v>
      </c>
      <c r="D940">
        <v>32</v>
      </c>
      <c r="E940">
        <v>30</v>
      </c>
      <c r="F940">
        <v>20.05</v>
      </c>
      <c r="G940">
        <v>0</v>
      </c>
      <c r="H940">
        <v>0</v>
      </c>
      <c r="I940" s="3">
        <f>E940+G940+H940</f>
        <v>30</v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>26</v>
      </c>
      <c r="K940" s="3">
        <f>I940-J940</f>
        <v>4</v>
      </c>
      <c r="L940" s="3" t="str">
        <f>IF(K940&lt;-5,"CRÍTICO",IF(K940&lt;0,"ATENÇÃO",IF(K940&lt;=5,"BOM","EXCELENTE")))</f>
        <v>BOM</v>
      </c>
      <c r="M940">
        <v>27</v>
      </c>
      <c r="N940">
        <v>98.65</v>
      </c>
      <c r="O940">
        <v>30.978260869565219</v>
      </c>
    </row>
    <row r="941" spans="1:15" hidden="1" x14ac:dyDescent="0.25">
      <c r="A941" s="11">
        <v>46029</v>
      </c>
      <c r="B941" t="s">
        <v>20</v>
      </c>
      <c r="C941" t="s">
        <v>16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>
        <v>0</v>
      </c>
      <c r="N941">
        <v>100</v>
      </c>
      <c r="O941">
        <v>12</v>
      </c>
    </row>
    <row r="942" spans="1:15" hidden="1" x14ac:dyDescent="0.25">
      <c r="A942" s="11">
        <v>46029</v>
      </c>
      <c r="B942" t="s">
        <v>28</v>
      </c>
      <c r="C942" t="s">
        <v>26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>
        <v>0</v>
      </c>
      <c r="N942">
        <v>0</v>
      </c>
      <c r="O942">
        <v>0</v>
      </c>
    </row>
    <row r="943" spans="1:15" hidden="1" x14ac:dyDescent="0.25">
      <c r="A943" s="11">
        <v>46029</v>
      </c>
      <c r="B943" t="s">
        <v>58</v>
      </c>
      <c r="C943" t="s">
        <v>48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>
        <v>0</v>
      </c>
      <c r="N943">
        <v>97.56</v>
      </c>
      <c r="O943">
        <v>31.067961165048541</v>
      </c>
    </row>
    <row r="944" spans="1:15" hidden="1" x14ac:dyDescent="0.25">
      <c r="A944" s="11">
        <v>46029</v>
      </c>
      <c r="B944" t="s">
        <v>29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30</v>
      </c>
      <c r="C945" t="s">
        <v>26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21</v>
      </c>
      <c r="C946" t="s">
        <v>16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>
        <v>0</v>
      </c>
      <c r="N946">
        <v>0</v>
      </c>
      <c r="O946">
        <v>0</v>
      </c>
    </row>
    <row r="947" spans="1:15" hidden="1" x14ac:dyDescent="0.25">
      <c r="A947" s="11">
        <v>46029</v>
      </c>
      <c r="B947" t="s">
        <v>63</v>
      </c>
      <c r="C947" t="s">
        <v>23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>
        <v>0</v>
      </c>
      <c r="N947">
        <v>100</v>
      </c>
      <c r="O947">
        <v>53.846153846153847</v>
      </c>
    </row>
    <row r="948" spans="1:15" hidden="1" x14ac:dyDescent="0.25">
      <c r="A948" s="11">
        <v>46029</v>
      </c>
      <c r="B948" t="s">
        <v>45</v>
      </c>
      <c r="C948" t="s">
        <v>32</v>
      </c>
      <c r="D948">
        <v>0</v>
      </c>
      <c r="E948">
        <v>0</v>
      </c>
      <c r="F948">
        <v>0</v>
      </c>
      <c r="G948">
        <v>0</v>
      </c>
      <c r="H948">
        <v>0</v>
      </c>
      <c r="I948" s="3">
        <v>0</v>
      </c>
      <c r="J948" s="3">
        <v>0</v>
      </c>
      <c r="K948" s="3">
        <v>0</v>
      </c>
      <c r="L948" s="3" t="str">
        <f>IF(K948&lt;-5,"CRÍTICO",IF(K948&lt;0,"ATENÇÃO",IF(K948&lt;=5,"BOM","EXCELENTE")))</f>
        <v>BOM</v>
      </c>
      <c r="M948">
        <v>0</v>
      </c>
      <c r="N948">
        <v>100</v>
      </c>
      <c r="O948">
        <v>44.05594405594406</v>
      </c>
    </row>
    <row r="949" spans="1:15" hidden="1" x14ac:dyDescent="0.25">
      <c r="A949" s="11">
        <v>46029</v>
      </c>
      <c r="B949" t="s">
        <v>64</v>
      </c>
      <c r="C949" t="s">
        <v>23</v>
      </c>
      <c r="D949">
        <v>18</v>
      </c>
      <c r="E949">
        <v>17</v>
      </c>
      <c r="F949">
        <v>30.15</v>
      </c>
      <c r="G949">
        <v>0</v>
      </c>
      <c r="H949">
        <v>0</v>
      </c>
      <c r="I949" s="3">
        <f>E949+G949+H949</f>
        <v>17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17</v>
      </c>
      <c r="K949" s="3">
        <f>I949-J949</f>
        <v>0</v>
      </c>
      <c r="L949" s="3" t="str">
        <f>IF(K949&lt;-5,"CRÍTICO",IF(K949&lt;0,"ATENÇÃO",IF(K949&lt;=5,"BOM","EXCELENTE")))</f>
        <v>BOM</v>
      </c>
      <c r="M949">
        <v>16</v>
      </c>
      <c r="N949">
        <v>100</v>
      </c>
      <c r="O949">
        <v>31.872509960159359</v>
      </c>
    </row>
    <row r="950" spans="1:15" hidden="1" x14ac:dyDescent="0.25">
      <c r="A950" s="11">
        <v>46029</v>
      </c>
      <c r="B950" t="s">
        <v>46</v>
      </c>
      <c r="C950" t="s">
        <v>32</v>
      </c>
      <c r="D950">
        <v>30</v>
      </c>
      <c r="E950">
        <v>26</v>
      </c>
      <c r="F950">
        <v>18.53</v>
      </c>
      <c r="G950">
        <v>0</v>
      </c>
      <c r="H950">
        <v>0</v>
      </c>
      <c r="I950" s="3">
        <f>E950+G950+H950</f>
        <v>26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26</v>
      </c>
      <c r="K950" s="3">
        <f>I950-J950</f>
        <v>0</v>
      </c>
      <c r="L950" s="3" t="str">
        <f>IF(K950&lt;-5,"CRÍTICO",IF(K950&lt;0,"ATENÇÃO",IF(K950&lt;=5,"BOM","EXCELENTE")))</f>
        <v>BOM</v>
      </c>
      <c r="M950">
        <v>23</v>
      </c>
      <c r="N950">
        <v>98.41</v>
      </c>
      <c r="O950">
        <v>29.22465208747515</v>
      </c>
    </row>
    <row r="951" spans="1:15" hidden="1" x14ac:dyDescent="0.25">
      <c r="A951" s="11">
        <v>46030</v>
      </c>
      <c r="B951" t="s">
        <v>47</v>
      </c>
      <c r="C951" t="s">
        <v>48</v>
      </c>
      <c r="D951">
        <v>33</v>
      </c>
      <c r="E951">
        <v>27</v>
      </c>
      <c r="F951">
        <v>9.06</v>
      </c>
      <c r="G951">
        <v>0</v>
      </c>
      <c r="H951">
        <v>0</v>
      </c>
      <c r="I951" s="3">
        <f>E951+G951+H951</f>
        <v>27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19</v>
      </c>
      <c r="K951" s="3">
        <f>I951-J951</f>
        <v>8</v>
      </c>
      <c r="L951" s="3" t="str">
        <f>IF(K951&lt;-5,"CRÍTICO",IF(K951&lt;0,"ATENÇÃO",IF(K951&lt;=5,"BOM","EXCELENTE")))</f>
        <v>EXCELENTE</v>
      </c>
      <c r="M951">
        <v>21</v>
      </c>
      <c r="N951">
        <v>96.81</v>
      </c>
      <c r="O951">
        <v>27.980535279805348</v>
      </c>
    </row>
    <row r="952" spans="1:15" hidden="1" x14ac:dyDescent="0.25">
      <c r="A952" s="11">
        <v>46030</v>
      </c>
      <c r="B952" t="s">
        <v>31</v>
      </c>
      <c r="C952" t="s">
        <v>32</v>
      </c>
      <c r="D952">
        <v>0</v>
      </c>
      <c r="E952">
        <v>0</v>
      </c>
      <c r="F952">
        <v>0</v>
      </c>
      <c r="G952">
        <v>0</v>
      </c>
      <c r="H952">
        <v>0</v>
      </c>
      <c r="I952" s="3">
        <v>0</v>
      </c>
      <c r="J952" s="3">
        <v>0</v>
      </c>
      <c r="K952" s="3">
        <v>0</v>
      </c>
      <c r="L952" s="3" t="str">
        <f>IF(K952&lt;-5,"CRÍTICO",IF(K952&lt;0,"ATENÇÃO",IF(K952&lt;=5,"BOM","EXCELENTE")))</f>
        <v>BOM</v>
      </c>
      <c r="M952">
        <v>23</v>
      </c>
      <c r="N952">
        <v>98.73</v>
      </c>
      <c r="O952">
        <v>35.756385068762278</v>
      </c>
    </row>
    <row r="953" spans="1:15" hidden="1" x14ac:dyDescent="0.25">
      <c r="A953" s="11">
        <v>46030</v>
      </c>
      <c r="B953" t="s">
        <v>59</v>
      </c>
      <c r="C953" t="s">
        <v>23</v>
      </c>
      <c r="D953">
        <v>21</v>
      </c>
      <c r="E953">
        <v>17</v>
      </c>
      <c r="F953">
        <v>22.09</v>
      </c>
      <c r="G953">
        <v>0</v>
      </c>
      <c r="H953">
        <v>0</v>
      </c>
      <c r="I953" s="3">
        <f>E953+G953+H953</f>
        <v>17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16</v>
      </c>
      <c r="K953" s="3">
        <f>I953-J953</f>
        <v>1</v>
      </c>
      <c r="L953" s="3" t="str">
        <f>IF(K953&lt;-5,"CRÍTICO",IF(K953&lt;0,"ATENÇÃO",IF(K953&lt;=5,"BOM","EXCELENTE")))</f>
        <v>BOM</v>
      </c>
      <c r="M953">
        <v>17</v>
      </c>
      <c r="N953">
        <v>98.32</v>
      </c>
      <c r="O953">
        <v>26.763485477178421</v>
      </c>
    </row>
    <row r="954" spans="1:15" hidden="1" x14ac:dyDescent="0.25">
      <c r="A954" s="11">
        <v>46030</v>
      </c>
      <c r="B954" t="s">
        <v>33</v>
      </c>
      <c r="C954" t="s">
        <v>32</v>
      </c>
      <c r="D954">
        <v>45</v>
      </c>
      <c r="E954">
        <v>41</v>
      </c>
      <c r="F954">
        <v>13.52</v>
      </c>
      <c r="G954">
        <v>0</v>
      </c>
      <c r="H954">
        <v>0</v>
      </c>
      <c r="I954" s="3">
        <f>E954+G954+H954</f>
        <v>41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24</v>
      </c>
      <c r="K954" s="3">
        <f>I954-J954</f>
        <v>17</v>
      </c>
      <c r="L954" s="3" t="str">
        <f>IF(K954&lt;-5,"CRÍTICO",IF(K954&lt;0,"ATENÇÃO",IF(K954&lt;=5,"BOM","EXCELENTE")))</f>
        <v>EXCELENTE</v>
      </c>
      <c r="M954">
        <v>36</v>
      </c>
      <c r="N954">
        <v>99.19</v>
      </c>
      <c r="O954">
        <v>27.637130801687761</v>
      </c>
    </row>
    <row r="955" spans="1:15" hidden="1" x14ac:dyDescent="0.25">
      <c r="A955" s="11">
        <v>46030</v>
      </c>
      <c r="B955" t="s">
        <v>15</v>
      </c>
      <c r="C955" t="s">
        <v>16</v>
      </c>
      <c r="D955">
        <v>9</v>
      </c>
      <c r="E955">
        <v>9</v>
      </c>
      <c r="F955">
        <v>38.53</v>
      </c>
      <c r="G955">
        <v>0</v>
      </c>
      <c r="H955">
        <v>0</v>
      </c>
      <c r="I955" s="3">
        <f>E955+G955+H955</f>
        <v>9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7</v>
      </c>
      <c r="K955" s="3">
        <f>I955-J955</f>
        <v>2</v>
      </c>
      <c r="L955" s="3" t="str">
        <f>IF(K955&lt;-5,"CRÍTICO",IF(K955&lt;0,"ATENÇÃO",IF(K955&lt;=5,"BOM","EXCELENTE")))</f>
        <v>BOM</v>
      </c>
      <c r="M955">
        <v>7</v>
      </c>
      <c r="N955">
        <v>100</v>
      </c>
      <c r="O955">
        <v>39.568345323741013</v>
      </c>
    </row>
    <row r="956" spans="1:15" hidden="1" x14ac:dyDescent="0.25">
      <c r="A956" s="11">
        <v>46030</v>
      </c>
      <c r="B956" t="s">
        <v>49</v>
      </c>
      <c r="C956" t="s">
        <v>48</v>
      </c>
      <c r="D956">
        <v>34</v>
      </c>
      <c r="E956">
        <v>31</v>
      </c>
      <c r="F956">
        <v>16.59</v>
      </c>
      <c r="G956">
        <v>0</v>
      </c>
      <c r="H956">
        <v>0</v>
      </c>
      <c r="I956" s="3">
        <f>E956+G956+H956</f>
        <v>31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12</v>
      </c>
      <c r="L956" s="3" t="str">
        <f>IF(K956&lt;-5,"CRÍTICO",IF(K956&lt;0,"ATENÇÃO",IF(K956&lt;=5,"BOM","EXCELENTE")))</f>
        <v>EXCELENTE</v>
      </c>
      <c r="M956">
        <v>31</v>
      </c>
      <c r="N956">
        <v>98.54</v>
      </c>
      <c r="O956">
        <v>28.544776119402989</v>
      </c>
    </row>
    <row r="957" spans="1:15" hidden="1" x14ac:dyDescent="0.25">
      <c r="A957" s="11">
        <v>46030</v>
      </c>
      <c r="B957" t="s">
        <v>50</v>
      </c>
      <c r="C957" t="s">
        <v>48</v>
      </c>
      <c r="D957">
        <v>16</v>
      </c>
      <c r="E957">
        <v>16</v>
      </c>
      <c r="F957">
        <v>24.05</v>
      </c>
      <c r="G957">
        <v>0</v>
      </c>
      <c r="H957">
        <v>0</v>
      </c>
      <c r="I957" s="3">
        <f>E957+G957+H957</f>
        <v>16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19</v>
      </c>
      <c r="K957" s="3">
        <f>I957-J957</f>
        <v>-3</v>
      </c>
      <c r="L957" s="3" t="str">
        <f>IF(K957&lt;-5,"CRÍTICO",IF(K957&lt;0,"ATENÇÃO",IF(K957&lt;=5,"BOM","EXCELENTE")))</f>
        <v>ATENÇÃO</v>
      </c>
      <c r="M957">
        <v>16</v>
      </c>
      <c r="N957">
        <v>100</v>
      </c>
      <c r="O957">
        <v>34.366925064599492</v>
      </c>
    </row>
    <row r="958" spans="1:15" hidden="1" x14ac:dyDescent="0.25">
      <c r="A958" s="11">
        <v>46030</v>
      </c>
      <c r="B958" t="s">
        <v>17</v>
      </c>
      <c r="C958" t="s">
        <v>16</v>
      </c>
      <c r="D958">
        <v>0</v>
      </c>
      <c r="E958">
        <v>0</v>
      </c>
      <c r="F958">
        <v>0</v>
      </c>
      <c r="G958">
        <v>0</v>
      </c>
      <c r="H958">
        <v>0</v>
      </c>
      <c r="I958" s="3">
        <v>0</v>
      </c>
      <c r="J958" s="3">
        <v>0</v>
      </c>
      <c r="K958" s="3">
        <v>0</v>
      </c>
      <c r="L958" s="3" t="str">
        <f>IF(K958&lt;-5,"CRÍTICO",IF(K958&lt;0,"ATENÇÃO",IF(K958&lt;=5,"BOM","EXCELENTE")))</f>
        <v>BOM</v>
      </c>
      <c r="M958">
        <v>0</v>
      </c>
      <c r="N958">
        <v>0</v>
      </c>
      <c r="O958">
        <v>0</v>
      </c>
    </row>
    <row r="959" spans="1:15" hidden="1" x14ac:dyDescent="0.25">
      <c r="A959" s="11">
        <v>46030</v>
      </c>
      <c r="B959" t="s">
        <v>60</v>
      </c>
      <c r="C959" t="s">
        <v>23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16</v>
      </c>
      <c r="K959" s="3">
        <f>I959-J959</f>
        <v>13</v>
      </c>
      <c r="L959" s="3" t="str">
        <f>IF(K959&lt;-5,"CRÍTICO",IF(K959&lt;0,"ATENÇÃO",IF(K959&lt;=5,"BOM","EXCELENTE")))</f>
        <v>EXCELENTE</v>
      </c>
      <c r="M959">
        <v>22</v>
      </c>
      <c r="N959">
        <v>100</v>
      </c>
      <c r="O959">
        <v>29.518072289156631</v>
      </c>
    </row>
    <row r="960" spans="1:15" hidden="1" x14ac:dyDescent="0.25">
      <c r="A960" s="11">
        <v>46030</v>
      </c>
      <c r="B960" t="s">
        <v>34</v>
      </c>
      <c r="C960" t="s">
        <v>32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 s="3">
        <f>E960+G960+H960</f>
        <v>29</v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>24</v>
      </c>
      <c r="K960" s="3">
        <f>I960-J960</f>
        <v>5</v>
      </c>
      <c r="L960" s="3" t="str">
        <f>IF(K960&lt;-5,"CRÍTICO",IF(K960&lt;0,"ATENÇÃO",IF(K960&lt;=5,"BOM","EXCELENTE")))</f>
        <v>BOM</v>
      </c>
      <c r="M960">
        <v>29</v>
      </c>
      <c r="N960">
        <v>97.45</v>
      </c>
      <c r="O960">
        <v>41.421143847487002</v>
      </c>
    </row>
    <row r="961" spans="1:15" hidden="1" x14ac:dyDescent="0.25">
      <c r="A961" s="11">
        <v>46030</v>
      </c>
      <c r="B961" t="s">
        <v>51</v>
      </c>
      <c r="C961" t="s">
        <v>48</v>
      </c>
      <c r="D961">
        <v>33</v>
      </c>
      <c r="E961">
        <v>28</v>
      </c>
      <c r="F961">
        <v>17.260000000000002</v>
      </c>
      <c r="G961">
        <v>0</v>
      </c>
      <c r="H961">
        <v>0</v>
      </c>
      <c r="I961" s="3">
        <v>0</v>
      </c>
      <c r="J961" s="3">
        <v>0</v>
      </c>
      <c r="K961" s="3">
        <v>0</v>
      </c>
      <c r="L961" s="3" t="str">
        <f>IF(K961&lt;-5,"CRÍTICO",IF(K961&lt;0,"ATENÇÃO",IF(K961&lt;=5,"BOM","EXCELENTE")))</f>
        <v>BOM</v>
      </c>
      <c r="M961">
        <v>23</v>
      </c>
      <c r="N961">
        <v>96.58</v>
      </c>
      <c r="O961">
        <v>30.396475770925111</v>
      </c>
    </row>
    <row r="962" spans="1:15" hidden="1" x14ac:dyDescent="0.25">
      <c r="A962" s="11">
        <v>46030</v>
      </c>
      <c r="B962" t="s">
        <v>61</v>
      </c>
      <c r="C962" t="s">
        <v>23</v>
      </c>
      <c r="D962">
        <v>24</v>
      </c>
      <c r="E962">
        <v>24</v>
      </c>
      <c r="F962">
        <v>22.02</v>
      </c>
      <c r="G962">
        <v>0</v>
      </c>
      <c r="H962">
        <v>0</v>
      </c>
      <c r="I962" s="3">
        <f>E962+G962+H962</f>
        <v>24</v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16</v>
      </c>
      <c r="K962" s="3">
        <f>I962-J962</f>
        <v>8</v>
      </c>
      <c r="L962" s="3" t="str">
        <f>IF(K962&lt;-5,"CRÍTICO",IF(K962&lt;0,"ATENÇÃO",IF(K962&lt;=5,"BOM","EXCELENTE")))</f>
        <v>EXCELENTE</v>
      </c>
      <c r="M962">
        <v>22</v>
      </c>
      <c r="N962">
        <v>100</v>
      </c>
      <c r="O962">
        <v>27.44282744282744</v>
      </c>
    </row>
    <row r="963" spans="1:15" hidden="1" x14ac:dyDescent="0.25">
      <c r="A963" s="11">
        <v>46030</v>
      </c>
      <c r="B963" t="s">
        <v>35</v>
      </c>
      <c r="C963" t="s">
        <v>32</v>
      </c>
      <c r="D963">
        <v>29</v>
      </c>
      <c r="E963">
        <v>28</v>
      </c>
      <c r="F963">
        <v>26.59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>
        <v>28</v>
      </c>
      <c r="N963">
        <v>99.49</v>
      </c>
      <c r="O963">
        <v>40.200000000000003</v>
      </c>
    </row>
    <row r="964" spans="1:15" hidden="1" x14ac:dyDescent="0.25">
      <c r="A964" s="11">
        <v>46030</v>
      </c>
      <c r="B964" t="s">
        <v>18</v>
      </c>
      <c r="C964" t="s">
        <v>16</v>
      </c>
      <c r="D964">
        <v>0</v>
      </c>
      <c r="E964">
        <v>0</v>
      </c>
      <c r="F964">
        <v>0</v>
      </c>
      <c r="G964">
        <v>0</v>
      </c>
      <c r="H964">
        <v>0</v>
      </c>
      <c r="I964" s="3">
        <v>0</v>
      </c>
      <c r="J964" s="3">
        <v>0</v>
      </c>
      <c r="K964" s="3">
        <v>0</v>
      </c>
      <c r="L964" s="3" t="str">
        <f>IF(K964&lt;-5,"CRÍTICO",IF(K964&lt;0,"ATENÇÃO",IF(K964&lt;=5,"BOM","EXCELENTE")))</f>
        <v>BOM</v>
      </c>
      <c r="M964">
        <v>0</v>
      </c>
      <c r="N964">
        <v>100</v>
      </c>
      <c r="O964">
        <v>25</v>
      </c>
    </row>
    <row r="965" spans="1:15" hidden="1" x14ac:dyDescent="0.25">
      <c r="A965" s="11">
        <v>46030</v>
      </c>
      <c r="B965" t="s">
        <v>52</v>
      </c>
      <c r="C965" t="s">
        <v>48</v>
      </c>
      <c r="D965">
        <v>28</v>
      </c>
      <c r="E965">
        <v>26</v>
      </c>
      <c r="F965">
        <v>14.1</v>
      </c>
      <c r="G965">
        <v>0</v>
      </c>
      <c r="H965">
        <v>0</v>
      </c>
      <c r="I965" s="3">
        <f>E965+G965+H965</f>
        <v>26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19</v>
      </c>
      <c r="K965" s="3">
        <f>I965-J965</f>
        <v>7</v>
      </c>
      <c r="L965" s="3" t="str">
        <f>IF(K965&lt;-5,"CRÍTICO",IF(K965&lt;0,"ATENÇÃO",IF(K965&lt;=5,"BOM","EXCELENTE")))</f>
        <v>EXCELENTE</v>
      </c>
      <c r="M965">
        <v>26</v>
      </c>
      <c r="N965">
        <v>100</v>
      </c>
      <c r="O965">
        <v>34.15094339622641</v>
      </c>
    </row>
    <row r="966" spans="1:15" hidden="1" x14ac:dyDescent="0.25">
      <c r="A966" s="11">
        <v>46030</v>
      </c>
      <c r="B966" t="s">
        <v>36</v>
      </c>
      <c r="C966" t="s">
        <v>32</v>
      </c>
      <c r="D966">
        <v>18</v>
      </c>
      <c r="E966">
        <v>15</v>
      </c>
      <c r="F966">
        <v>15</v>
      </c>
      <c r="G966">
        <v>0</v>
      </c>
      <c r="H966">
        <v>0</v>
      </c>
      <c r="I966" s="3">
        <f>E966+G966+H966</f>
        <v>15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24</v>
      </c>
      <c r="K966" s="3">
        <f>I966-J966</f>
        <v>-9</v>
      </c>
      <c r="L966" s="3" t="str">
        <f>IF(K966&lt;-5,"CRÍTICO",IF(K966&lt;0,"ATENÇÃO",IF(K966&lt;=5,"BOM","EXCELENTE")))</f>
        <v>CRÍTICO</v>
      </c>
      <c r="M966">
        <v>17</v>
      </c>
      <c r="N966">
        <v>100</v>
      </c>
      <c r="O966">
        <v>32.731376975169297</v>
      </c>
    </row>
    <row r="967" spans="1:15" hidden="1" x14ac:dyDescent="0.25">
      <c r="A967" s="11">
        <v>46030</v>
      </c>
      <c r="B967" t="s">
        <v>53</v>
      </c>
      <c r="C967" t="s">
        <v>48</v>
      </c>
      <c r="D967">
        <v>38</v>
      </c>
      <c r="E967">
        <v>33</v>
      </c>
      <c r="F967">
        <v>15.26</v>
      </c>
      <c r="G967">
        <v>0</v>
      </c>
      <c r="H967">
        <v>0</v>
      </c>
      <c r="I967" s="3">
        <f>E967+G967+H967</f>
        <v>33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14</v>
      </c>
      <c r="L967" s="3" t="str">
        <f>IF(K967&lt;-5,"CRÍTICO",IF(K967&lt;0,"ATENÇÃO",IF(K967&lt;=5,"BOM","EXCELENTE")))</f>
        <v>EXCELENTE</v>
      </c>
      <c r="M967">
        <v>32</v>
      </c>
      <c r="N967">
        <v>99.31</v>
      </c>
      <c r="O967">
        <v>30.96234309623431</v>
      </c>
    </row>
    <row r="968" spans="1:15" hidden="1" x14ac:dyDescent="0.25">
      <c r="A968" s="11">
        <v>46064</v>
      </c>
      <c r="B968" t="s">
        <v>22</v>
      </c>
      <c r="C968" t="s">
        <v>23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>E968+G968+H968</f>
        <v>2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-17</v>
      </c>
      <c r="L968" s="3" t="str">
        <f>IF(K968&lt;-5,"CRÍTICO",IF(K968&lt;0,"ATENÇÃO",IF(K968&lt;=5,"BOM","EXCELENTE")))</f>
        <v>CRÍTICO</v>
      </c>
      <c r="M968">
        <v>28</v>
      </c>
      <c r="N968">
        <v>96.67</v>
      </c>
      <c r="O968">
        <v>31.451612903225811</v>
      </c>
    </row>
    <row r="969" spans="1:15" hidden="1" x14ac:dyDescent="0.25">
      <c r="A969" s="11">
        <v>46030</v>
      </c>
      <c r="B969" t="s">
        <v>54</v>
      </c>
      <c r="C969" t="s">
        <v>48</v>
      </c>
      <c r="D969">
        <v>37</v>
      </c>
      <c r="E969">
        <v>36</v>
      </c>
      <c r="F969">
        <v>15.06</v>
      </c>
      <c r="G969">
        <v>0</v>
      </c>
      <c r="H969">
        <v>0</v>
      </c>
      <c r="I969" s="3">
        <f>E969+G969+H969</f>
        <v>36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19</v>
      </c>
      <c r="K969" s="3">
        <f>I969-J969</f>
        <v>17</v>
      </c>
      <c r="L969" s="3" t="str">
        <f>IF(K969&lt;-5,"CRÍTICO",IF(K969&lt;0,"ATENÇÃO",IF(K969&lt;=5,"BOM","EXCELENTE")))</f>
        <v>EXCELENTE</v>
      </c>
      <c r="M969">
        <v>28</v>
      </c>
      <c r="N969">
        <v>100</v>
      </c>
      <c r="O969">
        <v>27.676767676767678</v>
      </c>
    </row>
    <row r="970" spans="1:15" hidden="1" x14ac:dyDescent="0.25">
      <c r="A970" s="11">
        <v>46030</v>
      </c>
      <c r="B970" t="s">
        <v>37</v>
      </c>
      <c r="C970" t="s">
        <v>32</v>
      </c>
      <c r="D970">
        <v>51</v>
      </c>
      <c r="E970">
        <v>44</v>
      </c>
      <c r="F970">
        <v>11.53</v>
      </c>
      <c r="G970">
        <v>0</v>
      </c>
      <c r="H970">
        <v>0</v>
      </c>
      <c r="I970" s="3">
        <f>E970+G970+H970</f>
        <v>44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20</v>
      </c>
      <c r="L970" s="3" t="str">
        <f>IF(K970&lt;-5,"CRÍTICO",IF(K970&lt;0,"ATENÇÃO",IF(K970&lt;=5,"BOM","EXCELENTE")))</f>
        <v>EXCELENTE</v>
      </c>
      <c r="M970">
        <v>42</v>
      </c>
      <c r="N970">
        <v>100</v>
      </c>
      <c r="O970">
        <v>31.17723156532988</v>
      </c>
    </row>
    <row r="971" spans="1:15" hidden="1" x14ac:dyDescent="0.25">
      <c r="A971" s="11">
        <v>46030</v>
      </c>
      <c r="B971" t="s">
        <v>38</v>
      </c>
      <c r="C971" t="s">
        <v>32</v>
      </c>
      <c r="D971">
        <v>22</v>
      </c>
      <c r="E971">
        <v>21</v>
      </c>
      <c r="F971">
        <v>15.46</v>
      </c>
      <c r="G971">
        <v>0</v>
      </c>
      <c r="H971">
        <v>0</v>
      </c>
      <c r="I971" s="3">
        <f>E971+G971+H971</f>
        <v>21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24</v>
      </c>
      <c r="K971" s="3">
        <f>I971-J971</f>
        <v>-3</v>
      </c>
      <c r="L971" s="3" t="str">
        <f>IF(K971&lt;-5,"CRÍTICO",IF(K971&lt;0,"ATENÇÃO",IF(K971&lt;=5,"BOM","EXCELENTE")))</f>
        <v>ATENÇÃO</v>
      </c>
      <c r="M971">
        <v>16</v>
      </c>
      <c r="N971">
        <v>100</v>
      </c>
      <c r="O971">
        <v>27.609427609427609</v>
      </c>
    </row>
    <row r="972" spans="1:15" hidden="1" x14ac:dyDescent="0.25">
      <c r="A972" s="11">
        <v>46030</v>
      </c>
      <c r="B972" t="s">
        <v>55</v>
      </c>
      <c r="C972" t="s">
        <v>48</v>
      </c>
      <c r="D972">
        <v>24</v>
      </c>
      <c r="E972">
        <v>22</v>
      </c>
      <c r="F972">
        <v>23.45</v>
      </c>
      <c r="G972">
        <v>0</v>
      </c>
      <c r="H972">
        <v>0</v>
      </c>
      <c r="I972" s="3">
        <f>E972+G972+H972</f>
        <v>22</v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>19</v>
      </c>
      <c r="K972" s="3">
        <f>I972-J972</f>
        <v>3</v>
      </c>
      <c r="L972" s="3" t="str">
        <f>IF(K972&lt;-5,"CRÍTICO",IF(K972&lt;0,"ATENÇÃO",IF(K972&lt;=5,"BOM","EXCELENTE")))</f>
        <v>BOM</v>
      </c>
      <c r="M972">
        <v>22</v>
      </c>
      <c r="N972">
        <v>96.4</v>
      </c>
      <c r="O972">
        <v>28.764044943820231</v>
      </c>
    </row>
    <row r="973" spans="1:15" hidden="1" x14ac:dyDescent="0.25">
      <c r="A973" s="11">
        <v>46030</v>
      </c>
      <c r="B973" t="s">
        <v>39</v>
      </c>
      <c r="C973" t="s">
        <v>32</v>
      </c>
      <c r="D973">
        <v>0</v>
      </c>
      <c r="E973">
        <v>0</v>
      </c>
      <c r="F973">
        <v>0</v>
      </c>
      <c r="G973">
        <v>0</v>
      </c>
      <c r="H973">
        <v>0</v>
      </c>
      <c r="I973" s="3">
        <v>0</v>
      </c>
      <c r="J973" s="3">
        <v>0</v>
      </c>
      <c r="K973" s="3">
        <v>0</v>
      </c>
      <c r="L973" s="3" t="str">
        <f>IF(K973&lt;-5,"CRÍTICO",IF(K973&lt;0,"ATENÇÃO",IF(K973&lt;=5,"BOM","EXCELENTE")))</f>
        <v>BOM</v>
      </c>
      <c r="M973">
        <v>25</v>
      </c>
      <c r="N973">
        <v>100</v>
      </c>
      <c r="O973">
        <v>33.980582524271853</v>
      </c>
    </row>
    <row r="974" spans="1:15" hidden="1" x14ac:dyDescent="0.25">
      <c r="A974" s="11">
        <v>46030</v>
      </c>
      <c r="B974" t="s">
        <v>25</v>
      </c>
      <c r="C974" t="s">
        <v>26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 s="3">
        <f>E974+G974+H974</f>
        <v>8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14</v>
      </c>
      <c r="K974" s="3">
        <f>I974-J974</f>
        <v>-6</v>
      </c>
      <c r="L974" s="3" t="str">
        <f>IF(K974&lt;-5,"CRÍTICO",IF(K974&lt;0,"ATENÇÃO",IF(K974&lt;=5,"BOM","EXCELENTE")))</f>
        <v>CRÍTICO</v>
      </c>
      <c r="M974">
        <v>8</v>
      </c>
      <c r="N974">
        <v>97.56</v>
      </c>
      <c r="O974">
        <v>32.515337423312893</v>
      </c>
    </row>
    <row r="975" spans="1:15" hidden="1" x14ac:dyDescent="0.25">
      <c r="A975" s="11">
        <v>46030</v>
      </c>
      <c r="B975" t="s">
        <v>40</v>
      </c>
      <c r="C975" t="s">
        <v>32</v>
      </c>
      <c r="D975">
        <v>24</v>
      </c>
      <c r="E975">
        <v>22</v>
      </c>
      <c r="F975">
        <v>17.37</v>
      </c>
      <c r="G975">
        <v>0</v>
      </c>
      <c r="H975">
        <v>0</v>
      </c>
      <c r="I975" s="3">
        <f>E975+G975+H975</f>
        <v>22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24</v>
      </c>
      <c r="K975" s="3">
        <f>I975-J975</f>
        <v>-2</v>
      </c>
      <c r="L975" s="3" t="str">
        <f>IF(K975&lt;-5,"CRÍTICO",IF(K975&lt;0,"ATENÇÃO",IF(K975&lt;=5,"BOM","EXCELENTE")))</f>
        <v>ATENÇÃO</v>
      </c>
      <c r="M975">
        <v>21</v>
      </c>
      <c r="N975">
        <v>97.11</v>
      </c>
      <c r="O975">
        <v>37.408312958435211</v>
      </c>
    </row>
    <row r="976" spans="1:15" hidden="1" x14ac:dyDescent="0.25">
      <c r="A976" s="11">
        <v>46030</v>
      </c>
      <c r="B976" t="s">
        <v>27</v>
      </c>
      <c r="C976" t="s">
        <v>26</v>
      </c>
      <c r="D976">
        <v>0</v>
      </c>
      <c r="E976">
        <v>0</v>
      </c>
      <c r="F976">
        <v>0</v>
      </c>
      <c r="G976">
        <v>0</v>
      </c>
      <c r="H976">
        <v>0</v>
      </c>
      <c r="I976" s="3">
        <v>0</v>
      </c>
      <c r="J976" s="3">
        <v>0</v>
      </c>
      <c r="K976" s="3">
        <v>0</v>
      </c>
      <c r="L976" s="3" t="str">
        <f>IF(K976&lt;-5,"CRÍTICO",IF(K976&lt;0,"ATENÇÃO",IF(K976&lt;=5,"BOM","EXCELENTE")))</f>
        <v>BOM</v>
      </c>
      <c r="M976">
        <v>0</v>
      </c>
      <c r="N976">
        <v>0</v>
      </c>
      <c r="O976">
        <v>0</v>
      </c>
    </row>
    <row r="977" spans="1:15" hidden="1" x14ac:dyDescent="0.25">
      <c r="A977" s="11">
        <v>46030</v>
      </c>
      <c r="B977" t="s">
        <v>41</v>
      </c>
      <c r="C977" t="s">
        <v>32</v>
      </c>
      <c r="D977">
        <v>34</v>
      </c>
      <c r="E977">
        <v>29</v>
      </c>
      <c r="F977">
        <v>14.16</v>
      </c>
      <c r="G977">
        <v>0</v>
      </c>
      <c r="H977">
        <v>0</v>
      </c>
      <c r="I977" s="3">
        <f>E977+G977+H977</f>
        <v>29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24</v>
      </c>
      <c r="K977" s="3">
        <f>I977-J977</f>
        <v>5</v>
      </c>
      <c r="L977" s="3" t="str">
        <f>IF(K977&lt;-5,"CRÍTICO",IF(K977&lt;0,"ATENÇÃO",IF(K977&lt;=5,"BOM","EXCELENTE")))</f>
        <v>BOM</v>
      </c>
      <c r="M977">
        <v>31</v>
      </c>
      <c r="N977">
        <v>100</v>
      </c>
      <c r="O977">
        <v>30.470347648261761</v>
      </c>
    </row>
    <row r="978" spans="1:15" hidden="1" x14ac:dyDescent="0.25">
      <c r="A978" s="11">
        <v>46030</v>
      </c>
      <c r="B978" t="s">
        <v>56</v>
      </c>
      <c r="C978" t="s">
        <v>48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 s="3">
        <f>E978+G978+H978</f>
        <v>31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19</v>
      </c>
      <c r="K978" s="3">
        <f>I978-J978</f>
        <v>12</v>
      </c>
      <c r="L978" s="3" t="str">
        <f>IF(K978&lt;-5,"CRÍTICO",IF(K978&lt;0,"ATENÇÃO",IF(K978&lt;=5,"BOM","EXCELENTE")))</f>
        <v>EXCELENTE</v>
      </c>
      <c r="M978">
        <v>18</v>
      </c>
      <c r="N978">
        <v>100</v>
      </c>
      <c r="O978">
        <v>32.371134020618562</v>
      </c>
    </row>
    <row r="979" spans="1:15" hidden="1" x14ac:dyDescent="0.25">
      <c r="A979" s="11">
        <v>46030</v>
      </c>
      <c r="B979" t="s">
        <v>57</v>
      </c>
      <c r="C979" t="s">
        <v>48</v>
      </c>
      <c r="D979">
        <v>28</v>
      </c>
      <c r="E979">
        <v>27</v>
      </c>
      <c r="F979">
        <v>20.25</v>
      </c>
      <c r="G979">
        <v>0</v>
      </c>
      <c r="H979">
        <v>0</v>
      </c>
      <c r="I979" s="3">
        <v>0</v>
      </c>
      <c r="J979" s="3">
        <v>0</v>
      </c>
      <c r="K979" s="3">
        <v>0</v>
      </c>
      <c r="L979" s="3" t="str">
        <f>IF(K979&lt;-5,"CRÍTICO",IF(K979&lt;0,"ATENÇÃO",IF(K979&lt;=5,"BOM","EXCELENTE")))</f>
        <v>BOM</v>
      </c>
      <c r="M979">
        <v>20</v>
      </c>
      <c r="N979">
        <v>98.32</v>
      </c>
      <c r="O979">
        <v>32.318501170960189</v>
      </c>
    </row>
    <row r="980" spans="1:15" hidden="1" x14ac:dyDescent="0.25">
      <c r="A980" s="11">
        <v>46030</v>
      </c>
      <c r="B980" t="s">
        <v>42</v>
      </c>
      <c r="C980" t="s">
        <v>32</v>
      </c>
      <c r="D980">
        <v>46</v>
      </c>
      <c r="E980">
        <v>31</v>
      </c>
      <c r="F980">
        <v>8.48</v>
      </c>
      <c r="G980">
        <v>0</v>
      </c>
      <c r="H980">
        <v>0</v>
      </c>
      <c r="I980" s="3">
        <f>E980+G980+H980</f>
        <v>31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24</v>
      </c>
      <c r="K980" s="3">
        <f>I980-J980</f>
        <v>7</v>
      </c>
      <c r="L980" s="3" t="str">
        <f>IF(K980&lt;-5,"CRÍTICO",IF(K980&lt;0,"ATENÇÃO",IF(K980&lt;=5,"BOM","EXCELENTE")))</f>
        <v>EXCELENTE</v>
      </c>
      <c r="M980">
        <v>29</v>
      </c>
      <c r="N980">
        <v>96.43</v>
      </c>
      <c r="O980">
        <v>27.015250544662312</v>
      </c>
    </row>
    <row r="981" spans="1:15" hidden="1" x14ac:dyDescent="0.25">
      <c r="A981" s="11">
        <v>46030</v>
      </c>
      <c r="B981" t="s">
        <v>62</v>
      </c>
      <c r="C981" t="s">
        <v>23</v>
      </c>
      <c r="D981">
        <v>15</v>
      </c>
      <c r="E981">
        <v>14</v>
      </c>
      <c r="F981">
        <v>34</v>
      </c>
      <c r="G981">
        <v>0</v>
      </c>
      <c r="H981">
        <v>0</v>
      </c>
      <c r="I981" s="3">
        <f>E981+G981+H981</f>
        <v>14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16</v>
      </c>
      <c r="K981" s="3">
        <f>I981-J981</f>
        <v>-2</v>
      </c>
      <c r="L981" s="3" t="str">
        <f>IF(K981&lt;-5,"CRÍTICO",IF(K981&lt;0,"ATENÇÃO",IF(K981&lt;=5,"BOM","EXCELENTE")))</f>
        <v>ATENÇÃO</v>
      </c>
      <c r="M981">
        <v>16</v>
      </c>
      <c r="N981">
        <v>98.89</v>
      </c>
      <c r="O981">
        <v>28.021978021978018</v>
      </c>
    </row>
    <row r="982" spans="1:15" hidden="1" x14ac:dyDescent="0.25">
      <c r="A982" s="11">
        <v>46030</v>
      </c>
      <c r="B982" t="s">
        <v>19</v>
      </c>
      <c r="C982" t="s">
        <v>16</v>
      </c>
      <c r="D982">
        <v>12</v>
      </c>
      <c r="E982">
        <v>12</v>
      </c>
      <c r="F982">
        <v>51.49</v>
      </c>
      <c r="G982">
        <v>0</v>
      </c>
      <c r="H982">
        <v>0</v>
      </c>
      <c r="I982" s="3">
        <f>E982+G982+H982</f>
        <v>12</v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>7</v>
      </c>
      <c r="K982" s="3">
        <f>I982-J982</f>
        <v>5</v>
      </c>
      <c r="L982" s="3" t="str">
        <f>IF(K982&lt;-5,"CRÍTICO",IF(K982&lt;0,"ATENÇÃO",IF(K982&lt;=5,"BOM","EXCELENTE")))</f>
        <v>BOM</v>
      </c>
      <c r="M982">
        <v>10</v>
      </c>
      <c r="N982">
        <v>100</v>
      </c>
      <c r="O982">
        <v>33.333333333333329</v>
      </c>
    </row>
    <row r="983" spans="1:15" hidden="1" x14ac:dyDescent="0.25">
      <c r="A983" s="11">
        <v>46030</v>
      </c>
      <c r="B983" t="s">
        <v>43</v>
      </c>
      <c r="C983" t="s">
        <v>32</v>
      </c>
      <c r="D983">
        <v>0</v>
      </c>
      <c r="E983">
        <v>0</v>
      </c>
      <c r="F983">
        <v>0</v>
      </c>
      <c r="G983">
        <v>0</v>
      </c>
      <c r="H983">
        <v>0</v>
      </c>
      <c r="I983" s="3">
        <v>0</v>
      </c>
      <c r="J983" s="3">
        <v>0</v>
      </c>
      <c r="K983" s="3">
        <v>0</v>
      </c>
      <c r="L983" s="3" t="str">
        <f>IF(K983&lt;-5,"CRÍTICO",IF(K983&lt;0,"ATENÇÃO",IF(K983&lt;=5,"BOM","EXCELENTE")))</f>
        <v>BOM</v>
      </c>
      <c r="M983">
        <v>0</v>
      </c>
      <c r="N983">
        <v>100</v>
      </c>
      <c r="O983">
        <v>27.43362831858407</v>
      </c>
    </row>
    <row r="984" spans="1:15" hidden="1" x14ac:dyDescent="0.25">
      <c r="A984" s="11">
        <v>46030</v>
      </c>
      <c r="B984" t="s">
        <v>44</v>
      </c>
      <c r="C984" t="s">
        <v>32</v>
      </c>
      <c r="D984">
        <v>35</v>
      </c>
      <c r="E984">
        <v>32</v>
      </c>
      <c r="F984">
        <v>16.46</v>
      </c>
      <c r="G984">
        <v>0</v>
      </c>
      <c r="H984">
        <v>0</v>
      </c>
      <c r="I984" s="3">
        <f>E984+G984+H984</f>
        <v>32</v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>24</v>
      </c>
      <c r="K984" s="3">
        <f>I984-J984</f>
        <v>8</v>
      </c>
      <c r="L984" s="3" t="str">
        <f>IF(K984&lt;-5,"CRÍTICO",IF(K984&lt;0,"ATENÇÃO",IF(K984&lt;=5,"BOM","EXCELENTE")))</f>
        <v>EXCELENTE</v>
      </c>
      <c r="M984">
        <v>24</v>
      </c>
      <c r="N984">
        <v>98.65</v>
      </c>
      <c r="O984">
        <v>30.978260869565219</v>
      </c>
    </row>
    <row r="985" spans="1:15" hidden="1" x14ac:dyDescent="0.25">
      <c r="A985" s="11">
        <v>46030</v>
      </c>
      <c r="B985" t="s">
        <v>20</v>
      </c>
      <c r="C985" t="s">
        <v>16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>
        <v>0</v>
      </c>
      <c r="N985">
        <v>100</v>
      </c>
      <c r="O985">
        <v>12</v>
      </c>
    </row>
    <row r="986" spans="1:15" hidden="1" x14ac:dyDescent="0.25">
      <c r="A986" s="11">
        <v>46030</v>
      </c>
      <c r="B986" t="s">
        <v>28</v>
      </c>
      <c r="C986" t="s">
        <v>26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>
        <v>0</v>
      </c>
      <c r="N986">
        <v>0</v>
      </c>
      <c r="O986">
        <v>0</v>
      </c>
    </row>
    <row r="987" spans="1:15" hidden="1" x14ac:dyDescent="0.25">
      <c r="A987" s="11">
        <v>46030</v>
      </c>
      <c r="B987" t="s">
        <v>58</v>
      </c>
      <c r="C987" t="s">
        <v>48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>
        <v>0</v>
      </c>
      <c r="N987">
        <v>97.56</v>
      </c>
      <c r="O987">
        <v>31.067961165048541</v>
      </c>
    </row>
    <row r="988" spans="1:15" hidden="1" x14ac:dyDescent="0.25">
      <c r="A988" s="11">
        <v>46030</v>
      </c>
      <c r="B988" t="s">
        <v>29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30</v>
      </c>
      <c r="C989" t="s">
        <v>26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21</v>
      </c>
      <c r="C990" t="s">
        <v>16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>
        <v>0</v>
      </c>
      <c r="N990">
        <v>0</v>
      </c>
      <c r="O990">
        <v>0</v>
      </c>
    </row>
    <row r="991" spans="1:15" hidden="1" x14ac:dyDescent="0.25">
      <c r="A991" s="11">
        <v>46030</v>
      </c>
      <c r="B991" t="s">
        <v>63</v>
      </c>
      <c r="C991" t="s">
        <v>23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>
        <v>0</v>
      </c>
      <c r="N991">
        <v>100</v>
      </c>
      <c r="O991">
        <v>53.846153846153847</v>
      </c>
    </row>
    <row r="992" spans="1:15" hidden="1" x14ac:dyDescent="0.25">
      <c r="A992" s="11">
        <v>46030</v>
      </c>
      <c r="B992" t="s">
        <v>45</v>
      </c>
      <c r="C992" t="s">
        <v>32</v>
      </c>
      <c r="D992">
        <v>0</v>
      </c>
      <c r="E992">
        <v>0</v>
      </c>
      <c r="F992">
        <v>0</v>
      </c>
      <c r="G992">
        <v>0</v>
      </c>
      <c r="H992">
        <v>0</v>
      </c>
      <c r="I992" s="3">
        <v>0</v>
      </c>
      <c r="J992" s="3">
        <v>0</v>
      </c>
      <c r="K992" s="3">
        <v>0</v>
      </c>
      <c r="L992" s="3" t="str">
        <f>IF(K992&lt;-5,"CRÍTICO",IF(K992&lt;0,"ATENÇÃO",IF(K992&lt;=5,"BOM","EXCELENTE")))</f>
        <v>BOM</v>
      </c>
      <c r="M992">
        <v>0</v>
      </c>
      <c r="N992">
        <v>100</v>
      </c>
      <c r="O992">
        <v>44.05594405594406</v>
      </c>
    </row>
    <row r="993" spans="1:15" hidden="1" x14ac:dyDescent="0.25">
      <c r="A993" s="11">
        <v>46030</v>
      </c>
      <c r="B993" t="s">
        <v>64</v>
      </c>
      <c r="C993" t="s">
        <v>23</v>
      </c>
      <c r="D993">
        <v>10</v>
      </c>
      <c r="E993">
        <v>10</v>
      </c>
      <c r="F993">
        <v>42.21</v>
      </c>
      <c r="G993">
        <v>0</v>
      </c>
      <c r="H993">
        <v>0</v>
      </c>
      <c r="I993" s="3">
        <f>E993+G993+H993</f>
        <v>10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16</v>
      </c>
      <c r="K993" s="3">
        <f>I993-J993</f>
        <v>-6</v>
      </c>
      <c r="L993" s="3" t="str">
        <f>IF(K993&lt;-5,"CRÍTICO",IF(K993&lt;0,"ATENÇÃO",IF(K993&lt;=5,"BOM","EXCELENTE")))</f>
        <v>CRÍTICO</v>
      </c>
      <c r="M993">
        <v>8</v>
      </c>
      <c r="N993">
        <v>100</v>
      </c>
      <c r="O993">
        <v>31.872509960159359</v>
      </c>
    </row>
    <row r="994" spans="1:15" hidden="1" x14ac:dyDescent="0.25">
      <c r="A994" s="11">
        <v>46030</v>
      </c>
      <c r="B994" t="s">
        <v>46</v>
      </c>
      <c r="C994" t="s">
        <v>32</v>
      </c>
      <c r="D994">
        <v>27</v>
      </c>
      <c r="E994">
        <v>26</v>
      </c>
      <c r="F994">
        <v>18.43</v>
      </c>
      <c r="G994">
        <v>0</v>
      </c>
      <c r="H994">
        <v>0</v>
      </c>
      <c r="I994" s="3">
        <f>E994+G994+H994</f>
        <v>26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24</v>
      </c>
      <c r="K994" s="3">
        <f>I994-J994</f>
        <v>2</v>
      </c>
      <c r="L994" s="3" t="str">
        <f>IF(K994&lt;-5,"CRÍTICO",IF(K994&lt;0,"ATENÇÃO",IF(K994&lt;=5,"BOM","EXCELENTE")))</f>
        <v>BOM</v>
      </c>
      <c r="M994">
        <v>24</v>
      </c>
      <c r="N994">
        <v>98.41</v>
      </c>
      <c r="O994">
        <v>29.22465208747515</v>
      </c>
    </row>
    <row r="995" spans="1:15" hidden="1" x14ac:dyDescent="0.25">
      <c r="A995" s="11">
        <v>46031</v>
      </c>
      <c r="B995" t="s">
        <v>47</v>
      </c>
      <c r="C995" t="s">
        <v>48</v>
      </c>
      <c r="D995">
        <v>22</v>
      </c>
      <c r="E995">
        <v>19</v>
      </c>
      <c r="F995">
        <v>22.01</v>
      </c>
      <c r="G995">
        <v>0</v>
      </c>
      <c r="H995">
        <v>0</v>
      </c>
      <c r="I995" s="3">
        <f>E995+G995+H995</f>
        <v>19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16</v>
      </c>
      <c r="K995" s="3">
        <f>I995-J995</f>
        <v>3</v>
      </c>
      <c r="L995" s="3" t="str">
        <f>IF(K995&lt;-5,"CRÍTICO",IF(K995&lt;0,"ATENÇÃO",IF(K995&lt;=5,"BOM","EXCELENTE")))</f>
        <v>BOM</v>
      </c>
      <c r="M995">
        <v>10</v>
      </c>
      <c r="N995">
        <v>96.81</v>
      </c>
      <c r="O995">
        <v>27.980535279805348</v>
      </c>
    </row>
    <row r="996" spans="1:15" hidden="1" x14ac:dyDescent="0.25">
      <c r="A996" s="11">
        <v>46031</v>
      </c>
      <c r="B996" t="s">
        <v>31</v>
      </c>
      <c r="C996" t="s">
        <v>32</v>
      </c>
      <c r="D996">
        <v>0</v>
      </c>
      <c r="E996">
        <v>0</v>
      </c>
      <c r="F996">
        <v>0</v>
      </c>
      <c r="G996">
        <v>0</v>
      </c>
      <c r="H996">
        <v>0</v>
      </c>
      <c r="I996" s="3">
        <v>0</v>
      </c>
      <c r="J996" s="3">
        <v>0</v>
      </c>
      <c r="K996" s="3">
        <v>0</v>
      </c>
      <c r="L996" s="3" t="str">
        <f>IF(K996&lt;-5,"CRÍTICO",IF(K996&lt;0,"ATENÇÃO",IF(K996&lt;=5,"BOM","EXCELENTE")))</f>
        <v>BOM</v>
      </c>
      <c r="M996">
        <v>28</v>
      </c>
      <c r="N996">
        <v>98.73</v>
      </c>
      <c r="O996">
        <v>35.756385068762278</v>
      </c>
    </row>
    <row r="997" spans="1:15" hidden="1" x14ac:dyDescent="0.25">
      <c r="A997" s="11">
        <v>46031</v>
      </c>
      <c r="B997" t="s">
        <v>59</v>
      </c>
      <c r="C997" t="s">
        <v>23</v>
      </c>
      <c r="D997">
        <v>27</v>
      </c>
      <c r="E997">
        <v>23</v>
      </c>
      <c r="F997">
        <v>15.41</v>
      </c>
      <c r="G997">
        <v>0</v>
      </c>
      <c r="H997">
        <v>0</v>
      </c>
      <c r="I997" s="3">
        <f>E997+G997+H997</f>
        <v>23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13</v>
      </c>
      <c r="K997" s="3">
        <f>I997-J997</f>
        <v>10</v>
      </c>
      <c r="L997" s="3" t="str">
        <f>IF(K997&lt;-5,"CRÍTICO",IF(K997&lt;0,"ATENÇÃO",IF(K997&lt;=5,"BOM","EXCELENTE")))</f>
        <v>EXCELENTE</v>
      </c>
      <c r="M997">
        <v>25</v>
      </c>
      <c r="N997">
        <v>98.32</v>
      </c>
      <c r="O997">
        <v>26.763485477178421</v>
      </c>
    </row>
    <row r="998" spans="1:15" hidden="1" x14ac:dyDescent="0.25">
      <c r="A998" s="11">
        <v>46031</v>
      </c>
      <c r="B998" t="s">
        <v>33</v>
      </c>
      <c r="C998" t="s">
        <v>32</v>
      </c>
      <c r="D998">
        <v>27</v>
      </c>
      <c r="E998">
        <v>24</v>
      </c>
      <c r="F998">
        <v>15.19</v>
      </c>
      <c r="G998">
        <v>0</v>
      </c>
      <c r="H998">
        <v>0</v>
      </c>
      <c r="I998" s="3">
        <f>E998+G998+H998</f>
        <v>24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20</v>
      </c>
      <c r="K998" s="3">
        <f>I998-J998</f>
        <v>4</v>
      </c>
      <c r="L998" s="3" t="str">
        <f>IF(K998&lt;-5,"CRÍTICO",IF(K998&lt;0,"ATENÇÃO",IF(K998&lt;=5,"BOM","EXCELENTE")))</f>
        <v>BOM</v>
      </c>
      <c r="M998">
        <v>22</v>
      </c>
      <c r="N998">
        <v>99.19</v>
      </c>
      <c r="O998">
        <v>27.637130801687761</v>
      </c>
    </row>
    <row r="999" spans="1:15" hidden="1" x14ac:dyDescent="0.25">
      <c r="A999" s="11">
        <v>46031</v>
      </c>
      <c r="B999" t="s">
        <v>15</v>
      </c>
      <c r="C999" t="s">
        <v>16</v>
      </c>
      <c r="D999">
        <v>12</v>
      </c>
      <c r="E999">
        <v>11</v>
      </c>
      <c r="F999">
        <v>30.49</v>
      </c>
      <c r="G999">
        <v>0</v>
      </c>
      <c r="H999">
        <v>0</v>
      </c>
      <c r="I999" s="3">
        <f>E999+G999+H999</f>
        <v>11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6</v>
      </c>
      <c r="K999" s="3">
        <f>I999-J999</f>
        <v>5</v>
      </c>
      <c r="L999" s="3" t="str">
        <f>IF(K999&lt;-5,"CRÍTICO",IF(K999&lt;0,"ATENÇÃO",IF(K999&lt;=5,"BOM","EXCELENTE")))</f>
        <v>BOM</v>
      </c>
      <c r="M999">
        <v>9</v>
      </c>
      <c r="N999">
        <v>100</v>
      </c>
      <c r="O999">
        <v>39.568345323741013</v>
      </c>
    </row>
    <row r="1000" spans="1:15" hidden="1" x14ac:dyDescent="0.25">
      <c r="A1000" s="11">
        <v>46031</v>
      </c>
      <c r="B1000" t="s">
        <v>49</v>
      </c>
      <c r="C1000" t="s">
        <v>48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>
        <v>16</v>
      </c>
      <c r="N1000">
        <v>98.54</v>
      </c>
      <c r="O1000">
        <v>28.544776119402989</v>
      </c>
    </row>
    <row r="1001" spans="1:15" hidden="1" x14ac:dyDescent="0.25">
      <c r="A1001" s="11">
        <v>46031</v>
      </c>
      <c r="B1001" t="s">
        <v>50</v>
      </c>
      <c r="C1001" t="s">
        <v>48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 s="3">
        <f>E1001+G1001+H1001</f>
        <v>16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16</v>
      </c>
      <c r="K1001" s="3">
        <f>I1001-J1001</f>
        <v>0</v>
      </c>
      <c r="L1001" s="3" t="str">
        <f>IF(K1001&lt;-5,"CRÍTICO",IF(K1001&lt;0,"ATENÇÃO",IF(K1001&lt;=5,"BOM","EXCELENTE")))</f>
        <v>BOM</v>
      </c>
      <c r="M1001">
        <v>16</v>
      </c>
      <c r="N1001">
        <v>100</v>
      </c>
      <c r="O1001">
        <v>34.366925064599492</v>
      </c>
    </row>
    <row r="1002" spans="1:15" hidden="1" x14ac:dyDescent="0.25">
      <c r="A1002" s="11">
        <v>46031</v>
      </c>
      <c r="B1002" t="s">
        <v>17</v>
      </c>
      <c r="C1002" t="s">
        <v>16</v>
      </c>
      <c r="D1002">
        <v>0</v>
      </c>
      <c r="E1002">
        <v>0</v>
      </c>
      <c r="F1002">
        <v>0</v>
      </c>
      <c r="G1002">
        <v>0</v>
      </c>
      <c r="H1002">
        <v>0</v>
      </c>
      <c r="I1002" s="3">
        <v>0</v>
      </c>
      <c r="J1002" s="3">
        <v>0</v>
      </c>
      <c r="K1002" s="3">
        <v>0</v>
      </c>
      <c r="L1002" s="3" t="str">
        <f>IF(K1002&lt;-5,"CRÍTICO",IF(K1002&lt;0,"ATENÇÃO",IF(K1002&lt;=5,"BOM","EXCELENTE")))</f>
        <v>BOM</v>
      </c>
      <c r="M1002">
        <v>0</v>
      </c>
      <c r="N1002">
        <v>0</v>
      </c>
      <c r="O1002">
        <v>0</v>
      </c>
    </row>
    <row r="1003" spans="1:15" hidden="1" x14ac:dyDescent="0.25">
      <c r="A1003" s="11">
        <v>46031</v>
      </c>
      <c r="B1003" t="s">
        <v>60</v>
      </c>
      <c r="C1003" t="s">
        <v>23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 s="3">
        <f>E1003+G1003+H1003</f>
        <v>15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13</v>
      </c>
      <c r="K1003" s="3">
        <f>I1003-J1003</f>
        <v>2</v>
      </c>
      <c r="L1003" s="3" t="str">
        <f>IF(K1003&lt;-5,"CRÍTICO",IF(K1003&lt;0,"ATENÇÃO",IF(K1003&lt;=5,"BOM","EXCELENTE")))</f>
        <v>BOM</v>
      </c>
      <c r="M1003">
        <v>14</v>
      </c>
      <c r="N1003">
        <v>100</v>
      </c>
      <c r="O1003">
        <v>29.518072289156631</v>
      </c>
    </row>
    <row r="1004" spans="1:15" hidden="1" x14ac:dyDescent="0.25">
      <c r="A1004" s="11">
        <v>46031</v>
      </c>
      <c r="B1004" t="s">
        <v>34</v>
      </c>
      <c r="C1004" t="s">
        <v>32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 s="3">
        <f>E1004+G1004+H1004</f>
        <v>27</v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>20</v>
      </c>
      <c r="K1004" s="3">
        <f>I1004-J1004</f>
        <v>7</v>
      </c>
      <c r="L1004" s="3" t="str">
        <f>IF(K1004&lt;-5,"CRÍTICO",IF(K1004&lt;0,"ATENÇÃO",IF(K1004&lt;=5,"BOM","EXCELENTE")))</f>
        <v>EXCELENTE</v>
      </c>
      <c r="M1004">
        <v>27</v>
      </c>
      <c r="N1004">
        <v>97.45</v>
      </c>
      <c r="O1004">
        <v>41.421143847487002</v>
      </c>
    </row>
    <row r="1005" spans="1:15" hidden="1" x14ac:dyDescent="0.25">
      <c r="A1005" s="11">
        <v>46031</v>
      </c>
      <c r="B1005" t="s">
        <v>51</v>
      </c>
      <c r="C1005" t="s">
        <v>48</v>
      </c>
      <c r="D1005">
        <v>26</v>
      </c>
      <c r="E1005">
        <v>18</v>
      </c>
      <c r="F1005">
        <v>15.06</v>
      </c>
      <c r="G1005">
        <v>0</v>
      </c>
      <c r="H1005">
        <v>0</v>
      </c>
      <c r="I1005" s="3">
        <v>0</v>
      </c>
      <c r="J1005" s="3">
        <v>0</v>
      </c>
      <c r="K1005" s="3">
        <v>0</v>
      </c>
      <c r="L1005" s="3" t="str">
        <f>IF(K1005&lt;-5,"CRÍTICO",IF(K1005&lt;0,"ATENÇÃO",IF(K1005&lt;=5,"BOM","EXCELENTE")))</f>
        <v>BOM</v>
      </c>
      <c r="M1005">
        <v>15</v>
      </c>
      <c r="N1005">
        <v>96.58</v>
      </c>
      <c r="O1005">
        <v>30.396475770925111</v>
      </c>
    </row>
    <row r="1006" spans="1:15" hidden="1" x14ac:dyDescent="0.25">
      <c r="A1006" s="11">
        <v>46031</v>
      </c>
      <c r="B1006" t="s">
        <v>61</v>
      </c>
      <c r="C1006" t="s">
        <v>23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 s="3">
        <f>E1006+G1006+H1006</f>
        <v>20</v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13</v>
      </c>
      <c r="K1006" s="3">
        <f>I1006-J1006</f>
        <v>7</v>
      </c>
      <c r="L1006" s="3" t="str">
        <f>IF(K1006&lt;-5,"CRÍTICO",IF(K1006&lt;0,"ATENÇÃO",IF(K1006&lt;=5,"BOM","EXCELENTE")))</f>
        <v>EXCELENTE</v>
      </c>
      <c r="M1006">
        <v>22</v>
      </c>
      <c r="N1006">
        <v>100</v>
      </c>
      <c r="O1006">
        <v>27.44282744282744</v>
      </c>
    </row>
    <row r="1007" spans="1:15" hidden="1" x14ac:dyDescent="0.25">
      <c r="A1007" s="11">
        <v>46031</v>
      </c>
      <c r="B1007" t="s">
        <v>35</v>
      </c>
      <c r="C1007" t="s">
        <v>32</v>
      </c>
      <c r="D1007">
        <v>19</v>
      </c>
      <c r="E1007">
        <v>18</v>
      </c>
      <c r="F1007">
        <v>25.36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>
        <v>18</v>
      </c>
      <c r="N1007">
        <v>99.49</v>
      </c>
      <c r="O1007">
        <v>40.200000000000003</v>
      </c>
    </row>
    <row r="1008" spans="1:15" hidden="1" x14ac:dyDescent="0.25">
      <c r="A1008" s="11">
        <v>46031</v>
      </c>
      <c r="B1008" t="s">
        <v>18</v>
      </c>
      <c r="C1008" t="s">
        <v>16</v>
      </c>
      <c r="D1008">
        <v>0</v>
      </c>
      <c r="E1008">
        <v>0</v>
      </c>
      <c r="F1008">
        <v>0</v>
      </c>
      <c r="G1008">
        <v>0</v>
      </c>
      <c r="H1008">
        <v>0</v>
      </c>
      <c r="I1008" s="3">
        <v>0</v>
      </c>
      <c r="J1008" s="3">
        <v>0</v>
      </c>
      <c r="K1008" s="3">
        <v>0</v>
      </c>
      <c r="L1008" s="3" t="str">
        <f>IF(K1008&lt;-5,"CRÍTICO",IF(K1008&lt;0,"ATENÇÃO",IF(K1008&lt;=5,"BOM","EXCELENTE")))</f>
        <v>BOM</v>
      </c>
      <c r="M1008">
        <v>0</v>
      </c>
      <c r="N1008">
        <v>100</v>
      </c>
      <c r="O1008">
        <v>25</v>
      </c>
    </row>
    <row r="1009" spans="1:15" hidden="1" x14ac:dyDescent="0.25">
      <c r="A1009" s="11">
        <v>46031</v>
      </c>
      <c r="B1009" t="s">
        <v>52</v>
      </c>
      <c r="C1009" t="s">
        <v>48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 s="3">
        <f>E1009+G1009+H1009</f>
        <v>24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16</v>
      </c>
      <c r="K1009" s="3">
        <f>I1009-J1009</f>
        <v>8</v>
      </c>
      <c r="L1009" s="3" t="str">
        <f>IF(K1009&lt;-5,"CRÍTICO",IF(K1009&lt;0,"ATENÇÃO",IF(K1009&lt;=5,"BOM","EXCELENTE")))</f>
        <v>EXCELENTE</v>
      </c>
      <c r="M1009">
        <v>17</v>
      </c>
      <c r="N1009">
        <v>100</v>
      </c>
      <c r="O1009">
        <v>34.15094339622641</v>
      </c>
    </row>
    <row r="1010" spans="1:15" hidden="1" x14ac:dyDescent="0.25">
      <c r="A1010" s="11">
        <v>46031</v>
      </c>
      <c r="B1010" t="s">
        <v>36</v>
      </c>
      <c r="C1010" t="s">
        <v>32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 s="3">
        <f>E1010+G1010+H1010</f>
        <v>19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20</v>
      </c>
      <c r="K1010" s="3">
        <f>I1010-J1010</f>
        <v>-1</v>
      </c>
      <c r="L1010" s="3" t="str">
        <f>IF(K1010&lt;-5,"CRÍTICO",IF(K1010&lt;0,"ATENÇÃO",IF(K1010&lt;=5,"BOM","EXCELENTE")))</f>
        <v>ATENÇÃO</v>
      </c>
      <c r="M1010">
        <v>18</v>
      </c>
      <c r="N1010">
        <v>100</v>
      </c>
      <c r="O1010">
        <v>32.731376975169297</v>
      </c>
    </row>
    <row r="1011" spans="1:15" hidden="1" x14ac:dyDescent="0.25">
      <c r="A1011" s="11">
        <v>46031</v>
      </c>
      <c r="B1011" t="s">
        <v>53</v>
      </c>
      <c r="C1011" t="s">
        <v>48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 s="3">
        <f>E1011+G1011+H1011</f>
        <v>25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16</v>
      </c>
      <c r="K1011" s="3">
        <f>I1011-J1011</f>
        <v>9</v>
      </c>
      <c r="L1011" s="3" t="str">
        <f>IF(K1011&lt;-5,"CRÍTICO",IF(K1011&lt;0,"ATENÇÃO",IF(K1011&lt;=5,"BOM","EXCELENTE")))</f>
        <v>EXCELENTE</v>
      </c>
      <c r="M1011">
        <v>24</v>
      </c>
      <c r="N1011">
        <v>99.31</v>
      </c>
      <c r="O1011">
        <v>30.96234309623431</v>
      </c>
    </row>
    <row r="1012" spans="1:15" hidden="1" x14ac:dyDescent="0.25">
      <c r="A1012" s="11">
        <v>46065</v>
      </c>
      <c r="B1012" t="s">
        <v>22</v>
      </c>
      <c r="C1012" t="s">
        <v>23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>E1012+G1012+H1012</f>
        <v>5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17</v>
      </c>
      <c r="K1012" s="3">
        <f>I1012-J1012</f>
        <v>-12</v>
      </c>
      <c r="L1012" s="3" t="str">
        <f>IF(K1012&lt;-5,"CRÍTICO",IF(K1012&lt;0,"ATENÇÃO",IF(K1012&lt;=5,"BOM","EXCELENTE")))</f>
        <v>CRÍTICO</v>
      </c>
      <c r="M1012">
        <v>22</v>
      </c>
      <c r="N1012">
        <v>96.67</v>
      </c>
      <c r="O1012">
        <v>31.451612903225811</v>
      </c>
    </row>
    <row r="1013" spans="1:15" hidden="1" x14ac:dyDescent="0.25">
      <c r="A1013" s="11">
        <v>46031</v>
      </c>
      <c r="B1013" t="s">
        <v>54</v>
      </c>
      <c r="C1013" t="s">
        <v>48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 s="3">
        <f>E1013+G1013+H1013</f>
        <v>26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16</v>
      </c>
      <c r="K1013" s="3">
        <f>I1013-J1013</f>
        <v>10</v>
      </c>
      <c r="L1013" s="3" t="str">
        <f>IF(K1013&lt;-5,"CRÍTICO",IF(K1013&lt;0,"ATENÇÃO",IF(K1013&lt;=5,"BOM","EXCELENTE")))</f>
        <v>EXCELENTE</v>
      </c>
      <c r="M1013">
        <v>23</v>
      </c>
      <c r="N1013">
        <v>100</v>
      </c>
      <c r="O1013">
        <v>27.676767676767678</v>
      </c>
    </row>
    <row r="1014" spans="1:15" hidden="1" x14ac:dyDescent="0.25">
      <c r="A1014" s="11">
        <v>46031</v>
      </c>
      <c r="B1014" t="s">
        <v>37</v>
      </c>
      <c r="C1014" t="s">
        <v>32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 s="3">
        <f>E1014+G1014+H1014</f>
        <v>27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7</v>
      </c>
      <c r="L1014" s="3" t="str">
        <f>IF(K1014&lt;-5,"CRÍTICO",IF(K1014&lt;0,"ATENÇÃO",IF(K1014&lt;=5,"BOM","EXCELENTE")))</f>
        <v>EXCELENTE</v>
      </c>
      <c r="M1014">
        <v>28</v>
      </c>
      <c r="N1014">
        <v>100</v>
      </c>
      <c r="O1014">
        <v>31.17723156532988</v>
      </c>
    </row>
    <row r="1015" spans="1:15" hidden="1" x14ac:dyDescent="0.25">
      <c r="A1015" s="11">
        <v>46031</v>
      </c>
      <c r="B1015" t="s">
        <v>38</v>
      </c>
      <c r="C1015" t="s">
        <v>32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 s="3">
        <f>E1015+G1015+H1015</f>
        <v>21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20</v>
      </c>
      <c r="K1015" s="3">
        <f>I1015-J1015</f>
        <v>1</v>
      </c>
      <c r="L1015" s="3" t="str">
        <f>IF(K1015&lt;-5,"CRÍTICO",IF(K1015&lt;0,"ATENÇÃO",IF(K1015&lt;=5,"BOM","EXCELENTE")))</f>
        <v>BOM</v>
      </c>
      <c r="M1015">
        <v>21</v>
      </c>
      <c r="N1015">
        <v>100</v>
      </c>
      <c r="O1015">
        <v>27.609427609427609</v>
      </c>
    </row>
    <row r="1016" spans="1:15" hidden="1" x14ac:dyDescent="0.25">
      <c r="A1016" s="11">
        <v>46031</v>
      </c>
      <c r="B1016" t="s">
        <v>55</v>
      </c>
      <c r="C1016" t="s">
        <v>48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 s="3">
        <f>E1016+G1016+H1016</f>
        <v>19</v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>16</v>
      </c>
      <c r="K1016" s="3">
        <f>I1016-J1016</f>
        <v>3</v>
      </c>
      <c r="L1016" s="3" t="str">
        <f>IF(K1016&lt;-5,"CRÍTICO",IF(K1016&lt;0,"ATENÇÃO",IF(K1016&lt;=5,"BOM","EXCELENTE")))</f>
        <v>BOM</v>
      </c>
      <c r="M1016">
        <v>19</v>
      </c>
      <c r="N1016">
        <v>96.4</v>
      </c>
      <c r="O1016">
        <v>28.764044943820231</v>
      </c>
    </row>
    <row r="1017" spans="1:15" hidden="1" x14ac:dyDescent="0.25">
      <c r="A1017" s="11">
        <v>46031</v>
      </c>
      <c r="B1017" t="s">
        <v>39</v>
      </c>
      <c r="C1017" t="s">
        <v>32</v>
      </c>
      <c r="D1017">
        <v>0</v>
      </c>
      <c r="E1017">
        <v>0</v>
      </c>
      <c r="F1017">
        <v>0</v>
      </c>
      <c r="G1017">
        <v>0</v>
      </c>
      <c r="H1017">
        <v>0</v>
      </c>
      <c r="I1017" s="3">
        <v>0</v>
      </c>
      <c r="J1017" s="3">
        <v>0</v>
      </c>
      <c r="K1017" s="3">
        <v>0</v>
      </c>
      <c r="L1017" s="3" t="str">
        <f>IF(K1017&lt;-5,"CRÍTICO",IF(K1017&lt;0,"ATENÇÃO",IF(K1017&lt;=5,"BOM","EXCELENTE")))</f>
        <v>BOM</v>
      </c>
      <c r="M1017">
        <v>15</v>
      </c>
      <c r="N1017">
        <v>100</v>
      </c>
      <c r="O1017">
        <v>33.980582524271853</v>
      </c>
    </row>
    <row r="1018" spans="1:15" hidden="1" x14ac:dyDescent="0.25">
      <c r="A1018" s="11">
        <v>46031</v>
      </c>
      <c r="B1018" t="s">
        <v>25</v>
      </c>
      <c r="C1018" t="s">
        <v>26</v>
      </c>
      <c r="D1018">
        <v>8</v>
      </c>
      <c r="E1018">
        <v>8</v>
      </c>
      <c r="F1018">
        <v>26.49</v>
      </c>
      <c r="G1018">
        <v>0</v>
      </c>
      <c r="H1018">
        <v>0</v>
      </c>
      <c r="I1018" s="3">
        <f>E1018+G1018+H1018</f>
        <v>8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12</v>
      </c>
      <c r="K1018" s="3">
        <f>I1018-J1018</f>
        <v>-4</v>
      </c>
      <c r="L1018" s="3" t="str">
        <f>IF(K1018&lt;-5,"CRÍTICO",IF(K1018&lt;0,"ATENÇÃO",IF(K1018&lt;=5,"BOM","EXCELENTE")))</f>
        <v>ATENÇÃO</v>
      </c>
      <c r="M1018">
        <v>8</v>
      </c>
      <c r="N1018">
        <v>97.56</v>
      </c>
      <c r="O1018">
        <v>32.515337423312893</v>
      </c>
    </row>
    <row r="1019" spans="1:15" hidden="1" x14ac:dyDescent="0.25">
      <c r="A1019" s="11">
        <v>46031</v>
      </c>
      <c r="B1019" t="s">
        <v>40</v>
      </c>
      <c r="C1019" t="s">
        <v>32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 s="3">
        <f>E1019+G1019+H1019</f>
        <v>19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20</v>
      </c>
      <c r="K1019" s="3">
        <f>I1019-J1019</f>
        <v>-1</v>
      </c>
      <c r="L1019" s="3" t="str">
        <f>IF(K1019&lt;-5,"CRÍTICO",IF(K1019&lt;0,"ATENÇÃO",IF(K1019&lt;=5,"BOM","EXCELENTE")))</f>
        <v>ATENÇÃO</v>
      </c>
      <c r="M1019">
        <v>18</v>
      </c>
      <c r="N1019">
        <v>97.11</v>
      </c>
      <c r="O1019">
        <v>37.408312958435211</v>
      </c>
    </row>
    <row r="1020" spans="1:15" hidden="1" x14ac:dyDescent="0.25">
      <c r="A1020" s="11">
        <v>46031</v>
      </c>
      <c r="B1020" t="s">
        <v>27</v>
      </c>
      <c r="C1020" t="s">
        <v>26</v>
      </c>
      <c r="D1020">
        <v>0</v>
      </c>
      <c r="E1020">
        <v>0</v>
      </c>
      <c r="F1020">
        <v>0</v>
      </c>
      <c r="G1020">
        <v>0</v>
      </c>
      <c r="H1020">
        <v>0</v>
      </c>
      <c r="I1020" s="3">
        <v>0</v>
      </c>
      <c r="J1020" s="3">
        <v>0</v>
      </c>
      <c r="K1020" s="3">
        <v>0</v>
      </c>
      <c r="L1020" s="3" t="str">
        <f>IF(K1020&lt;-5,"CRÍTICO",IF(K1020&lt;0,"ATENÇÃO",IF(K1020&lt;=5,"BOM","EXCELENTE")))</f>
        <v>BOM</v>
      </c>
      <c r="M1020">
        <v>0</v>
      </c>
      <c r="N1020">
        <v>0</v>
      </c>
      <c r="O1020">
        <v>0</v>
      </c>
    </row>
    <row r="1021" spans="1:15" hidden="1" x14ac:dyDescent="0.25">
      <c r="A1021" s="11">
        <v>46031</v>
      </c>
      <c r="B1021" t="s">
        <v>41</v>
      </c>
      <c r="C1021" t="s">
        <v>32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 s="3">
        <f>E1021+G1021+H1021</f>
        <v>24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20</v>
      </c>
      <c r="K1021" s="3">
        <f>I1021-J1021</f>
        <v>4</v>
      </c>
      <c r="L1021" s="3" t="str">
        <f>IF(K1021&lt;-5,"CRÍTICO",IF(K1021&lt;0,"ATENÇÃO",IF(K1021&lt;=5,"BOM","EXCELENTE")))</f>
        <v>BOM</v>
      </c>
      <c r="M1021">
        <v>26</v>
      </c>
      <c r="N1021">
        <v>100</v>
      </c>
      <c r="O1021">
        <v>30.470347648261761</v>
      </c>
    </row>
    <row r="1022" spans="1:15" hidden="1" x14ac:dyDescent="0.25">
      <c r="A1022" s="11">
        <v>46031</v>
      </c>
      <c r="B1022" t="s">
        <v>56</v>
      </c>
      <c r="C1022" t="s">
        <v>48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 s="3">
        <f>E1022+G1022+H1022</f>
        <v>28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16</v>
      </c>
      <c r="K1022" s="3">
        <f>I1022-J1022</f>
        <v>12</v>
      </c>
      <c r="L1022" s="3" t="str">
        <f>IF(K1022&lt;-5,"CRÍTICO",IF(K1022&lt;0,"ATENÇÃO",IF(K1022&lt;=5,"BOM","EXCELENTE")))</f>
        <v>EXCELENTE</v>
      </c>
      <c r="M1022">
        <v>24</v>
      </c>
      <c r="N1022">
        <v>100</v>
      </c>
      <c r="O1022">
        <v>32.371134020618562</v>
      </c>
    </row>
    <row r="1023" spans="1:15" hidden="1" x14ac:dyDescent="0.25">
      <c r="A1023" s="11">
        <v>46031</v>
      </c>
      <c r="B1023" t="s">
        <v>57</v>
      </c>
      <c r="C1023" t="s">
        <v>48</v>
      </c>
      <c r="D1023">
        <v>21</v>
      </c>
      <c r="E1023">
        <v>17</v>
      </c>
      <c r="F1023">
        <v>17.12</v>
      </c>
      <c r="G1023">
        <v>0</v>
      </c>
      <c r="H1023">
        <v>0</v>
      </c>
      <c r="I1023" s="3">
        <v>0</v>
      </c>
      <c r="J1023" s="3">
        <v>0</v>
      </c>
      <c r="K1023" s="3">
        <v>0</v>
      </c>
      <c r="L1023" s="3" t="str">
        <f>IF(K1023&lt;-5,"CRÍTICO",IF(K1023&lt;0,"ATENÇÃO",IF(K1023&lt;=5,"BOM","EXCELENTE")))</f>
        <v>BOM</v>
      </c>
      <c r="M1023">
        <v>16</v>
      </c>
      <c r="N1023">
        <v>98.32</v>
      </c>
      <c r="O1023">
        <v>32.318501170960189</v>
      </c>
    </row>
    <row r="1024" spans="1:15" hidden="1" x14ac:dyDescent="0.25">
      <c r="A1024" s="11">
        <v>46031</v>
      </c>
      <c r="B1024" t="s">
        <v>42</v>
      </c>
      <c r="C1024" t="s">
        <v>32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 s="3">
        <f>E1024+G1024+H1024</f>
        <v>34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20</v>
      </c>
      <c r="K1024" s="3">
        <f>I1024-J1024</f>
        <v>14</v>
      </c>
      <c r="L1024" s="3" t="str">
        <f>IF(K1024&lt;-5,"CRÍTICO",IF(K1024&lt;0,"ATENÇÃO",IF(K1024&lt;=5,"BOM","EXCELENTE")))</f>
        <v>EXCELENTE</v>
      </c>
      <c r="M1024">
        <v>29</v>
      </c>
      <c r="N1024">
        <v>96.43</v>
      </c>
      <c r="O1024">
        <v>27.015250544662312</v>
      </c>
    </row>
    <row r="1025" spans="1:15" hidden="1" x14ac:dyDescent="0.25">
      <c r="A1025" s="11">
        <v>46031</v>
      </c>
      <c r="B1025" t="s">
        <v>62</v>
      </c>
      <c r="C1025" t="s">
        <v>23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 s="3">
        <f>E1025+G1025+H1025</f>
        <v>14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13</v>
      </c>
      <c r="K1025" s="3">
        <f>I1025-J1025</f>
        <v>1</v>
      </c>
      <c r="L1025" s="3" t="str">
        <f>IF(K1025&lt;-5,"CRÍTICO",IF(K1025&lt;0,"ATENÇÃO",IF(K1025&lt;=5,"BOM","EXCELENTE")))</f>
        <v>BOM</v>
      </c>
      <c r="M1025">
        <v>12</v>
      </c>
      <c r="N1025">
        <v>98.89</v>
      </c>
      <c r="O1025">
        <v>28.021978021978018</v>
      </c>
    </row>
    <row r="1026" spans="1:15" hidden="1" x14ac:dyDescent="0.25">
      <c r="A1026" s="11">
        <v>46031</v>
      </c>
      <c r="B1026" t="s">
        <v>19</v>
      </c>
      <c r="C1026" t="s">
        <v>16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 s="3">
        <f>E1026+G1026+H1026</f>
        <v>10</v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>6</v>
      </c>
      <c r="K1026" s="3">
        <f>I1026-J1026</f>
        <v>4</v>
      </c>
      <c r="L1026" s="3" t="str">
        <f>IF(K1026&lt;-5,"CRÍTICO",IF(K1026&lt;0,"ATENÇÃO",IF(K1026&lt;=5,"BOM","EXCELENTE")))</f>
        <v>BOM</v>
      </c>
      <c r="M1026">
        <v>8</v>
      </c>
      <c r="N1026">
        <v>100</v>
      </c>
      <c r="O1026">
        <v>33.333333333333329</v>
      </c>
    </row>
    <row r="1027" spans="1:15" hidden="1" x14ac:dyDescent="0.25">
      <c r="A1027" s="11">
        <v>46031</v>
      </c>
      <c r="B1027" t="s">
        <v>43</v>
      </c>
      <c r="C1027" t="s">
        <v>32</v>
      </c>
      <c r="D1027">
        <v>0</v>
      </c>
      <c r="E1027">
        <v>0</v>
      </c>
      <c r="F1027">
        <v>0</v>
      </c>
      <c r="G1027">
        <v>0</v>
      </c>
      <c r="H1027">
        <v>0</v>
      </c>
      <c r="I1027" s="3">
        <v>0</v>
      </c>
      <c r="J1027" s="3">
        <v>0</v>
      </c>
      <c r="K1027" s="3">
        <v>0</v>
      </c>
      <c r="L1027" s="3" t="str">
        <f>IF(K1027&lt;-5,"CRÍTICO",IF(K1027&lt;0,"ATENÇÃO",IF(K1027&lt;=5,"BOM","EXCELENTE")))</f>
        <v>BOM</v>
      </c>
      <c r="M1027">
        <v>0</v>
      </c>
      <c r="N1027">
        <v>100</v>
      </c>
      <c r="O1027">
        <v>27.43362831858407</v>
      </c>
    </row>
    <row r="1028" spans="1:15" hidden="1" x14ac:dyDescent="0.25">
      <c r="A1028" s="11">
        <v>46031</v>
      </c>
      <c r="B1028" t="s">
        <v>44</v>
      </c>
      <c r="C1028" t="s">
        <v>32</v>
      </c>
      <c r="D1028">
        <v>37</v>
      </c>
      <c r="E1028">
        <v>29</v>
      </c>
      <c r="F1028">
        <v>8.36</v>
      </c>
      <c r="G1028">
        <v>0</v>
      </c>
      <c r="H1028">
        <v>0</v>
      </c>
      <c r="I1028" s="3">
        <f>E1028+G1028+H1028</f>
        <v>29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20</v>
      </c>
      <c r="K1028" s="3">
        <f>I1028-J1028</f>
        <v>9</v>
      </c>
      <c r="L1028" s="3" t="str">
        <f>IF(K1028&lt;-5,"CRÍTICO",IF(K1028&lt;0,"ATENÇÃO",IF(K1028&lt;=5,"BOM","EXCELENTE")))</f>
        <v>EXCELENTE</v>
      </c>
      <c r="M1028">
        <v>24</v>
      </c>
      <c r="N1028">
        <v>98.65</v>
      </c>
      <c r="O1028">
        <v>30.978260869565219</v>
      </c>
    </row>
    <row r="1029" spans="1:15" hidden="1" x14ac:dyDescent="0.25">
      <c r="A1029" s="11">
        <v>46031</v>
      </c>
      <c r="B1029" t="s">
        <v>20</v>
      </c>
      <c r="C1029" t="s">
        <v>16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>
        <v>0</v>
      </c>
      <c r="N1029">
        <v>100</v>
      </c>
      <c r="O1029">
        <v>12</v>
      </c>
    </row>
    <row r="1030" spans="1:15" hidden="1" x14ac:dyDescent="0.25">
      <c r="A1030" s="11">
        <v>46031</v>
      </c>
      <c r="B1030" t="s">
        <v>28</v>
      </c>
      <c r="C1030" t="s">
        <v>26</v>
      </c>
      <c r="D1030">
        <v>0</v>
      </c>
      <c r="E1030">
        <v>0</v>
      </c>
      <c r="F1030">
        <v>0</v>
      </c>
      <c r="G1030">
        <v>0</v>
      </c>
      <c r="H1030">
        <v>0</v>
      </c>
      <c r="I1030" s="3">
        <v>0</v>
      </c>
      <c r="J1030" s="3">
        <v>0</v>
      </c>
      <c r="K1030" s="3">
        <v>0</v>
      </c>
      <c r="L1030" s="3" t="str">
        <f>IF(K1030&lt;-5,"CRÍTICO",IF(K1030&lt;0,"ATENÇÃO",IF(K1030&lt;=5,"BOM","EXCELENTE")))</f>
        <v>BOM</v>
      </c>
      <c r="M1030">
        <v>0</v>
      </c>
      <c r="N1030">
        <v>0</v>
      </c>
      <c r="O1030">
        <v>0</v>
      </c>
    </row>
    <row r="1031" spans="1:15" hidden="1" x14ac:dyDescent="0.25">
      <c r="A1031" s="11">
        <v>46031</v>
      </c>
      <c r="B1031" t="s">
        <v>58</v>
      </c>
      <c r="C1031" t="s">
        <v>48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 s="3">
        <f>E1031+G1031+H1031</f>
        <v>20</v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>16</v>
      </c>
      <c r="K1031" s="3">
        <f>I1031-J1031</f>
        <v>4</v>
      </c>
      <c r="L1031" s="3" t="str">
        <f>IF(K1031&lt;-5,"CRÍTICO",IF(K1031&lt;0,"ATENÇÃO",IF(K1031&lt;=5,"BOM","EXCELENTE")))</f>
        <v>BOM</v>
      </c>
      <c r="M1031">
        <v>15</v>
      </c>
      <c r="N1031">
        <v>97.56</v>
      </c>
      <c r="O1031">
        <v>31.067961165048541</v>
      </c>
    </row>
    <row r="1032" spans="1:15" hidden="1" x14ac:dyDescent="0.25">
      <c r="A1032" s="11">
        <v>46031</v>
      </c>
      <c r="B1032" t="s">
        <v>29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30</v>
      </c>
      <c r="C1033" t="s">
        <v>26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21</v>
      </c>
      <c r="C1034" t="s">
        <v>16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>
        <v>0</v>
      </c>
      <c r="N1034">
        <v>0</v>
      </c>
      <c r="O1034">
        <v>0</v>
      </c>
    </row>
    <row r="1035" spans="1:15" hidden="1" x14ac:dyDescent="0.25">
      <c r="A1035" s="11">
        <v>46031</v>
      </c>
      <c r="B1035" t="s">
        <v>63</v>
      </c>
      <c r="C1035" t="s">
        <v>23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>
        <v>0</v>
      </c>
      <c r="N1035">
        <v>100</v>
      </c>
      <c r="O1035">
        <v>53.846153846153847</v>
      </c>
    </row>
    <row r="1036" spans="1:15" hidden="1" x14ac:dyDescent="0.25">
      <c r="A1036" s="11">
        <v>46031</v>
      </c>
      <c r="B1036" t="s">
        <v>45</v>
      </c>
      <c r="C1036" t="s">
        <v>32</v>
      </c>
      <c r="D1036">
        <v>0</v>
      </c>
      <c r="E1036">
        <v>0</v>
      </c>
      <c r="F1036">
        <v>0</v>
      </c>
      <c r="G1036">
        <v>0</v>
      </c>
      <c r="H1036">
        <v>0</v>
      </c>
      <c r="I1036" s="3">
        <v>0</v>
      </c>
      <c r="J1036" s="3">
        <v>0</v>
      </c>
      <c r="K1036" s="3">
        <v>0</v>
      </c>
      <c r="L1036" s="3" t="str">
        <f>IF(K1036&lt;-5,"CRÍTICO",IF(K1036&lt;0,"ATENÇÃO",IF(K1036&lt;=5,"BOM","EXCELENTE")))</f>
        <v>BOM</v>
      </c>
      <c r="M1036">
        <v>0</v>
      </c>
      <c r="N1036">
        <v>100</v>
      </c>
      <c r="O1036">
        <v>44.05594405594406</v>
      </c>
    </row>
    <row r="1037" spans="1:15" hidden="1" x14ac:dyDescent="0.25">
      <c r="A1037" s="11">
        <v>46031</v>
      </c>
      <c r="B1037" t="s">
        <v>64</v>
      </c>
      <c r="C1037" t="s">
        <v>23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 s="3">
        <f>E1037+G1037+H1037</f>
        <v>16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13</v>
      </c>
      <c r="K1037" s="3">
        <f>I1037-J1037</f>
        <v>3</v>
      </c>
      <c r="L1037" s="3" t="str">
        <f>IF(K1037&lt;-5,"CRÍTICO",IF(K1037&lt;0,"ATENÇÃO",IF(K1037&lt;=5,"BOM","EXCELENTE")))</f>
        <v>BOM</v>
      </c>
      <c r="M1037">
        <v>16</v>
      </c>
      <c r="N1037">
        <v>100</v>
      </c>
      <c r="O1037">
        <v>31.872509960159359</v>
      </c>
    </row>
    <row r="1038" spans="1:15" hidden="1" x14ac:dyDescent="0.25">
      <c r="A1038" s="11">
        <v>46031</v>
      </c>
      <c r="B1038" t="s">
        <v>46</v>
      </c>
      <c r="C1038" t="s">
        <v>32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 s="3">
        <f>E1038+G1038+H1038</f>
        <v>27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20</v>
      </c>
      <c r="K1038" s="3">
        <f>I1038-J1038</f>
        <v>7</v>
      </c>
      <c r="L1038" s="3" t="str">
        <f>IF(K1038&lt;-5,"CRÍTICO",IF(K1038&lt;0,"ATENÇÃO",IF(K1038&lt;=5,"BOM","EXCELENTE")))</f>
        <v>EXCELENTE</v>
      </c>
      <c r="M1038">
        <v>24</v>
      </c>
      <c r="N1038">
        <v>98.41</v>
      </c>
      <c r="O1038">
        <v>29.22465208747515</v>
      </c>
    </row>
    <row r="1039" spans="1:15" hidden="1" x14ac:dyDescent="0.25">
      <c r="A1039" s="11">
        <v>46034</v>
      </c>
      <c r="B1039" t="s">
        <v>47</v>
      </c>
      <c r="C1039" t="s">
        <v>48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 s="3">
        <f>E1039+G1039+H1039</f>
        <v>19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16</v>
      </c>
      <c r="K1039" s="3">
        <f>I1039-J1039</f>
        <v>3</v>
      </c>
      <c r="L1039" s="3" t="str">
        <f>IF(K1039&lt;-5,"CRÍTICO",IF(K1039&lt;0,"ATENÇÃO",IF(K1039&lt;=5,"BOM","EXCELENTE")))</f>
        <v>BOM</v>
      </c>
      <c r="M1039">
        <v>16</v>
      </c>
      <c r="N1039">
        <v>96.81</v>
      </c>
      <c r="O1039">
        <v>27.980535279805348</v>
      </c>
    </row>
    <row r="1040" spans="1:15" hidden="1" x14ac:dyDescent="0.25">
      <c r="A1040" s="11">
        <v>46034</v>
      </c>
      <c r="B1040" t="s">
        <v>31</v>
      </c>
      <c r="C1040" t="s">
        <v>32</v>
      </c>
      <c r="D1040">
        <v>0</v>
      </c>
      <c r="E1040">
        <v>0</v>
      </c>
      <c r="F1040">
        <v>0</v>
      </c>
      <c r="G1040">
        <v>0</v>
      </c>
      <c r="H1040">
        <v>0</v>
      </c>
      <c r="I1040" s="3">
        <v>0</v>
      </c>
      <c r="J1040" s="3">
        <v>0</v>
      </c>
      <c r="K1040" s="3">
        <v>0</v>
      </c>
      <c r="L1040" s="3" t="str">
        <f>IF(K1040&lt;-5,"CRÍTICO",IF(K1040&lt;0,"ATENÇÃO",IF(K1040&lt;=5,"BOM","EXCELENTE")))</f>
        <v>BOM</v>
      </c>
      <c r="M1040">
        <v>23</v>
      </c>
      <c r="N1040">
        <v>98.73</v>
      </c>
      <c r="O1040">
        <v>35.756385068762278</v>
      </c>
    </row>
    <row r="1041" spans="1:15" hidden="1" x14ac:dyDescent="0.25">
      <c r="A1041" s="11">
        <v>46034</v>
      </c>
      <c r="B1041" t="s">
        <v>59</v>
      </c>
      <c r="C1041" t="s">
        <v>23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 s="3">
        <f>E1041+G1041+H1041</f>
        <v>28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13</v>
      </c>
      <c r="K1041" s="3">
        <f>I1041-J1041</f>
        <v>15</v>
      </c>
      <c r="L1041" s="3" t="str">
        <f>IF(K1041&lt;-5,"CRÍTICO",IF(K1041&lt;0,"ATENÇÃO",IF(K1041&lt;=5,"BOM","EXCELENTE")))</f>
        <v>EXCELENTE</v>
      </c>
      <c r="M1041">
        <v>20</v>
      </c>
      <c r="N1041">
        <v>98.32</v>
      </c>
      <c r="O1041">
        <v>26.763485477178421</v>
      </c>
    </row>
    <row r="1042" spans="1:15" hidden="1" x14ac:dyDescent="0.25">
      <c r="A1042" s="11">
        <v>46034</v>
      </c>
      <c r="B1042" t="s">
        <v>33</v>
      </c>
      <c r="C1042" t="s">
        <v>32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 s="3">
        <f>E1042+G1042+H1042</f>
        <v>30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20</v>
      </c>
      <c r="K1042" s="3">
        <f>I1042-J1042</f>
        <v>10</v>
      </c>
      <c r="L1042" s="3" t="str">
        <f>IF(K1042&lt;-5,"CRÍTICO",IF(K1042&lt;0,"ATENÇÃO",IF(K1042&lt;=5,"BOM","EXCELENTE")))</f>
        <v>EXCELENTE</v>
      </c>
      <c r="M1042">
        <v>24</v>
      </c>
      <c r="N1042">
        <v>99.19</v>
      </c>
      <c r="O1042">
        <v>27.637130801687761</v>
      </c>
    </row>
    <row r="1043" spans="1:15" hidden="1" x14ac:dyDescent="0.25">
      <c r="A1043" s="11">
        <v>46034</v>
      </c>
      <c r="B1043" t="s">
        <v>15</v>
      </c>
      <c r="C1043" t="s">
        <v>16</v>
      </c>
      <c r="D1043">
        <v>7</v>
      </c>
      <c r="E1043">
        <v>7</v>
      </c>
      <c r="F1043">
        <v>41.4</v>
      </c>
      <c r="G1043">
        <v>0</v>
      </c>
      <c r="H1043">
        <v>0</v>
      </c>
      <c r="I1043" s="3">
        <f>E1043+G1043+H1043</f>
        <v>7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6</v>
      </c>
      <c r="K1043" s="3">
        <f>I1043-J1043</f>
        <v>1</v>
      </c>
      <c r="L1043" s="3" t="str">
        <f>IF(K1043&lt;-5,"CRÍTICO",IF(K1043&lt;0,"ATENÇÃO",IF(K1043&lt;=5,"BOM","EXCELENTE")))</f>
        <v>BOM</v>
      </c>
      <c r="M1043">
        <v>5</v>
      </c>
      <c r="N1043">
        <v>100</v>
      </c>
      <c r="O1043">
        <v>39.568345323741013</v>
      </c>
    </row>
    <row r="1044" spans="1:15" hidden="1" x14ac:dyDescent="0.25">
      <c r="A1044" s="11">
        <v>46034</v>
      </c>
      <c r="B1044" t="s">
        <v>49</v>
      </c>
      <c r="C1044" t="s">
        <v>48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 s="3">
        <f>E1044+G1044+H1044</f>
        <v>30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14</v>
      </c>
      <c r="L1044" s="3" t="str">
        <f>IF(K1044&lt;-5,"CRÍTICO",IF(K1044&lt;0,"ATENÇÃO",IF(K1044&lt;=5,"BOM","EXCELENTE")))</f>
        <v>EXCELENTE</v>
      </c>
      <c r="M1044">
        <v>32</v>
      </c>
      <c r="N1044">
        <v>98.54</v>
      </c>
      <c r="O1044">
        <v>28.544776119402989</v>
      </c>
    </row>
    <row r="1045" spans="1:15" hidden="1" x14ac:dyDescent="0.25">
      <c r="A1045" s="11">
        <v>46034</v>
      </c>
      <c r="B1045" t="s">
        <v>50</v>
      </c>
      <c r="C1045" t="s">
        <v>48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 s="3">
        <f>E1045+G1045+H1045</f>
        <v>11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16</v>
      </c>
      <c r="K1045" s="3">
        <f>I1045-J1045</f>
        <v>-5</v>
      </c>
      <c r="L1045" s="3" t="str">
        <f>IF(K1045&lt;-5,"CRÍTICO",IF(K1045&lt;0,"ATENÇÃO",IF(K1045&lt;=5,"BOM","EXCELENTE")))</f>
        <v>ATENÇÃO</v>
      </c>
      <c r="M1045">
        <v>12</v>
      </c>
      <c r="N1045">
        <v>100</v>
      </c>
      <c r="O1045">
        <v>34.366925064599492</v>
      </c>
    </row>
    <row r="1046" spans="1:15" hidden="1" x14ac:dyDescent="0.25">
      <c r="A1046" s="11">
        <v>46034</v>
      </c>
      <c r="B1046" t="s">
        <v>17</v>
      </c>
      <c r="C1046" t="s">
        <v>16</v>
      </c>
      <c r="D1046">
        <v>0</v>
      </c>
      <c r="E1046">
        <v>0</v>
      </c>
      <c r="F1046">
        <v>0</v>
      </c>
      <c r="G1046">
        <v>0</v>
      </c>
      <c r="H1046">
        <v>0</v>
      </c>
      <c r="I1046" s="3">
        <v>0</v>
      </c>
      <c r="J1046" s="3">
        <v>0</v>
      </c>
      <c r="K1046" s="3">
        <v>0</v>
      </c>
      <c r="L1046" s="3" t="str">
        <f>IF(K1046&lt;-5,"CRÍTICO",IF(K1046&lt;0,"ATENÇÃO",IF(K1046&lt;=5,"BOM","EXCELENTE")))</f>
        <v>BOM</v>
      </c>
      <c r="M1046">
        <v>0</v>
      </c>
      <c r="N1046">
        <v>0</v>
      </c>
      <c r="O1046">
        <v>0</v>
      </c>
    </row>
    <row r="1047" spans="1:15" hidden="1" x14ac:dyDescent="0.25">
      <c r="A1047" s="11">
        <v>46034</v>
      </c>
      <c r="B1047" t="s">
        <v>60</v>
      </c>
      <c r="C1047" t="s">
        <v>23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 s="3">
        <f>E1047+G1047+H1047</f>
        <v>19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13</v>
      </c>
      <c r="K1047" s="3">
        <f>I1047-J1047</f>
        <v>6</v>
      </c>
      <c r="L1047" s="3" t="str">
        <f>IF(K1047&lt;-5,"CRÍTICO",IF(K1047&lt;0,"ATENÇÃO",IF(K1047&lt;=5,"BOM","EXCELENTE")))</f>
        <v>EXCELENTE</v>
      </c>
      <c r="M1047">
        <v>15</v>
      </c>
      <c r="N1047">
        <v>100</v>
      </c>
      <c r="O1047">
        <v>29.518072289156631</v>
      </c>
    </row>
    <row r="1048" spans="1:15" hidden="1" x14ac:dyDescent="0.25">
      <c r="A1048" s="11">
        <v>46034</v>
      </c>
      <c r="B1048" t="s">
        <v>34</v>
      </c>
      <c r="C1048" t="s">
        <v>32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 s="3">
        <f>E1048+G1048+H1048</f>
        <v>28</v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>20</v>
      </c>
      <c r="K1048" s="3">
        <f>I1048-J1048</f>
        <v>8</v>
      </c>
      <c r="L1048" s="3" t="str">
        <f>IF(K1048&lt;-5,"CRÍTICO",IF(K1048&lt;0,"ATENÇÃO",IF(K1048&lt;=5,"BOM","EXCELENTE")))</f>
        <v>EXCELENTE</v>
      </c>
      <c r="M1048">
        <v>27</v>
      </c>
      <c r="N1048">
        <v>97.45</v>
      </c>
      <c r="O1048">
        <v>41.421143847487002</v>
      </c>
    </row>
    <row r="1049" spans="1:15" hidden="1" x14ac:dyDescent="0.25">
      <c r="A1049" s="11">
        <v>46034</v>
      </c>
      <c r="B1049" t="s">
        <v>51</v>
      </c>
      <c r="C1049" t="s">
        <v>48</v>
      </c>
      <c r="D1049">
        <v>31</v>
      </c>
      <c r="E1049">
        <v>20</v>
      </c>
      <c r="F1049">
        <v>15.46</v>
      </c>
      <c r="G1049">
        <v>0</v>
      </c>
      <c r="H1049">
        <v>0</v>
      </c>
      <c r="I1049" s="3">
        <v>0</v>
      </c>
      <c r="J1049" s="3">
        <v>0</v>
      </c>
      <c r="K1049" s="3">
        <v>0</v>
      </c>
      <c r="L1049" s="3" t="str">
        <f>IF(K1049&lt;-5,"CRÍTICO",IF(K1049&lt;0,"ATENÇÃO",IF(K1049&lt;=5,"BOM","EXCELENTE")))</f>
        <v>BOM</v>
      </c>
      <c r="M1049">
        <v>21</v>
      </c>
      <c r="N1049">
        <v>96.58</v>
      </c>
      <c r="O1049">
        <v>30.396475770925111</v>
      </c>
    </row>
    <row r="1050" spans="1:15" hidden="1" x14ac:dyDescent="0.25">
      <c r="A1050" s="11">
        <v>46034</v>
      </c>
      <c r="B1050" t="s">
        <v>61</v>
      </c>
      <c r="C1050" t="s">
        <v>23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 s="3">
        <f>E1050+G1050+H1050</f>
        <v>32</v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13</v>
      </c>
      <c r="K1050" s="3">
        <f>I1050-J1050</f>
        <v>19</v>
      </c>
      <c r="L1050" s="3" t="str">
        <f>IF(K1050&lt;-5,"CRÍTICO",IF(K1050&lt;0,"ATENÇÃO",IF(K1050&lt;=5,"BOM","EXCELENTE")))</f>
        <v>EXCELENTE</v>
      </c>
      <c r="M1050">
        <v>38</v>
      </c>
      <c r="N1050">
        <v>100</v>
      </c>
      <c r="O1050">
        <v>27.44282744282744</v>
      </c>
    </row>
    <row r="1051" spans="1:15" hidden="1" x14ac:dyDescent="0.25">
      <c r="A1051" s="11">
        <v>46034</v>
      </c>
      <c r="B1051" t="s">
        <v>35</v>
      </c>
      <c r="C1051" t="s">
        <v>32</v>
      </c>
      <c r="D1051">
        <v>19</v>
      </c>
      <c r="E1051">
        <v>17</v>
      </c>
      <c r="F1051">
        <v>30.09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>
        <v>18</v>
      </c>
      <c r="N1051">
        <v>99.49</v>
      </c>
      <c r="O1051">
        <v>40.200000000000003</v>
      </c>
    </row>
    <row r="1052" spans="1:15" hidden="1" x14ac:dyDescent="0.25">
      <c r="A1052" s="11">
        <v>46034</v>
      </c>
      <c r="B1052" t="s">
        <v>18</v>
      </c>
      <c r="C1052" t="s">
        <v>16</v>
      </c>
      <c r="D1052">
        <v>0</v>
      </c>
      <c r="E1052">
        <v>0</v>
      </c>
      <c r="F1052">
        <v>0</v>
      </c>
      <c r="G1052">
        <v>0</v>
      </c>
      <c r="H1052">
        <v>0</v>
      </c>
      <c r="I1052" s="3">
        <v>0</v>
      </c>
      <c r="J1052" s="3">
        <v>0</v>
      </c>
      <c r="K1052" s="3">
        <v>0</v>
      </c>
      <c r="L1052" s="3" t="str">
        <f>IF(K1052&lt;-5,"CRÍTICO",IF(K1052&lt;0,"ATENÇÃO",IF(K1052&lt;=5,"BOM","EXCELENTE")))</f>
        <v>BOM</v>
      </c>
      <c r="M1052">
        <v>0</v>
      </c>
      <c r="N1052">
        <v>100</v>
      </c>
      <c r="O1052">
        <v>25</v>
      </c>
    </row>
    <row r="1053" spans="1:15" hidden="1" x14ac:dyDescent="0.25">
      <c r="A1053" s="11">
        <v>46034</v>
      </c>
      <c r="B1053" t="s">
        <v>52</v>
      </c>
      <c r="C1053" t="s">
        <v>48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 s="3">
        <f>E1053+G1053+H1053</f>
        <v>28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16</v>
      </c>
      <c r="K1053" s="3">
        <f>I1053-J1053</f>
        <v>12</v>
      </c>
      <c r="L1053" s="3" t="str">
        <f>IF(K1053&lt;-5,"CRÍTICO",IF(K1053&lt;0,"ATENÇÃO",IF(K1053&lt;=5,"BOM","EXCELENTE")))</f>
        <v>EXCELENTE</v>
      </c>
      <c r="M1053">
        <v>25</v>
      </c>
      <c r="N1053">
        <v>100</v>
      </c>
      <c r="O1053">
        <v>34.15094339622641</v>
      </c>
    </row>
    <row r="1054" spans="1:15" hidden="1" x14ac:dyDescent="0.25">
      <c r="A1054" s="11">
        <v>46034</v>
      </c>
      <c r="B1054" t="s">
        <v>36</v>
      </c>
      <c r="C1054" t="s">
        <v>32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 s="3">
        <f>E1054+G1054+H1054</f>
        <v>16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20</v>
      </c>
      <c r="K1054" s="3">
        <f>I1054-J1054</f>
        <v>-4</v>
      </c>
      <c r="L1054" s="3" t="str">
        <f>IF(K1054&lt;-5,"CRÍTICO",IF(K1054&lt;0,"ATENÇÃO",IF(K1054&lt;=5,"BOM","EXCELENTE")))</f>
        <v>ATENÇÃO</v>
      </c>
      <c r="M1054">
        <v>17</v>
      </c>
      <c r="N1054">
        <v>100</v>
      </c>
      <c r="O1054">
        <v>32.731376975169297</v>
      </c>
    </row>
    <row r="1055" spans="1:15" hidden="1" x14ac:dyDescent="0.25">
      <c r="A1055" s="11">
        <v>46034</v>
      </c>
      <c r="B1055" t="s">
        <v>53</v>
      </c>
      <c r="C1055" t="s">
        <v>48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 s="3">
        <f>E1055+G1055+H1055</f>
        <v>21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16</v>
      </c>
      <c r="K1055" s="3">
        <f>I1055-J1055</f>
        <v>5</v>
      </c>
      <c r="L1055" s="3" t="str">
        <f>IF(K1055&lt;-5,"CRÍTICO",IF(K1055&lt;0,"ATENÇÃO",IF(K1055&lt;=5,"BOM","EXCELENTE")))</f>
        <v>BOM</v>
      </c>
      <c r="M1055">
        <v>16</v>
      </c>
      <c r="N1055">
        <v>99.31</v>
      </c>
      <c r="O1055">
        <v>30.96234309623431</v>
      </c>
    </row>
    <row r="1056" spans="1:15" hidden="1" x14ac:dyDescent="0.25">
      <c r="A1056" s="11">
        <v>46066</v>
      </c>
      <c r="B1056" t="s">
        <v>22</v>
      </c>
      <c r="C1056" t="s">
        <v>23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>E1056+G1056+H1056</f>
        <v>1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18</v>
      </c>
      <c r="K1056" s="3">
        <f>I1056-J1056</f>
        <v>-17</v>
      </c>
      <c r="L1056" s="3" t="str">
        <f>IF(K1056&lt;-5,"CRÍTICO",IF(K1056&lt;0,"ATENÇÃO",IF(K1056&lt;=5,"BOM","EXCELENTE")))</f>
        <v>CRÍTICO</v>
      </c>
      <c r="M1056">
        <v>14</v>
      </c>
      <c r="N1056">
        <v>96.67</v>
      </c>
      <c r="O1056">
        <v>31.451612903225811</v>
      </c>
    </row>
    <row r="1057" spans="1:15" hidden="1" x14ac:dyDescent="0.25">
      <c r="A1057" s="11">
        <v>46034</v>
      </c>
      <c r="B1057" t="s">
        <v>54</v>
      </c>
      <c r="C1057" t="s">
        <v>48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 s="3">
        <f>E1057+G1057+H1057</f>
        <v>25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16</v>
      </c>
      <c r="K1057" s="3">
        <f>I1057-J1057</f>
        <v>9</v>
      </c>
      <c r="L1057" s="3" t="str">
        <f>IF(K1057&lt;-5,"CRÍTICO",IF(K1057&lt;0,"ATENÇÃO",IF(K1057&lt;=5,"BOM","EXCELENTE")))</f>
        <v>EXCELENTE</v>
      </c>
      <c r="M1057">
        <v>19</v>
      </c>
      <c r="N1057">
        <v>100</v>
      </c>
      <c r="O1057">
        <v>27.676767676767678</v>
      </c>
    </row>
    <row r="1058" spans="1:15" hidden="1" x14ac:dyDescent="0.25">
      <c r="A1058" s="11">
        <v>46034</v>
      </c>
      <c r="B1058" t="s">
        <v>37</v>
      </c>
      <c r="C1058" t="s">
        <v>32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 s="3">
        <f>E1058+G1058+H1058</f>
        <v>34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14</v>
      </c>
      <c r="L1058" s="3" t="str">
        <f>IF(K1058&lt;-5,"CRÍTICO",IF(K1058&lt;0,"ATENÇÃO",IF(K1058&lt;=5,"BOM","EXCELENTE")))</f>
        <v>EXCELENTE</v>
      </c>
      <c r="M1058">
        <v>33</v>
      </c>
      <c r="N1058">
        <v>100</v>
      </c>
      <c r="O1058">
        <v>31.17723156532988</v>
      </c>
    </row>
    <row r="1059" spans="1:15" hidden="1" x14ac:dyDescent="0.25">
      <c r="A1059" s="11">
        <v>46034</v>
      </c>
      <c r="B1059" t="s">
        <v>38</v>
      </c>
      <c r="C1059" t="s">
        <v>32</v>
      </c>
      <c r="D1059">
        <v>1</v>
      </c>
      <c r="E1059">
        <v>1</v>
      </c>
      <c r="F1059">
        <v>31.49</v>
      </c>
      <c r="G1059">
        <v>0</v>
      </c>
      <c r="H1059">
        <v>0</v>
      </c>
      <c r="I1059" s="3">
        <f>E1059+G1059+H1059</f>
        <v>1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20</v>
      </c>
      <c r="K1059" s="3">
        <f>I1059-J1059</f>
        <v>-19</v>
      </c>
      <c r="L1059" s="3" t="str">
        <f>IF(K1059&lt;-5,"CRÍTICO",IF(K1059&lt;0,"ATENÇÃO",IF(K1059&lt;=5,"BOM","EXCELENTE")))</f>
        <v>CRÍTICO</v>
      </c>
      <c r="M1059">
        <v>1</v>
      </c>
      <c r="N1059">
        <v>100</v>
      </c>
      <c r="O1059">
        <v>27.609427609427609</v>
      </c>
    </row>
    <row r="1060" spans="1:15" hidden="1" x14ac:dyDescent="0.25">
      <c r="A1060" s="11">
        <v>46034</v>
      </c>
      <c r="B1060" t="s">
        <v>55</v>
      </c>
      <c r="C1060" t="s">
        <v>48</v>
      </c>
      <c r="D1060">
        <v>34</v>
      </c>
      <c r="E1060">
        <v>24</v>
      </c>
      <c r="F1060">
        <v>16.5</v>
      </c>
      <c r="G1060">
        <v>0</v>
      </c>
      <c r="H1060">
        <v>0</v>
      </c>
      <c r="I1060" s="3">
        <f>E1060+G1060+H1060</f>
        <v>24</v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>16</v>
      </c>
      <c r="K1060" s="3">
        <f>I1060-J1060</f>
        <v>8</v>
      </c>
      <c r="L1060" s="3" t="str">
        <f>IF(K1060&lt;-5,"CRÍTICO",IF(K1060&lt;0,"ATENÇÃO",IF(K1060&lt;=5,"BOM","EXCELENTE")))</f>
        <v>EXCELENTE</v>
      </c>
      <c r="M1060">
        <v>21</v>
      </c>
      <c r="N1060">
        <v>96.4</v>
      </c>
      <c r="O1060">
        <v>28.764044943820231</v>
      </c>
    </row>
    <row r="1061" spans="1:15" hidden="1" x14ac:dyDescent="0.25">
      <c r="A1061" s="11">
        <v>46034</v>
      </c>
      <c r="B1061" t="s">
        <v>39</v>
      </c>
      <c r="C1061" t="s">
        <v>32</v>
      </c>
      <c r="D1061">
        <v>0</v>
      </c>
      <c r="E1061">
        <v>0</v>
      </c>
      <c r="F1061">
        <v>0</v>
      </c>
      <c r="G1061">
        <v>0</v>
      </c>
      <c r="H1061">
        <v>0</v>
      </c>
      <c r="I1061" s="3">
        <v>0</v>
      </c>
      <c r="J1061" s="3">
        <v>0</v>
      </c>
      <c r="K1061" s="3">
        <v>0</v>
      </c>
      <c r="L1061" s="3" t="str">
        <f>IF(K1061&lt;-5,"CRÍTICO",IF(K1061&lt;0,"ATENÇÃO",IF(K1061&lt;=5,"BOM","EXCELENTE")))</f>
        <v>BOM</v>
      </c>
      <c r="M1061">
        <v>14</v>
      </c>
      <c r="N1061">
        <v>100</v>
      </c>
      <c r="O1061">
        <v>33.980582524271853</v>
      </c>
    </row>
    <row r="1062" spans="1:15" hidden="1" x14ac:dyDescent="0.25">
      <c r="A1062" s="11">
        <v>46034</v>
      </c>
      <c r="B1062" t="s">
        <v>25</v>
      </c>
      <c r="C1062" t="s">
        <v>26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 s="3">
        <f>E1062+G1062+H1062</f>
        <v>11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12</v>
      </c>
      <c r="K1062" s="3">
        <f>I1062-J1062</f>
        <v>-1</v>
      </c>
      <c r="L1062" s="3" t="str">
        <f>IF(K1062&lt;-5,"CRÍTICO",IF(K1062&lt;0,"ATENÇÃO",IF(K1062&lt;=5,"BOM","EXCELENTE")))</f>
        <v>ATENÇÃO</v>
      </c>
      <c r="M1062">
        <v>11</v>
      </c>
      <c r="N1062">
        <v>97.56</v>
      </c>
      <c r="O1062">
        <v>32.515337423312893</v>
      </c>
    </row>
    <row r="1063" spans="1:15" hidden="1" x14ac:dyDescent="0.25">
      <c r="A1063" s="11">
        <v>46034</v>
      </c>
      <c r="B1063" t="s">
        <v>40</v>
      </c>
      <c r="C1063" t="s">
        <v>32</v>
      </c>
      <c r="D1063">
        <v>1</v>
      </c>
      <c r="E1063">
        <v>1</v>
      </c>
      <c r="F1063">
        <v>15.48</v>
      </c>
      <c r="G1063">
        <v>0</v>
      </c>
      <c r="H1063">
        <v>0</v>
      </c>
      <c r="I1063" s="3">
        <f>E1063+G1063+H1063</f>
        <v>1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20</v>
      </c>
      <c r="K1063" s="3">
        <f>I1063-J1063</f>
        <v>-19</v>
      </c>
      <c r="L1063" s="3" t="str">
        <f>IF(K1063&lt;-5,"CRÍTICO",IF(K1063&lt;0,"ATENÇÃO",IF(K1063&lt;=5,"BOM","EXCELENTE")))</f>
        <v>CRÍTICO</v>
      </c>
      <c r="M1063">
        <v>29</v>
      </c>
      <c r="N1063">
        <v>97.11</v>
      </c>
      <c r="O1063">
        <v>37.408312958435211</v>
      </c>
    </row>
    <row r="1064" spans="1:15" hidden="1" x14ac:dyDescent="0.25">
      <c r="A1064" s="11">
        <v>46034</v>
      </c>
      <c r="B1064" t="s">
        <v>27</v>
      </c>
      <c r="C1064" t="s">
        <v>26</v>
      </c>
      <c r="D1064">
        <v>0</v>
      </c>
      <c r="E1064">
        <v>0</v>
      </c>
      <c r="F1064">
        <v>0</v>
      </c>
      <c r="G1064">
        <v>0</v>
      </c>
      <c r="H1064">
        <v>0</v>
      </c>
      <c r="I1064" s="3">
        <v>0</v>
      </c>
      <c r="J1064" s="3">
        <v>0</v>
      </c>
      <c r="K1064" s="3">
        <v>0</v>
      </c>
      <c r="L1064" s="3" t="str">
        <f>IF(K1064&lt;-5,"CRÍTICO",IF(K1064&lt;0,"ATENÇÃO",IF(K1064&lt;=5,"BOM","EXCELENTE")))</f>
        <v>BOM</v>
      </c>
      <c r="M1064">
        <v>0</v>
      </c>
      <c r="N1064">
        <v>0</v>
      </c>
      <c r="O1064">
        <v>0</v>
      </c>
    </row>
    <row r="1065" spans="1:15" hidden="1" x14ac:dyDescent="0.25">
      <c r="A1065" s="11">
        <v>46034</v>
      </c>
      <c r="B1065" t="s">
        <v>41</v>
      </c>
      <c r="C1065" t="s">
        <v>32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 s="3">
        <f>E1065+G1065+H1065</f>
        <v>26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20</v>
      </c>
      <c r="K1065" s="3">
        <f>I1065-J1065</f>
        <v>6</v>
      </c>
      <c r="L1065" s="3" t="str">
        <f>IF(K1065&lt;-5,"CRÍTICO",IF(K1065&lt;0,"ATENÇÃO",IF(K1065&lt;=5,"BOM","EXCELENTE")))</f>
        <v>EXCELENTE</v>
      </c>
      <c r="M1065">
        <v>28</v>
      </c>
      <c r="N1065">
        <v>100</v>
      </c>
      <c r="O1065">
        <v>30.470347648261761</v>
      </c>
    </row>
    <row r="1066" spans="1:15" hidden="1" x14ac:dyDescent="0.25">
      <c r="A1066" s="11">
        <v>46034</v>
      </c>
      <c r="B1066" t="s">
        <v>56</v>
      </c>
      <c r="C1066" t="s">
        <v>48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 s="3">
        <f>E1066+G1066+H1066</f>
        <v>25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16</v>
      </c>
      <c r="K1066" s="3">
        <f>I1066-J1066</f>
        <v>9</v>
      </c>
      <c r="L1066" s="3" t="str">
        <f>IF(K1066&lt;-5,"CRÍTICO",IF(K1066&lt;0,"ATENÇÃO",IF(K1066&lt;=5,"BOM","EXCELENTE")))</f>
        <v>EXCELENTE</v>
      </c>
      <c r="M1066">
        <v>22</v>
      </c>
      <c r="N1066">
        <v>100</v>
      </c>
      <c r="O1066">
        <v>32.371134020618562</v>
      </c>
    </row>
    <row r="1067" spans="1:15" hidden="1" x14ac:dyDescent="0.25">
      <c r="A1067" s="11">
        <v>46034</v>
      </c>
      <c r="B1067" t="s">
        <v>57</v>
      </c>
      <c r="C1067" t="s">
        <v>48</v>
      </c>
      <c r="D1067">
        <v>14</v>
      </c>
      <c r="E1067">
        <v>14</v>
      </c>
      <c r="F1067">
        <v>25.14</v>
      </c>
      <c r="G1067">
        <v>0</v>
      </c>
      <c r="H1067">
        <v>0</v>
      </c>
      <c r="I1067" s="3">
        <v>0</v>
      </c>
      <c r="J1067" s="3">
        <v>0</v>
      </c>
      <c r="K1067" s="3">
        <v>0</v>
      </c>
      <c r="L1067" s="3" t="str">
        <f>IF(K1067&lt;-5,"CRÍTICO",IF(K1067&lt;0,"ATENÇÃO",IF(K1067&lt;=5,"BOM","EXCELENTE")))</f>
        <v>BOM</v>
      </c>
      <c r="M1067">
        <v>14</v>
      </c>
      <c r="N1067">
        <v>98.32</v>
      </c>
      <c r="O1067">
        <v>32.318501170960189</v>
      </c>
    </row>
    <row r="1068" spans="1:15" hidden="1" x14ac:dyDescent="0.25">
      <c r="A1068" s="11">
        <v>46034</v>
      </c>
      <c r="B1068" t="s">
        <v>42</v>
      </c>
      <c r="C1068" t="s">
        <v>32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 s="3">
        <f>E1068+G1068+H1068</f>
        <v>27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20</v>
      </c>
      <c r="K1068" s="3">
        <f>I1068-J1068</f>
        <v>7</v>
      </c>
      <c r="L1068" s="3" t="str">
        <f>IF(K1068&lt;-5,"CRÍTICO",IF(K1068&lt;0,"ATENÇÃO",IF(K1068&lt;=5,"BOM","EXCELENTE")))</f>
        <v>EXCELENTE</v>
      </c>
      <c r="M1068">
        <v>25</v>
      </c>
      <c r="N1068">
        <v>96.43</v>
      </c>
      <c r="O1068">
        <v>27.015250544662312</v>
      </c>
    </row>
    <row r="1069" spans="1:15" hidden="1" x14ac:dyDescent="0.25">
      <c r="A1069" s="11">
        <v>46034</v>
      </c>
      <c r="B1069" t="s">
        <v>62</v>
      </c>
      <c r="C1069" t="s">
        <v>23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 s="3">
        <f>E1069+G1069+H1069</f>
        <v>19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13</v>
      </c>
      <c r="K1069" s="3">
        <f>I1069-J1069</f>
        <v>6</v>
      </c>
      <c r="L1069" s="3" t="str">
        <f>IF(K1069&lt;-5,"CRÍTICO",IF(K1069&lt;0,"ATENÇÃO",IF(K1069&lt;=5,"BOM","EXCELENTE")))</f>
        <v>EXCELENTE</v>
      </c>
      <c r="M1069">
        <v>18</v>
      </c>
      <c r="N1069">
        <v>98.89</v>
      </c>
      <c r="O1069">
        <v>28.021978021978018</v>
      </c>
    </row>
    <row r="1070" spans="1:15" hidden="1" x14ac:dyDescent="0.25">
      <c r="A1070" s="11">
        <v>46034</v>
      </c>
      <c r="B1070" t="s">
        <v>19</v>
      </c>
      <c r="C1070" t="s">
        <v>16</v>
      </c>
      <c r="D1070">
        <v>4</v>
      </c>
      <c r="E1070">
        <v>4</v>
      </c>
      <c r="F1070">
        <v>96.56</v>
      </c>
      <c r="G1070">
        <v>0</v>
      </c>
      <c r="H1070">
        <v>0</v>
      </c>
      <c r="I1070" s="3">
        <f>E1070+G1070+H1070</f>
        <v>4</v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>6</v>
      </c>
      <c r="K1070" s="3">
        <f>I1070-J1070</f>
        <v>-2</v>
      </c>
      <c r="L1070" s="3" t="str">
        <f>IF(K1070&lt;-5,"CRÍTICO",IF(K1070&lt;0,"ATENÇÃO",IF(K1070&lt;=5,"BOM","EXCELENTE")))</f>
        <v>ATENÇÃO</v>
      </c>
      <c r="M1070">
        <v>4</v>
      </c>
      <c r="N1070">
        <v>100</v>
      </c>
      <c r="O1070">
        <v>33.333333333333329</v>
      </c>
    </row>
    <row r="1071" spans="1:15" hidden="1" x14ac:dyDescent="0.25">
      <c r="A1071" s="11">
        <v>46034</v>
      </c>
      <c r="B1071" t="s">
        <v>43</v>
      </c>
      <c r="C1071" t="s">
        <v>32</v>
      </c>
      <c r="D1071">
        <v>0</v>
      </c>
      <c r="E1071">
        <v>0</v>
      </c>
      <c r="F1071">
        <v>0</v>
      </c>
      <c r="G1071">
        <v>0</v>
      </c>
      <c r="H1071">
        <v>0</v>
      </c>
      <c r="I1071" s="3">
        <v>0</v>
      </c>
      <c r="J1071" s="3">
        <v>0</v>
      </c>
      <c r="K1071" s="3">
        <v>0</v>
      </c>
      <c r="L1071" s="3" t="str">
        <f>IF(K1071&lt;-5,"CRÍTICO",IF(K1071&lt;0,"ATENÇÃO",IF(K1071&lt;=5,"BOM","EXCELENTE")))</f>
        <v>BOM</v>
      </c>
      <c r="M1071">
        <v>0</v>
      </c>
      <c r="N1071">
        <v>100</v>
      </c>
      <c r="O1071">
        <v>27.43362831858407</v>
      </c>
    </row>
    <row r="1072" spans="1:15" hidden="1" x14ac:dyDescent="0.25">
      <c r="A1072" s="11">
        <v>46034</v>
      </c>
      <c r="B1072" t="s">
        <v>44</v>
      </c>
      <c r="C1072" t="s">
        <v>32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 s="3">
        <f>E1072+G1072+H1072</f>
        <v>30</v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>20</v>
      </c>
      <c r="K1072" s="3">
        <f>I1072-J1072</f>
        <v>10</v>
      </c>
      <c r="L1072" s="3" t="str">
        <f>IF(K1072&lt;-5,"CRÍTICO",IF(K1072&lt;0,"ATENÇÃO",IF(K1072&lt;=5,"BOM","EXCELENTE")))</f>
        <v>EXCELENTE</v>
      </c>
      <c r="M1072">
        <v>30</v>
      </c>
      <c r="N1072">
        <v>98.65</v>
      </c>
      <c r="O1072">
        <v>30.978260869565219</v>
      </c>
    </row>
    <row r="1073" spans="1:15" hidden="1" x14ac:dyDescent="0.25">
      <c r="A1073" s="11">
        <v>46034</v>
      </c>
      <c r="B1073" t="s">
        <v>20</v>
      </c>
      <c r="C1073" t="s">
        <v>16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>
        <v>0</v>
      </c>
      <c r="N1073">
        <v>100</v>
      </c>
      <c r="O1073">
        <v>12</v>
      </c>
    </row>
    <row r="1074" spans="1:15" hidden="1" x14ac:dyDescent="0.25">
      <c r="A1074" s="11">
        <v>46034</v>
      </c>
      <c r="B1074" t="s">
        <v>28</v>
      </c>
      <c r="C1074" t="s">
        <v>26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>
        <v>0</v>
      </c>
      <c r="N1074">
        <v>0</v>
      </c>
      <c r="O1074">
        <v>0</v>
      </c>
    </row>
    <row r="1075" spans="1:15" hidden="1" x14ac:dyDescent="0.25">
      <c r="A1075" s="11">
        <v>46034</v>
      </c>
      <c r="B1075" t="s">
        <v>58</v>
      </c>
      <c r="C1075" t="s">
        <v>48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>
        <v>0</v>
      </c>
      <c r="N1075">
        <v>97.56</v>
      </c>
      <c r="O1075">
        <v>31.067961165048541</v>
      </c>
    </row>
    <row r="1076" spans="1:15" hidden="1" x14ac:dyDescent="0.25">
      <c r="A1076" s="11">
        <v>46034</v>
      </c>
      <c r="B1076" t="s">
        <v>29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30</v>
      </c>
      <c r="C1077" t="s">
        <v>26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21</v>
      </c>
      <c r="C1078" t="s">
        <v>16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>
        <v>0</v>
      </c>
      <c r="N1078">
        <v>0</v>
      </c>
      <c r="O1078">
        <v>0</v>
      </c>
    </row>
    <row r="1079" spans="1:15" hidden="1" x14ac:dyDescent="0.25">
      <c r="A1079" s="11">
        <v>46034</v>
      </c>
      <c r="B1079" t="s">
        <v>63</v>
      </c>
      <c r="C1079" t="s">
        <v>23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>
        <v>0</v>
      </c>
      <c r="N1079">
        <v>100</v>
      </c>
      <c r="O1079">
        <v>53.846153846153847</v>
      </c>
    </row>
    <row r="1080" spans="1:15" hidden="1" x14ac:dyDescent="0.25">
      <c r="A1080" s="11">
        <v>46034</v>
      </c>
      <c r="B1080" t="s">
        <v>45</v>
      </c>
      <c r="C1080" t="s">
        <v>32</v>
      </c>
      <c r="D1080">
        <v>0</v>
      </c>
      <c r="E1080">
        <v>0</v>
      </c>
      <c r="F1080">
        <v>0</v>
      </c>
      <c r="G1080">
        <v>0</v>
      </c>
      <c r="H1080">
        <v>0</v>
      </c>
      <c r="I1080" s="3">
        <v>0</v>
      </c>
      <c r="J1080" s="3">
        <v>0</v>
      </c>
      <c r="K1080" s="3">
        <v>0</v>
      </c>
      <c r="L1080" s="3" t="str">
        <f>IF(K1080&lt;-5,"CRÍTICO",IF(K1080&lt;0,"ATENÇÃO",IF(K1080&lt;=5,"BOM","EXCELENTE")))</f>
        <v>BOM</v>
      </c>
      <c r="M1080">
        <v>0</v>
      </c>
      <c r="N1080">
        <v>100</v>
      </c>
      <c r="O1080">
        <v>44.05594405594406</v>
      </c>
    </row>
    <row r="1081" spans="1:15" hidden="1" x14ac:dyDescent="0.25">
      <c r="A1081" s="11">
        <v>46034</v>
      </c>
      <c r="B1081" t="s">
        <v>64</v>
      </c>
      <c r="C1081" t="s">
        <v>23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 s="3">
        <f>E1081+G1081+H1081</f>
        <v>16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13</v>
      </c>
      <c r="K1081" s="3">
        <f>I1081-J1081</f>
        <v>3</v>
      </c>
      <c r="L1081" s="3" t="str">
        <f>IF(K1081&lt;-5,"CRÍTICO",IF(K1081&lt;0,"ATENÇÃO",IF(K1081&lt;=5,"BOM","EXCELENTE")))</f>
        <v>BOM</v>
      </c>
      <c r="M1081">
        <v>13</v>
      </c>
      <c r="N1081">
        <v>100</v>
      </c>
      <c r="O1081">
        <v>31.872509960159359</v>
      </c>
    </row>
    <row r="1082" spans="1:15" hidden="1" x14ac:dyDescent="0.25">
      <c r="A1082" s="11">
        <v>46034</v>
      </c>
      <c r="B1082" t="s">
        <v>46</v>
      </c>
      <c r="C1082" t="s">
        <v>32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 s="3">
        <f>E1082+G1082+H1082</f>
        <v>20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20</v>
      </c>
      <c r="K1082" s="3">
        <f>I1082-J1082</f>
        <v>0</v>
      </c>
      <c r="L1082" s="3" t="str">
        <f>IF(K1082&lt;-5,"CRÍTICO",IF(K1082&lt;0,"ATENÇÃO",IF(K1082&lt;=5,"BOM","EXCELENTE")))</f>
        <v>BOM</v>
      </c>
      <c r="M1082">
        <v>20</v>
      </c>
      <c r="N1082">
        <v>98.41</v>
      </c>
      <c r="O1082">
        <v>29.22465208747515</v>
      </c>
    </row>
    <row r="1083" spans="1:15" hidden="1" x14ac:dyDescent="0.25">
      <c r="A1083" s="11">
        <v>46035</v>
      </c>
      <c r="B1083" t="s">
        <v>47</v>
      </c>
      <c r="C1083" t="s">
        <v>48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 s="3">
        <f>E1083+G1083+H1083</f>
        <v>26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18</v>
      </c>
      <c r="K1083" s="3">
        <f>I1083-J1083</f>
        <v>8</v>
      </c>
      <c r="L1083" s="3" t="str">
        <f>IF(K1083&lt;-5,"CRÍTICO",IF(K1083&lt;0,"ATENÇÃO",IF(K1083&lt;=5,"BOM","EXCELENTE")))</f>
        <v>EXCELENTE</v>
      </c>
      <c r="M1083">
        <v>20</v>
      </c>
      <c r="N1083">
        <v>96.81</v>
      </c>
      <c r="O1083">
        <v>27.980535279805348</v>
      </c>
    </row>
    <row r="1084" spans="1:15" hidden="1" x14ac:dyDescent="0.25">
      <c r="A1084" s="11">
        <v>46035</v>
      </c>
      <c r="B1084" t="s">
        <v>31</v>
      </c>
      <c r="C1084" t="s">
        <v>32</v>
      </c>
      <c r="D1084">
        <v>0</v>
      </c>
      <c r="E1084">
        <v>0</v>
      </c>
      <c r="F1084">
        <v>0</v>
      </c>
      <c r="G1084">
        <v>0</v>
      </c>
      <c r="H1084">
        <v>0</v>
      </c>
      <c r="I1084" s="3">
        <v>0</v>
      </c>
      <c r="J1084" s="3">
        <v>0</v>
      </c>
      <c r="K1084" s="3">
        <v>0</v>
      </c>
      <c r="L1084" s="3" t="str">
        <f>IF(K1084&lt;-5,"CRÍTICO",IF(K1084&lt;0,"ATENÇÃO",IF(K1084&lt;=5,"BOM","EXCELENTE")))</f>
        <v>BOM</v>
      </c>
      <c r="M1084">
        <v>15</v>
      </c>
      <c r="N1084">
        <v>98.73</v>
      </c>
      <c r="O1084">
        <v>35.756385068762278</v>
      </c>
    </row>
    <row r="1085" spans="1:15" hidden="1" x14ac:dyDescent="0.25">
      <c r="A1085" s="11">
        <v>46035</v>
      </c>
      <c r="B1085" t="s">
        <v>59</v>
      </c>
      <c r="C1085" t="s">
        <v>23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 s="3">
        <f>E1085+G1085+H1085</f>
        <v>21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14</v>
      </c>
      <c r="K1085" s="3">
        <f>I1085-J1085</f>
        <v>7</v>
      </c>
      <c r="L1085" s="3" t="str">
        <f>IF(K1085&lt;-5,"CRÍTICO",IF(K1085&lt;0,"ATENÇÃO",IF(K1085&lt;=5,"BOM","EXCELENTE")))</f>
        <v>EXCELENTE</v>
      </c>
      <c r="M1085">
        <v>22</v>
      </c>
      <c r="N1085">
        <v>98.32</v>
      </c>
      <c r="O1085">
        <v>26.763485477178421</v>
      </c>
    </row>
    <row r="1086" spans="1:15" hidden="1" x14ac:dyDescent="0.25">
      <c r="A1086" s="11">
        <v>46035</v>
      </c>
      <c r="B1086" t="s">
        <v>33</v>
      </c>
      <c r="C1086" t="s">
        <v>32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 s="3">
        <f>E1086+G1086+H1086</f>
        <v>19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22</v>
      </c>
      <c r="K1086" s="3">
        <f>I1086-J1086</f>
        <v>-3</v>
      </c>
      <c r="L1086" s="3" t="str">
        <f>IF(K1086&lt;-5,"CRÍTICO",IF(K1086&lt;0,"ATENÇÃO",IF(K1086&lt;=5,"BOM","EXCELENTE")))</f>
        <v>ATENÇÃO</v>
      </c>
      <c r="M1086">
        <v>16</v>
      </c>
      <c r="N1086">
        <v>99.19</v>
      </c>
      <c r="O1086">
        <v>27.637130801687761</v>
      </c>
    </row>
    <row r="1087" spans="1:15" hidden="1" x14ac:dyDescent="0.25">
      <c r="A1087" s="11">
        <v>46035</v>
      </c>
      <c r="B1087" t="s">
        <v>15</v>
      </c>
      <c r="C1087" t="s">
        <v>16</v>
      </c>
      <c r="D1087">
        <v>0</v>
      </c>
      <c r="E1087">
        <v>0</v>
      </c>
      <c r="F1087">
        <v>0</v>
      </c>
      <c r="G1087">
        <v>0</v>
      </c>
      <c r="H1087">
        <v>0</v>
      </c>
      <c r="I1087" s="3">
        <v>0</v>
      </c>
      <c r="J1087" s="3">
        <v>0</v>
      </c>
      <c r="K1087" s="3">
        <v>0</v>
      </c>
      <c r="L1087" s="3" t="str">
        <f>IF(K1087&lt;-5,"CRÍTICO",IF(K1087&lt;0,"ATENÇÃO",IF(K1087&lt;=5,"BOM","EXCELENTE")))</f>
        <v>BOM</v>
      </c>
      <c r="M1087">
        <v>0</v>
      </c>
      <c r="N1087">
        <v>100</v>
      </c>
      <c r="O1087">
        <v>39.568345323741013</v>
      </c>
    </row>
    <row r="1088" spans="1:15" hidden="1" x14ac:dyDescent="0.25">
      <c r="A1088" s="11">
        <v>46035</v>
      </c>
      <c r="B1088" t="s">
        <v>49</v>
      </c>
      <c r="C1088" t="s">
        <v>48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 s="3">
        <f>E1088+G1088+H1088</f>
        <v>26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8</v>
      </c>
      <c r="L1088" s="3" t="str">
        <f>IF(K1088&lt;-5,"CRÍTICO",IF(K1088&lt;0,"ATENÇÃO",IF(K1088&lt;=5,"BOM","EXCELENTE")))</f>
        <v>EXCELENTE</v>
      </c>
      <c r="M1088">
        <v>25</v>
      </c>
      <c r="N1088">
        <v>98.54</v>
      </c>
      <c r="O1088">
        <v>28.544776119402989</v>
      </c>
    </row>
    <row r="1089" spans="1:15" hidden="1" x14ac:dyDescent="0.25">
      <c r="A1089" s="11">
        <v>46035</v>
      </c>
      <c r="B1089" t="s">
        <v>50</v>
      </c>
      <c r="C1089" t="s">
        <v>48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 s="3">
        <f>E1089+G1089+H1089</f>
        <v>24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18</v>
      </c>
      <c r="K1089" s="3">
        <f>I1089-J1089</f>
        <v>6</v>
      </c>
      <c r="L1089" s="3" t="str">
        <f>IF(K1089&lt;-5,"CRÍTICO",IF(K1089&lt;0,"ATENÇÃO",IF(K1089&lt;=5,"BOM","EXCELENTE")))</f>
        <v>EXCELENTE</v>
      </c>
      <c r="M1089">
        <v>23</v>
      </c>
      <c r="N1089">
        <v>100</v>
      </c>
      <c r="O1089">
        <v>34.366925064599492</v>
      </c>
    </row>
    <row r="1090" spans="1:15" hidden="1" x14ac:dyDescent="0.25">
      <c r="A1090" s="11">
        <v>46035</v>
      </c>
      <c r="B1090" t="s">
        <v>17</v>
      </c>
      <c r="C1090" t="s">
        <v>16</v>
      </c>
      <c r="D1090">
        <v>0</v>
      </c>
      <c r="E1090">
        <v>0</v>
      </c>
      <c r="F1090">
        <v>0</v>
      </c>
      <c r="G1090">
        <v>0</v>
      </c>
      <c r="H1090">
        <v>0</v>
      </c>
      <c r="I1090" s="3">
        <v>0</v>
      </c>
      <c r="J1090" s="3">
        <v>0</v>
      </c>
      <c r="K1090" s="3">
        <v>0</v>
      </c>
      <c r="L1090" s="3" t="str">
        <f>IF(K1090&lt;-5,"CRÍTICO",IF(K1090&lt;0,"ATENÇÃO",IF(K1090&lt;=5,"BOM","EXCELENTE")))</f>
        <v>BOM</v>
      </c>
      <c r="M1090">
        <v>0</v>
      </c>
      <c r="N1090">
        <v>0</v>
      </c>
      <c r="O1090">
        <v>0</v>
      </c>
    </row>
    <row r="1091" spans="1:15" hidden="1" x14ac:dyDescent="0.25">
      <c r="A1091" s="11">
        <v>46035</v>
      </c>
      <c r="B1091" t="s">
        <v>60</v>
      </c>
      <c r="C1091" t="s">
        <v>23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 s="3">
        <f>E1091+G1091+H1091</f>
        <v>17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14</v>
      </c>
      <c r="K1091" s="3">
        <f>I1091-J1091</f>
        <v>3</v>
      </c>
      <c r="L1091" s="3" t="str">
        <f>IF(K1091&lt;-5,"CRÍTICO",IF(K1091&lt;0,"ATENÇÃO",IF(K1091&lt;=5,"BOM","EXCELENTE")))</f>
        <v>BOM</v>
      </c>
      <c r="M1091">
        <v>13</v>
      </c>
      <c r="N1091">
        <v>100</v>
      </c>
      <c r="O1091">
        <v>29.518072289156631</v>
      </c>
    </row>
    <row r="1092" spans="1:15" hidden="1" x14ac:dyDescent="0.25">
      <c r="A1092" s="11">
        <v>46035</v>
      </c>
      <c r="B1092" t="s">
        <v>34</v>
      </c>
      <c r="C1092" t="s">
        <v>32</v>
      </c>
      <c r="D1092">
        <v>36</v>
      </c>
      <c r="E1092">
        <v>35</v>
      </c>
      <c r="F1092">
        <v>15.3</v>
      </c>
      <c r="G1092">
        <v>0</v>
      </c>
      <c r="H1092">
        <v>0</v>
      </c>
      <c r="I1092" s="3">
        <f>E1092+G1092+H1092</f>
        <v>35</v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>22</v>
      </c>
      <c r="K1092" s="3">
        <f>I1092-J1092</f>
        <v>13</v>
      </c>
      <c r="L1092" s="3" t="str">
        <f>IF(K1092&lt;-5,"CRÍTICO",IF(K1092&lt;0,"ATENÇÃO",IF(K1092&lt;=5,"BOM","EXCELENTE")))</f>
        <v>EXCELENTE</v>
      </c>
      <c r="M1092">
        <v>28</v>
      </c>
      <c r="N1092">
        <v>97.45</v>
      </c>
      <c r="O1092">
        <v>41.421143847487002</v>
      </c>
    </row>
    <row r="1093" spans="1:15" hidden="1" x14ac:dyDescent="0.25">
      <c r="A1093" s="11">
        <v>46035</v>
      </c>
      <c r="B1093" t="s">
        <v>51</v>
      </c>
      <c r="C1093" t="s">
        <v>48</v>
      </c>
      <c r="D1093">
        <v>30</v>
      </c>
      <c r="E1093">
        <v>24</v>
      </c>
      <c r="F1093">
        <v>17.149999999999999</v>
      </c>
      <c r="G1093">
        <v>0</v>
      </c>
      <c r="H1093">
        <v>0</v>
      </c>
      <c r="I1093" s="3">
        <v>0</v>
      </c>
      <c r="J1093" s="3">
        <v>0</v>
      </c>
      <c r="K1093" s="3">
        <v>0</v>
      </c>
      <c r="L1093" s="3" t="str">
        <f>IF(K1093&lt;-5,"CRÍTICO",IF(K1093&lt;0,"ATENÇÃO",IF(K1093&lt;=5,"BOM","EXCELENTE")))</f>
        <v>BOM</v>
      </c>
      <c r="M1093">
        <v>17</v>
      </c>
      <c r="N1093">
        <v>96.58</v>
      </c>
      <c r="O1093">
        <v>30.396475770925111</v>
      </c>
    </row>
    <row r="1094" spans="1:15" hidden="1" x14ac:dyDescent="0.25">
      <c r="A1094" s="11">
        <v>46035</v>
      </c>
      <c r="B1094" t="s">
        <v>61</v>
      </c>
      <c r="C1094" t="s">
        <v>23</v>
      </c>
      <c r="D1094">
        <v>25</v>
      </c>
      <c r="E1094">
        <v>25</v>
      </c>
      <c r="F1094">
        <v>21.5</v>
      </c>
      <c r="G1094">
        <v>0</v>
      </c>
      <c r="H1094">
        <v>0</v>
      </c>
      <c r="I1094" s="3">
        <f>E1094+G1094+H1094</f>
        <v>25</v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14</v>
      </c>
      <c r="K1094" s="3">
        <f>I1094-J1094</f>
        <v>11</v>
      </c>
      <c r="L1094" s="3" t="str">
        <f>IF(K1094&lt;-5,"CRÍTICO",IF(K1094&lt;0,"ATENÇÃO",IF(K1094&lt;=5,"BOM","EXCELENTE")))</f>
        <v>EXCELENTE</v>
      </c>
      <c r="M1094">
        <v>26</v>
      </c>
      <c r="N1094">
        <v>100</v>
      </c>
      <c r="O1094">
        <v>27.44282744282744</v>
      </c>
    </row>
    <row r="1095" spans="1:15" hidden="1" x14ac:dyDescent="0.25">
      <c r="A1095" s="11">
        <v>46035</v>
      </c>
      <c r="B1095" t="s">
        <v>35</v>
      </c>
      <c r="C1095" t="s">
        <v>32</v>
      </c>
      <c r="D1095">
        <v>29</v>
      </c>
      <c r="E1095">
        <v>29</v>
      </c>
      <c r="F1095">
        <v>23.57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>
        <v>29</v>
      </c>
      <c r="N1095">
        <v>99.49</v>
      </c>
      <c r="O1095">
        <v>40.200000000000003</v>
      </c>
    </row>
    <row r="1096" spans="1:15" hidden="1" x14ac:dyDescent="0.25">
      <c r="A1096" s="11">
        <v>46035</v>
      </c>
      <c r="B1096" t="s">
        <v>18</v>
      </c>
      <c r="C1096" t="s">
        <v>16</v>
      </c>
      <c r="D1096">
        <v>0</v>
      </c>
      <c r="E1096">
        <v>0</v>
      </c>
      <c r="F1096">
        <v>0</v>
      </c>
      <c r="G1096">
        <v>0</v>
      </c>
      <c r="H1096">
        <v>0</v>
      </c>
      <c r="I1096" s="3">
        <v>0</v>
      </c>
      <c r="J1096" s="3">
        <v>0</v>
      </c>
      <c r="K1096" s="3">
        <v>0</v>
      </c>
      <c r="L1096" s="3" t="str">
        <f>IF(K1096&lt;-5,"CRÍTICO",IF(K1096&lt;0,"ATENÇÃO",IF(K1096&lt;=5,"BOM","EXCELENTE")))</f>
        <v>BOM</v>
      </c>
      <c r="M1096">
        <v>0</v>
      </c>
      <c r="N1096">
        <v>100</v>
      </c>
      <c r="O1096">
        <v>25</v>
      </c>
    </row>
    <row r="1097" spans="1:15" hidden="1" x14ac:dyDescent="0.25">
      <c r="A1097" s="11">
        <v>46035</v>
      </c>
      <c r="B1097" t="s">
        <v>52</v>
      </c>
      <c r="C1097" t="s">
        <v>48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 s="3">
        <f>E1097+G1097+H1097</f>
        <v>35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18</v>
      </c>
      <c r="K1097" s="3">
        <f>I1097-J1097</f>
        <v>17</v>
      </c>
      <c r="L1097" s="3" t="str">
        <f>IF(K1097&lt;-5,"CRÍTICO",IF(K1097&lt;0,"ATENÇÃO",IF(K1097&lt;=5,"BOM","EXCELENTE")))</f>
        <v>EXCELENTE</v>
      </c>
      <c r="M1097">
        <v>32</v>
      </c>
      <c r="N1097">
        <v>100</v>
      </c>
      <c r="O1097">
        <v>34.15094339622641</v>
      </c>
    </row>
    <row r="1098" spans="1:15" hidden="1" x14ac:dyDescent="0.25">
      <c r="A1098" s="11">
        <v>46035</v>
      </c>
      <c r="B1098" t="s">
        <v>36</v>
      </c>
      <c r="C1098" t="s">
        <v>32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 s="3">
        <f>E1098+G1098+H1098</f>
        <v>21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22</v>
      </c>
      <c r="K1098" s="3">
        <f>I1098-J1098</f>
        <v>-1</v>
      </c>
      <c r="L1098" s="3" t="str">
        <f>IF(K1098&lt;-5,"CRÍTICO",IF(K1098&lt;0,"ATENÇÃO",IF(K1098&lt;=5,"BOM","EXCELENTE")))</f>
        <v>ATENÇÃO</v>
      </c>
      <c r="M1098">
        <v>19</v>
      </c>
      <c r="N1098">
        <v>100</v>
      </c>
      <c r="O1098">
        <v>32.731376975169297</v>
      </c>
    </row>
    <row r="1099" spans="1:15" hidden="1" x14ac:dyDescent="0.25">
      <c r="A1099" s="11">
        <v>46035</v>
      </c>
      <c r="B1099" t="s">
        <v>53</v>
      </c>
      <c r="C1099" t="s">
        <v>48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 s="3">
        <f>E1099+G1099+H1099</f>
        <v>30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18</v>
      </c>
      <c r="K1099" s="3">
        <f>I1099-J1099</f>
        <v>12</v>
      </c>
      <c r="L1099" s="3" t="str">
        <f>IF(K1099&lt;-5,"CRÍTICO",IF(K1099&lt;0,"ATENÇÃO",IF(K1099&lt;=5,"BOM","EXCELENTE")))</f>
        <v>EXCELENTE</v>
      </c>
      <c r="M1099">
        <v>25</v>
      </c>
      <c r="N1099">
        <v>99.31</v>
      </c>
      <c r="O1099">
        <v>30.96234309623431</v>
      </c>
    </row>
    <row r="1100" spans="1:15" hidden="1" x14ac:dyDescent="0.25">
      <c r="A1100" s="11">
        <v>46069</v>
      </c>
      <c r="B1100" t="s">
        <v>22</v>
      </c>
      <c r="C1100" t="s">
        <v>23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>E1100+G1100+H1100</f>
        <v>5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5</v>
      </c>
      <c r="K1100" s="3">
        <f>I1100-J1100</f>
        <v>0</v>
      </c>
      <c r="L1100" s="3" t="str">
        <f>IF(K1100&lt;-5,"CRÍTICO",IF(K1100&lt;0,"ATENÇÃO",IF(K1100&lt;=5,"BOM","EXCELENTE")))</f>
        <v>BOM</v>
      </c>
      <c r="M1100">
        <v>5</v>
      </c>
      <c r="N1100">
        <v>96.67</v>
      </c>
      <c r="O1100">
        <v>31.451612903225811</v>
      </c>
    </row>
    <row r="1101" spans="1:15" hidden="1" x14ac:dyDescent="0.25">
      <c r="A1101" s="11">
        <v>46035</v>
      </c>
      <c r="B1101" t="s">
        <v>54</v>
      </c>
      <c r="C1101" t="s">
        <v>48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 s="3">
        <f>E1101+G1101+H1101</f>
        <v>32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18</v>
      </c>
      <c r="K1101" s="3">
        <f>I1101-J1101</f>
        <v>14</v>
      </c>
      <c r="L1101" s="3" t="str">
        <f>IF(K1101&lt;-5,"CRÍTICO",IF(K1101&lt;0,"ATENÇÃO",IF(K1101&lt;=5,"BOM","EXCELENTE")))</f>
        <v>EXCELENTE</v>
      </c>
      <c r="M1101">
        <v>29</v>
      </c>
      <c r="N1101">
        <v>100</v>
      </c>
      <c r="O1101">
        <v>27.676767676767678</v>
      </c>
    </row>
    <row r="1102" spans="1:15" hidden="1" x14ac:dyDescent="0.25">
      <c r="A1102" s="11">
        <v>46035</v>
      </c>
      <c r="B1102" t="s">
        <v>37</v>
      </c>
      <c r="C1102" t="s">
        <v>32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 s="3">
        <f>E1102+G1102+H1102</f>
        <v>44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22</v>
      </c>
      <c r="L1102" s="3" t="str">
        <f>IF(K1102&lt;-5,"CRÍTICO",IF(K1102&lt;0,"ATENÇÃO",IF(K1102&lt;=5,"BOM","EXCELENTE")))</f>
        <v>EXCELENTE</v>
      </c>
      <c r="M1102">
        <v>43</v>
      </c>
      <c r="N1102">
        <v>100</v>
      </c>
      <c r="O1102">
        <v>31.17723156532988</v>
      </c>
    </row>
    <row r="1103" spans="1:15" hidden="1" x14ac:dyDescent="0.25">
      <c r="A1103" s="11">
        <v>46035</v>
      </c>
      <c r="B1103" t="s">
        <v>38</v>
      </c>
      <c r="C1103" t="s">
        <v>32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 s="3">
        <f>E1103+G1103+H1103</f>
        <v>20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22</v>
      </c>
      <c r="K1103" s="3">
        <f>I1103-J1103</f>
        <v>-2</v>
      </c>
      <c r="L1103" s="3" t="str">
        <f>IF(K1103&lt;-5,"CRÍTICO",IF(K1103&lt;0,"ATENÇÃO",IF(K1103&lt;=5,"BOM","EXCELENTE")))</f>
        <v>ATENÇÃO</v>
      </c>
      <c r="M1103">
        <v>18</v>
      </c>
      <c r="N1103">
        <v>100</v>
      </c>
      <c r="O1103">
        <v>27.609427609427609</v>
      </c>
    </row>
    <row r="1104" spans="1:15" hidden="1" x14ac:dyDescent="0.25">
      <c r="A1104" s="11">
        <v>46035</v>
      </c>
      <c r="B1104" t="s">
        <v>55</v>
      </c>
      <c r="C1104" t="s">
        <v>48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 s="3">
        <f>E1104+G1104+H1104</f>
        <v>21</v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>18</v>
      </c>
      <c r="K1104" s="3">
        <f>I1104-J1104</f>
        <v>3</v>
      </c>
      <c r="L1104" s="3" t="str">
        <f>IF(K1104&lt;-5,"CRÍTICO",IF(K1104&lt;0,"ATENÇÃO",IF(K1104&lt;=5,"BOM","EXCELENTE")))</f>
        <v>BOM</v>
      </c>
      <c r="M1104">
        <v>21</v>
      </c>
      <c r="N1104">
        <v>96.4</v>
      </c>
      <c r="O1104">
        <v>28.764044943820231</v>
      </c>
    </row>
    <row r="1105" spans="1:15" hidden="1" x14ac:dyDescent="0.25">
      <c r="A1105" s="11">
        <v>46035</v>
      </c>
      <c r="B1105" t="s">
        <v>39</v>
      </c>
      <c r="C1105" t="s">
        <v>32</v>
      </c>
      <c r="D1105">
        <v>0</v>
      </c>
      <c r="E1105">
        <v>0</v>
      </c>
      <c r="F1105">
        <v>0</v>
      </c>
      <c r="G1105">
        <v>0</v>
      </c>
      <c r="H1105">
        <v>0</v>
      </c>
      <c r="I1105" s="3">
        <v>0</v>
      </c>
      <c r="J1105" s="3">
        <v>0</v>
      </c>
      <c r="K1105" s="3">
        <v>0</v>
      </c>
      <c r="L1105" s="3" t="str">
        <f>IF(K1105&lt;-5,"CRÍTICO",IF(K1105&lt;0,"ATENÇÃO",IF(K1105&lt;=5,"BOM","EXCELENTE")))</f>
        <v>BOM</v>
      </c>
      <c r="M1105">
        <v>13</v>
      </c>
      <c r="N1105">
        <v>100</v>
      </c>
      <c r="O1105">
        <v>33.980582524271853</v>
      </c>
    </row>
    <row r="1106" spans="1:15" hidden="1" x14ac:dyDescent="0.25">
      <c r="A1106" s="11">
        <v>46035</v>
      </c>
      <c r="B1106" t="s">
        <v>25</v>
      </c>
      <c r="C1106" t="s">
        <v>26</v>
      </c>
      <c r="D1106">
        <v>5</v>
      </c>
      <c r="E1106">
        <v>5</v>
      </c>
      <c r="F1106">
        <v>55.15</v>
      </c>
      <c r="G1106">
        <v>0</v>
      </c>
      <c r="H1106">
        <v>0</v>
      </c>
      <c r="I1106" s="3">
        <f>E1106+G1106+H1106</f>
        <v>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13</v>
      </c>
      <c r="K1106" s="3">
        <f>I1106-J1106</f>
        <v>-8</v>
      </c>
      <c r="L1106" s="3" t="str">
        <f>IF(K1106&lt;-5,"CRÍTICO",IF(K1106&lt;0,"ATENÇÃO",IF(K1106&lt;=5,"BOM","EXCELENTE")))</f>
        <v>CRÍTICO</v>
      </c>
      <c r="M1106">
        <v>5</v>
      </c>
      <c r="N1106">
        <v>97.56</v>
      </c>
      <c r="O1106">
        <v>32.515337423312893</v>
      </c>
    </row>
    <row r="1107" spans="1:15" hidden="1" x14ac:dyDescent="0.25">
      <c r="A1107" s="11">
        <v>46035</v>
      </c>
      <c r="B1107" t="s">
        <v>40</v>
      </c>
      <c r="C1107" t="s">
        <v>32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 s="3">
        <f>E1107+G1107+H1107</f>
        <v>23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22</v>
      </c>
      <c r="K1107" s="3">
        <f>I1107-J1107</f>
        <v>1</v>
      </c>
      <c r="L1107" s="3" t="str">
        <f>IF(K1107&lt;-5,"CRÍTICO",IF(K1107&lt;0,"ATENÇÃO",IF(K1107&lt;=5,"BOM","EXCELENTE")))</f>
        <v>BOM</v>
      </c>
      <c r="M1107">
        <v>18</v>
      </c>
      <c r="N1107">
        <v>97.11</v>
      </c>
      <c r="O1107">
        <v>37.408312958435211</v>
      </c>
    </row>
    <row r="1108" spans="1:15" hidden="1" x14ac:dyDescent="0.25">
      <c r="A1108" s="11">
        <v>46035</v>
      </c>
      <c r="B1108" t="s">
        <v>27</v>
      </c>
      <c r="C1108" t="s">
        <v>26</v>
      </c>
      <c r="D1108">
        <v>0</v>
      </c>
      <c r="E1108">
        <v>0</v>
      </c>
      <c r="F1108">
        <v>0</v>
      </c>
      <c r="G1108">
        <v>0</v>
      </c>
      <c r="H1108">
        <v>0</v>
      </c>
      <c r="I1108" s="3">
        <v>0</v>
      </c>
      <c r="J1108" s="3">
        <v>0</v>
      </c>
      <c r="K1108" s="3">
        <v>0</v>
      </c>
      <c r="L1108" s="3" t="str">
        <f>IF(K1108&lt;-5,"CRÍTICO",IF(K1108&lt;0,"ATENÇÃO",IF(K1108&lt;=5,"BOM","EXCELENTE")))</f>
        <v>BOM</v>
      </c>
      <c r="M1108">
        <v>0</v>
      </c>
      <c r="N1108">
        <v>0</v>
      </c>
      <c r="O1108">
        <v>0</v>
      </c>
    </row>
    <row r="1109" spans="1:15" hidden="1" x14ac:dyDescent="0.25">
      <c r="A1109" s="11">
        <v>46035</v>
      </c>
      <c r="B1109" t="s">
        <v>41</v>
      </c>
      <c r="C1109" t="s">
        <v>32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 s="3">
        <f>E1109+G1109+H1109</f>
        <v>25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22</v>
      </c>
      <c r="K1109" s="3">
        <f>I1109-J1109</f>
        <v>3</v>
      </c>
      <c r="L1109" s="3" t="str">
        <f>IF(K1109&lt;-5,"CRÍTICO",IF(K1109&lt;0,"ATENÇÃO",IF(K1109&lt;=5,"BOM","EXCELENTE")))</f>
        <v>BOM</v>
      </c>
      <c r="M1109">
        <v>20</v>
      </c>
      <c r="N1109">
        <v>100</v>
      </c>
      <c r="O1109">
        <v>30.470347648261761</v>
      </c>
    </row>
    <row r="1110" spans="1:15" hidden="1" x14ac:dyDescent="0.25">
      <c r="A1110" s="11">
        <v>46035</v>
      </c>
      <c r="B1110" t="s">
        <v>56</v>
      </c>
      <c r="C1110" t="s">
        <v>48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 s="3">
        <f>E1110+G1110+H1110</f>
        <v>15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18</v>
      </c>
      <c r="K1110" s="3">
        <f>I1110-J1110</f>
        <v>-3</v>
      </c>
      <c r="L1110" s="3" t="str">
        <f>IF(K1110&lt;-5,"CRÍTICO",IF(K1110&lt;0,"ATENÇÃO",IF(K1110&lt;=5,"BOM","EXCELENTE")))</f>
        <v>ATENÇÃO</v>
      </c>
      <c r="M1110">
        <v>10</v>
      </c>
      <c r="N1110">
        <v>100</v>
      </c>
      <c r="O1110">
        <v>32.371134020618562</v>
      </c>
    </row>
    <row r="1111" spans="1:15" hidden="1" x14ac:dyDescent="0.25">
      <c r="A1111" s="11">
        <v>46035</v>
      </c>
      <c r="B1111" t="s">
        <v>57</v>
      </c>
      <c r="C1111" t="s">
        <v>48</v>
      </c>
      <c r="D1111">
        <v>23</v>
      </c>
      <c r="E1111">
        <v>20</v>
      </c>
      <c r="F1111">
        <v>20.239999999999998</v>
      </c>
      <c r="G1111">
        <v>0</v>
      </c>
      <c r="H1111">
        <v>0</v>
      </c>
      <c r="I1111" s="3">
        <v>0</v>
      </c>
      <c r="J1111" s="3">
        <v>0</v>
      </c>
      <c r="K1111" s="3">
        <v>0</v>
      </c>
      <c r="L1111" s="3" t="str">
        <f>IF(K1111&lt;-5,"CRÍTICO",IF(K1111&lt;0,"ATENÇÃO",IF(K1111&lt;=5,"BOM","EXCELENTE")))</f>
        <v>BOM</v>
      </c>
      <c r="M1111">
        <v>18</v>
      </c>
      <c r="N1111">
        <v>98.32</v>
      </c>
      <c r="O1111">
        <v>32.318501170960189</v>
      </c>
    </row>
    <row r="1112" spans="1:15" hidden="1" x14ac:dyDescent="0.25">
      <c r="A1112" s="11">
        <v>46035</v>
      </c>
      <c r="B1112" t="s">
        <v>42</v>
      </c>
      <c r="C1112" t="s">
        <v>32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 s="3">
        <f>E1112+G1112+H1112</f>
        <v>29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22</v>
      </c>
      <c r="K1112" s="3">
        <f>I1112-J1112</f>
        <v>7</v>
      </c>
      <c r="L1112" s="3" t="str">
        <f>IF(K1112&lt;-5,"CRÍTICO",IF(K1112&lt;0,"ATENÇÃO",IF(K1112&lt;=5,"BOM","EXCELENTE")))</f>
        <v>EXCELENTE</v>
      </c>
      <c r="M1112">
        <v>18</v>
      </c>
      <c r="N1112">
        <v>96.43</v>
      </c>
      <c r="O1112">
        <v>27.015250544662312</v>
      </c>
    </row>
    <row r="1113" spans="1:15" hidden="1" x14ac:dyDescent="0.25">
      <c r="A1113" s="11">
        <v>46035</v>
      </c>
      <c r="B1113" t="s">
        <v>62</v>
      </c>
      <c r="C1113" t="s">
        <v>23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 s="3">
        <f>E1113+G1113+H1113</f>
        <v>13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14</v>
      </c>
      <c r="K1113" s="3">
        <f>I1113-J1113</f>
        <v>-1</v>
      </c>
      <c r="L1113" s="3" t="str">
        <f>IF(K1113&lt;-5,"CRÍTICO",IF(K1113&lt;0,"ATENÇÃO",IF(K1113&lt;=5,"BOM","EXCELENTE")))</f>
        <v>ATENÇÃO</v>
      </c>
      <c r="M1113">
        <v>12</v>
      </c>
      <c r="N1113">
        <v>98.89</v>
      </c>
      <c r="O1113">
        <v>28.021978021978018</v>
      </c>
    </row>
    <row r="1114" spans="1:15" hidden="1" x14ac:dyDescent="0.25">
      <c r="A1114" s="11">
        <v>46035</v>
      </c>
      <c r="B1114" t="s">
        <v>19</v>
      </c>
      <c r="C1114" t="s">
        <v>16</v>
      </c>
      <c r="D1114">
        <v>7</v>
      </c>
      <c r="E1114">
        <v>6</v>
      </c>
      <c r="F1114">
        <v>42.32</v>
      </c>
      <c r="G1114">
        <v>0</v>
      </c>
      <c r="H1114">
        <v>0</v>
      </c>
      <c r="I1114" s="3">
        <f>E1114+G1114+H1114</f>
        <v>6</v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>6</v>
      </c>
      <c r="K1114" s="3">
        <f>I1114-J1114</f>
        <v>0</v>
      </c>
      <c r="L1114" s="3" t="str">
        <f>IF(K1114&lt;-5,"CRÍTICO",IF(K1114&lt;0,"ATENÇÃO",IF(K1114&lt;=5,"BOM","EXCELENTE")))</f>
        <v>BOM</v>
      </c>
      <c r="M1114">
        <v>3</v>
      </c>
      <c r="N1114">
        <v>100</v>
      </c>
      <c r="O1114">
        <v>33.333333333333329</v>
      </c>
    </row>
    <row r="1115" spans="1:15" hidden="1" x14ac:dyDescent="0.25">
      <c r="A1115" s="11">
        <v>46035</v>
      </c>
      <c r="B1115" t="s">
        <v>43</v>
      </c>
      <c r="C1115" t="s">
        <v>32</v>
      </c>
      <c r="D1115">
        <v>0</v>
      </c>
      <c r="E1115">
        <v>0</v>
      </c>
      <c r="F1115">
        <v>0</v>
      </c>
      <c r="G1115">
        <v>0</v>
      </c>
      <c r="H1115">
        <v>0</v>
      </c>
      <c r="I1115" s="3">
        <v>0</v>
      </c>
      <c r="J1115" s="3">
        <v>0</v>
      </c>
      <c r="K1115" s="3">
        <v>0</v>
      </c>
      <c r="L1115" s="3" t="str">
        <f>IF(K1115&lt;-5,"CRÍTICO",IF(K1115&lt;0,"ATENÇÃO",IF(K1115&lt;=5,"BOM","EXCELENTE")))</f>
        <v>BOM</v>
      </c>
      <c r="M1115">
        <v>0</v>
      </c>
      <c r="N1115">
        <v>100</v>
      </c>
      <c r="O1115">
        <v>27.43362831858407</v>
      </c>
    </row>
    <row r="1116" spans="1:15" hidden="1" x14ac:dyDescent="0.25">
      <c r="A1116" s="11">
        <v>46035</v>
      </c>
      <c r="B1116" t="s">
        <v>44</v>
      </c>
      <c r="C1116" t="s">
        <v>32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 s="3">
        <f>E1116+G1116+H1116</f>
        <v>32</v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>22</v>
      </c>
      <c r="K1116" s="3">
        <f>I1116-J1116</f>
        <v>10</v>
      </c>
      <c r="L1116" s="3" t="str">
        <f>IF(K1116&lt;-5,"CRÍTICO",IF(K1116&lt;0,"ATENÇÃO",IF(K1116&lt;=5,"BOM","EXCELENTE")))</f>
        <v>EXCELENTE</v>
      </c>
      <c r="M1116">
        <v>29</v>
      </c>
      <c r="N1116">
        <v>98.65</v>
      </c>
      <c r="O1116">
        <v>30.978260869565219</v>
      </c>
    </row>
    <row r="1117" spans="1:15" hidden="1" x14ac:dyDescent="0.25">
      <c r="A1117" s="11">
        <v>46035</v>
      </c>
      <c r="B1117" t="s">
        <v>20</v>
      </c>
      <c r="C1117" t="s">
        <v>16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>
        <v>0</v>
      </c>
      <c r="N1117">
        <v>100</v>
      </c>
      <c r="O1117">
        <v>12</v>
      </c>
    </row>
    <row r="1118" spans="1:15" hidden="1" x14ac:dyDescent="0.25">
      <c r="A1118" s="11">
        <v>46035</v>
      </c>
      <c r="B1118" t="s">
        <v>28</v>
      </c>
      <c r="C1118" t="s">
        <v>26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>
        <v>0</v>
      </c>
      <c r="N1118">
        <v>0</v>
      </c>
      <c r="O1118">
        <v>0</v>
      </c>
    </row>
    <row r="1119" spans="1:15" hidden="1" x14ac:dyDescent="0.25">
      <c r="A1119" s="11">
        <v>46035</v>
      </c>
      <c r="B1119" t="s">
        <v>58</v>
      </c>
      <c r="C1119" t="s">
        <v>48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>
        <v>0</v>
      </c>
      <c r="N1119">
        <v>97.56</v>
      </c>
      <c r="O1119">
        <v>31.067961165048541</v>
      </c>
    </row>
    <row r="1120" spans="1:15" hidden="1" x14ac:dyDescent="0.25">
      <c r="A1120" s="11">
        <v>46035</v>
      </c>
      <c r="B1120" t="s">
        <v>29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30</v>
      </c>
      <c r="C1121" t="s">
        <v>26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21</v>
      </c>
      <c r="C1122" t="s">
        <v>16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>
        <v>0</v>
      </c>
      <c r="N1122">
        <v>0</v>
      </c>
      <c r="O1122">
        <v>0</v>
      </c>
    </row>
    <row r="1123" spans="1:15" hidden="1" x14ac:dyDescent="0.25">
      <c r="A1123" s="11">
        <v>46035</v>
      </c>
      <c r="B1123" t="s">
        <v>63</v>
      </c>
      <c r="C1123" t="s">
        <v>23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>
        <v>0</v>
      </c>
      <c r="N1123">
        <v>100</v>
      </c>
      <c r="O1123">
        <v>53.846153846153847</v>
      </c>
    </row>
    <row r="1124" spans="1:15" hidden="1" x14ac:dyDescent="0.25">
      <c r="A1124" s="11">
        <v>46035</v>
      </c>
      <c r="B1124" t="s">
        <v>45</v>
      </c>
      <c r="C1124" t="s">
        <v>32</v>
      </c>
      <c r="D1124">
        <v>0</v>
      </c>
      <c r="E1124">
        <v>0</v>
      </c>
      <c r="F1124">
        <v>0</v>
      </c>
      <c r="G1124">
        <v>0</v>
      </c>
      <c r="H1124">
        <v>0</v>
      </c>
      <c r="I1124" s="3">
        <v>0</v>
      </c>
      <c r="J1124" s="3">
        <v>0</v>
      </c>
      <c r="K1124" s="3">
        <v>0</v>
      </c>
      <c r="L1124" s="3" t="str">
        <f>IF(K1124&lt;-5,"CRÍTICO",IF(K1124&lt;0,"ATENÇÃO",IF(K1124&lt;=5,"BOM","EXCELENTE")))</f>
        <v>BOM</v>
      </c>
      <c r="M1124">
        <v>0</v>
      </c>
      <c r="N1124">
        <v>100</v>
      </c>
      <c r="O1124">
        <v>44.05594405594406</v>
      </c>
    </row>
    <row r="1125" spans="1:15" hidden="1" x14ac:dyDescent="0.25">
      <c r="A1125" s="11">
        <v>46035</v>
      </c>
      <c r="B1125" t="s">
        <v>64</v>
      </c>
      <c r="C1125" t="s">
        <v>23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 s="3">
        <f>E1125+G1125+H1125</f>
        <v>9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14</v>
      </c>
      <c r="K1125" s="3">
        <f>I1125-J1125</f>
        <v>-5</v>
      </c>
      <c r="L1125" s="3" t="str">
        <f>IF(K1125&lt;-5,"CRÍTICO",IF(K1125&lt;0,"ATENÇÃO",IF(K1125&lt;=5,"BOM","EXCELENTE")))</f>
        <v>ATENÇÃO</v>
      </c>
      <c r="M1125">
        <v>8</v>
      </c>
      <c r="N1125">
        <v>100</v>
      </c>
      <c r="O1125">
        <v>31.872509960159359</v>
      </c>
    </row>
    <row r="1126" spans="1:15" hidden="1" x14ac:dyDescent="0.25">
      <c r="A1126" s="11">
        <v>46035</v>
      </c>
      <c r="B1126" t="s">
        <v>46</v>
      </c>
      <c r="C1126" t="s">
        <v>32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 s="3">
        <f>E1126+G1126+H1126</f>
        <v>25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22</v>
      </c>
      <c r="K1126" s="3">
        <f>I1126-J1126</f>
        <v>3</v>
      </c>
      <c r="L1126" s="3" t="str">
        <f>IF(K1126&lt;-5,"CRÍTICO",IF(K1126&lt;0,"ATENÇÃO",IF(K1126&lt;=5,"BOM","EXCELENTE")))</f>
        <v>BOM</v>
      </c>
      <c r="M1126">
        <v>19</v>
      </c>
      <c r="N1126">
        <v>98.41</v>
      </c>
      <c r="O1126">
        <v>29.22465208747515</v>
      </c>
    </row>
    <row r="1127" spans="1:15" hidden="1" x14ac:dyDescent="0.25">
      <c r="A1127" s="11">
        <v>46036</v>
      </c>
      <c r="B1127" t="s">
        <v>47</v>
      </c>
      <c r="C1127" t="s">
        <v>48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 s="3">
        <f>E1127+G1127+H1127</f>
        <v>15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16</v>
      </c>
      <c r="K1127" s="3">
        <f>I1127-J1127</f>
        <v>-1</v>
      </c>
      <c r="L1127" s="3" t="str">
        <f>IF(K1127&lt;-5,"CRÍTICO",IF(K1127&lt;0,"ATENÇÃO",IF(K1127&lt;=5,"BOM","EXCELENTE")))</f>
        <v>ATENÇÃO</v>
      </c>
      <c r="M1127">
        <v>17</v>
      </c>
      <c r="N1127">
        <v>96.81</v>
      </c>
      <c r="O1127">
        <v>27.980535279805348</v>
      </c>
    </row>
    <row r="1128" spans="1:15" hidden="1" x14ac:dyDescent="0.25">
      <c r="A1128" s="11">
        <v>46036</v>
      </c>
      <c r="B1128" t="s">
        <v>31</v>
      </c>
      <c r="C1128" t="s">
        <v>32</v>
      </c>
      <c r="D1128">
        <v>0</v>
      </c>
      <c r="E1128">
        <v>0</v>
      </c>
      <c r="F1128">
        <v>0</v>
      </c>
      <c r="G1128">
        <v>0</v>
      </c>
      <c r="H1128">
        <v>0</v>
      </c>
      <c r="I1128" s="3">
        <v>0</v>
      </c>
      <c r="J1128" s="3">
        <v>0</v>
      </c>
      <c r="K1128" s="3">
        <v>0</v>
      </c>
      <c r="L1128" s="3" t="str">
        <f>IF(K1128&lt;-5,"CRÍTICO",IF(K1128&lt;0,"ATENÇÃO",IF(K1128&lt;=5,"BOM","EXCELENTE")))</f>
        <v>BOM</v>
      </c>
      <c r="M1128">
        <v>20</v>
      </c>
      <c r="N1128">
        <v>98.73</v>
      </c>
      <c r="O1128">
        <v>35.756385068762278</v>
      </c>
    </row>
    <row r="1129" spans="1:15" hidden="1" x14ac:dyDescent="0.25">
      <c r="A1129" s="11">
        <v>46036</v>
      </c>
      <c r="B1129" t="s">
        <v>59</v>
      </c>
      <c r="C1129" t="s">
        <v>23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 s="3">
        <f>E1129+G1129+H1129</f>
        <v>20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13</v>
      </c>
      <c r="K1129" s="3">
        <f>I1129-J1129</f>
        <v>7</v>
      </c>
      <c r="L1129" s="3" t="str">
        <f>IF(K1129&lt;-5,"CRÍTICO",IF(K1129&lt;0,"ATENÇÃO",IF(K1129&lt;=5,"BOM","EXCELENTE")))</f>
        <v>EXCELENTE</v>
      </c>
      <c r="M1129">
        <v>19</v>
      </c>
      <c r="N1129">
        <v>98.32</v>
      </c>
      <c r="O1129">
        <v>26.763485477178421</v>
      </c>
    </row>
    <row r="1130" spans="1:15" hidden="1" x14ac:dyDescent="0.25">
      <c r="A1130" s="11">
        <v>46036</v>
      </c>
      <c r="B1130" t="s">
        <v>33</v>
      </c>
      <c r="C1130" t="s">
        <v>32</v>
      </c>
      <c r="D1130">
        <v>6</v>
      </c>
      <c r="E1130">
        <v>6</v>
      </c>
      <c r="F1130">
        <v>23.54</v>
      </c>
      <c r="G1130">
        <v>0</v>
      </c>
      <c r="H1130">
        <v>0</v>
      </c>
      <c r="I1130" s="3">
        <f>E1130+G1130+H1130</f>
        <v>6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20</v>
      </c>
      <c r="K1130" s="3">
        <f>I1130-J1130</f>
        <v>-14</v>
      </c>
      <c r="L1130" s="3" t="str">
        <f>IF(K1130&lt;-5,"CRÍTICO",IF(K1130&lt;0,"ATENÇÃO",IF(K1130&lt;=5,"BOM","EXCELENTE")))</f>
        <v>CRÍTICO</v>
      </c>
      <c r="M1130">
        <v>4</v>
      </c>
      <c r="N1130">
        <v>99.19</v>
      </c>
      <c r="O1130">
        <v>27.637130801687761</v>
      </c>
    </row>
    <row r="1131" spans="1:15" hidden="1" x14ac:dyDescent="0.25">
      <c r="A1131" s="11">
        <v>46036</v>
      </c>
      <c r="B1131" t="s">
        <v>15</v>
      </c>
      <c r="C1131" t="s">
        <v>16</v>
      </c>
      <c r="D1131">
        <v>9</v>
      </c>
      <c r="E1131">
        <v>9</v>
      </c>
      <c r="F1131">
        <v>49.18</v>
      </c>
      <c r="G1131">
        <v>0</v>
      </c>
      <c r="H1131">
        <v>0</v>
      </c>
      <c r="I1131" s="3">
        <f>E1131+G1131+H1131</f>
        <v>9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6</v>
      </c>
      <c r="K1131" s="3">
        <f>I1131-J1131</f>
        <v>3</v>
      </c>
      <c r="L1131" s="3" t="str">
        <f>IF(K1131&lt;-5,"CRÍTICO",IF(K1131&lt;0,"ATENÇÃO",IF(K1131&lt;=5,"BOM","EXCELENTE")))</f>
        <v>BOM</v>
      </c>
      <c r="M1131">
        <v>7</v>
      </c>
      <c r="N1131">
        <v>100</v>
      </c>
      <c r="O1131">
        <v>39.568345323741013</v>
      </c>
    </row>
    <row r="1132" spans="1:15" hidden="1" x14ac:dyDescent="0.25">
      <c r="A1132" s="11">
        <v>46036</v>
      </c>
      <c r="B1132" t="s">
        <v>49</v>
      </c>
      <c r="C1132" t="s">
        <v>48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 s="3">
        <f>E1132+G1132+H1132</f>
        <v>27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11</v>
      </c>
      <c r="L1132" s="3" t="str">
        <f>IF(K1132&lt;-5,"CRÍTICO",IF(K1132&lt;0,"ATENÇÃO",IF(K1132&lt;=5,"BOM","EXCELENTE")))</f>
        <v>EXCELENTE</v>
      </c>
      <c r="M1132">
        <v>26</v>
      </c>
      <c r="N1132">
        <v>98.54</v>
      </c>
      <c r="O1132">
        <v>28.544776119402989</v>
      </c>
    </row>
    <row r="1133" spans="1:15" hidden="1" x14ac:dyDescent="0.25">
      <c r="A1133" s="11">
        <v>46036</v>
      </c>
      <c r="B1133" t="s">
        <v>50</v>
      </c>
      <c r="C1133" t="s">
        <v>48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 s="3">
        <f>E1133+G1133+H1133</f>
        <v>23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16</v>
      </c>
      <c r="K1133" s="3">
        <f>I1133-J1133</f>
        <v>7</v>
      </c>
      <c r="L1133" s="3" t="str">
        <f>IF(K1133&lt;-5,"CRÍTICO",IF(K1133&lt;0,"ATENÇÃO",IF(K1133&lt;=5,"BOM","EXCELENTE")))</f>
        <v>EXCELENTE</v>
      </c>
      <c r="M1133">
        <v>24</v>
      </c>
      <c r="N1133">
        <v>100</v>
      </c>
      <c r="O1133">
        <v>34.366925064599492</v>
      </c>
    </row>
    <row r="1134" spans="1:15" hidden="1" x14ac:dyDescent="0.25">
      <c r="A1134" s="11">
        <v>46036</v>
      </c>
      <c r="B1134" t="s">
        <v>17</v>
      </c>
      <c r="C1134" t="s">
        <v>16</v>
      </c>
      <c r="D1134">
        <v>0</v>
      </c>
      <c r="E1134">
        <v>0</v>
      </c>
      <c r="F1134">
        <v>0</v>
      </c>
      <c r="G1134">
        <v>0</v>
      </c>
      <c r="H1134">
        <v>0</v>
      </c>
      <c r="I1134" s="3">
        <v>0</v>
      </c>
      <c r="J1134" s="3">
        <v>0</v>
      </c>
      <c r="K1134" s="3">
        <v>0</v>
      </c>
      <c r="L1134" s="3" t="str">
        <f>IF(K1134&lt;-5,"CRÍTICO",IF(K1134&lt;0,"ATENÇÃO",IF(K1134&lt;=5,"BOM","EXCELENTE")))</f>
        <v>BOM</v>
      </c>
      <c r="M1134">
        <v>0</v>
      </c>
      <c r="N1134">
        <v>0</v>
      </c>
      <c r="O1134">
        <v>0</v>
      </c>
    </row>
    <row r="1135" spans="1:15" hidden="1" x14ac:dyDescent="0.25">
      <c r="A1135" s="11">
        <v>46036</v>
      </c>
      <c r="B1135" t="s">
        <v>60</v>
      </c>
      <c r="C1135" t="s">
        <v>23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 s="3">
        <f>E1135+G1135+H1135</f>
        <v>16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13</v>
      </c>
      <c r="K1135" s="3">
        <f>I1135-J1135</f>
        <v>3</v>
      </c>
      <c r="L1135" s="3" t="str">
        <f>IF(K1135&lt;-5,"CRÍTICO",IF(K1135&lt;0,"ATENÇÃO",IF(K1135&lt;=5,"BOM","EXCELENTE")))</f>
        <v>BOM</v>
      </c>
      <c r="M1135">
        <v>14</v>
      </c>
      <c r="N1135">
        <v>100</v>
      </c>
      <c r="O1135">
        <v>29.518072289156631</v>
      </c>
    </row>
    <row r="1136" spans="1:15" hidden="1" x14ac:dyDescent="0.25">
      <c r="A1136" s="11">
        <v>46036</v>
      </c>
      <c r="B1136" t="s">
        <v>34</v>
      </c>
      <c r="C1136" t="s">
        <v>32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 s="3">
        <f>E1136+G1136+H1136</f>
        <v>32</v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>20</v>
      </c>
      <c r="K1136" s="3">
        <f>I1136-J1136</f>
        <v>12</v>
      </c>
      <c r="L1136" s="3" t="str">
        <f>IF(K1136&lt;-5,"CRÍTICO",IF(K1136&lt;0,"ATENÇÃO",IF(K1136&lt;=5,"BOM","EXCELENTE")))</f>
        <v>EXCELENTE</v>
      </c>
      <c r="M1136">
        <v>28</v>
      </c>
      <c r="N1136">
        <v>97.45</v>
      </c>
      <c r="O1136">
        <v>41.421143847487002</v>
      </c>
    </row>
    <row r="1137" spans="1:15" hidden="1" x14ac:dyDescent="0.25">
      <c r="A1137" s="11">
        <v>46036</v>
      </c>
      <c r="B1137" t="s">
        <v>51</v>
      </c>
      <c r="C1137" t="s">
        <v>48</v>
      </c>
      <c r="D1137">
        <v>20</v>
      </c>
      <c r="E1137">
        <v>13</v>
      </c>
      <c r="F1137">
        <v>27.1</v>
      </c>
      <c r="G1137">
        <v>0</v>
      </c>
      <c r="H1137">
        <v>0</v>
      </c>
      <c r="I1137" s="3">
        <v>0</v>
      </c>
      <c r="J1137" s="3">
        <v>0</v>
      </c>
      <c r="K1137" s="3">
        <v>0</v>
      </c>
      <c r="L1137" s="3" t="str">
        <f>IF(K1137&lt;-5,"CRÍTICO",IF(K1137&lt;0,"ATENÇÃO",IF(K1137&lt;=5,"BOM","EXCELENTE")))</f>
        <v>BOM</v>
      </c>
      <c r="M1137">
        <v>12</v>
      </c>
      <c r="N1137">
        <v>96.58</v>
      </c>
      <c r="O1137">
        <v>30.396475770925111</v>
      </c>
    </row>
    <row r="1138" spans="1:15" hidden="1" x14ac:dyDescent="0.25">
      <c r="A1138" s="11">
        <v>46036</v>
      </c>
      <c r="B1138" t="s">
        <v>61</v>
      </c>
      <c r="C1138" t="s">
        <v>23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 s="3">
        <f>E1138+G1138+H1138</f>
        <v>22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13</v>
      </c>
      <c r="K1138" s="3">
        <f>I1138-J1138</f>
        <v>9</v>
      </c>
      <c r="L1138" s="3" t="str">
        <f>IF(K1138&lt;-5,"CRÍTICO",IF(K1138&lt;0,"ATENÇÃO",IF(K1138&lt;=5,"BOM","EXCELENTE")))</f>
        <v>EXCELENTE</v>
      </c>
      <c r="M1138">
        <v>28</v>
      </c>
      <c r="N1138">
        <v>100</v>
      </c>
      <c r="O1138">
        <v>27.44282744282744</v>
      </c>
    </row>
    <row r="1139" spans="1:15" hidden="1" x14ac:dyDescent="0.25">
      <c r="A1139" s="11">
        <v>46036</v>
      </c>
      <c r="B1139" t="s">
        <v>35</v>
      </c>
      <c r="C1139" t="s">
        <v>32</v>
      </c>
      <c r="D1139">
        <v>28</v>
      </c>
      <c r="E1139">
        <v>28</v>
      </c>
      <c r="F1139">
        <v>22.34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>
        <v>27</v>
      </c>
      <c r="N1139">
        <v>99.49</v>
      </c>
      <c r="O1139">
        <v>40.200000000000003</v>
      </c>
    </row>
    <row r="1140" spans="1:15" hidden="1" x14ac:dyDescent="0.25">
      <c r="A1140" s="11">
        <v>46036</v>
      </c>
      <c r="B1140" t="s">
        <v>18</v>
      </c>
      <c r="C1140" t="s">
        <v>16</v>
      </c>
      <c r="D1140">
        <v>0</v>
      </c>
      <c r="E1140">
        <v>0</v>
      </c>
      <c r="F1140">
        <v>0</v>
      </c>
      <c r="G1140">
        <v>0</v>
      </c>
      <c r="H1140">
        <v>0</v>
      </c>
      <c r="I1140" s="3">
        <v>0</v>
      </c>
      <c r="J1140" s="3">
        <v>0</v>
      </c>
      <c r="K1140" s="3">
        <v>0</v>
      </c>
      <c r="L1140" s="3" t="str">
        <f>IF(K1140&lt;-5,"CRÍTICO",IF(K1140&lt;0,"ATENÇÃO",IF(K1140&lt;=5,"BOM","EXCELENTE")))</f>
        <v>BOM</v>
      </c>
      <c r="M1140">
        <v>0</v>
      </c>
      <c r="N1140">
        <v>100</v>
      </c>
      <c r="O1140">
        <v>25</v>
      </c>
    </row>
    <row r="1141" spans="1:15" hidden="1" x14ac:dyDescent="0.25">
      <c r="A1141" s="11">
        <v>46036</v>
      </c>
      <c r="B1141" t="s">
        <v>52</v>
      </c>
      <c r="C1141" t="s">
        <v>48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 s="3">
        <f>E1141+G1141+H1141</f>
        <v>21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16</v>
      </c>
      <c r="K1141" s="3">
        <f>I1141-J1141</f>
        <v>5</v>
      </c>
      <c r="L1141" s="3" t="str">
        <f>IF(K1141&lt;-5,"CRÍTICO",IF(K1141&lt;0,"ATENÇÃO",IF(K1141&lt;=5,"BOM","EXCELENTE")))</f>
        <v>BOM</v>
      </c>
      <c r="M1141">
        <v>22</v>
      </c>
      <c r="N1141">
        <v>100</v>
      </c>
      <c r="O1141">
        <v>34.15094339622641</v>
      </c>
    </row>
    <row r="1142" spans="1:15" hidden="1" x14ac:dyDescent="0.25">
      <c r="A1142" s="11">
        <v>46036</v>
      </c>
      <c r="B1142" t="s">
        <v>36</v>
      </c>
      <c r="C1142" t="s">
        <v>32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 s="3">
        <f>E1142+G1142+H1142</f>
        <v>13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20</v>
      </c>
      <c r="K1142" s="3">
        <f>I1142-J1142</f>
        <v>-7</v>
      </c>
      <c r="L1142" s="3" t="str">
        <f>IF(K1142&lt;-5,"CRÍTICO",IF(K1142&lt;0,"ATENÇÃO",IF(K1142&lt;=5,"BOM","EXCELENTE")))</f>
        <v>CRÍTICO</v>
      </c>
      <c r="M1142">
        <v>10</v>
      </c>
      <c r="N1142">
        <v>100</v>
      </c>
      <c r="O1142">
        <v>32.731376975169297</v>
      </c>
    </row>
    <row r="1143" spans="1:15" hidden="1" x14ac:dyDescent="0.25">
      <c r="A1143" s="11">
        <v>46036</v>
      </c>
      <c r="B1143" t="s">
        <v>53</v>
      </c>
      <c r="C1143" t="s">
        <v>48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 s="3">
        <f>E1143+G1143+H1143</f>
        <v>18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16</v>
      </c>
      <c r="K1143" s="3">
        <f>I1143-J1143</f>
        <v>2</v>
      </c>
      <c r="L1143" s="3" t="str">
        <f>IF(K1143&lt;-5,"CRÍTICO",IF(K1143&lt;0,"ATENÇÃO",IF(K1143&lt;=5,"BOM","EXCELENTE")))</f>
        <v>BOM</v>
      </c>
      <c r="M1143">
        <v>16</v>
      </c>
      <c r="N1143">
        <v>99.31</v>
      </c>
      <c r="O1143">
        <v>30.96234309623431</v>
      </c>
    </row>
    <row r="1144" spans="1:15" hidden="1" x14ac:dyDescent="0.25">
      <c r="A1144" s="11">
        <v>46070</v>
      </c>
      <c r="B1144" t="s">
        <v>22</v>
      </c>
      <c r="C1144" t="s">
        <v>23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v>0</v>
      </c>
      <c r="J1144" s="3">
        <v>0</v>
      </c>
      <c r="K1144" s="3">
        <v>0</v>
      </c>
      <c r="L1144" s="3" t="str">
        <f>IF(K1144&lt;-5,"CRÍTICO",IF(K1144&lt;0,"ATENÇÃO",IF(K1144&lt;=5,"BOM","EXCELENTE")))</f>
        <v>BOM</v>
      </c>
      <c r="M1144">
        <v>0</v>
      </c>
      <c r="N1144">
        <v>96.67</v>
      </c>
      <c r="O1144">
        <v>31.451612903225811</v>
      </c>
    </row>
    <row r="1145" spans="1:15" hidden="1" x14ac:dyDescent="0.25">
      <c r="A1145" s="11">
        <v>46036</v>
      </c>
      <c r="B1145" t="s">
        <v>54</v>
      </c>
      <c r="C1145" t="s">
        <v>48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 s="3">
        <f>E1145+G1145+H1145</f>
        <v>29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16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>
        <v>22</v>
      </c>
      <c r="N1145">
        <v>100</v>
      </c>
      <c r="O1145">
        <v>27.676767676767678</v>
      </c>
    </row>
    <row r="1146" spans="1:15" hidden="1" x14ac:dyDescent="0.25">
      <c r="A1146" s="11">
        <v>46036</v>
      </c>
      <c r="B1146" t="s">
        <v>37</v>
      </c>
      <c r="C1146" t="s">
        <v>32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 s="3">
        <f>E1146+G1146+H1146</f>
        <v>33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13</v>
      </c>
      <c r="L1146" s="3" t="str">
        <f>IF(K1146&lt;-5,"CRÍTICO",IF(K1146&lt;0,"ATENÇÃO",IF(K1146&lt;=5,"BOM","EXCELENTE")))</f>
        <v>EXCELENTE</v>
      </c>
      <c r="M1146">
        <v>32</v>
      </c>
      <c r="N1146">
        <v>100</v>
      </c>
      <c r="O1146">
        <v>31.17723156532988</v>
      </c>
    </row>
    <row r="1147" spans="1:15" hidden="1" x14ac:dyDescent="0.25">
      <c r="A1147" s="11">
        <v>46036</v>
      </c>
      <c r="B1147" t="s">
        <v>38</v>
      </c>
      <c r="C1147" t="s">
        <v>32</v>
      </c>
      <c r="D1147">
        <v>21</v>
      </c>
      <c r="E1147">
        <v>17</v>
      </c>
      <c r="F1147">
        <v>8.35</v>
      </c>
      <c r="G1147">
        <v>0</v>
      </c>
      <c r="H1147">
        <v>0</v>
      </c>
      <c r="I1147" s="3">
        <f>E1147+G1147+H1147</f>
        <v>17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20</v>
      </c>
      <c r="K1147" s="3">
        <f>I1147-J1147</f>
        <v>-3</v>
      </c>
      <c r="L1147" s="3" t="str">
        <f>IF(K1147&lt;-5,"CRÍTICO",IF(K1147&lt;0,"ATENÇÃO",IF(K1147&lt;=5,"BOM","EXCELENTE")))</f>
        <v>ATENÇÃO</v>
      </c>
      <c r="M1147">
        <v>16</v>
      </c>
      <c r="N1147">
        <v>100</v>
      </c>
      <c r="O1147">
        <v>27.609427609427609</v>
      </c>
    </row>
    <row r="1148" spans="1:15" hidden="1" x14ac:dyDescent="0.25">
      <c r="A1148" s="11">
        <v>46036</v>
      </c>
      <c r="B1148" t="s">
        <v>55</v>
      </c>
      <c r="C1148" t="s">
        <v>48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 s="3">
        <f>E1148+G1148+H1148</f>
        <v>24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16</v>
      </c>
      <c r="K1148" s="3">
        <f>I1148-J1148</f>
        <v>8</v>
      </c>
      <c r="L1148" s="3" t="str">
        <f>IF(K1148&lt;-5,"CRÍTICO",IF(K1148&lt;0,"ATENÇÃO",IF(K1148&lt;=5,"BOM","EXCELENTE")))</f>
        <v>EXCELENTE</v>
      </c>
      <c r="M1148">
        <v>23</v>
      </c>
      <c r="N1148">
        <v>96.4</v>
      </c>
      <c r="O1148">
        <v>28.764044943820231</v>
      </c>
    </row>
    <row r="1149" spans="1:15" hidden="1" x14ac:dyDescent="0.25">
      <c r="A1149" s="11">
        <v>46036</v>
      </c>
      <c r="B1149" t="s">
        <v>39</v>
      </c>
      <c r="C1149" t="s">
        <v>32</v>
      </c>
      <c r="D1149">
        <v>0</v>
      </c>
      <c r="E1149">
        <v>0</v>
      </c>
      <c r="F1149">
        <v>0</v>
      </c>
      <c r="G1149">
        <v>0</v>
      </c>
      <c r="H1149">
        <v>0</v>
      </c>
      <c r="I1149" s="3">
        <v>0</v>
      </c>
      <c r="J1149" s="3">
        <v>0</v>
      </c>
      <c r="K1149" s="3">
        <v>0</v>
      </c>
      <c r="L1149" s="3" t="str">
        <f>IF(K1149&lt;-5,"CRÍTICO",IF(K1149&lt;0,"ATENÇÃO",IF(K1149&lt;=5,"BOM","EXCELENTE")))</f>
        <v>BOM</v>
      </c>
      <c r="M1149">
        <v>20</v>
      </c>
      <c r="N1149">
        <v>100</v>
      </c>
      <c r="O1149">
        <v>33.980582524271853</v>
      </c>
    </row>
    <row r="1150" spans="1:15" hidden="1" x14ac:dyDescent="0.25">
      <c r="A1150" s="11">
        <v>46036</v>
      </c>
      <c r="B1150" t="s">
        <v>25</v>
      </c>
      <c r="C1150" t="s">
        <v>26</v>
      </c>
      <c r="D1150">
        <v>4</v>
      </c>
      <c r="E1150">
        <v>4</v>
      </c>
      <c r="F1150">
        <v>87.34</v>
      </c>
      <c r="G1150">
        <v>0</v>
      </c>
      <c r="H1150">
        <v>0</v>
      </c>
      <c r="I1150" s="3">
        <f>E1150+G1150+H1150</f>
        <v>4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12</v>
      </c>
      <c r="K1150" s="3">
        <f>I1150-J1150</f>
        <v>-8</v>
      </c>
      <c r="L1150" s="3" t="str">
        <f>IF(K1150&lt;-5,"CRÍTICO",IF(K1150&lt;0,"ATENÇÃO",IF(K1150&lt;=5,"BOM","EXCELENTE")))</f>
        <v>CRÍTICO</v>
      </c>
      <c r="M1150">
        <v>3</v>
      </c>
      <c r="N1150">
        <v>97.56</v>
      </c>
      <c r="O1150">
        <v>32.515337423312893</v>
      </c>
    </row>
    <row r="1151" spans="1:15" hidden="1" x14ac:dyDescent="0.25">
      <c r="A1151" s="11">
        <v>46036</v>
      </c>
      <c r="B1151" t="s">
        <v>40</v>
      </c>
      <c r="C1151" t="s">
        <v>32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 s="3">
        <f>E1151+G1151+H1151</f>
        <v>17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20</v>
      </c>
      <c r="K1151" s="3">
        <f>I1151-J1151</f>
        <v>-3</v>
      </c>
      <c r="L1151" s="3" t="str">
        <f>IF(K1151&lt;-5,"CRÍTICO",IF(K1151&lt;0,"ATENÇÃO",IF(K1151&lt;=5,"BOM","EXCELENTE")))</f>
        <v>ATENÇÃO</v>
      </c>
      <c r="M1151">
        <v>24</v>
      </c>
      <c r="N1151">
        <v>97.11</v>
      </c>
      <c r="O1151">
        <v>37.408312958435211</v>
      </c>
    </row>
    <row r="1152" spans="1:15" hidden="1" x14ac:dyDescent="0.25">
      <c r="A1152" s="11">
        <v>46036</v>
      </c>
      <c r="B1152" t="s">
        <v>27</v>
      </c>
      <c r="C1152" t="s">
        <v>26</v>
      </c>
      <c r="D1152">
        <v>0</v>
      </c>
      <c r="E1152">
        <v>0</v>
      </c>
      <c r="F1152">
        <v>0</v>
      </c>
      <c r="G1152">
        <v>0</v>
      </c>
      <c r="H1152">
        <v>0</v>
      </c>
      <c r="I1152" s="3">
        <v>0</v>
      </c>
      <c r="J1152" s="3">
        <v>0</v>
      </c>
      <c r="K1152" s="3">
        <v>0</v>
      </c>
      <c r="L1152" s="3" t="str">
        <f>IF(K1152&lt;-5,"CRÍTICO",IF(K1152&lt;0,"ATENÇÃO",IF(K1152&lt;=5,"BOM","EXCELENTE")))</f>
        <v>BOM</v>
      </c>
      <c r="M1152">
        <v>0</v>
      </c>
      <c r="N1152">
        <v>0</v>
      </c>
      <c r="O1152">
        <v>0</v>
      </c>
    </row>
    <row r="1153" spans="1:15" hidden="1" x14ac:dyDescent="0.25">
      <c r="A1153" s="11">
        <v>46036</v>
      </c>
      <c r="B1153" t="s">
        <v>41</v>
      </c>
      <c r="C1153" t="s">
        <v>32</v>
      </c>
      <c r="D1153">
        <v>35</v>
      </c>
      <c r="E1153">
        <v>30</v>
      </c>
      <c r="F1153">
        <v>15.4</v>
      </c>
      <c r="G1153">
        <v>0</v>
      </c>
      <c r="H1153">
        <v>0</v>
      </c>
      <c r="I1153" s="3">
        <f>E1153+G1153+H1153</f>
        <v>30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20</v>
      </c>
      <c r="K1153" s="3">
        <f>I1153-J1153</f>
        <v>10</v>
      </c>
      <c r="L1153" s="3" t="str">
        <f>IF(K1153&lt;-5,"CRÍTICO",IF(K1153&lt;0,"ATENÇÃO",IF(K1153&lt;=5,"BOM","EXCELENTE")))</f>
        <v>EXCELENTE</v>
      </c>
      <c r="M1153">
        <v>28</v>
      </c>
      <c r="N1153">
        <v>100</v>
      </c>
      <c r="O1153">
        <v>30.470347648261761</v>
      </c>
    </row>
    <row r="1154" spans="1:15" hidden="1" x14ac:dyDescent="0.25">
      <c r="A1154" s="11">
        <v>46036</v>
      </c>
      <c r="B1154" t="s">
        <v>56</v>
      </c>
      <c r="C1154" t="s">
        <v>48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 s="3">
        <f>E1154+G1154+H1154</f>
        <v>35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16</v>
      </c>
      <c r="K1154" s="3">
        <f>I1154-J1154</f>
        <v>19</v>
      </c>
      <c r="L1154" s="3" t="str">
        <f>IF(K1154&lt;-5,"CRÍTICO",IF(K1154&lt;0,"ATENÇÃO",IF(K1154&lt;=5,"BOM","EXCELENTE")))</f>
        <v>EXCELENTE</v>
      </c>
      <c r="M1154">
        <v>35</v>
      </c>
      <c r="N1154">
        <v>100</v>
      </c>
      <c r="O1154">
        <v>32.371134020618562</v>
      </c>
    </row>
    <row r="1155" spans="1:15" hidden="1" x14ac:dyDescent="0.25">
      <c r="A1155" s="11">
        <v>46036</v>
      </c>
      <c r="B1155" t="s">
        <v>57</v>
      </c>
      <c r="C1155" t="s">
        <v>48</v>
      </c>
      <c r="D1155">
        <v>36</v>
      </c>
      <c r="E1155">
        <v>33</v>
      </c>
      <c r="F1155">
        <v>13.28</v>
      </c>
      <c r="G1155">
        <v>0</v>
      </c>
      <c r="H1155">
        <v>0</v>
      </c>
      <c r="I1155" s="3">
        <v>0</v>
      </c>
      <c r="J1155" s="3">
        <v>0</v>
      </c>
      <c r="K1155" s="3">
        <v>0</v>
      </c>
      <c r="L1155" s="3" t="str">
        <f>IF(K1155&lt;-5,"CRÍTICO",IF(K1155&lt;0,"ATENÇÃO",IF(K1155&lt;=5,"BOM","EXCELENTE")))</f>
        <v>BOM</v>
      </c>
      <c r="M1155">
        <v>31</v>
      </c>
      <c r="N1155">
        <v>98.32</v>
      </c>
      <c r="O1155">
        <v>32.318501170960189</v>
      </c>
    </row>
    <row r="1156" spans="1:15" hidden="1" x14ac:dyDescent="0.25">
      <c r="A1156" s="11">
        <v>46036</v>
      </c>
      <c r="B1156" t="s">
        <v>42</v>
      </c>
      <c r="C1156" t="s">
        <v>32</v>
      </c>
      <c r="D1156">
        <v>51</v>
      </c>
      <c r="E1156">
        <v>42</v>
      </c>
      <c r="F1156">
        <v>8.33</v>
      </c>
      <c r="G1156">
        <v>0</v>
      </c>
      <c r="H1156">
        <v>0</v>
      </c>
      <c r="I1156" s="3">
        <f>E1156+G1156+H1156</f>
        <v>42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20</v>
      </c>
      <c r="K1156" s="3">
        <f>I1156-J1156</f>
        <v>22</v>
      </c>
      <c r="L1156" s="3" t="str">
        <f>IF(K1156&lt;-5,"CRÍTICO",IF(K1156&lt;0,"ATENÇÃO",IF(K1156&lt;=5,"BOM","EXCELENTE")))</f>
        <v>EXCELENTE</v>
      </c>
      <c r="M1156">
        <v>37</v>
      </c>
      <c r="N1156">
        <v>96.43</v>
      </c>
      <c r="O1156">
        <v>27.015250544662312</v>
      </c>
    </row>
    <row r="1157" spans="1:15" hidden="1" x14ac:dyDescent="0.25">
      <c r="A1157" s="11">
        <v>46036</v>
      </c>
      <c r="B1157" t="s">
        <v>62</v>
      </c>
      <c r="C1157" t="s">
        <v>23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 s="3">
        <f>E1157+G1157+H1157</f>
        <v>16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13</v>
      </c>
      <c r="K1157" s="3">
        <f>I1157-J1157</f>
        <v>3</v>
      </c>
      <c r="L1157" s="3" t="str">
        <f>IF(K1157&lt;-5,"CRÍTICO",IF(K1157&lt;0,"ATENÇÃO",IF(K1157&lt;=5,"BOM","EXCELENTE")))</f>
        <v>BOM</v>
      </c>
      <c r="M1157">
        <v>14</v>
      </c>
      <c r="N1157">
        <v>98.89</v>
      </c>
      <c r="O1157">
        <v>28.021978021978018</v>
      </c>
    </row>
    <row r="1158" spans="1:15" hidden="1" x14ac:dyDescent="0.25">
      <c r="A1158" s="11">
        <v>46036</v>
      </c>
      <c r="B1158" t="s">
        <v>19</v>
      </c>
      <c r="C1158" t="s">
        <v>16</v>
      </c>
      <c r="D1158">
        <v>2</v>
      </c>
      <c r="E1158">
        <v>2</v>
      </c>
      <c r="F1158">
        <v>249.04</v>
      </c>
      <c r="G1158">
        <v>0</v>
      </c>
      <c r="H1158">
        <v>0</v>
      </c>
      <c r="I1158" s="3">
        <f>E1158+G1158+H1158</f>
        <v>2</v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>6</v>
      </c>
      <c r="K1158" s="3">
        <f>I1158-J1158</f>
        <v>-4</v>
      </c>
      <c r="L1158" s="3" t="str">
        <f>IF(K1158&lt;-5,"CRÍTICO",IF(K1158&lt;0,"ATENÇÃO",IF(K1158&lt;=5,"BOM","EXCELENTE")))</f>
        <v>ATENÇÃO</v>
      </c>
      <c r="M1158">
        <v>1</v>
      </c>
      <c r="N1158">
        <v>100</v>
      </c>
      <c r="O1158">
        <v>33.333333333333329</v>
      </c>
    </row>
    <row r="1159" spans="1:15" hidden="1" x14ac:dyDescent="0.25">
      <c r="A1159" s="11">
        <v>46036</v>
      </c>
      <c r="B1159" t="s">
        <v>43</v>
      </c>
      <c r="C1159" t="s">
        <v>32</v>
      </c>
      <c r="D1159">
        <v>0</v>
      </c>
      <c r="E1159">
        <v>0</v>
      </c>
      <c r="F1159">
        <v>0</v>
      </c>
      <c r="G1159">
        <v>0</v>
      </c>
      <c r="H1159">
        <v>0</v>
      </c>
      <c r="I1159" s="3">
        <v>0</v>
      </c>
      <c r="J1159" s="3">
        <v>0</v>
      </c>
      <c r="K1159" s="3">
        <v>0</v>
      </c>
      <c r="L1159" s="3" t="str">
        <f>IF(K1159&lt;-5,"CRÍTICO",IF(K1159&lt;0,"ATENÇÃO",IF(K1159&lt;=5,"BOM","EXCELENTE")))</f>
        <v>BOM</v>
      </c>
      <c r="M1159">
        <v>0</v>
      </c>
      <c r="N1159">
        <v>100</v>
      </c>
      <c r="O1159">
        <v>27.43362831858407</v>
      </c>
    </row>
    <row r="1160" spans="1:15" hidden="1" x14ac:dyDescent="0.25">
      <c r="A1160" s="11">
        <v>46036</v>
      </c>
      <c r="B1160" t="s">
        <v>44</v>
      </c>
      <c r="C1160" t="s">
        <v>32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 s="3">
        <f>E1160+G1160+H1160</f>
        <v>31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20</v>
      </c>
      <c r="K1160" s="3">
        <f>I1160-J1160</f>
        <v>11</v>
      </c>
      <c r="L1160" s="3" t="str">
        <f>IF(K1160&lt;-5,"CRÍTICO",IF(K1160&lt;0,"ATENÇÃO",IF(K1160&lt;=5,"BOM","EXCELENTE")))</f>
        <v>EXCELENTE</v>
      </c>
      <c r="M1160">
        <v>28</v>
      </c>
      <c r="N1160">
        <v>98.65</v>
      </c>
      <c r="O1160">
        <v>30.978260869565219</v>
      </c>
    </row>
    <row r="1161" spans="1:15" hidden="1" x14ac:dyDescent="0.25">
      <c r="A1161" s="11">
        <v>46036</v>
      </c>
      <c r="B1161" t="s">
        <v>20</v>
      </c>
      <c r="C1161" t="s">
        <v>16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>
        <v>0</v>
      </c>
      <c r="N1161">
        <v>100</v>
      </c>
      <c r="O1161">
        <v>12</v>
      </c>
    </row>
    <row r="1162" spans="1:15" hidden="1" x14ac:dyDescent="0.25">
      <c r="A1162" s="11">
        <v>46036</v>
      </c>
      <c r="B1162" t="s">
        <v>28</v>
      </c>
      <c r="C1162" t="s">
        <v>26</v>
      </c>
      <c r="D1162">
        <v>0</v>
      </c>
      <c r="E1162">
        <v>0</v>
      </c>
      <c r="F1162">
        <v>0</v>
      </c>
      <c r="G1162">
        <v>0</v>
      </c>
      <c r="H1162">
        <v>0</v>
      </c>
      <c r="I1162" s="3">
        <v>0</v>
      </c>
      <c r="J1162" s="3">
        <v>0</v>
      </c>
      <c r="K1162" s="3">
        <v>0</v>
      </c>
      <c r="L1162" s="3" t="str">
        <f>IF(K1162&lt;-5,"CRÍTICO",IF(K1162&lt;0,"ATENÇÃO",IF(K1162&lt;=5,"BOM","EXCELENTE")))</f>
        <v>BOM</v>
      </c>
      <c r="M1162">
        <v>0</v>
      </c>
      <c r="N1162">
        <v>0</v>
      </c>
      <c r="O1162">
        <v>0</v>
      </c>
    </row>
    <row r="1163" spans="1:15" hidden="1" x14ac:dyDescent="0.25">
      <c r="A1163" s="11">
        <v>46036</v>
      </c>
      <c r="B1163" t="s">
        <v>58</v>
      </c>
      <c r="C1163" t="s">
        <v>48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 s="3">
        <f>E1163+G1163+H1163</f>
        <v>25</v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>16</v>
      </c>
      <c r="K1163" s="3">
        <f>I1163-J1163</f>
        <v>9</v>
      </c>
      <c r="L1163" s="3" t="str">
        <f>IF(K1163&lt;-5,"CRÍTICO",IF(K1163&lt;0,"ATENÇÃO",IF(K1163&lt;=5,"BOM","EXCELENTE")))</f>
        <v>EXCELENTE</v>
      </c>
      <c r="M1163">
        <v>21</v>
      </c>
      <c r="N1163">
        <v>97.56</v>
      </c>
      <c r="O1163">
        <v>31.067961165048541</v>
      </c>
    </row>
    <row r="1164" spans="1:15" hidden="1" x14ac:dyDescent="0.25">
      <c r="A1164" s="11">
        <v>46036</v>
      </c>
      <c r="B1164" t="s">
        <v>29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30</v>
      </c>
      <c r="C1165" t="s">
        <v>26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21</v>
      </c>
      <c r="C1166" t="s">
        <v>16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>
        <v>0</v>
      </c>
      <c r="N1166">
        <v>0</v>
      </c>
      <c r="O1166">
        <v>0</v>
      </c>
    </row>
    <row r="1167" spans="1:15" hidden="1" x14ac:dyDescent="0.25">
      <c r="A1167" s="11">
        <v>46036</v>
      </c>
      <c r="B1167" t="s">
        <v>63</v>
      </c>
      <c r="C1167" t="s">
        <v>23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>
        <v>0</v>
      </c>
      <c r="N1167">
        <v>100</v>
      </c>
      <c r="O1167">
        <v>53.846153846153847</v>
      </c>
    </row>
    <row r="1168" spans="1:15" hidden="1" x14ac:dyDescent="0.25">
      <c r="A1168" s="11">
        <v>46036</v>
      </c>
      <c r="B1168" t="s">
        <v>45</v>
      </c>
      <c r="C1168" t="s">
        <v>32</v>
      </c>
      <c r="D1168">
        <v>0</v>
      </c>
      <c r="E1168">
        <v>0</v>
      </c>
      <c r="F1168">
        <v>0</v>
      </c>
      <c r="G1168">
        <v>0</v>
      </c>
      <c r="H1168">
        <v>0</v>
      </c>
      <c r="I1168" s="3">
        <v>0</v>
      </c>
      <c r="J1168" s="3">
        <v>0</v>
      </c>
      <c r="K1168" s="3">
        <v>0</v>
      </c>
      <c r="L1168" s="3" t="str">
        <f>IF(K1168&lt;-5,"CRÍTICO",IF(K1168&lt;0,"ATENÇÃO",IF(K1168&lt;=5,"BOM","EXCELENTE")))</f>
        <v>BOM</v>
      </c>
      <c r="M1168">
        <v>0</v>
      </c>
      <c r="N1168">
        <v>100</v>
      </c>
      <c r="O1168">
        <v>44.05594405594406</v>
      </c>
    </row>
    <row r="1169" spans="1:15" hidden="1" x14ac:dyDescent="0.25">
      <c r="A1169" s="11">
        <v>46036</v>
      </c>
      <c r="B1169" t="s">
        <v>64</v>
      </c>
      <c r="C1169" t="s">
        <v>23</v>
      </c>
      <c r="D1169">
        <v>17</v>
      </c>
      <c r="E1169">
        <v>17</v>
      </c>
      <c r="F1169">
        <v>25.5</v>
      </c>
      <c r="G1169">
        <v>0</v>
      </c>
      <c r="H1169">
        <v>0</v>
      </c>
      <c r="I1169" s="3">
        <f>E1169+G1169+H1169</f>
        <v>17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13</v>
      </c>
      <c r="K1169" s="3">
        <f>I1169-J1169</f>
        <v>4</v>
      </c>
      <c r="L1169" s="3" t="str">
        <f>IF(K1169&lt;-5,"CRÍTICO",IF(K1169&lt;0,"ATENÇÃO",IF(K1169&lt;=5,"BOM","EXCELENTE")))</f>
        <v>BOM</v>
      </c>
      <c r="M1169">
        <v>15</v>
      </c>
      <c r="N1169">
        <v>100</v>
      </c>
      <c r="O1169">
        <v>31.872509960159359</v>
      </c>
    </row>
    <row r="1170" spans="1:15" hidden="1" x14ac:dyDescent="0.25">
      <c r="A1170" s="11">
        <v>46036</v>
      </c>
      <c r="B1170" t="s">
        <v>46</v>
      </c>
      <c r="C1170" t="s">
        <v>32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 s="3">
        <f>E1170+G1170+H1170</f>
        <v>31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20</v>
      </c>
      <c r="K1170" s="3">
        <f>I1170-J1170</f>
        <v>11</v>
      </c>
      <c r="L1170" s="3" t="str">
        <f>IF(K1170&lt;-5,"CRÍTICO",IF(K1170&lt;0,"ATENÇÃO",IF(K1170&lt;=5,"BOM","EXCELENTE")))</f>
        <v>EXCELENTE</v>
      </c>
      <c r="M1170">
        <v>26</v>
      </c>
      <c r="N1170">
        <v>98.41</v>
      </c>
      <c r="O1170">
        <v>29.22465208747515</v>
      </c>
    </row>
    <row r="1171" spans="1:15" hidden="1" x14ac:dyDescent="0.25">
      <c r="A1171" s="11">
        <v>46037</v>
      </c>
      <c r="B1171" t="s">
        <v>47</v>
      </c>
      <c r="C1171" t="s">
        <v>48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 s="3">
        <f>E1171+G1171+H1171</f>
        <v>26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18</v>
      </c>
      <c r="K1171" s="3">
        <f>I1171-J1171</f>
        <v>8</v>
      </c>
      <c r="L1171" s="3" t="str">
        <f>IF(K1171&lt;-5,"CRÍTICO",IF(K1171&lt;0,"ATENÇÃO",IF(K1171&lt;=5,"BOM","EXCELENTE")))</f>
        <v>EXCELENTE</v>
      </c>
      <c r="M1171">
        <v>22</v>
      </c>
      <c r="N1171">
        <v>96.81</v>
      </c>
      <c r="O1171">
        <v>27.980535279805348</v>
      </c>
    </row>
    <row r="1172" spans="1:15" hidden="1" x14ac:dyDescent="0.25">
      <c r="A1172" s="11">
        <v>46037</v>
      </c>
      <c r="B1172" t="s">
        <v>31</v>
      </c>
      <c r="C1172" t="s">
        <v>32</v>
      </c>
      <c r="D1172">
        <v>0</v>
      </c>
      <c r="E1172">
        <v>0</v>
      </c>
      <c r="F1172">
        <v>0</v>
      </c>
      <c r="G1172">
        <v>0</v>
      </c>
      <c r="H1172">
        <v>0</v>
      </c>
      <c r="I1172" s="3">
        <v>0</v>
      </c>
      <c r="J1172" s="3">
        <v>0</v>
      </c>
      <c r="K1172" s="3">
        <v>0</v>
      </c>
      <c r="L1172" s="3" t="str">
        <f>IF(K1172&lt;-5,"CRÍTICO",IF(K1172&lt;0,"ATENÇÃO",IF(K1172&lt;=5,"BOM","EXCELENTE")))</f>
        <v>BOM</v>
      </c>
      <c r="M1172">
        <v>21</v>
      </c>
      <c r="N1172">
        <v>98.73</v>
      </c>
      <c r="O1172">
        <v>35.756385068762278</v>
      </c>
    </row>
    <row r="1173" spans="1:15" hidden="1" x14ac:dyDescent="0.25">
      <c r="A1173" s="11">
        <v>46037</v>
      </c>
      <c r="B1173" t="s">
        <v>59</v>
      </c>
      <c r="C1173" t="s">
        <v>23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 s="3">
        <f>E1173+G1173+H1173</f>
        <v>30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15</v>
      </c>
      <c r="K1173" s="3">
        <f>I1173-J1173</f>
        <v>15</v>
      </c>
      <c r="L1173" s="3" t="str">
        <f>IF(K1173&lt;-5,"CRÍTICO",IF(K1173&lt;0,"ATENÇÃO",IF(K1173&lt;=5,"BOM","EXCELENTE")))</f>
        <v>EXCELENTE</v>
      </c>
      <c r="M1173">
        <v>29</v>
      </c>
      <c r="N1173">
        <v>98.32</v>
      </c>
      <c r="O1173">
        <v>26.763485477178421</v>
      </c>
    </row>
    <row r="1174" spans="1:15" hidden="1" x14ac:dyDescent="0.25">
      <c r="A1174" s="11">
        <v>46037</v>
      </c>
      <c r="B1174" t="s">
        <v>33</v>
      </c>
      <c r="C1174" t="s">
        <v>32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 s="3">
        <f>E1174+G1174+H1174</f>
        <v>13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22</v>
      </c>
      <c r="K1174" s="3">
        <f>I1174-J1174</f>
        <v>-9</v>
      </c>
      <c r="L1174" s="3" t="str">
        <f>IF(K1174&lt;-5,"CRÍTICO",IF(K1174&lt;0,"ATENÇÃO",IF(K1174&lt;=5,"BOM","EXCELENTE")))</f>
        <v>CRÍTICO</v>
      </c>
      <c r="M1174">
        <v>13</v>
      </c>
      <c r="N1174">
        <v>99.19</v>
      </c>
      <c r="O1174">
        <v>27.637130801687761</v>
      </c>
    </row>
    <row r="1175" spans="1:15" hidden="1" x14ac:dyDescent="0.25">
      <c r="A1175" s="11">
        <v>46037</v>
      </c>
      <c r="B1175" t="s">
        <v>15</v>
      </c>
      <c r="C1175" t="s">
        <v>16</v>
      </c>
      <c r="D1175">
        <v>8</v>
      </c>
      <c r="E1175">
        <v>8</v>
      </c>
      <c r="F1175">
        <v>27.33</v>
      </c>
      <c r="G1175">
        <v>0</v>
      </c>
      <c r="H1175">
        <v>0</v>
      </c>
      <c r="I1175" s="3">
        <f>E1175+G1175+H1175</f>
        <v>8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6</v>
      </c>
      <c r="K1175" s="3">
        <f>I1175-J1175</f>
        <v>2</v>
      </c>
      <c r="L1175" s="3" t="str">
        <f>IF(K1175&lt;-5,"CRÍTICO",IF(K1175&lt;0,"ATENÇÃO",IF(K1175&lt;=5,"BOM","EXCELENTE")))</f>
        <v>BOM</v>
      </c>
      <c r="M1175">
        <v>7</v>
      </c>
      <c r="N1175">
        <v>100</v>
      </c>
      <c r="O1175">
        <v>39.568345323741013</v>
      </c>
    </row>
    <row r="1176" spans="1:15" hidden="1" x14ac:dyDescent="0.25">
      <c r="A1176" s="11">
        <v>46037</v>
      </c>
      <c r="B1176" t="s">
        <v>49</v>
      </c>
      <c r="C1176" t="s">
        <v>48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>
        <v>22</v>
      </c>
      <c r="N1176">
        <v>98.54</v>
      </c>
      <c r="O1176">
        <v>28.544776119402989</v>
      </c>
    </row>
    <row r="1177" spans="1:15" hidden="1" x14ac:dyDescent="0.25">
      <c r="A1177" s="11">
        <v>46037</v>
      </c>
      <c r="B1177" t="s">
        <v>50</v>
      </c>
      <c r="C1177" t="s">
        <v>48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 s="3">
        <f>E1177+G1177+H1177</f>
        <v>21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18</v>
      </c>
      <c r="K1177" s="3">
        <f>I1177-J1177</f>
        <v>3</v>
      </c>
      <c r="L1177" s="3" t="str">
        <f>IF(K1177&lt;-5,"CRÍTICO",IF(K1177&lt;0,"ATENÇÃO",IF(K1177&lt;=5,"BOM","EXCELENTE")))</f>
        <v>BOM</v>
      </c>
      <c r="M1177">
        <v>19</v>
      </c>
      <c r="N1177">
        <v>100</v>
      </c>
      <c r="O1177">
        <v>34.366925064599492</v>
      </c>
    </row>
    <row r="1178" spans="1:15" hidden="1" x14ac:dyDescent="0.25">
      <c r="A1178" s="11">
        <v>46037</v>
      </c>
      <c r="B1178" t="s">
        <v>17</v>
      </c>
      <c r="C1178" t="s">
        <v>16</v>
      </c>
      <c r="D1178">
        <v>0</v>
      </c>
      <c r="E1178">
        <v>0</v>
      </c>
      <c r="F1178">
        <v>0</v>
      </c>
      <c r="G1178">
        <v>0</v>
      </c>
      <c r="H1178">
        <v>0</v>
      </c>
      <c r="I1178" s="3">
        <v>0</v>
      </c>
      <c r="J1178" s="3">
        <v>0</v>
      </c>
      <c r="K1178" s="3">
        <v>0</v>
      </c>
      <c r="L1178" s="3" t="str">
        <f>IF(K1178&lt;-5,"CRÍTICO",IF(K1178&lt;0,"ATENÇÃO",IF(K1178&lt;=5,"BOM","EXCELENTE")))</f>
        <v>BOM</v>
      </c>
      <c r="M1178">
        <v>0</v>
      </c>
      <c r="N1178">
        <v>0</v>
      </c>
      <c r="O1178">
        <v>0</v>
      </c>
    </row>
    <row r="1179" spans="1:15" hidden="1" x14ac:dyDescent="0.25">
      <c r="A1179" s="11">
        <v>46037</v>
      </c>
      <c r="B1179" t="s">
        <v>60</v>
      </c>
      <c r="C1179" t="s">
        <v>23</v>
      </c>
      <c r="D1179">
        <v>9</v>
      </c>
      <c r="E1179">
        <v>9</v>
      </c>
      <c r="F1179">
        <v>69.19</v>
      </c>
      <c r="G1179">
        <v>0</v>
      </c>
      <c r="H1179">
        <v>0</v>
      </c>
      <c r="I1179" s="3">
        <f>E1179+G1179+H1179</f>
        <v>9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15</v>
      </c>
      <c r="K1179" s="3">
        <f>I1179-J1179</f>
        <v>-6</v>
      </c>
      <c r="L1179" s="3" t="str">
        <f>IF(K1179&lt;-5,"CRÍTICO",IF(K1179&lt;0,"ATENÇÃO",IF(K1179&lt;=5,"BOM","EXCELENTE")))</f>
        <v>CRÍTICO</v>
      </c>
      <c r="M1179">
        <v>8</v>
      </c>
      <c r="N1179">
        <v>100</v>
      </c>
      <c r="O1179">
        <v>29.518072289156631</v>
      </c>
    </row>
    <row r="1180" spans="1:15" hidden="1" x14ac:dyDescent="0.25">
      <c r="A1180" s="11">
        <v>46037</v>
      </c>
      <c r="B1180" t="s">
        <v>34</v>
      </c>
      <c r="C1180" t="s">
        <v>32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 s="3">
        <f>E1180+G1180+H1180</f>
        <v>43</v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>22</v>
      </c>
      <c r="K1180" s="3">
        <f>I1180-J1180</f>
        <v>21</v>
      </c>
      <c r="L1180" s="3" t="str">
        <f>IF(K1180&lt;-5,"CRÍTICO",IF(K1180&lt;0,"ATENÇÃO",IF(K1180&lt;=5,"BOM","EXCELENTE")))</f>
        <v>EXCELENTE</v>
      </c>
      <c r="M1180">
        <v>39</v>
      </c>
      <c r="N1180">
        <v>97.45</v>
      </c>
      <c r="O1180">
        <v>41.421143847487002</v>
      </c>
    </row>
    <row r="1181" spans="1:15" hidden="1" x14ac:dyDescent="0.25">
      <c r="A1181" s="11">
        <v>46037</v>
      </c>
      <c r="B1181" t="s">
        <v>51</v>
      </c>
      <c r="C1181" t="s">
        <v>48</v>
      </c>
      <c r="D1181">
        <v>35</v>
      </c>
      <c r="E1181">
        <v>27</v>
      </c>
      <c r="F1181">
        <v>17.010000000000002</v>
      </c>
      <c r="G1181">
        <v>0</v>
      </c>
      <c r="H1181">
        <v>0</v>
      </c>
      <c r="I1181" s="3">
        <v>0</v>
      </c>
      <c r="J1181" s="3">
        <v>0</v>
      </c>
      <c r="K1181" s="3">
        <v>0</v>
      </c>
      <c r="L1181" s="3" t="str">
        <f>IF(K1181&lt;-5,"CRÍTICO",IF(K1181&lt;0,"ATENÇÃO",IF(K1181&lt;=5,"BOM","EXCELENTE")))</f>
        <v>BOM</v>
      </c>
      <c r="M1181">
        <v>29</v>
      </c>
      <c r="N1181">
        <v>96.58</v>
      </c>
      <c r="O1181">
        <v>30.396475770925111</v>
      </c>
    </row>
    <row r="1182" spans="1:15" hidden="1" x14ac:dyDescent="0.25">
      <c r="A1182" s="11">
        <v>46037</v>
      </c>
      <c r="B1182" t="s">
        <v>61</v>
      </c>
      <c r="C1182" t="s">
        <v>23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 s="3">
        <f>E1182+G1182+H1182</f>
        <v>16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15</v>
      </c>
      <c r="K1182" s="3">
        <f>I1182-J1182</f>
        <v>1</v>
      </c>
      <c r="L1182" s="3" t="str">
        <f>IF(K1182&lt;-5,"CRÍTICO",IF(K1182&lt;0,"ATENÇÃO",IF(K1182&lt;=5,"BOM","EXCELENTE")))</f>
        <v>BOM</v>
      </c>
      <c r="M1182">
        <v>20</v>
      </c>
      <c r="N1182">
        <v>100</v>
      </c>
      <c r="O1182">
        <v>27.44282744282744</v>
      </c>
    </row>
    <row r="1183" spans="1:15" hidden="1" x14ac:dyDescent="0.25">
      <c r="A1183" s="11">
        <v>46037</v>
      </c>
      <c r="B1183" t="s">
        <v>35</v>
      </c>
      <c r="C1183" t="s">
        <v>32</v>
      </c>
      <c r="D1183">
        <v>20</v>
      </c>
      <c r="E1183">
        <v>20</v>
      </c>
      <c r="F1183">
        <v>25.03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>
        <v>20</v>
      </c>
      <c r="N1183">
        <v>99.49</v>
      </c>
      <c r="O1183">
        <v>40.200000000000003</v>
      </c>
    </row>
    <row r="1184" spans="1:15" hidden="1" x14ac:dyDescent="0.25">
      <c r="A1184" s="11">
        <v>46037</v>
      </c>
      <c r="B1184" t="s">
        <v>18</v>
      </c>
      <c r="C1184" t="s">
        <v>16</v>
      </c>
      <c r="D1184">
        <v>0</v>
      </c>
      <c r="E1184">
        <v>0</v>
      </c>
      <c r="F1184">
        <v>0</v>
      </c>
      <c r="G1184">
        <v>0</v>
      </c>
      <c r="H1184">
        <v>0</v>
      </c>
      <c r="I1184" s="3">
        <v>0</v>
      </c>
      <c r="J1184" s="3">
        <v>0</v>
      </c>
      <c r="K1184" s="3">
        <v>0</v>
      </c>
      <c r="L1184" s="3" t="str">
        <f>IF(K1184&lt;-5,"CRÍTICO",IF(K1184&lt;0,"ATENÇÃO",IF(K1184&lt;=5,"BOM","EXCELENTE")))</f>
        <v>BOM</v>
      </c>
      <c r="M1184">
        <v>0</v>
      </c>
      <c r="N1184">
        <v>100</v>
      </c>
      <c r="O1184">
        <v>25</v>
      </c>
    </row>
    <row r="1185" spans="1:15" hidden="1" x14ac:dyDescent="0.25">
      <c r="A1185" s="11">
        <v>46037</v>
      </c>
      <c r="B1185" t="s">
        <v>52</v>
      </c>
      <c r="C1185" t="s">
        <v>48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 s="3">
        <f>E1185+G1185+H1185</f>
        <v>25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18</v>
      </c>
      <c r="K1185" s="3">
        <f>I1185-J1185</f>
        <v>7</v>
      </c>
      <c r="L1185" s="3" t="str">
        <f>IF(K1185&lt;-5,"CRÍTICO",IF(K1185&lt;0,"ATENÇÃO",IF(K1185&lt;=5,"BOM","EXCELENTE")))</f>
        <v>EXCELENTE</v>
      </c>
      <c r="M1185">
        <v>22</v>
      </c>
      <c r="N1185">
        <v>100</v>
      </c>
      <c r="O1185">
        <v>34.15094339622641</v>
      </c>
    </row>
    <row r="1186" spans="1:15" hidden="1" x14ac:dyDescent="0.25">
      <c r="A1186" s="11">
        <v>46037</v>
      </c>
      <c r="B1186" t="s">
        <v>36</v>
      </c>
      <c r="C1186" t="s">
        <v>32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 s="3">
        <f>E1186+G1186+H1186</f>
        <v>32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22</v>
      </c>
      <c r="K1186" s="3">
        <f>I1186-J1186</f>
        <v>10</v>
      </c>
      <c r="L1186" s="3" t="str">
        <f>IF(K1186&lt;-5,"CRÍTICO",IF(K1186&lt;0,"ATENÇÃO",IF(K1186&lt;=5,"BOM","EXCELENTE")))</f>
        <v>EXCELENTE</v>
      </c>
      <c r="M1186">
        <v>28</v>
      </c>
      <c r="N1186">
        <v>100</v>
      </c>
      <c r="O1186">
        <v>32.731376975169297</v>
      </c>
    </row>
    <row r="1187" spans="1:15" hidden="1" x14ac:dyDescent="0.25">
      <c r="A1187" s="11">
        <v>46037</v>
      </c>
      <c r="B1187" t="s">
        <v>53</v>
      </c>
      <c r="C1187" t="s">
        <v>48</v>
      </c>
      <c r="D1187">
        <v>0</v>
      </c>
      <c r="E1187">
        <v>0</v>
      </c>
      <c r="F1187">
        <v>0</v>
      </c>
      <c r="G1187">
        <v>0</v>
      </c>
      <c r="H1187">
        <v>0</v>
      </c>
      <c r="I1187" s="3">
        <v>0</v>
      </c>
      <c r="J1187" s="3">
        <v>0</v>
      </c>
      <c r="K1187" s="3">
        <v>0</v>
      </c>
      <c r="L1187" s="3" t="str">
        <f>IF(K1187&lt;-5,"CRÍTICO",IF(K1187&lt;0,"ATENÇÃO",IF(K1187&lt;=5,"BOM","EXCELENTE")))</f>
        <v>BOM</v>
      </c>
      <c r="M1187">
        <v>1</v>
      </c>
      <c r="N1187">
        <v>99.31</v>
      </c>
      <c r="O1187">
        <v>30.96234309623431</v>
      </c>
    </row>
    <row r="1188" spans="1:15" hidden="1" x14ac:dyDescent="0.25">
      <c r="A1188" s="11">
        <v>46071</v>
      </c>
      <c r="B1188" t="s">
        <v>22</v>
      </c>
      <c r="C1188" t="s">
        <v>23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16</v>
      </c>
      <c r="K1188" s="3">
        <f>I1188-J1188</f>
        <v>2</v>
      </c>
      <c r="L1188" s="3" t="str">
        <f>IF(K1188&lt;-5,"CRÍTICO",IF(K1188&lt;0,"ATENÇÃO",IF(K1188&lt;=5,"BOM","EXCELENTE")))</f>
        <v>BOM</v>
      </c>
      <c r="M1188">
        <v>18</v>
      </c>
      <c r="N1188">
        <v>96.67</v>
      </c>
      <c r="O1188">
        <v>31.451612903225811</v>
      </c>
    </row>
    <row r="1189" spans="1:15" hidden="1" x14ac:dyDescent="0.25">
      <c r="A1189" s="11">
        <v>46037</v>
      </c>
      <c r="B1189" t="s">
        <v>54</v>
      </c>
      <c r="C1189" t="s">
        <v>48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 s="3">
        <f>E1189+G1189+H1189</f>
        <v>30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18</v>
      </c>
      <c r="K1189" s="3">
        <f>I1189-J1189</f>
        <v>12</v>
      </c>
      <c r="L1189" s="3" t="str">
        <f>IF(K1189&lt;-5,"CRÍTICO",IF(K1189&lt;0,"ATENÇÃO",IF(K1189&lt;=5,"BOM","EXCELENTE")))</f>
        <v>EXCELENTE</v>
      </c>
      <c r="M1189">
        <v>29</v>
      </c>
      <c r="N1189">
        <v>100</v>
      </c>
      <c r="O1189">
        <v>27.676767676767678</v>
      </c>
    </row>
    <row r="1190" spans="1:15" hidden="1" x14ac:dyDescent="0.25">
      <c r="A1190" s="11">
        <v>46037</v>
      </c>
      <c r="B1190" t="s">
        <v>37</v>
      </c>
      <c r="C1190" t="s">
        <v>32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 s="3">
        <f>E1190+G1190+H1190</f>
        <v>50</v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>22</v>
      </c>
      <c r="K1190" s="3">
        <f>I1190-J1190</f>
        <v>28</v>
      </c>
      <c r="L1190" s="3" t="str">
        <f>IF(K1190&lt;-5,"CRÍTICO",IF(K1190&lt;0,"ATENÇÃO",IF(K1190&lt;=5,"BOM","EXCELENTE")))</f>
        <v>EXCELENTE</v>
      </c>
      <c r="M1190">
        <v>48</v>
      </c>
      <c r="N1190">
        <v>100</v>
      </c>
      <c r="O1190">
        <v>31.17723156532988</v>
      </c>
    </row>
    <row r="1191" spans="1:15" hidden="1" x14ac:dyDescent="0.25">
      <c r="A1191" s="11">
        <v>46037</v>
      </c>
      <c r="B1191" t="s">
        <v>38</v>
      </c>
      <c r="C1191" t="s">
        <v>32</v>
      </c>
      <c r="D1191">
        <v>0</v>
      </c>
      <c r="E1191">
        <v>0</v>
      </c>
      <c r="F1191">
        <v>0</v>
      </c>
      <c r="G1191">
        <v>0</v>
      </c>
      <c r="H1191">
        <v>0</v>
      </c>
      <c r="I1191" s="3">
        <v>0</v>
      </c>
      <c r="J1191" s="3">
        <v>0</v>
      </c>
      <c r="K1191" s="3">
        <v>0</v>
      </c>
      <c r="L1191" s="3" t="str">
        <f>IF(K1191&lt;-5,"CRÍTICO",IF(K1191&lt;0,"ATENÇÃO",IF(K1191&lt;=5,"BOM","EXCELENTE")))</f>
        <v>BOM</v>
      </c>
      <c r="M1191">
        <v>0</v>
      </c>
      <c r="N1191">
        <v>100</v>
      </c>
      <c r="O1191">
        <v>27.609427609427609</v>
      </c>
    </row>
    <row r="1192" spans="1:15" hidden="1" x14ac:dyDescent="0.25">
      <c r="A1192" s="11">
        <v>46037</v>
      </c>
      <c r="B1192" t="s">
        <v>55</v>
      </c>
      <c r="C1192" t="s">
        <v>48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 s="3">
        <f>E1192+G1192+H1192</f>
        <v>24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18</v>
      </c>
      <c r="K1192" s="3">
        <f>I1192-J1192</f>
        <v>6</v>
      </c>
      <c r="L1192" s="3" t="str">
        <f>IF(K1192&lt;-5,"CRÍTICO",IF(K1192&lt;0,"ATENÇÃO",IF(K1192&lt;=5,"BOM","EXCELENTE")))</f>
        <v>EXCELENTE</v>
      </c>
      <c r="M1192">
        <v>22</v>
      </c>
      <c r="N1192">
        <v>96.4</v>
      </c>
      <c r="O1192">
        <v>28.764044943820231</v>
      </c>
    </row>
    <row r="1193" spans="1:15" hidden="1" x14ac:dyDescent="0.25">
      <c r="A1193" s="11">
        <v>46037</v>
      </c>
      <c r="B1193" t="s">
        <v>39</v>
      </c>
      <c r="C1193" t="s">
        <v>32</v>
      </c>
      <c r="D1193">
        <v>0</v>
      </c>
      <c r="E1193">
        <v>0</v>
      </c>
      <c r="F1193">
        <v>0</v>
      </c>
      <c r="G1193">
        <v>0</v>
      </c>
      <c r="H1193">
        <v>0</v>
      </c>
      <c r="I1193" s="3">
        <v>0</v>
      </c>
      <c r="J1193" s="3">
        <v>0</v>
      </c>
      <c r="K1193" s="3">
        <v>0</v>
      </c>
      <c r="L1193" s="3" t="str">
        <f>IF(K1193&lt;-5,"CRÍTICO",IF(K1193&lt;0,"ATENÇÃO",IF(K1193&lt;=5,"BOM","EXCELENTE")))</f>
        <v>BOM</v>
      </c>
      <c r="M1193">
        <v>19</v>
      </c>
      <c r="N1193">
        <v>100</v>
      </c>
      <c r="O1193">
        <v>33.980582524271853</v>
      </c>
    </row>
    <row r="1194" spans="1:15" hidden="1" x14ac:dyDescent="0.25">
      <c r="A1194" s="11">
        <v>46037</v>
      </c>
      <c r="B1194" t="s">
        <v>25</v>
      </c>
      <c r="C1194" t="s">
        <v>26</v>
      </c>
      <c r="D1194">
        <v>10</v>
      </c>
      <c r="E1194">
        <v>7</v>
      </c>
      <c r="F1194">
        <v>19</v>
      </c>
      <c r="G1194">
        <v>0</v>
      </c>
      <c r="H1194">
        <v>0</v>
      </c>
      <c r="I1194" s="3">
        <f>E1194+G1194+H1194</f>
        <v>7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13</v>
      </c>
      <c r="K1194" s="3">
        <f>I1194-J1194</f>
        <v>-6</v>
      </c>
      <c r="L1194" s="3" t="str">
        <f>IF(K1194&lt;-5,"CRÍTICO",IF(K1194&lt;0,"ATENÇÃO",IF(K1194&lt;=5,"BOM","EXCELENTE")))</f>
        <v>CRÍTICO</v>
      </c>
      <c r="M1194">
        <v>7</v>
      </c>
      <c r="N1194">
        <v>97.56</v>
      </c>
      <c r="O1194">
        <v>32.515337423312893</v>
      </c>
    </row>
    <row r="1195" spans="1:15" hidden="1" x14ac:dyDescent="0.25">
      <c r="A1195" s="11">
        <v>46037</v>
      </c>
      <c r="B1195" t="s">
        <v>40</v>
      </c>
      <c r="C1195" t="s">
        <v>32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 s="3">
        <f>E1195+G1195+H1195</f>
        <v>21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22</v>
      </c>
      <c r="K1195" s="3">
        <f>I1195-J1195</f>
        <v>-1</v>
      </c>
      <c r="L1195" s="3" t="str">
        <f>IF(K1195&lt;-5,"CRÍTICO",IF(K1195&lt;0,"ATENÇÃO",IF(K1195&lt;=5,"BOM","EXCELENTE")))</f>
        <v>ATENÇÃO</v>
      </c>
      <c r="M1195">
        <v>21</v>
      </c>
      <c r="N1195">
        <v>97.11</v>
      </c>
      <c r="O1195">
        <v>37.408312958435211</v>
      </c>
    </row>
    <row r="1196" spans="1:15" hidden="1" x14ac:dyDescent="0.25">
      <c r="A1196" s="11">
        <v>46037</v>
      </c>
      <c r="B1196" t="s">
        <v>27</v>
      </c>
      <c r="C1196" t="s">
        <v>26</v>
      </c>
      <c r="D1196">
        <v>0</v>
      </c>
      <c r="E1196">
        <v>0</v>
      </c>
      <c r="F1196">
        <v>0</v>
      </c>
      <c r="G1196">
        <v>0</v>
      </c>
      <c r="H1196">
        <v>0</v>
      </c>
      <c r="I1196" s="3">
        <v>0</v>
      </c>
      <c r="J1196" s="3">
        <v>0</v>
      </c>
      <c r="K1196" s="3">
        <v>0</v>
      </c>
      <c r="L1196" s="3" t="str">
        <f>IF(K1196&lt;-5,"CRÍTICO",IF(K1196&lt;0,"ATENÇÃO",IF(K1196&lt;=5,"BOM","EXCELENTE")))</f>
        <v>BOM</v>
      </c>
      <c r="M1196">
        <v>0</v>
      </c>
      <c r="N1196">
        <v>0</v>
      </c>
      <c r="O1196">
        <v>0</v>
      </c>
    </row>
    <row r="1197" spans="1:15" hidden="1" x14ac:dyDescent="0.25">
      <c r="A1197" s="11">
        <v>46037</v>
      </c>
      <c r="B1197" t="s">
        <v>41</v>
      </c>
      <c r="C1197" t="s">
        <v>32</v>
      </c>
      <c r="D1197">
        <v>39</v>
      </c>
      <c r="E1197">
        <v>32</v>
      </c>
      <c r="F1197">
        <v>20.5</v>
      </c>
      <c r="G1197">
        <v>0</v>
      </c>
      <c r="H1197">
        <v>0</v>
      </c>
      <c r="I1197" s="3">
        <f>E1197+G1197+H1197</f>
        <v>32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22</v>
      </c>
      <c r="K1197" s="3">
        <f>I1197-J1197</f>
        <v>10</v>
      </c>
      <c r="L1197" s="3" t="str">
        <f>IF(K1197&lt;-5,"CRÍTICO",IF(K1197&lt;0,"ATENÇÃO",IF(K1197&lt;=5,"BOM","EXCELENTE")))</f>
        <v>EXCELENTE</v>
      </c>
      <c r="M1197">
        <v>27</v>
      </c>
      <c r="N1197">
        <v>100</v>
      </c>
      <c r="O1197">
        <v>30.470347648261761</v>
      </c>
    </row>
    <row r="1198" spans="1:15" hidden="1" x14ac:dyDescent="0.25">
      <c r="A1198" s="11">
        <v>46037</v>
      </c>
      <c r="B1198" t="s">
        <v>56</v>
      </c>
      <c r="C1198" t="s">
        <v>48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 s="3">
        <f>E1198+G1198+H1198</f>
        <v>31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18</v>
      </c>
      <c r="K1198" s="3">
        <f>I1198-J1198</f>
        <v>13</v>
      </c>
      <c r="L1198" s="3" t="str">
        <f>IF(K1198&lt;-5,"CRÍTICO",IF(K1198&lt;0,"ATENÇÃO",IF(K1198&lt;=5,"BOM","EXCELENTE")))</f>
        <v>EXCELENTE</v>
      </c>
      <c r="M1198">
        <v>29</v>
      </c>
      <c r="N1198">
        <v>100</v>
      </c>
      <c r="O1198">
        <v>32.371134020618562</v>
      </c>
    </row>
    <row r="1199" spans="1:15" hidden="1" x14ac:dyDescent="0.25">
      <c r="A1199" s="11">
        <v>46037</v>
      </c>
      <c r="B1199" t="s">
        <v>57</v>
      </c>
      <c r="C1199" t="s">
        <v>48</v>
      </c>
      <c r="D1199">
        <v>28</v>
      </c>
      <c r="E1199">
        <v>26</v>
      </c>
      <c r="F1199">
        <v>19.04</v>
      </c>
      <c r="G1199">
        <v>0</v>
      </c>
      <c r="H1199">
        <v>0</v>
      </c>
      <c r="I1199" s="3">
        <v>0</v>
      </c>
      <c r="J1199" s="3">
        <v>0</v>
      </c>
      <c r="K1199" s="3">
        <v>0</v>
      </c>
      <c r="L1199" s="3" t="str">
        <f>IF(K1199&lt;-5,"CRÍTICO",IF(K1199&lt;0,"ATENÇÃO",IF(K1199&lt;=5,"BOM","EXCELENTE")))</f>
        <v>BOM</v>
      </c>
      <c r="M1199">
        <v>25</v>
      </c>
      <c r="N1199">
        <v>98.32</v>
      </c>
      <c r="O1199">
        <v>32.318501170960189</v>
      </c>
    </row>
    <row r="1200" spans="1:15" hidden="1" x14ac:dyDescent="0.25">
      <c r="A1200" s="11">
        <v>46037</v>
      </c>
      <c r="B1200" t="s">
        <v>42</v>
      </c>
      <c r="C1200" t="s">
        <v>32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 s="3">
        <f>E1200+G1200+H1200</f>
        <v>51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22</v>
      </c>
      <c r="K1200" s="3">
        <f>I1200-J1200</f>
        <v>29</v>
      </c>
      <c r="L1200" s="3" t="str">
        <f>IF(K1200&lt;-5,"CRÍTICO",IF(K1200&lt;0,"ATENÇÃO",IF(K1200&lt;=5,"BOM","EXCELENTE")))</f>
        <v>EXCELENTE</v>
      </c>
      <c r="M1200">
        <v>38</v>
      </c>
      <c r="N1200">
        <v>96.43</v>
      </c>
      <c r="O1200">
        <v>27.015250544662312</v>
      </c>
    </row>
    <row r="1201" spans="1:15" hidden="1" x14ac:dyDescent="0.25">
      <c r="A1201" s="11">
        <v>46037</v>
      </c>
      <c r="B1201" t="s">
        <v>62</v>
      </c>
      <c r="C1201" t="s">
        <v>23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 s="3">
        <f>E1201+G1201+H1201</f>
        <v>17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15</v>
      </c>
      <c r="K1201" s="3">
        <f>I1201-J1201</f>
        <v>2</v>
      </c>
      <c r="L1201" s="3" t="str">
        <f>IF(K1201&lt;-5,"CRÍTICO",IF(K1201&lt;0,"ATENÇÃO",IF(K1201&lt;=5,"BOM","EXCELENTE")))</f>
        <v>BOM</v>
      </c>
      <c r="M1201">
        <v>15</v>
      </c>
      <c r="N1201">
        <v>98.89</v>
      </c>
      <c r="O1201">
        <v>28.021978021978018</v>
      </c>
    </row>
    <row r="1202" spans="1:15" hidden="1" x14ac:dyDescent="0.25">
      <c r="A1202" s="11">
        <v>46037</v>
      </c>
      <c r="B1202" t="s">
        <v>19</v>
      </c>
      <c r="C1202" t="s">
        <v>16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>
        <v>0</v>
      </c>
      <c r="N1202">
        <v>100</v>
      </c>
      <c r="O1202">
        <v>33.333333333333329</v>
      </c>
    </row>
    <row r="1203" spans="1:15" hidden="1" x14ac:dyDescent="0.25">
      <c r="A1203" s="11">
        <v>46037</v>
      </c>
      <c r="B1203" t="s">
        <v>43</v>
      </c>
      <c r="C1203" t="s">
        <v>32</v>
      </c>
      <c r="D1203">
        <v>0</v>
      </c>
      <c r="E1203">
        <v>0</v>
      </c>
      <c r="F1203">
        <v>0</v>
      </c>
      <c r="G1203">
        <v>0</v>
      </c>
      <c r="H1203">
        <v>0</v>
      </c>
      <c r="I1203" s="3">
        <v>0</v>
      </c>
      <c r="J1203" s="3">
        <v>0</v>
      </c>
      <c r="K1203" s="3">
        <v>0</v>
      </c>
      <c r="L1203" s="3" t="str">
        <f>IF(K1203&lt;-5,"CRÍTICO",IF(K1203&lt;0,"ATENÇÃO",IF(K1203&lt;=5,"BOM","EXCELENTE")))</f>
        <v>BOM</v>
      </c>
      <c r="M1203">
        <v>0</v>
      </c>
      <c r="N1203">
        <v>100</v>
      </c>
      <c r="O1203">
        <v>27.43362831858407</v>
      </c>
    </row>
    <row r="1204" spans="1:15" hidden="1" x14ac:dyDescent="0.25">
      <c r="A1204" s="11">
        <v>46037</v>
      </c>
      <c r="B1204" t="s">
        <v>44</v>
      </c>
      <c r="C1204" t="s">
        <v>32</v>
      </c>
      <c r="D1204">
        <v>53</v>
      </c>
      <c r="E1204">
        <v>48</v>
      </c>
      <c r="F1204">
        <v>9.18</v>
      </c>
      <c r="G1204">
        <v>0</v>
      </c>
      <c r="H1204">
        <v>0</v>
      </c>
      <c r="I1204" s="3">
        <f>E1204+G1204+H1204</f>
        <v>48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22</v>
      </c>
      <c r="K1204" s="3">
        <f>I1204-J1204</f>
        <v>26</v>
      </c>
      <c r="L1204" s="3" t="str">
        <f>IF(K1204&lt;-5,"CRÍTICO",IF(K1204&lt;0,"ATENÇÃO",IF(K1204&lt;=5,"BOM","EXCELENTE")))</f>
        <v>EXCELENTE</v>
      </c>
      <c r="M1204">
        <v>40</v>
      </c>
      <c r="N1204">
        <v>98.65</v>
      </c>
      <c r="O1204">
        <v>30.978260869565219</v>
      </c>
    </row>
    <row r="1205" spans="1:15" hidden="1" x14ac:dyDescent="0.25">
      <c r="A1205" s="11">
        <v>46037</v>
      </c>
      <c r="B1205" t="s">
        <v>20</v>
      </c>
      <c r="C1205" t="s">
        <v>16</v>
      </c>
      <c r="D1205">
        <v>1</v>
      </c>
      <c r="E1205">
        <v>1</v>
      </c>
      <c r="F1205">
        <v>12.38</v>
      </c>
      <c r="G1205">
        <v>0</v>
      </c>
      <c r="H1205">
        <v>0</v>
      </c>
      <c r="I1205" s="3">
        <f>E1205+G1205+H1205</f>
        <v>1</v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>6</v>
      </c>
      <c r="K1205" s="3">
        <f>I1205-J1205</f>
        <v>-5</v>
      </c>
      <c r="L1205" s="3" t="str">
        <f>IF(K1205&lt;-5,"CRÍTICO",IF(K1205&lt;0,"ATENÇÃO",IF(K1205&lt;=5,"BOM","EXCELENTE")))</f>
        <v>ATENÇÃO</v>
      </c>
      <c r="M1205">
        <v>0</v>
      </c>
      <c r="N1205">
        <v>100</v>
      </c>
      <c r="O1205">
        <v>12</v>
      </c>
    </row>
    <row r="1206" spans="1:15" hidden="1" x14ac:dyDescent="0.25">
      <c r="A1206" s="11">
        <v>46037</v>
      </c>
      <c r="B1206" t="s">
        <v>28</v>
      </c>
      <c r="C1206" t="s">
        <v>26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>
        <v>0</v>
      </c>
      <c r="N1206">
        <v>0</v>
      </c>
      <c r="O1206">
        <v>0</v>
      </c>
    </row>
    <row r="1207" spans="1:15" hidden="1" x14ac:dyDescent="0.25">
      <c r="A1207" s="11">
        <v>46037</v>
      </c>
      <c r="B1207" t="s">
        <v>58</v>
      </c>
      <c r="C1207" t="s">
        <v>48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>
        <v>0</v>
      </c>
      <c r="N1207">
        <v>97.56</v>
      </c>
      <c r="O1207">
        <v>31.067961165048541</v>
      </c>
    </row>
    <row r="1208" spans="1:15" hidden="1" x14ac:dyDescent="0.25">
      <c r="A1208" s="11">
        <v>46037</v>
      </c>
      <c r="B1208" t="s">
        <v>29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30</v>
      </c>
      <c r="C1209" t="s">
        <v>26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21</v>
      </c>
      <c r="C1210" t="s">
        <v>16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>
        <v>0</v>
      </c>
      <c r="N1210">
        <v>0</v>
      </c>
      <c r="O1210">
        <v>0</v>
      </c>
    </row>
    <row r="1211" spans="1:15" hidden="1" x14ac:dyDescent="0.25">
      <c r="A1211" s="11">
        <v>46037</v>
      </c>
      <c r="B1211" t="s">
        <v>63</v>
      </c>
      <c r="C1211" t="s">
        <v>23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>
        <v>0</v>
      </c>
      <c r="N1211">
        <v>100</v>
      </c>
      <c r="O1211">
        <v>53.846153846153847</v>
      </c>
    </row>
    <row r="1212" spans="1:15" hidden="1" x14ac:dyDescent="0.25">
      <c r="A1212" s="11">
        <v>46037</v>
      </c>
      <c r="B1212" t="s">
        <v>45</v>
      </c>
      <c r="C1212" t="s">
        <v>32</v>
      </c>
      <c r="D1212">
        <v>0</v>
      </c>
      <c r="E1212">
        <v>0</v>
      </c>
      <c r="F1212">
        <v>0</v>
      </c>
      <c r="G1212">
        <v>0</v>
      </c>
      <c r="H1212">
        <v>0</v>
      </c>
      <c r="I1212" s="3">
        <v>0</v>
      </c>
      <c r="J1212" s="3">
        <v>0</v>
      </c>
      <c r="K1212" s="3">
        <v>0</v>
      </c>
      <c r="L1212" s="3" t="str">
        <f>IF(K1212&lt;-5,"CRÍTICO",IF(K1212&lt;0,"ATENÇÃO",IF(K1212&lt;=5,"BOM","EXCELENTE")))</f>
        <v>BOM</v>
      </c>
      <c r="M1212">
        <v>0</v>
      </c>
      <c r="N1212">
        <v>100</v>
      </c>
      <c r="O1212">
        <v>44.05594405594406</v>
      </c>
    </row>
    <row r="1213" spans="1:15" hidden="1" x14ac:dyDescent="0.25">
      <c r="A1213" s="11">
        <v>46037</v>
      </c>
      <c r="B1213" t="s">
        <v>64</v>
      </c>
      <c r="C1213" t="s">
        <v>23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 s="3">
        <f>E1213+G1213+H1213</f>
        <v>14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15</v>
      </c>
      <c r="K1213" s="3">
        <f>I1213-J1213</f>
        <v>-1</v>
      </c>
      <c r="L1213" s="3" t="str">
        <f>IF(K1213&lt;-5,"CRÍTICO",IF(K1213&lt;0,"ATENÇÃO",IF(K1213&lt;=5,"BOM","EXCELENTE")))</f>
        <v>ATENÇÃO</v>
      </c>
      <c r="M1213">
        <v>15</v>
      </c>
      <c r="N1213">
        <v>100</v>
      </c>
      <c r="O1213">
        <v>31.872509960159359</v>
      </c>
    </row>
    <row r="1214" spans="1:15" hidden="1" x14ac:dyDescent="0.25">
      <c r="A1214" s="11">
        <v>46037</v>
      </c>
      <c r="B1214" t="s">
        <v>46</v>
      </c>
      <c r="C1214" t="s">
        <v>32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 s="3">
        <f>E1214+G1214+H1214</f>
        <v>35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22</v>
      </c>
      <c r="K1214" s="3">
        <f>I1214-J1214</f>
        <v>13</v>
      </c>
      <c r="L1214" s="3" t="str">
        <f>IF(K1214&lt;-5,"CRÍTICO",IF(K1214&lt;0,"ATENÇÃO",IF(K1214&lt;=5,"BOM","EXCELENTE")))</f>
        <v>EXCELENTE</v>
      </c>
      <c r="M1214">
        <v>31</v>
      </c>
      <c r="N1214">
        <v>98.41</v>
      </c>
      <c r="O1214">
        <v>29.22465208747515</v>
      </c>
    </row>
    <row r="1215" spans="1:15" hidden="1" x14ac:dyDescent="0.25">
      <c r="A1215" s="11">
        <v>46038</v>
      </c>
      <c r="B1215" t="s">
        <v>47</v>
      </c>
      <c r="C1215" t="s">
        <v>48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 s="3">
        <f>E1215+G1215+H1215</f>
        <v>26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17</v>
      </c>
      <c r="K1215" s="3">
        <f>I1215-J1215</f>
        <v>9</v>
      </c>
      <c r="L1215" s="3" t="str">
        <f>IF(K1215&lt;-5,"CRÍTICO",IF(K1215&lt;0,"ATENÇÃO",IF(K1215&lt;=5,"BOM","EXCELENTE")))</f>
        <v>EXCELENTE</v>
      </c>
      <c r="M1215">
        <v>22</v>
      </c>
      <c r="N1215">
        <v>96.81</v>
      </c>
      <c r="O1215">
        <v>27.980535279805348</v>
      </c>
    </row>
    <row r="1216" spans="1:15" hidden="1" x14ac:dyDescent="0.25">
      <c r="A1216" s="11">
        <v>46038</v>
      </c>
      <c r="B1216" t="s">
        <v>31</v>
      </c>
      <c r="C1216" t="s">
        <v>32</v>
      </c>
      <c r="D1216">
        <v>0</v>
      </c>
      <c r="E1216">
        <v>0</v>
      </c>
      <c r="F1216">
        <v>0</v>
      </c>
      <c r="G1216">
        <v>0</v>
      </c>
      <c r="H1216">
        <v>0</v>
      </c>
      <c r="I1216" s="3">
        <v>0</v>
      </c>
      <c r="J1216" s="3">
        <v>0</v>
      </c>
      <c r="K1216" s="3">
        <v>0</v>
      </c>
      <c r="L1216" s="3" t="str">
        <f>IF(K1216&lt;-5,"CRÍTICO",IF(K1216&lt;0,"ATENÇÃO",IF(K1216&lt;=5,"BOM","EXCELENTE")))</f>
        <v>BOM</v>
      </c>
      <c r="M1216">
        <v>17</v>
      </c>
      <c r="N1216">
        <v>98.73</v>
      </c>
      <c r="O1216">
        <v>35.756385068762278</v>
      </c>
    </row>
    <row r="1217" spans="1:15" hidden="1" x14ac:dyDescent="0.25">
      <c r="A1217" s="11">
        <v>46038</v>
      </c>
      <c r="B1217" t="s">
        <v>59</v>
      </c>
      <c r="C1217" t="s">
        <v>23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 s="3">
        <f>E1217+G1217+H1217</f>
        <v>25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14</v>
      </c>
      <c r="K1217" s="3">
        <f>I1217-J1217</f>
        <v>11</v>
      </c>
      <c r="L1217" s="3" t="str">
        <f>IF(K1217&lt;-5,"CRÍTICO",IF(K1217&lt;0,"ATENÇÃO",IF(K1217&lt;=5,"BOM","EXCELENTE")))</f>
        <v>EXCELENTE</v>
      </c>
      <c r="M1217">
        <v>22</v>
      </c>
      <c r="N1217">
        <v>98.32</v>
      </c>
      <c r="O1217">
        <v>26.763485477178421</v>
      </c>
    </row>
    <row r="1218" spans="1:15" hidden="1" x14ac:dyDescent="0.25">
      <c r="A1218" s="11">
        <v>46038</v>
      </c>
      <c r="B1218" t="s">
        <v>33</v>
      </c>
      <c r="C1218" t="s">
        <v>32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 s="3">
        <f>E1218+G1218+H1218</f>
        <v>32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22</v>
      </c>
      <c r="K1218" s="3">
        <f>I1218-J1218</f>
        <v>10</v>
      </c>
      <c r="L1218" s="3" t="str">
        <f>IF(K1218&lt;-5,"CRÍTICO",IF(K1218&lt;0,"ATENÇÃO",IF(K1218&lt;=5,"BOM","EXCELENTE")))</f>
        <v>EXCELENTE</v>
      </c>
      <c r="M1218">
        <v>28</v>
      </c>
      <c r="N1218">
        <v>99.19</v>
      </c>
      <c r="O1218">
        <v>27.637130801687761</v>
      </c>
    </row>
    <row r="1219" spans="1:15" hidden="1" x14ac:dyDescent="0.25">
      <c r="A1219" s="11">
        <v>46038</v>
      </c>
      <c r="B1219" t="s">
        <v>15</v>
      </c>
      <c r="C1219" t="s">
        <v>16</v>
      </c>
      <c r="D1219">
        <v>1</v>
      </c>
      <c r="E1219">
        <v>1</v>
      </c>
      <c r="F1219">
        <v>432.1</v>
      </c>
      <c r="G1219">
        <v>0</v>
      </c>
      <c r="H1219">
        <v>0</v>
      </c>
      <c r="I1219" s="3">
        <f>E1219+G1219+H1219</f>
        <v>1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6</v>
      </c>
      <c r="K1219" s="3">
        <f>I1219-J1219</f>
        <v>-5</v>
      </c>
      <c r="L1219" s="3" t="str">
        <f>IF(K1219&lt;-5,"CRÍTICO",IF(K1219&lt;0,"ATENÇÃO",IF(K1219&lt;=5,"BOM","EXCELENTE")))</f>
        <v>ATENÇÃO</v>
      </c>
      <c r="M1219">
        <v>1</v>
      </c>
      <c r="N1219">
        <v>100</v>
      </c>
      <c r="O1219">
        <v>39.568345323741013</v>
      </c>
    </row>
    <row r="1220" spans="1:15" hidden="1" x14ac:dyDescent="0.25">
      <c r="A1220" s="11">
        <v>46038</v>
      </c>
      <c r="B1220" t="s">
        <v>49</v>
      </c>
      <c r="C1220" t="s">
        <v>48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 s="3">
        <f>E1220+G1220+H1220</f>
        <v>27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10</v>
      </c>
      <c r="L1220" s="3" t="str">
        <f>IF(K1220&lt;-5,"CRÍTICO",IF(K1220&lt;0,"ATENÇÃO",IF(K1220&lt;=5,"BOM","EXCELENTE")))</f>
        <v>EXCELENTE</v>
      </c>
      <c r="M1220">
        <v>24</v>
      </c>
      <c r="N1220">
        <v>98.54</v>
      </c>
      <c r="O1220">
        <v>28.544776119402989</v>
      </c>
    </row>
    <row r="1221" spans="1:15" hidden="1" x14ac:dyDescent="0.25">
      <c r="A1221" s="11">
        <v>46038</v>
      </c>
      <c r="B1221" t="s">
        <v>50</v>
      </c>
      <c r="C1221" t="s">
        <v>48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 s="3">
        <f>E1221+G1221+H1221</f>
        <v>13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17</v>
      </c>
      <c r="K1221" s="3">
        <f>I1221-J1221</f>
        <v>-4</v>
      </c>
      <c r="L1221" s="3" t="str">
        <f>IF(K1221&lt;-5,"CRÍTICO",IF(K1221&lt;0,"ATENÇÃO",IF(K1221&lt;=5,"BOM","EXCELENTE")))</f>
        <v>ATENÇÃO</v>
      </c>
      <c r="M1221">
        <v>13</v>
      </c>
      <c r="N1221">
        <v>100</v>
      </c>
      <c r="O1221">
        <v>34.366925064599492</v>
      </c>
    </row>
    <row r="1222" spans="1:15" hidden="1" x14ac:dyDescent="0.25">
      <c r="A1222" s="11">
        <v>46038</v>
      </c>
      <c r="B1222" t="s">
        <v>17</v>
      </c>
      <c r="C1222" t="s">
        <v>16</v>
      </c>
      <c r="D1222">
        <v>0</v>
      </c>
      <c r="E1222">
        <v>0</v>
      </c>
      <c r="F1222">
        <v>0</v>
      </c>
      <c r="G1222">
        <v>0</v>
      </c>
      <c r="H1222">
        <v>0</v>
      </c>
      <c r="I1222" s="3">
        <v>0</v>
      </c>
      <c r="J1222" s="3">
        <v>0</v>
      </c>
      <c r="K1222" s="3">
        <v>0</v>
      </c>
      <c r="L1222" s="3" t="str">
        <f>IF(K1222&lt;-5,"CRÍTICO",IF(K1222&lt;0,"ATENÇÃO",IF(K1222&lt;=5,"BOM","EXCELENTE")))</f>
        <v>BOM</v>
      </c>
      <c r="M1222">
        <v>0</v>
      </c>
      <c r="N1222">
        <v>0</v>
      </c>
      <c r="O1222">
        <v>0</v>
      </c>
    </row>
    <row r="1223" spans="1:15" hidden="1" x14ac:dyDescent="0.25">
      <c r="A1223" s="11">
        <v>46038</v>
      </c>
      <c r="B1223" t="s">
        <v>60</v>
      </c>
      <c r="C1223" t="s">
        <v>23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 s="3">
        <f>E1223+G1223+H1223</f>
        <v>11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14</v>
      </c>
      <c r="K1223" s="3">
        <f>I1223-J1223</f>
        <v>-3</v>
      </c>
      <c r="L1223" s="3" t="str">
        <f>IF(K1223&lt;-5,"CRÍTICO",IF(K1223&lt;0,"ATENÇÃO",IF(K1223&lt;=5,"BOM","EXCELENTE")))</f>
        <v>ATENÇÃO</v>
      </c>
      <c r="M1223">
        <v>13</v>
      </c>
      <c r="N1223">
        <v>100</v>
      </c>
      <c r="O1223">
        <v>29.518072289156631</v>
      </c>
    </row>
    <row r="1224" spans="1:15" hidden="1" x14ac:dyDescent="0.25">
      <c r="A1224" s="11">
        <v>46038</v>
      </c>
      <c r="B1224" t="s">
        <v>34</v>
      </c>
      <c r="C1224" t="s">
        <v>32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 s="3">
        <f>E1224+G1224+H1224</f>
        <v>26</v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>22</v>
      </c>
      <c r="K1224" s="3">
        <f>I1224-J1224</f>
        <v>4</v>
      </c>
      <c r="L1224" s="3" t="str">
        <f>IF(K1224&lt;-5,"CRÍTICO",IF(K1224&lt;0,"ATENÇÃO",IF(K1224&lt;=5,"BOM","EXCELENTE")))</f>
        <v>BOM</v>
      </c>
      <c r="M1224">
        <v>25</v>
      </c>
      <c r="N1224">
        <v>97.45</v>
      </c>
      <c r="O1224">
        <v>41.421143847487002</v>
      </c>
    </row>
    <row r="1225" spans="1:15" hidden="1" x14ac:dyDescent="0.25">
      <c r="A1225" s="11">
        <v>46038</v>
      </c>
      <c r="B1225" t="s">
        <v>51</v>
      </c>
      <c r="C1225" t="s">
        <v>48</v>
      </c>
      <c r="D1225">
        <v>36</v>
      </c>
      <c r="E1225">
        <v>22</v>
      </c>
      <c r="F1225">
        <v>9.0399999999999991</v>
      </c>
      <c r="G1225">
        <v>0</v>
      </c>
      <c r="H1225">
        <v>0</v>
      </c>
      <c r="I1225" s="3">
        <v>0</v>
      </c>
      <c r="J1225" s="3">
        <v>0</v>
      </c>
      <c r="K1225" s="3">
        <v>0</v>
      </c>
      <c r="L1225" s="3" t="str">
        <f>IF(K1225&lt;-5,"CRÍTICO",IF(K1225&lt;0,"ATENÇÃO",IF(K1225&lt;=5,"BOM","EXCELENTE")))</f>
        <v>BOM</v>
      </c>
      <c r="M1225">
        <v>23</v>
      </c>
      <c r="N1225">
        <v>96.58</v>
      </c>
      <c r="O1225">
        <v>30.396475770925111</v>
      </c>
    </row>
    <row r="1226" spans="1:15" hidden="1" x14ac:dyDescent="0.25">
      <c r="A1226" s="11">
        <v>46038</v>
      </c>
      <c r="B1226" t="s">
        <v>61</v>
      </c>
      <c r="C1226" t="s">
        <v>23</v>
      </c>
      <c r="D1226">
        <v>9</v>
      </c>
      <c r="E1226">
        <v>9</v>
      </c>
      <c r="F1226">
        <v>38.24</v>
      </c>
      <c r="G1226">
        <v>0</v>
      </c>
      <c r="H1226">
        <v>0</v>
      </c>
      <c r="I1226" s="3">
        <f>E1226+G1226+H1226</f>
        <v>9</v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14</v>
      </c>
      <c r="K1226" s="3">
        <f>I1226-J1226</f>
        <v>-5</v>
      </c>
      <c r="L1226" s="3" t="str">
        <f>IF(K1226&lt;-5,"CRÍTICO",IF(K1226&lt;0,"ATENÇÃO",IF(K1226&lt;=5,"BOM","EXCELENTE")))</f>
        <v>ATENÇÃO</v>
      </c>
      <c r="M1226">
        <v>14</v>
      </c>
      <c r="N1226">
        <v>100</v>
      </c>
      <c r="O1226">
        <v>27.44282744282744</v>
      </c>
    </row>
    <row r="1227" spans="1:15" hidden="1" x14ac:dyDescent="0.25">
      <c r="A1227" s="11">
        <v>46038</v>
      </c>
      <c r="B1227" t="s">
        <v>35</v>
      </c>
      <c r="C1227" t="s">
        <v>32</v>
      </c>
      <c r="D1227">
        <v>20</v>
      </c>
      <c r="E1227">
        <v>19</v>
      </c>
      <c r="F1227">
        <v>26.42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>
        <v>19</v>
      </c>
      <c r="N1227">
        <v>99.49</v>
      </c>
      <c r="O1227">
        <v>40.200000000000003</v>
      </c>
    </row>
    <row r="1228" spans="1:15" hidden="1" x14ac:dyDescent="0.25">
      <c r="A1228" s="11">
        <v>46038</v>
      </c>
      <c r="B1228" t="s">
        <v>18</v>
      </c>
      <c r="C1228" t="s">
        <v>16</v>
      </c>
      <c r="D1228">
        <v>0</v>
      </c>
      <c r="E1228">
        <v>0</v>
      </c>
      <c r="F1228">
        <v>0</v>
      </c>
      <c r="G1228">
        <v>0</v>
      </c>
      <c r="H1228">
        <v>0</v>
      </c>
      <c r="I1228" s="3">
        <v>0</v>
      </c>
      <c r="J1228" s="3">
        <v>0</v>
      </c>
      <c r="K1228" s="3">
        <v>0</v>
      </c>
      <c r="L1228" s="3" t="str">
        <f>IF(K1228&lt;-5,"CRÍTICO",IF(K1228&lt;0,"ATENÇÃO",IF(K1228&lt;=5,"BOM","EXCELENTE")))</f>
        <v>BOM</v>
      </c>
      <c r="M1228">
        <v>0</v>
      </c>
      <c r="N1228">
        <v>100</v>
      </c>
      <c r="O1228">
        <v>25</v>
      </c>
    </row>
    <row r="1229" spans="1:15" hidden="1" x14ac:dyDescent="0.25">
      <c r="A1229" s="11">
        <v>46038</v>
      </c>
      <c r="B1229" t="s">
        <v>52</v>
      </c>
      <c r="C1229" t="s">
        <v>48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 s="3">
        <f>E1229+G1229+H1229</f>
        <v>25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17</v>
      </c>
      <c r="K1229" s="3">
        <f>I1229-J1229</f>
        <v>8</v>
      </c>
      <c r="L1229" s="3" t="str">
        <f>IF(K1229&lt;-5,"CRÍTICO",IF(K1229&lt;0,"ATENÇÃO",IF(K1229&lt;=5,"BOM","EXCELENTE")))</f>
        <v>EXCELENTE</v>
      </c>
      <c r="M1229">
        <v>25</v>
      </c>
      <c r="N1229">
        <v>100</v>
      </c>
      <c r="O1229">
        <v>34.15094339622641</v>
      </c>
    </row>
    <row r="1230" spans="1:15" hidden="1" x14ac:dyDescent="0.25">
      <c r="A1230" s="11">
        <v>46038</v>
      </c>
      <c r="B1230" t="s">
        <v>36</v>
      </c>
      <c r="C1230" t="s">
        <v>32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 s="3">
        <f>E1230+G1230+H1230</f>
        <v>18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22</v>
      </c>
      <c r="K1230" s="3">
        <f>I1230-J1230</f>
        <v>-4</v>
      </c>
      <c r="L1230" s="3" t="str">
        <f>IF(K1230&lt;-5,"CRÍTICO",IF(K1230&lt;0,"ATENÇÃO",IF(K1230&lt;=5,"BOM","EXCELENTE")))</f>
        <v>ATENÇÃO</v>
      </c>
      <c r="M1230">
        <v>17</v>
      </c>
      <c r="N1230">
        <v>100</v>
      </c>
      <c r="O1230">
        <v>32.731376975169297</v>
      </c>
    </row>
    <row r="1231" spans="1:15" hidden="1" x14ac:dyDescent="0.25">
      <c r="A1231" s="11">
        <v>46038</v>
      </c>
      <c r="B1231" t="s">
        <v>53</v>
      </c>
      <c r="C1231" t="s">
        <v>48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 s="3">
        <f>E1231+G1231+H1231</f>
        <v>26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17</v>
      </c>
      <c r="K1231" s="3">
        <f>I1231-J1231</f>
        <v>9</v>
      </c>
      <c r="L1231" s="3" t="str">
        <f>IF(K1231&lt;-5,"CRÍTICO",IF(K1231&lt;0,"ATENÇÃO",IF(K1231&lt;=5,"BOM","EXCELENTE")))</f>
        <v>EXCELENTE</v>
      </c>
      <c r="M1231">
        <v>23</v>
      </c>
      <c r="N1231">
        <v>99.31</v>
      </c>
      <c r="O1231">
        <v>30.96234309623431</v>
      </c>
    </row>
    <row r="1232" spans="1:15" hidden="1" x14ac:dyDescent="0.25">
      <c r="A1232" s="11">
        <v>46072</v>
      </c>
      <c r="B1232" t="s">
        <v>22</v>
      </c>
      <c r="C1232" t="s">
        <v>23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>E1232+G1232+H1232</f>
        <v>20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15</v>
      </c>
      <c r="K1232" s="3">
        <f>I1232-J1232</f>
        <v>5</v>
      </c>
      <c r="L1232" s="3" t="str">
        <f>IF(K1232&lt;-5,"CRÍTICO",IF(K1232&lt;0,"ATENÇÃO",IF(K1232&lt;=5,"BOM","EXCELENTE")))</f>
        <v>BOM</v>
      </c>
      <c r="M1232">
        <v>19</v>
      </c>
      <c r="N1232">
        <v>96.67</v>
      </c>
      <c r="O1232">
        <v>31.451612903225811</v>
      </c>
    </row>
    <row r="1233" spans="1:15" hidden="1" x14ac:dyDescent="0.25">
      <c r="A1233" s="11">
        <v>46038</v>
      </c>
      <c r="B1233" t="s">
        <v>54</v>
      </c>
      <c r="C1233" t="s">
        <v>48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 s="3">
        <f>E1233+G1233+H1233</f>
        <v>21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17</v>
      </c>
      <c r="K1233" s="3">
        <f>I1233-J1233</f>
        <v>4</v>
      </c>
      <c r="L1233" s="3" t="str">
        <f>IF(K1233&lt;-5,"CRÍTICO",IF(K1233&lt;0,"ATENÇÃO",IF(K1233&lt;=5,"BOM","EXCELENTE")))</f>
        <v>BOM</v>
      </c>
      <c r="M1233">
        <v>19</v>
      </c>
      <c r="N1233">
        <v>100</v>
      </c>
      <c r="O1233">
        <v>27.676767676767678</v>
      </c>
    </row>
    <row r="1234" spans="1:15" hidden="1" x14ac:dyDescent="0.25">
      <c r="A1234" s="11">
        <v>46038</v>
      </c>
      <c r="B1234" t="s">
        <v>37</v>
      </c>
      <c r="C1234" t="s">
        <v>32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 s="3">
        <f>E1234+G1234+H1234</f>
        <v>32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10</v>
      </c>
      <c r="L1234" s="3" t="str">
        <f>IF(K1234&lt;-5,"CRÍTICO",IF(K1234&lt;0,"ATENÇÃO",IF(K1234&lt;=5,"BOM","EXCELENTE")))</f>
        <v>EXCELENTE</v>
      </c>
      <c r="M1234">
        <v>32</v>
      </c>
      <c r="N1234">
        <v>100</v>
      </c>
      <c r="O1234">
        <v>31.17723156532988</v>
      </c>
    </row>
    <row r="1235" spans="1:15" hidden="1" x14ac:dyDescent="0.25">
      <c r="A1235" s="11">
        <v>46038</v>
      </c>
      <c r="B1235" t="s">
        <v>38</v>
      </c>
      <c r="C1235" t="s">
        <v>32</v>
      </c>
      <c r="D1235">
        <v>21</v>
      </c>
      <c r="E1235">
        <v>19</v>
      </c>
      <c r="F1235">
        <v>11.5</v>
      </c>
      <c r="G1235">
        <v>0</v>
      </c>
      <c r="H1235">
        <v>0</v>
      </c>
      <c r="I1235" s="3">
        <f>E1235+G1235+H1235</f>
        <v>19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22</v>
      </c>
      <c r="K1235" s="3">
        <f>I1235-J1235</f>
        <v>-3</v>
      </c>
      <c r="L1235" s="3" t="str">
        <f>IF(K1235&lt;-5,"CRÍTICO",IF(K1235&lt;0,"ATENÇÃO",IF(K1235&lt;=5,"BOM","EXCELENTE")))</f>
        <v>ATENÇÃO</v>
      </c>
      <c r="M1235">
        <v>17</v>
      </c>
      <c r="N1235">
        <v>100</v>
      </c>
      <c r="O1235">
        <v>27.609427609427609</v>
      </c>
    </row>
    <row r="1236" spans="1:15" hidden="1" x14ac:dyDescent="0.25">
      <c r="A1236" s="11">
        <v>46038</v>
      </c>
      <c r="B1236" t="s">
        <v>55</v>
      </c>
      <c r="C1236" t="s">
        <v>48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 s="3">
        <f>E1236+G1236+H1236</f>
        <v>20</v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>17</v>
      </c>
      <c r="K1236" s="3">
        <f>I1236-J1236</f>
        <v>3</v>
      </c>
      <c r="L1236" s="3" t="str">
        <f>IF(K1236&lt;-5,"CRÍTICO",IF(K1236&lt;0,"ATENÇÃO",IF(K1236&lt;=5,"BOM","EXCELENTE")))</f>
        <v>BOM</v>
      </c>
      <c r="M1236">
        <v>19</v>
      </c>
      <c r="N1236">
        <v>96.4</v>
      </c>
      <c r="O1236">
        <v>28.764044943820231</v>
      </c>
    </row>
    <row r="1237" spans="1:15" hidden="1" x14ac:dyDescent="0.25">
      <c r="A1237" s="11">
        <v>46038</v>
      </c>
      <c r="B1237" t="s">
        <v>39</v>
      </c>
      <c r="C1237" t="s">
        <v>32</v>
      </c>
      <c r="D1237">
        <v>0</v>
      </c>
      <c r="E1237">
        <v>0</v>
      </c>
      <c r="F1237">
        <v>0</v>
      </c>
      <c r="G1237">
        <v>0</v>
      </c>
      <c r="H1237">
        <v>0</v>
      </c>
      <c r="I1237" s="3">
        <v>0</v>
      </c>
      <c r="J1237" s="3">
        <v>0</v>
      </c>
      <c r="K1237" s="3">
        <v>0</v>
      </c>
      <c r="L1237" s="3" t="str">
        <f>IF(K1237&lt;-5,"CRÍTICO",IF(K1237&lt;0,"ATENÇÃO",IF(K1237&lt;=5,"BOM","EXCELENTE")))</f>
        <v>BOM</v>
      </c>
      <c r="M1237">
        <v>19</v>
      </c>
      <c r="N1237">
        <v>100</v>
      </c>
      <c r="O1237">
        <v>33.980582524271853</v>
      </c>
    </row>
    <row r="1238" spans="1:15" hidden="1" x14ac:dyDescent="0.25">
      <c r="A1238" s="11">
        <v>46038</v>
      </c>
      <c r="B1238" t="s">
        <v>25</v>
      </c>
      <c r="C1238" t="s">
        <v>26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 s="3">
        <f>E1238+G1238+H1238</f>
        <v>15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12</v>
      </c>
      <c r="K1238" s="3">
        <f>I1238-J1238</f>
        <v>3</v>
      </c>
      <c r="L1238" s="3" t="str">
        <f>IF(K1238&lt;-5,"CRÍTICO",IF(K1238&lt;0,"ATENÇÃO",IF(K1238&lt;=5,"BOM","EXCELENTE")))</f>
        <v>BOM</v>
      </c>
      <c r="M1238">
        <v>15</v>
      </c>
      <c r="N1238">
        <v>97.56</v>
      </c>
      <c r="O1238">
        <v>32.515337423312893</v>
      </c>
    </row>
    <row r="1239" spans="1:15" hidden="1" x14ac:dyDescent="0.25">
      <c r="A1239" s="11">
        <v>46038</v>
      </c>
      <c r="B1239" t="s">
        <v>40</v>
      </c>
      <c r="C1239" t="s">
        <v>32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 s="3">
        <f>E1239+G1239+H1239</f>
        <v>22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22</v>
      </c>
      <c r="K1239" s="3">
        <f>I1239-J1239</f>
        <v>0</v>
      </c>
      <c r="L1239" s="3" t="str">
        <f>IF(K1239&lt;-5,"CRÍTICO",IF(K1239&lt;0,"ATENÇÃO",IF(K1239&lt;=5,"BOM","EXCELENTE")))</f>
        <v>BOM</v>
      </c>
      <c r="M1239">
        <v>21</v>
      </c>
      <c r="N1239">
        <v>97.11</v>
      </c>
      <c r="O1239">
        <v>37.408312958435211</v>
      </c>
    </row>
    <row r="1240" spans="1:15" hidden="1" x14ac:dyDescent="0.25">
      <c r="A1240" s="11">
        <v>46038</v>
      </c>
      <c r="B1240" t="s">
        <v>27</v>
      </c>
      <c r="C1240" t="s">
        <v>26</v>
      </c>
      <c r="D1240">
        <v>0</v>
      </c>
      <c r="E1240">
        <v>0</v>
      </c>
      <c r="F1240">
        <v>0</v>
      </c>
      <c r="G1240">
        <v>0</v>
      </c>
      <c r="H1240">
        <v>0</v>
      </c>
      <c r="I1240" s="3">
        <v>0</v>
      </c>
      <c r="J1240" s="3">
        <v>0</v>
      </c>
      <c r="K1240" s="3">
        <v>0</v>
      </c>
      <c r="L1240" s="3" t="str">
        <f>IF(K1240&lt;-5,"CRÍTICO",IF(K1240&lt;0,"ATENÇÃO",IF(K1240&lt;=5,"BOM","EXCELENTE")))</f>
        <v>BOM</v>
      </c>
      <c r="M1240">
        <v>0</v>
      </c>
      <c r="N1240">
        <v>0</v>
      </c>
      <c r="O1240">
        <v>0</v>
      </c>
    </row>
    <row r="1241" spans="1:15" hidden="1" x14ac:dyDescent="0.25">
      <c r="A1241" s="11">
        <v>46038</v>
      </c>
      <c r="B1241" t="s">
        <v>41</v>
      </c>
      <c r="C1241" t="s">
        <v>32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 s="3">
        <f>E1241+G1241+H1241</f>
        <v>27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22</v>
      </c>
      <c r="K1241" s="3">
        <f>I1241-J1241</f>
        <v>5</v>
      </c>
      <c r="L1241" s="3" t="str">
        <f>IF(K1241&lt;-5,"CRÍTICO",IF(K1241&lt;0,"ATENÇÃO",IF(K1241&lt;=5,"BOM","EXCELENTE")))</f>
        <v>BOM</v>
      </c>
      <c r="M1241">
        <v>23</v>
      </c>
      <c r="N1241">
        <v>100</v>
      </c>
      <c r="O1241">
        <v>30.470347648261761</v>
      </c>
    </row>
    <row r="1242" spans="1:15" hidden="1" x14ac:dyDescent="0.25">
      <c r="A1242" s="11">
        <v>46038</v>
      </c>
      <c r="B1242" t="s">
        <v>56</v>
      </c>
      <c r="C1242" t="s">
        <v>48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 s="3">
        <f>E1242+G1242+H1242</f>
        <v>28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17</v>
      </c>
      <c r="K1242" s="3">
        <f>I1242-J1242</f>
        <v>11</v>
      </c>
      <c r="L1242" s="3" t="str">
        <f>IF(K1242&lt;-5,"CRÍTICO",IF(K1242&lt;0,"ATENÇÃO",IF(K1242&lt;=5,"BOM","EXCELENTE")))</f>
        <v>EXCELENTE</v>
      </c>
      <c r="M1242">
        <v>23</v>
      </c>
      <c r="N1242">
        <v>100</v>
      </c>
      <c r="O1242">
        <v>32.371134020618562</v>
      </c>
    </row>
    <row r="1243" spans="1:15" hidden="1" x14ac:dyDescent="0.25">
      <c r="A1243" s="11">
        <v>46038</v>
      </c>
      <c r="B1243" t="s">
        <v>57</v>
      </c>
      <c r="C1243" t="s">
        <v>48</v>
      </c>
      <c r="D1243">
        <v>22</v>
      </c>
      <c r="E1243">
        <v>21</v>
      </c>
      <c r="F1243">
        <v>18.579999999999998</v>
      </c>
      <c r="G1243">
        <v>0</v>
      </c>
      <c r="H1243">
        <v>0</v>
      </c>
      <c r="I1243" s="3">
        <v>0</v>
      </c>
      <c r="J1243" s="3">
        <v>0</v>
      </c>
      <c r="K1243" s="3">
        <v>0</v>
      </c>
      <c r="L1243" s="3" t="str">
        <f>IF(K1243&lt;-5,"CRÍTICO",IF(K1243&lt;0,"ATENÇÃO",IF(K1243&lt;=5,"BOM","EXCELENTE")))</f>
        <v>BOM</v>
      </c>
      <c r="M1243">
        <v>20</v>
      </c>
      <c r="N1243">
        <v>98.32</v>
      </c>
      <c r="O1243">
        <v>32.318501170960189</v>
      </c>
    </row>
    <row r="1244" spans="1:15" hidden="1" x14ac:dyDescent="0.25">
      <c r="A1244" s="11">
        <v>46038</v>
      </c>
      <c r="B1244" t="s">
        <v>42</v>
      </c>
      <c r="C1244" t="s">
        <v>32</v>
      </c>
      <c r="D1244">
        <v>44</v>
      </c>
      <c r="E1244">
        <v>29</v>
      </c>
      <c r="F1244">
        <v>7.23</v>
      </c>
      <c r="G1244">
        <v>0</v>
      </c>
      <c r="H1244">
        <v>0</v>
      </c>
      <c r="I1244" s="3">
        <f>E1244+G1244+H1244</f>
        <v>29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22</v>
      </c>
      <c r="K1244" s="3">
        <f>I1244-J1244</f>
        <v>7</v>
      </c>
      <c r="L1244" s="3" t="str">
        <f>IF(K1244&lt;-5,"CRÍTICO",IF(K1244&lt;0,"ATENÇÃO",IF(K1244&lt;=5,"BOM","EXCELENTE")))</f>
        <v>EXCELENTE</v>
      </c>
      <c r="M1244">
        <v>26</v>
      </c>
      <c r="N1244">
        <v>96.43</v>
      </c>
      <c r="O1244">
        <v>27.015250544662312</v>
      </c>
    </row>
    <row r="1245" spans="1:15" hidden="1" x14ac:dyDescent="0.25">
      <c r="A1245" s="11">
        <v>46038</v>
      </c>
      <c r="B1245" t="s">
        <v>62</v>
      </c>
      <c r="C1245" t="s">
        <v>23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 s="3">
        <f>E1245+G1245+H1245</f>
        <v>19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14</v>
      </c>
      <c r="K1245" s="3">
        <f>I1245-J1245</f>
        <v>5</v>
      </c>
      <c r="L1245" s="3" t="str">
        <f>IF(K1245&lt;-5,"CRÍTICO",IF(K1245&lt;0,"ATENÇÃO",IF(K1245&lt;=5,"BOM","EXCELENTE")))</f>
        <v>BOM</v>
      </c>
      <c r="M1245">
        <v>20</v>
      </c>
      <c r="N1245">
        <v>98.89</v>
      </c>
      <c r="O1245">
        <v>28.021978021978018</v>
      </c>
    </row>
    <row r="1246" spans="1:15" hidden="1" x14ac:dyDescent="0.25">
      <c r="A1246" s="11">
        <v>46038</v>
      </c>
      <c r="B1246" t="s">
        <v>19</v>
      </c>
      <c r="C1246" t="s">
        <v>16</v>
      </c>
      <c r="D1246">
        <v>4</v>
      </c>
      <c r="E1246">
        <v>4</v>
      </c>
      <c r="F1246">
        <v>52.18</v>
      </c>
      <c r="G1246">
        <v>0</v>
      </c>
      <c r="H1246">
        <v>0</v>
      </c>
      <c r="I1246" s="3">
        <f>E1246+G1246+H1246</f>
        <v>4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-2</v>
      </c>
      <c r="L1246" s="3" t="str">
        <f>IF(K1246&lt;-5,"CRÍTICO",IF(K1246&lt;0,"ATENÇÃO",IF(K1246&lt;=5,"BOM","EXCELENTE")))</f>
        <v>ATENÇÃO</v>
      </c>
      <c r="M1246">
        <v>2</v>
      </c>
      <c r="N1246">
        <v>100</v>
      </c>
      <c r="O1246">
        <v>33.333333333333329</v>
      </c>
    </row>
    <row r="1247" spans="1:15" hidden="1" x14ac:dyDescent="0.25">
      <c r="A1247" s="11">
        <v>46038</v>
      </c>
      <c r="B1247" t="s">
        <v>43</v>
      </c>
      <c r="C1247" t="s">
        <v>32</v>
      </c>
      <c r="D1247">
        <v>0</v>
      </c>
      <c r="E1247">
        <v>0</v>
      </c>
      <c r="F1247">
        <v>0</v>
      </c>
      <c r="G1247">
        <v>0</v>
      </c>
      <c r="H1247">
        <v>0</v>
      </c>
      <c r="I1247" s="3">
        <v>0</v>
      </c>
      <c r="J1247" s="3">
        <v>0</v>
      </c>
      <c r="K1247" s="3">
        <v>0</v>
      </c>
      <c r="L1247" s="3" t="str">
        <f>IF(K1247&lt;-5,"CRÍTICO",IF(K1247&lt;0,"ATENÇÃO",IF(K1247&lt;=5,"BOM","EXCELENTE")))</f>
        <v>BOM</v>
      </c>
      <c r="M1247">
        <v>0</v>
      </c>
      <c r="N1247">
        <v>100</v>
      </c>
      <c r="O1247">
        <v>27.43362831858407</v>
      </c>
    </row>
    <row r="1248" spans="1:15" hidden="1" x14ac:dyDescent="0.25">
      <c r="A1248" s="11">
        <v>46038</v>
      </c>
      <c r="B1248" t="s">
        <v>44</v>
      </c>
      <c r="C1248" t="s">
        <v>32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 s="3">
        <f>E1248+G1248+H1248</f>
        <v>25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22</v>
      </c>
      <c r="K1248" s="3">
        <f>I1248-J1248</f>
        <v>3</v>
      </c>
      <c r="L1248" s="3" t="str">
        <f>IF(K1248&lt;-5,"CRÍTICO",IF(K1248&lt;0,"ATENÇÃO",IF(K1248&lt;=5,"BOM","EXCELENTE")))</f>
        <v>BOM</v>
      </c>
      <c r="M1248">
        <v>24</v>
      </c>
      <c r="N1248">
        <v>98.65</v>
      </c>
      <c r="O1248">
        <v>30.978260869565219</v>
      </c>
    </row>
    <row r="1249" spans="1:15" hidden="1" x14ac:dyDescent="0.25">
      <c r="A1249" s="11">
        <v>46038</v>
      </c>
      <c r="B1249" t="s">
        <v>20</v>
      </c>
      <c r="C1249" t="s">
        <v>16</v>
      </c>
      <c r="D1249">
        <v>1</v>
      </c>
      <c r="E1249">
        <v>1</v>
      </c>
      <c r="F1249">
        <v>28.33</v>
      </c>
      <c r="G1249">
        <v>0</v>
      </c>
      <c r="H1249">
        <v>0</v>
      </c>
      <c r="I1249" s="3">
        <f>E1249+G1249+H1249</f>
        <v>1</v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>6</v>
      </c>
      <c r="K1249" s="3">
        <f>I1249-J1249</f>
        <v>-5</v>
      </c>
      <c r="L1249" s="3" t="str">
        <f>IF(K1249&lt;-5,"CRÍTICO",IF(K1249&lt;0,"ATENÇÃO",IF(K1249&lt;=5,"BOM","EXCELENTE")))</f>
        <v>ATENÇÃO</v>
      </c>
      <c r="M1249">
        <v>1</v>
      </c>
      <c r="N1249">
        <v>100</v>
      </c>
      <c r="O1249">
        <v>12</v>
      </c>
    </row>
    <row r="1250" spans="1:15" hidden="1" x14ac:dyDescent="0.25">
      <c r="A1250" s="11">
        <v>46038</v>
      </c>
      <c r="B1250" t="s">
        <v>28</v>
      </c>
      <c r="C1250" t="s">
        <v>26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>
        <v>0</v>
      </c>
      <c r="N1250">
        <v>0</v>
      </c>
      <c r="O1250">
        <v>0</v>
      </c>
    </row>
    <row r="1251" spans="1:15" hidden="1" x14ac:dyDescent="0.25">
      <c r="A1251" s="11">
        <v>46038</v>
      </c>
      <c r="B1251" t="s">
        <v>58</v>
      </c>
      <c r="C1251" t="s">
        <v>48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>
        <v>0</v>
      </c>
      <c r="N1251">
        <v>97.56</v>
      </c>
      <c r="O1251">
        <v>31.067961165048541</v>
      </c>
    </row>
    <row r="1252" spans="1:15" hidden="1" x14ac:dyDescent="0.25">
      <c r="A1252" s="11">
        <v>46038</v>
      </c>
      <c r="B1252" t="s">
        <v>29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30</v>
      </c>
      <c r="C1253" t="s">
        <v>26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21</v>
      </c>
      <c r="C1254" t="s">
        <v>16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>
        <v>0</v>
      </c>
      <c r="N1254">
        <v>0</v>
      </c>
      <c r="O1254">
        <v>0</v>
      </c>
    </row>
    <row r="1255" spans="1:15" hidden="1" x14ac:dyDescent="0.25">
      <c r="A1255" s="11">
        <v>46038</v>
      </c>
      <c r="B1255" t="s">
        <v>63</v>
      </c>
      <c r="C1255" t="s">
        <v>23</v>
      </c>
      <c r="D1255">
        <v>0</v>
      </c>
      <c r="E1255">
        <v>0</v>
      </c>
      <c r="F1255">
        <v>0</v>
      </c>
      <c r="G1255">
        <v>0</v>
      </c>
      <c r="H1255">
        <v>0</v>
      </c>
      <c r="I1255" s="3">
        <v>0</v>
      </c>
      <c r="J1255" s="3">
        <v>0</v>
      </c>
      <c r="K1255" s="3">
        <v>0</v>
      </c>
      <c r="L1255" s="3" t="str">
        <f>IF(K1255&lt;-5,"CRÍTICO",IF(K1255&lt;0,"ATENÇÃO",IF(K1255&lt;=5,"BOM","EXCELENTE")))</f>
        <v>BOM</v>
      </c>
      <c r="M1255">
        <v>0</v>
      </c>
      <c r="N1255">
        <v>100</v>
      </c>
      <c r="O1255">
        <v>53.846153846153847</v>
      </c>
    </row>
    <row r="1256" spans="1:15" hidden="1" x14ac:dyDescent="0.25">
      <c r="A1256" s="11">
        <v>46038</v>
      </c>
      <c r="B1256" t="s">
        <v>45</v>
      </c>
      <c r="C1256" t="s">
        <v>32</v>
      </c>
      <c r="D1256">
        <v>31</v>
      </c>
      <c r="E1256">
        <v>27</v>
      </c>
      <c r="F1256">
        <v>17.2</v>
      </c>
      <c r="G1256">
        <v>0</v>
      </c>
      <c r="H1256">
        <v>0</v>
      </c>
      <c r="I1256" s="3">
        <f>E1256+G1256+H1256</f>
        <v>27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22</v>
      </c>
      <c r="K1256" s="3">
        <f>I1256-J1256</f>
        <v>5</v>
      </c>
      <c r="L1256" s="3" t="str">
        <f>IF(K1256&lt;-5,"CRÍTICO",IF(K1256&lt;0,"ATENÇÃO",IF(K1256&lt;=5,"BOM","EXCELENTE")))</f>
        <v>BOM</v>
      </c>
      <c r="M1256">
        <v>27</v>
      </c>
      <c r="N1256">
        <v>100</v>
      </c>
      <c r="O1256">
        <v>44.05594405594406</v>
      </c>
    </row>
    <row r="1257" spans="1:15" hidden="1" x14ac:dyDescent="0.25">
      <c r="A1257" s="11">
        <v>46038</v>
      </c>
      <c r="B1257" t="s">
        <v>64</v>
      </c>
      <c r="C1257" t="s">
        <v>23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 s="3">
        <f>E1257+G1257+H1257</f>
        <v>15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14</v>
      </c>
      <c r="K1257" s="3">
        <f>I1257-J1257</f>
        <v>1</v>
      </c>
      <c r="L1257" s="3" t="str">
        <f>IF(K1257&lt;-5,"CRÍTICO",IF(K1257&lt;0,"ATENÇÃO",IF(K1257&lt;=5,"BOM","EXCELENTE")))</f>
        <v>BOM</v>
      </c>
      <c r="M1257">
        <v>11</v>
      </c>
      <c r="N1257">
        <v>100</v>
      </c>
      <c r="O1257">
        <v>31.872509960159359</v>
      </c>
    </row>
    <row r="1258" spans="1:15" hidden="1" x14ac:dyDescent="0.25">
      <c r="A1258" s="11">
        <v>46038</v>
      </c>
      <c r="B1258" t="s">
        <v>46</v>
      </c>
      <c r="C1258" t="s">
        <v>32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 s="3">
        <f>E1258+G1258+H1258</f>
        <v>22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22</v>
      </c>
      <c r="K1258" s="3">
        <f>I1258-J1258</f>
        <v>0</v>
      </c>
      <c r="L1258" s="3" t="str">
        <f>IF(K1258&lt;-5,"CRÍTICO",IF(K1258&lt;0,"ATENÇÃO",IF(K1258&lt;=5,"BOM","EXCELENTE")))</f>
        <v>BOM</v>
      </c>
      <c r="M1258">
        <v>21</v>
      </c>
      <c r="N1258">
        <v>98.41</v>
      </c>
      <c r="O1258">
        <v>29.22465208747515</v>
      </c>
    </row>
    <row r="1259" spans="1:15" hidden="1" x14ac:dyDescent="0.25">
      <c r="A1259" s="11">
        <v>46041</v>
      </c>
      <c r="B1259" t="s">
        <v>47</v>
      </c>
      <c r="C1259" t="s">
        <v>48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 s="3">
        <f>E1259+G1259+H1259</f>
        <v>23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17</v>
      </c>
      <c r="K1259" s="3">
        <f>I1259-J1259</f>
        <v>6</v>
      </c>
      <c r="L1259" s="3" t="str">
        <f>IF(K1259&lt;-5,"CRÍTICO",IF(K1259&lt;0,"ATENÇÃO",IF(K1259&lt;=5,"BOM","EXCELENTE")))</f>
        <v>EXCELENTE</v>
      </c>
      <c r="M1259">
        <v>17</v>
      </c>
      <c r="N1259">
        <v>96.81</v>
      </c>
      <c r="O1259">
        <v>27.980535279805348</v>
      </c>
    </row>
    <row r="1260" spans="1:15" hidden="1" x14ac:dyDescent="0.25">
      <c r="A1260" s="11">
        <v>46041</v>
      </c>
      <c r="B1260" t="s">
        <v>31</v>
      </c>
      <c r="C1260" t="s">
        <v>32</v>
      </c>
      <c r="D1260">
        <v>0</v>
      </c>
      <c r="E1260">
        <v>0</v>
      </c>
      <c r="F1260">
        <v>0</v>
      </c>
      <c r="G1260">
        <v>0</v>
      </c>
      <c r="H1260">
        <v>0</v>
      </c>
      <c r="I1260" s="3">
        <v>0</v>
      </c>
      <c r="J1260" s="3">
        <v>0</v>
      </c>
      <c r="K1260" s="3">
        <v>0</v>
      </c>
      <c r="L1260" s="3" t="str">
        <f>IF(K1260&lt;-5,"CRÍTICO",IF(K1260&lt;0,"ATENÇÃO",IF(K1260&lt;=5,"BOM","EXCELENTE")))</f>
        <v>BOM</v>
      </c>
      <c r="M1260">
        <v>22</v>
      </c>
      <c r="N1260">
        <v>98.73</v>
      </c>
      <c r="O1260">
        <v>35.756385068762278</v>
      </c>
    </row>
    <row r="1261" spans="1:15" hidden="1" x14ac:dyDescent="0.25">
      <c r="A1261" s="11">
        <v>46041</v>
      </c>
      <c r="B1261" t="s">
        <v>59</v>
      </c>
      <c r="C1261" t="s">
        <v>23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 s="3">
        <f>E1261+G1261+H1261</f>
        <v>15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14</v>
      </c>
      <c r="K1261" s="3">
        <f>I1261-J1261</f>
        <v>1</v>
      </c>
      <c r="L1261" s="3" t="str">
        <f>IF(K1261&lt;-5,"CRÍTICO",IF(K1261&lt;0,"ATENÇÃO",IF(K1261&lt;=5,"BOM","EXCELENTE")))</f>
        <v>BOM</v>
      </c>
      <c r="M1261">
        <v>15</v>
      </c>
      <c r="N1261">
        <v>98.32</v>
      </c>
      <c r="O1261">
        <v>26.763485477178421</v>
      </c>
    </row>
    <row r="1262" spans="1:15" hidden="1" x14ac:dyDescent="0.25">
      <c r="A1262" s="11">
        <v>46041</v>
      </c>
      <c r="B1262" t="s">
        <v>33</v>
      </c>
      <c r="C1262" t="s">
        <v>32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 s="3">
        <f>E1262+G1262+H1262</f>
        <v>31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21</v>
      </c>
      <c r="K1262" s="3">
        <f>I1262-J1262</f>
        <v>10</v>
      </c>
      <c r="L1262" s="3" t="str">
        <f>IF(K1262&lt;-5,"CRÍTICO",IF(K1262&lt;0,"ATENÇÃO",IF(K1262&lt;=5,"BOM","EXCELENTE")))</f>
        <v>EXCELENTE</v>
      </c>
      <c r="M1262">
        <v>29</v>
      </c>
      <c r="N1262">
        <v>99.19</v>
      </c>
      <c r="O1262">
        <v>27.637130801687761</v>
      </c>
    </row>
    <row r="1263" spans="1:15" hidden="1" x14ac:dyDescent="0.25">
      <c r="A1263" s="11">
        <v>46041</v>
      </c>
      <c r="B1263" t="s">
        <v>15</v>
      </c>
      <c r="C1263" t="s">
        <v>16</v>
      </c>
      <c r="D1263">
        <v>7</v>
      </c>
      <c r="E1263">
        <v>7</v>
      </c>
      <c r="F1263">
        <v>46.46</v>
      </c>
      <c r="G1263">
        <v>0</v>
      </c>
      <c r="H1263">
        <v>0</v>
      </c>
      <c r="I1263" s="3">
        <f>E1263+G1263+H1263</f>
        <v>7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6</v>
      </c>
      <c r="K1263" s="3">
        <f>I1263-J1263</f>
        <v>1</v>
      </c>
      <c r="L1263" s="3" t="str">
        <f>IF(K1263&lt;-5,"CRÍTICO",IF(K1263&lt;0,"ATENÇÃO",IF(K1263&lt;=5,"BOM","EXCELENTE")))</f>
        <v>BOM</v>
      </c>
      <c r="M1263">
        <v>5</v>
      </c>
      <c r="N1263">
        <v>100</v>
      </c>
      <c r="O1263">
        <v>39.568345323741013</v>
      </c>
    </row>
    <row r="1264" spans="1:15" hidden="1" x14ac:dyDescent="0.25">
      <c r="A1264" s="11">
        <v>46041</v>
      </c>
      <c r="B1264" t="s">
        <v>49</v>
      </c>
      <c r="C1264" t="s">
        <v>48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 s="3">
        <f>E1264+G1264+H1264</f>
        <v>24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7</v>
      </c>
      <c r="L1264" s="3" t="str">
        <f>IF(K1264&lt;-5,"CRÍTICO",IF(K1264&lt;0,"ATENÇÃO",IF(K1264&lt;=5,"BOM","EXCELENTE")))</f>
        <v>EXCELENTE</v>
      </c>
      <c r="M1264">
        <v>22</v>
      </c>
      <c r="N1264">
        <v>98.54</v>
      </c>
      <c r="O1264">
        <v>28.544776119402989</v>
      </c>
    </row>
    <row r="1265" spans="1:15" hidden="1" x14ac:dyDescent="0.25">
      <c r="A1265" s="11">
        <v>46041</v>
      </c>
      <c r="B1265" t="s">
        <v>50</v>
      </c>
      <c r="C1265" t="s">
        <v>48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 s="3">
        <f>E1265+G1265+H1265</f>
        <v>19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17</v>
      </c>
      <c r="K1265" s="3">
        <f>I1265-J1265</f>
        <v>2</v>
      </c>
      <c r="L1265" s="3" t="str">
        <f>IF(K1265&lt;-5,"CRÍTICO",IF(K1265&lt;0,"ATENÇÃO",IF(K1265&lt;=5,"BOM","EXCELENTE")))</f>
        <v>BOM</v>
      </c>
      <c r="M1265">
        <v>19</v>
      </c>
      <c r="N1265">
        <v>100</v>
      </c>
      <c r="O1265">
        <v>34.366925064599492</v>
      </c>
    </row>
    <row r="1266" spans="1:15" hidden="1" x14ac:dyDescent="0.25">
      <c r="A1266" s="11">
        <v>46041</v>
      </c>
      <c r="B1266" t="s">
        <v>17</v>
      </c>
      <c r="C1266" t="s">
        <v>16</v>
      </c>
      <c r="D1266">
        <v>0</v>
      </c>
      <c r="E1266">
        <v>0</v>
      </c>
      <c r="F1266">
        <v>0</v>
      </c>
      <c r="G1266">
        <v>0</v>
      </c>
      <c r="H1266">
        <v>0</v>
      </c>
      <c r="I1266" s="3">
        <v>0</v>
      </c>
      <c r="J1266" s="3">
        <v>0</v>
      </c>
      <c r="K1266" s="3">
        <v>0</v>
      </c>
      <c r="L1266" s="3" t="str">
        <f>IF(K1266&lt;-5,"CRÍTICO",IF(K1266&lt;0,"ATENÇÃO",IF(K1266&lt;=5,"BOM","EXCELENTE")))</f>
        <v>BOM</v>
      </c>
      <c r="M1266">
        <v>0</v>
      </c>
      <c r="N1266">
        <v>0</v>
      </c>
      <c r="O1266">
        <v>0</v>
      </c>
    </row>
    <row r="1267" spans="1:15" hidden="1" x14ac:dyDescent="0.25">
      <c r="A1267" s="11">
        <v>46041</v>
      </c>
      <c r="B1267" t="s">
        <v>60</v>
      </c>
      <c r="C1267" t="s">
        <v>23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 s="3">
        <f>E1267+G1267+H1267</f>
        <v>12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14</v>
      </c>
      <c r="K1267" s="3">
        <f>I1267-J1267</f>
        <v>-2</v>
      </c>
      <c r="L1267" s="3" t="str">
        <f>IF(K1267&lt;-5,"CRÍTICO",IF(K1267&lt;0,"ATENÇÃO",IF(K1267&lt;=5,"BOM","EXCELENTE")))</f>
        <v>ATENÇÃO</v>
      </c>
      <c r="M1267">
        <v>12</v>
      </c>
      <c r="N1267">
        <v>100</v>
      </c>
      <c r="O1267">
        <v>29.518072289156631</v>
      </c>
    </row>
    <row r="1268" spans="1:15" hidden="1" x14ac:dyDescent="0.25">
      <c r="A1268" s="11">
        <v>46041</v>
      </c>
      <c r="B1268" t="s">
        <v>34</v>
      </c>
      <c r="C1268" t="s">
        <v>32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 s="3">
        <f>E1268+G1268+H1268</f>
        <v>11</v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>21</v>
      </c>
      <c r="K1268" s="3">
        <f>I1268-J1268</f>
        <v>-10</v>
      </c>
      <c r="L1268" s="3" t="str">
        <f>IF(K1268&lt;-5,"CRÍTICO",IF(K1268&lt;0,"ATENÇÃO",IF(K1268&lt;=5,"BOM","EXCELENTE")))</f>
        <v>CRÍTICO</v>
      </c>
      <c r="M1268">
        <v>9</v>
      </c>
      <c r="N1268">
        <v>97.45</v>
      </c>
      <c r="O1268">
        <v>41.421143847487002</v>
      </c>
    </row>
    <row r="1269" spans="1:15" hidden="1" x14ac:dyDescent="0.25">
      <c r="A1269" s="11">
        <v>46041</v>
      </c>
      <c r="B1269" t="s">
        <v>51</v>
      </c>
      <c r="C1269" t="s">
        <v>48</v>
      </c>
      <c r="D1269">
        <v>37</v>
      </c>
      <c r="E1269">
        <v>26</v>
      </c>
      <c r="F1269">
        <v>7.1</v>
      </c>
      <c r="G1269">
        <v>0</v>
      </c>
      <c r="H1269">
        <v>0</v>
      </c>
      <c r="I1269" s="3">
        <v>0</v>
      </c>
      <c r="J1269" s="3">
        <v>0</v>
      </c>
      <c r="K1269" s="3">
        <v>0</v>
      </c>
      <c r="L1269" s="3" t="str">
        <f>IF(K1269&lt;-5,"CRÍTICO",IF(K1269&lt;0,"ATENÇÃO",IF(K1269&lt;=5,"BOM","EXCELENTE")))</f>
        <v>BOM</v>
      </c>
      <c r="M1269">
        <v>23</v>
      </c>
      <c r="N1269">
        <v>96.58</v>
      </c>
      <c r="O1269">
        <v>30.396475770925111</v>
      </c>
    </row>
    <row r="1270" spans="1:15" hidden="1" x14ac:dyDescent="0.25">
      <c r="A1270" s="11">
        <v>46041</v>
      </c>
      <c r="B1270" t="s">
        <v>61</v>
      </c>
      <c r="C1270" t="s">
        <v>23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 s="3">
        <f>E1270+G1270+H1270</f>
        <v>20</v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14</v>
      </c>
      <c r="K1270" s="3">
        <f>I1270-J1270</f>
        <v>6</v>
      </c>
      <c r="L1270" s="3" t="str">
        <f>IF(K1270&lt;-5,"CRÍTICO",IF(K1270&lt;0,"ATENÇÃO",IF(K1270&lt;=5,"BOM","EXCELENTE")))</f>
        <v>EXCELENTE</v>
      </c>
      <c r="M1270">
        <v>23</v>
      </c>
      <c r="N1270">
        <v>100</v>
      </c>
      <c r="O1270">
        <v>27.44282744282744</v>
      </c>
    </row>
    <row r="1271" spans="1:15" hidden="1" x14ac:dyDescent="0.25">
      <c r="A1271" s="11">
        <v>46041</v>
      </c>
      <c r="B1271" t="s">
        <v>35</v>
      </c>
      <c r="C1271" t="s">
        <v>32</v>
      </c>
      <c r="D1271">
        <v>26</v>
      </c>
      <c r="E1271">
        <v>25</v>
      </c>
      <c r="F1271">
        <v>18.260000000000002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>
        <v>25</v>
      </c>
      <c r="N1271">
        <v>99.49</v>
      </c>
      <c r="O1271">
        <v>40.200000000000003</v>
      </c>
    </row>
    <row r="1272" spans="1:15" hidden="1" x14ac:dyDescent="0.25">
      <c r="A1272" s="11">
        <v>46041</v>
      </c>
      <c r="B1272" t="s">
        <v>18</v>
      </c>
      <c r="C1272" t="s">
        <v>16</v>
      </c>
      <c r="D1272">
        <v>0</v>
      </c>
      <c r="E1272">
        <v>0</v>
      </c>
      <c r="F1272">
        <v>0</v>
      </c>
      <c r="G1272">
        <v>0</v>
      </c>
      <c r="H1272">
        <v>0</v>
      </c>
      <c r="I1272" s="3">
        <v>0</v>
      </c>
      <c r="J1272" s="3">
        <v>0</v>
      </c>
      <c r="K1272" s="3">
        <v>0</v>
      </c>
      <c r="L1272" s="3" t="str">
        <f>IF(K1272&lt;-5,"CRÍTICO",IF(K1272&lt;0,"ATENÇÃO",IF(K1272&lt;=5,"BOM","EXCELENTE")))</f>
        <v>BOM</v>
      </c>
      <c r="M1272">
        <v>0</v>
      </c>
      <c r="N1272">
        <v>100</v>
      </c>
      <c r="O1272">
        <v>25</v>
      </c>
    </row>
    <row r="1273" spans="1:15" hidden="1" x14ac:dyDescent="0.25">
      <c r="A1273" s="11">
        <v>46041</v>
      </c>
      <c r="B1273" t="s">
        <v>52</v>
      </c>
      <c r="C1273" t="s">
        <v>48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 s="3">
        <f>E1273+G1273+H1273</f>
        <v>26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17</v>
      </c>
      <c r="K1273" s="3">
        <f>I1273-J1273</f>
        <v>9</v>
      </c>
      <c r="L1273" s="3" t="str">
        <f>IF(K1273&lt;-5,"CRÍTICO",IF(K1273&lt;0,"ATENÇÃO",IF(K1273&lt;=5,"BOM","EXCELENTE")))</f>
        <v>EXCELENTE</v>
      </c>
      <c r="M1273">
        <v>22</v>
      </c>
      <c r="N1273">
        <v>100</v>
      </c>
      <c r="O1273">
        <v>34.15094339622641</v>
      </c>
    </row>
    <row r="1274" spans="1:15" hidden="1" x14ac:dyDescent="0.25">
      <c r="A1274" s="11">
        <v>46041</v>
      </c>
      <c r="B1274" t="s">
        <v>36</v>
      </c>
      <c r="C1274" t="s">
        <v>32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21</v>
      </c>
      <c r="K1274" s="3">
        <f>I1274-J1274</f>
        <v>-3</v>
      </c>
      <c r="L1274" s="3" t="str">
        <f>IF(K1274&lt;-5,"CRÍTICO",IF(K1274&lt;0,"ATENÇÃO",IF(K1274&lt;=5,"BOM","EXCELENTE")))</f>
        <v>ATENÇÃO</v>
      </c>
      <c r="M1274">
        <v>18</v>
      </c>
      <c r="N1274">
        <v>100</v>
      </c>
      <c r="O1274">
        <v>32.731376975169297</v>
      </c>
    </row>
    <row r="1275" spans="1:15" hidden="1" x14ac:dyDescent="0.25">
      <c r="A1275" s="11">
        <v>46041</v>
      </c>
      <c r="B1275" t="s">
        <v>53</v>
      </c>
      <c r="C1275" t="s">
        <v>48</v>
      </c>
      <c r="D1275">
        <v>20</v>
      </c>
      <c r="E1275">
        <v>18</v>
      </c>
      <c r="F1275">
        <v>30</v>
      </c>
      <c r="G1275">
        <v>0</v>
      </c>
      <c r="H1275">
        <v>0</v>
      </c>
      <c r="I1275" s="3">
        <f>E1275+G1275+H1275</f>
        <v>18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17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>
        <v>15</v>
      </c>
      <c r="N1275">
        <v>99.31</v>
      </c>
      <c r="O1275">
        <v>30.96234309623431</v>
      </c>
    </row>
    <row r="1276" spans="1:15" hidden="1" x14ac:dyDescent="0.25">
      <c r="A1276" s="11">
        <v>46073</v>
      </c>
      <c r="B1276" t="s">
        <v>22</v>
      </c>
      <c r="C1276" t="s">
        <v>23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>E1276+G1276+H1276</f>
        <v>16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15</v>
      </c>
      <c r="K1276" s="3">
        <f>I1276-J1276</f>
        <v>1</v>
      </c>
      <c r="L1276" s="3" t="str">
        <f>IF(K1276&lt;-5,"CRÍTICO",IF(K1276&lt;0,"ATENÇÃO",IF(K1276&lt;=5,"BOM","EXCELENTE")))</f>
        <v>BOM</v>
      </c>
      <c r="M1276">
        <v>16</v>
      </c>
      <c r="N1276">
        <v>96.67</v>
      </c>
      <c r="O1276">
        <v>31.451612903225811</v>
      </c>
    </row>
    <row r="1277" spans="1:15" hidden="1" x14ac:dyDescent="0.25">
      <c r="A1277" s="11">
        <v>46041</v>
      </c>
      <c r="B1277" t="s">
        <v>54</v>
      </c>
      <c r="C1277" t="s">
        <v>48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 s="3">
        <f>E1277+G1277+H1277</f>
        <v>20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17</v>
      </c>
      <c r="K1277" s="3">
        <f>I1277-J1277</f>
        <v>3</v>
      </c>
      <c r="L1277" s="3" t="str">
        <f>IF(K1277&lt;-5,"CRÍTICO",IF(K1277&lt;0,"ATENÇÃO",IF(K1277&lt;=5,"BOM","EXCELENTE")))</f>
        <v>BOM</v>
      </c>
      <c r="M1277">
        <v>18</v>
      </c>
      <c r="N1277">
        <v>100</v>
      </c>
      <c r="O1277">
        <v>27.676767676767678</v>
      </c>
    </row>
    <row r="1278" spans="1:15" hidden="1" x14ac:dyDescent="0.25">
      <c r="A1278" s="11">
        <v>46041</v>
      </c>
      <c r="B1278" t="s">
        <v>37</v>
      </c>
      <c r="C1278" t="s">
        <v>32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 s="3">
        <f>E1278+G1278+H1278</f>
        <v>26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5</v>
      </c>
      <c r="L1278" s="3" t="str">
        <f>IF(K1278&lt;-5,"CRÍTICO",IF(K1278&lt;0,"ATENÇÃO",IF(K1278&lt;=5,"BOM","EXCELENTE")))</f>
        <v>BOM</v>
      </c>
      <c r="M1278">
        <v>30</v>
      </c>
      <c r="N1278">
        <v>100</v>
      </c>
      <c r="O1278">
        <v>31.17723156532988</v>
      </c>
    </row>
    <row r="1279" spans="1:15" hidden="1" x14ac:dyDescent="0.25">
      <c r="A1279" s="11">
        <v>46041</v>
      </c>
      <c r="B1279" t="s">
        <v>38</v>
      </c>
      <c r="C1279" t="s">
        <v>32</v>
      </c>
      <c r="D1279">
        <v>19</v>
      </c>
      <c r="E1279">
        <v>17</v>
      </c>
      <c r="F1279">
        <v>8.36</v>
      </c>
      <c r="G1279">
        <v>0</v>
      </c>
      <c r="H1279">
        <v>0</v>
      </c>
      <c r="I1279" s="3">
        <f>E1279+G1279+H1279</f>
        <v>17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21</v>
      </c>
      <c r="K1279" s="3">
        <f>I1279-J1279</f>
        <v>-4</v>
      </c>
      <c r="L1279" s="3" t="str">
        <f>IF(K1279&lt;-5,"CRÍTICO",IF(K1279&lt;0,"ATENÇÃO",IF(K1279&lt;=5,"BOM","EXCELENTE")))</f>
        <v>ATENÇÃO</v>
      </c>
      <c r="M1279">
        <v>16</v>
      </c>
      <c r="N1279">
        <v>100</v>
      </c>
      <c r="O1279">
        <v>27.609427609427609</v>
      </c>
    </row>
    <row r="1280" spans="1:15" hidden="1" x14ac:dyDescent="0.25">
      <c r="A1280" s="11">
        <v>46041</v>
      </c>
      <c r="B1280" t="s">
        <v>55</v>
      </c>
      <c r="C1280" t="s">
        <v>48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 s="3">
        <f>E1280+G1280+H1280</f>
        <v>23</v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>17</v>
      </c>
      <c r="K1280" s="3">
        <f>I1280-J1280</f>
        <v>6</v>
      </c>
      <c r="L1280" s="3" t="str">
        <f>IF(K1280&lt;-5,"CRÍTICO",IF(K1280&lt;0,"ATENÇÃO",IF(K1280&lt;=5,"BOM","EXCELENTE")))</f>
        <v>EXCELENTE</v>
      </c>
      <c r="M1280">
        <v>18</v>
      </c>
      <c r="N1280">
        <v>96.4</v>
      </c>
      <c r="O1280">
        <v>28.764044943820231</v>
      </c>
    </row>
    <row r="1281" spans="1:15" hidden="1" x14ac:dyDescent="0.25">
      <c r="A1281" s="11">
        <v>46041</v>
      </c>
      <c r="B1281" t="s">
        <v>39</v>
      </c>
      <c r="C1281" t="s">
        <v>32</v>
      </c>
      <c r="D1281">
        <v>0</v>
      </c>
      <c r="E1281">
        <v>0</v>
      </c>
      <c r="F1281">
        <v>0</v>
      </c>
      <c r="G1281">
        <v>0</v>
      </c>
      <c r="H1281">
        <v>0</v>
      </c>
      <c r="I1281" s="3">
        <v>0</v>
      </c>
      <c r="J1281" s="3">
        <v>0</v>
      </c>
      <c r="K1281" s="3">
        <v>0</v>
      </c>
      <c r="L1281" s="3" t="str">
        <f>IF(K1281&lt;-5,"CRÍTICO",IF(K1281&lt;0,"ATENÇÃO",IF(K1281&lt;=5,"BOM","EXCELENTE")))</f>
        <v>BOM</v>
      </c>
      <c r="M1281">
        <v>7</v>
      </c>
      <c r="N1281">
        <v>100</v>
      </c>
      <c r="O1281">
        <v>33.980582524271853</v>
      </c>
    </row>
    <row r="1282" spans="1:15" hidden="1" x14ac:dyDescent="0.25">
      <c r="A1282" s="11">
        <v>46041</v>
      </c>
      <c r="B1282" t="s">
        <v>25</v>
      </c>
      <c r="C1282" t="s">
        <v>26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12</v>
      </c>
      <c r="K1282" s="3">
        <f>I1282-J1282</f>
        <v>3</v>
      </c>
      <c r="L1282" s="3" t="str">
        <f>IF(K1282&lt;-5,"CRÍTICO",IF(K1282&lt;0,"ATENÇÃO",IF(K1282&lt;=5,"BOM","EXCELENTE")))</f>
        <v>BOM</v>
      </c>
      <c r="M1282">
        <v>12</v>
      </c>
      <c r="N1282">
        <v>97.56</v>
      </c>
      <c r="O1282">
        <v>32.515337423312893</v>
      </c>
    </row>
    <row r="1283" spans="1:15" hidden="1" x14ac:dyDescent="0.25">
      <c r="A1283" s="11">
        <v>46041</v>
      </c>
      <c r="B1283" t="s">
        <v>40</v>
      </c>
      <c r="C1283" t="s">
        <v>32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 s="3">
        <f>E1283+G1283+H1283</f>
        <v>15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21</v>
      </c>
      <c r="K1283" s="3">
        <f>I1283-J1283</f>
        <v>-6</v>
      </c>
      <c r="L1283" s="3" t="str">
        <f>IF(K1283&lt;-5,"CRÍTICO",IF(K1283&lt;0,"ATENÇÃO",IF(K1283&lt;=5,"BOM","EXCELENTE")))</f>
        <v>CRÍTICO</v>
      </c>
      <c r="M1283">
        <v>18</v>
      </c>
      <c r="N1283">
        <v>97.11</v>
      </c>
      <c r="O1283">
        <v>37.408312958435211</v>
      </c>
    </row>
    <row r="1284" spans="1:15" hidden="1" x14ac:dyDescent="0.25">
      <c r="A1284" s="11">
        <v>46041</v>
      </c>
      <c r="B1284" t="s">
        <v>27</v>
      </c>
      <c r="C1284" t="s">
        <v>26</v>
      </c>
      <c r="D1284">
        <v>0</v>
      </c>
      <c r="E1284">
        <v>0</v>
      </c>
      <c r="F1284">
        <v>0</v>
      </c>
      <c r="G1284">
        <v>0</v>
      </c>
      <c r="H1284">
        <v>0</v>
      </c>
      <c r="I1284" s="3">
        <v>0</v>
      </c>
      <c r="J1284" s="3">
        <v>0</v>
      </c>
      <c r="K1284" s="3">
        <v>0</v>
      </c>
      <c r="L1284" s="3" t="str">
        <f>IF(K1284&lt;-5,"CRÍTICO",IF(K1284&lt;0,"ATENÇÃO",IF(K1284&lt;=5,"BOM","EXCELENTE")))</f>
        <v>BOM</v>
      </c>
      <c r="M1284">
        <v>0</v>
      </c>
      <c r="N1284">
        <v>0</v>
      </c>
      <c r="O1284">
        <v>0</v>
      </c>
    </row>
    <row r="1285" spans="1:15" hidden="1" x14ac:dyDescent="0.25">
      <c r="A1285" s="11">
        <v>46041</v>
      </c>
      <c r="B1285" t="s">
        <v>41</v>
      </c>
      <c r="C1285" t="s">
        <v>32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 s="3">
        <f>E1285+G1285+H1285</f>
        <v>23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21</v>
      </c>
      <c r="K1285" s="3">
        <f>I1285-J1285</f>
        <v>2</v>
      </c>
      <c r="L1285" s="3" t="str">
        <f>IF(K1285&lt;-5,"CRÍTICO",IF(K1285&lt;0,"ATENÇÃO",IF(K1285&lt;=5,"BOM","EXCELENTE")))</f>
        <v>BOM</v>
      </c>
      <c r="M1285">
        <v>22</v>
      </c>
      <c r="N1285">
        <v>100</v>
      </c>
      <c r="O1285">
        <v>30.470347648261761</v>
      </c>
    </row>
    <row r="1286" spans="1:15" hidden="1" x14ac:dyDescent="0.25">
      <c r="A1286" s="11">
        <v>46041</v>
      </c>
      <c r="B1286" t="s">
        <v>56</v>
      </c>
      <c r="C1286" t="s">
        <v>48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 s="3">
        <f>E1286+G1286+H1286</f>
        <v>24</v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>17</v>
      </c>
      <c r="K1286" s="3">
        <f>I1286-J1286</f>
        <v>7</v>
      </c>
      <c r="L1286" s="3" t="str">
        <f>IF(K1286&lt;-5,"CRÍTICO",IF(K1286&lt;0,"ATENÇÃO",IF(K1286&lt;=5,"BOM","EXCELENTE")))</f>
        <v>EXCELENTE</v>
      </c>
      <c r="M1286">
        <v>23</v>
      </c>
      <c r="N1286">
        <v>100</v>
      </c>
      <c r="O1286">
        <v>32.371134020618562</v>
      </c>
    </row>
    <row r="1287" spans="1:15" hidden="1" x14ac:dyDescent="0.25">
      <c r="A1287" s="11">
        <v>46041</v>
      </c>
      <c r="B1287" t="s">
        <v>57</v>
      </c>
      <c r="C1287" t="s">
        <v>48</v>
      </c>
      <c r="D1287">
        <v>15</v>
      </c>
      <c r="E1287">
        <v>13</v>
      </c>
      <c r="F1287">
        <v>12.11</v>
      </c>
      <c r="G1287">
        <v>0</v>
      </c>
      <c r="H1287">
        <v>0</v>
      </c>
      <c r="I1287" s="3">
        <v>0</v>
      </c>
      <c r="J1287" s="3">
        <v>0</v>
      </c>
      <c r="K1287" s="3">
        <v>0</v>
      </c>
      <c r="L1287" s="3" t="str">
        <f>IF(K1287&lt;-5,"CRÍTICO",IF(K1287&lt;0,"ATENÇÃO",IF(K1287&lt;=5,"BOM","EXCELENTE")))</f>
        <v>BOM</v>
      </c>
      <c r="M1287">
        <v>11</v>
      </c>
      <c r="N1287">
        <v>98.32</v>
      </c>
      <c r="O1287">
        <v>32.318501170960189</v>
      </c>
    </row>
    <row r="1288" spans="1:15" hidden="1" x14ac:dyDescent="0.25">
      <c r="A1288" s="11">
        <v>46041</v>
      </c>
      <c r="B1288" t="s">
        <v>42</v>
      </c>
      <c r="C1288" t="s">
        <v>32</v>
      </c>
      <c r="D1288">
        <v>37</v>
      </c>
      <c r="E1288">
        <v>27</v>
      </c>
      <c r="F1288">
        <v>9</v>
      </c>
      <c r="G1288">
        <v>0</v>
      </c>
      <c r="H1288">
        <v>0</v>
      </c>
      <c r="I1288" s="3">
        <f>E1288+G1288+H1288</f>
        <v>27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21</v>
      </c>
      <c r="K1288" s="3">
        <f>I1288-J1288</f>
        <v>6</v>
      </c>
      <c r="L1288" s="3" t="str">
        <f>IF(K1288&lt;-5,"CRÍTICO",IF(K1288&lt;0,"ATENÇÃO",IF(K1288&lt;=5,"BOM","EXCELENTE")))</f>
        <v>EXCELENTE</v>
      </c>
      <c r="M1288">
        <v>17</v>
      </c>
      <c r="N1288">
        <v>96.43</v>
      </c>
      <c r="O1288">
        <v>27.015250544662312</v>
      </c>
    </row>
    <row r="1289" spans="1:15" hidden="1" x14ac:dyDescent="0.25">
      <c r="A1289" s="11">
        <v>46041</v>
      </c>
      <c r="B1289" t="s">
        <v>62</v>
      </c>
      <c r="C1289" t="s">
        <v>23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 s="3">
        <f>E1289+G1289+H1289</f>
        <v>19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14</v>
      </c>
      <c r="K1289" s="3">
        <f>I1289-J1289</f>
        <v>5</v>
      </c>
      <c r="L1289" s="3" t="str">
        <f>IF(K1289&lt;-5,"CRÍTICO",IF(K1289&lt;0,"ATENÇÃO",IF(K1289&lt;=5,"BOM","EXCELENTE")))</f>
        <v>BOM</v>
      </c>
      <c r="M1289">
        <v>15</v>
      </c>
      <c r="N1289">
        <v>98.89</v>
      </c>
      <c r="O1289">
        <v>28.021978021978018</v>
      </c>
    </row>
    <row r="1290" spans="1:15" hidden="1" x14ac:dyDescent="0.25">
      <c r="A1290" s="11">
        <v>46041</v>
      </c>
      <c r="B1290" t="s">
        <v>19</v>
      </c>
      <c r="C1290" t="s">
        <v>16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 s="3">
        <f>E1290+G1290+H1290</f>
        <v>13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6</v>
      </c>
      <c r="K1290" s="3">
        <f>I1290-J1290</f>
        <v>7</v>
      </c>
      <c r="L1290" s="3" t="str">
        <f>IF(K1290&lt;-5,"CRÍTICO",IF(K1290&lt;0,"ATENÇÃO",IF(K1290&lt;=5,"BOM","EXCELENTE")))</f>
        <v>EXCELENTE</v>
      </c>
      <c r="M1290">
        <v>9</v>
      </c>
      <c r="N1290">
        <v>100</v>
      </c>
      <c r="O1290">
        <v>33.333333333333329</v>
      </c>
    </row>
    <row r="1291" spans="1:15" hidden="1" x14ac:dyDescent="0.25">
      <c r="A1291" s="11">
        <v>46041</v>
      </c>
      <c r="B1291" t="s">
        <v>43</v>
      </c>
      <c r="C1291" t="s">
        <v>32</v>
      </c>
      <c r="D1291">
        <v>27</v>
      </c>
      <c r="E1291">
        <v>26</v>
      </c>
      <c r="F1291">
        <v>17</v>
      </c>
      <c r="G1291">
        <v>0</v>
      </c>
      <c r="H1291">
        <v>0</v>
      </c>
      <c r="I1291" s="3">
        <f>E1291+G1291+H1291</f>
        <v>26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5</v>
      </c>
      <c r="L1291" s="3" t="str">
        <f>IF(K1291&lt;-5,"CRÍTICO",IF(K1291&lt;0,"ATENÇÃO",IF(K1291&lt;=5,"BOM","EXCELENTE")))</f>
        <v>BOM</v>
      </c>
      <c r="M1291">
        <v>25</v>
      </c>
      <c r="N1291">
        <v>100</v>
      </c>
      <c r="O1291">
        <v>27.43362831858407</v>
      </c>
    </row>
    <row r="1292" spans="1:15" hidden="1" x14ac:dyDescent="0.25">
      <c r="A1292" s="11">
        <v>46041</v>
      </c>
      <c r="B1292" t="s">
        <v>44</v>
      </c>
      <c r="C1292" t="s">
        <v>32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 s="3">
        <f>E1292+G1292+H1292</f>
        <v>25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21</v>
      </c>
      <c r="K1292" s="3">
        <f>I1292-J1292</f>
        <v>4</v>
      </c>
      <c r="L1292" s="3" t="str">
        <f>IF(K1292&lt;-5,"CRÍTICO",IF(K1292&lt;0,"ATENÇÃO",IF(K1292&lt;=5,"BOM","EXCELENTE")))</f>
        <v>BOM</v>
      </c>
      <c r="M1292">
        <v>24</v>
      </c>
      <c r="N1292">
        <v>98.65</v>
      </c>
      <c r="O1292">
        <v>30.978260869565219</v>
      </c>
    </row>
    <row r="1293" spans="1:15" hidden="1" x14ac:dyDescent="0.25">
      <c r="A1293" s="11">
        <v>46041</v>
      </c>
      <c r="B1293" t="s">
        <v>20</v>
      </c>
      <c r="C1293" t="s">
        <v>16</v>
      </c>
      <c r="D1293">
        <v>1</v>
      </c>
      <c r="E1293">
        <v>1</v>
      </c>
      <c r="F1293">
        <v>7.39</v>
      </c>
      <c r="G1293">
        <v>0</v>
      </c>
      <c r="H1293">
        <v>0</v>
      </c>
      <c r="I1293" s="3">
        <f>E1293+G1293+H1293</f>
        <v>1</v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>6</v>
      </c>
      <c r="K1293" s="3">
        <f>I1293-J1293</f>
        <v>-5</v>
      </c>
      <c r="L1293" s="3" t="str">
        <f>IF(K1293&lt;-5,"CRÍTICO",IF(K1293&lt;0,"ATENÇÃO",IF(K1293&lt;=5,"BOM","EXCELENTE")))</f>
        <v>ATENÇÃO</v>
      </c>
      <c r="M1293">
        <v>1</v>
      </c>
      <c r="N1293">
        <v>100</v>
      </c>
      <c r="O1293">
        <v>12</v>
      </c>
    </row>
    <row r="1294" spans="1:15" hidden="1" x14ac:dyDescent="0.25">
      <c r="A1294" s="11">
        <v>46041</v>
      </c>
      <c r="B1294" t="s">
        <v>28</v>
      </c>
      <c r="C1294" t="s">
        <v>26</v>
      </c>
      <c r="D1294">
        <v>0</v>
      </c>
      <c r="E1294">
        <v>0</v>
      </c>
      <c r="F1294">
        <v>0</v>
      </c>
      <c r="G1294">
        <v>0</v>
      </c>
      <c r="H1294">
        <v>0</v>
      </c>
      <c r="I1294" s="3">
        <v>0</v>
      </c>
      <c r="J1294" s="3">
        <v>0</v>
      </c>
      <c r="K1294" s="3">
        <v>0</v>
      </c>
      <c r="L1294" s="3" t="str">
        <f>IF(K1294&lt;-5,"CRÍTICO",IF(K1294&lt;0,"ATENÇÃO",IF(K1294&lt;=5,"BOM","EXCELENTE")))</f>
        <v>BOM</v>
      </c>
      <c r="M1294">
        <v>0</v>
      </c>
      <c r="N1294">
        <v>0</v>
      </c>
      <c r="O1294">
        <v>0</v>
      </c>
    </row>
    <row r="1295" spans="1:15" hidden="1" x14ac:dyDescent="0.25">
      <c r="A1295" s="11">
        <v>46041</v>
      </c>
      <c r="B1295" t="s">
        <v>58</v>
      </c>
      <c r="C1295" t="s">
        <v>48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 s="3">
        <f>E1295+G1295+H1295</f>
        <v>25</v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>17</v>
      </c>
      <c r="K1295" s="3">
        <f>I1295-J1295</f>
        <v>8</v>
      </c>
      <c r="L1295" s="3" t="str">
        <f>IF(K1295&lt;-5,"CRÍTICO",IF(K1295&lt;0,"ATENÇÃO",IF(K1295&lt;=5,"BOM","EXCELENTE")))</f>
        <v>EXCELENTE</v>
      </c>
      <c r="M1295">
        <v>19</v>
      </c>
      <c r="N1295">
        <v>97.56</v>
      </c>
      <c r="O1295">
        <v>31.067961165048541</v>
      </c>
    </row>
    <row r="1296" spans="1:15" hidden="1" x14ac:dyDescent="0.25">
      <c r="A1296" s="11">
        <v>46041</v>
      </c>
      <c r="B1296" t="s">
        <v>29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30</v>
      </c>
      <c r="C1297" t="s">
        <v>26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21</v>
      </c>
      <c r="C1298" t="s">
        <v>16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>
        <v>0</v>
      </c>
      <c r="N1298">
        <v>0</v>
      </c>
      <c r="O1298">
        <v>0</v>
      </c>
    </row>
    <row r="1299" spans="1:15" hidden="1" x14ac:dyDescent="0.25">
      <c r="A1299" s="11">
        <v>46041</v>
      </c>
      <c r="B1299" t="s">
        <v>63</v>
      </c>
      <c r="C1299" t="s">
        <v>23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>
        <v>0</v>
      </c>
      <c r="N1299">
        <v>100</v>
      </c>
      <c r="O1299">
        <v>53.846153846153847</v>
      </c>
    </row>
    <row r="1300" spans="1:15" hidden="1" x14ac:dyDescent="0.25">
      <c r="A1300" s="11">
        <v>46041</v>
      </c>
      <c r="B1300" t="s">
        <v>45</v>
      </c>
      <c r="C1300" t="s">
        <v>32</v>
      </c>
      <c r="D1300">
        <v>0</v>
      </c>
      <c r="E1300">
        <v>0</v>
      </c>
      <c r="F1300">
        <v>0</v>
      </c>
      <c r="G1300">
        <v>0</v>
      </c>
      <c r="H1300">
        <v>0</v>
      </c>
      <c r="I1300" s="3">
        <v>0</v>
      </c>
      <c r="J1300" s="3">
        <v>0</v>
      </c>
      <c r="K1300" s="3">
        <v>0</v>
      </c>
      <c r="L1300" s="3" t="str">
        <f>IF(K1300&lt;-5,"CRÍTICO",IF(K1300&lt;0,"ATENÇÃO",IF(K1300&lt;=5,"BOM","EXCELENTE")))</f>
        <v>BOM</v>
      </c>
      <c r="M1300">
        <v>0</v>
      </c>
      <c r="N1300">
        <v>100</v>
      </c>
      <c r="O1300">
        <v>44.05594405594406</v>
      </c>
    </row>
    <row r="1301" spans="1:15" hidden="1" x14ac:dyDescent="0.25">
      <c r="A1301" s="11">
        <v>46041</v>
      </c>
      <c r="B1301" t="s">
        <v>64</v>
      </c>
      <c r="C1301" t="s">
        <v>23</v>
      </c>
      <c r="D1301">
        <v>10</v>
      </c>
      <c r="E1301">
        <v>9</v>
      </c>
      <c r="F1301">
        <v>52.36</v>
      </c>
      <c r="G1301">
        <v>0</v>
      </c>
      <c r="H1301">
        <v>0</v>
      </c>
      <c r="I1301" s="3">
        <f>E1301+G1301+H1301</f>
        <v>9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14</v>
      </c>
      <c r="K1301" s="3">
        <f>I1301-J1301</f>
        <v>-5</v>
      </c>
      <c r="L1301" s="3" t="str">
        <f>IF(K1301&lt;-5,"CRÍTICO",IF(K1301&lt;0,"ATENÇÃO",IF(K1301&lt;=5,"BOM","EXCELENTE")))</f>
        <v>ATENÇÃO</v>
      </c>
      <c r="M1301">
        <v>8</v>
      </c>
      <c r="N1301">
        <v>100</v>
      </c>
      <c r="O1301">
        <v>31.872509960159359</v>
      </c>
    </row>
    <row r="1302" spans="1:15" hidden="1" x14ac:dyDescent="0.25">
      <c r="A1302" s="11">
        <v>46041</v>
      </c>
      <c r="B1302" t="s">
        <v>46</v>
      </c>
      <c r="C1302" t="s">
        <v>32</v>
      </c>
      <c r="D1302">
        <v>23</v>
      </c>
      <c r="E1302">
        <v>21</v>
      </c>
      <c r="F1302">
        <v>15</v>
      </c>
      <c r="G1302">
        <v>0</v>
      </c>
      <c r="H1302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21</v>
      </c>
      <c r="K1302" s="3">
        <f>I1302-J1302</f>
        <v>0</v>
      </c>
      <c r="L1302" s="3" t="str">
        <f>IF(K1302&lt;-5,"CRÍTICO",IF(K1302&lt;0,"ATENÇÃO",IF(K1302&lt;=5,"BOM","EXCELENTE")))</f>
        <v>BOM</v>
      </c>
      <c r="M1302">
        <v>20</v>
      </c>
      <c r="N1302">
        <v>98.41</v>
      </c>
      <c r="O1302">
        <v>29.22465208747515</v>
      </c>
    </row>
    <row r="1303" spans="1:15" hidden="1" x14ac:dyDescent="0.25">
      <c r="A1303" s="11">
        <v>46042</v>
      </c>
      <c r="B1303" t="s">
        <v>47</v>
      </c>
      <c r="C1303" t="s">
        <v>48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 s="3">
        <f>E1303+G1303+H1303</f>
        <v>23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15</v>
      </c>
      <c r="K1303" s="3">
        <f>I1303-J1303</f>
        <v>8</v>
      </c>
      <c r="L1303" s="3" t="str">
        <f>IF(K1303&lt;-5,"CRÍTICO",IF(K1303&lt;0,"ATENÇÃO",IF(K1303&lt;=5,"BOM","EXCELENTE")))</f>
        <v>EXCELENTE</v>
      </c>
      <c r="M1303">
        <v>17</v>
      </c>
      <c r="N1303">
        <v>96.81</v>
      </c>
      <c r="O1303">
        <v>27.980535279805348</v>
      </c>
    </row>
    <row r="1304" spans="1:15" hidden="1" x14ac:dyDescent="0.25">
      <c r="A1304" s="11">
        <v>46042</v>
      </c>
      <c r="B1304" t="s">
        <v>31</v>
      </c>
      <c r="C1304" t="s">
        <v>32</v>
      </c>
      <c r="D1304">
        <v>0</v>
      </c>
      <c r="E1304">
        <v>0</v>
      </c>
      <c r="F1304">
        <v>0</v>
      </c>
      <c r="G1304">
        <v>0</v>
      </c>
      <c r="H1304">
        <v>0</v>
      </c>
      <c r="I1304" s="3">
        <v>0</v>
      </c>
      <c r="J1304" s="3">
        <v>0</v>
      </c>
      <c r="K1304" s="3">
        <v>0</v>
      </c>
      <c r="L1304" s="3" t="str">
        <f>IF(K1304&lt;-5,"CRÍTICO",IF(K1304&lt;0,"ATENÇÃO",IF(K1304&lt;=5,"BOM","EXCELENTE")))</f>
        <v>BOM</v>
      </c>
      <c r="M1304">
        <v>19</v>
      </c>
      <c r="N1304">
        <v>98.73</v>
      </c>
      <c r="O1304">
        <v>35.756385068762278</v>
      </c>
    </row>
    <row r="1305" spans="1:15" hidden="1" x14ac:dyDescent="0.25">
      <c r="A1305" s="11">
        <v>46042</v>
      </c>
      <c r="B1305" t="s">
        <v>59</v>
      </c>
      <c r="C1305" t="s">
        <v>23</v>
      </c>
      <c r="D1305">
        <v>25</v>
      </c>
      <c r="E1305">
        <v>21</v>
      </c>
      <c r="F1305">
        <v>15.4</v>
      </c>
      <c r="G1305">
        <v>0</v>
      </c>
      <c r="H1305">
        <v>0</v>
      </c>
      <c r="I1305" s="3">
        <f>E1305+G1305+H1305</f>
        <v>21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13</v>
      </c>
      <c r="K1305" s="3">
        <f>I1305-J1305</f>
        <v>8</v>
      </c>
      <c r="L1305" s="3" t="str">
        <f>IF(K1305&lt;-5,"CRÍTICO",IF(K1305&lt;0,"ATENÇÃO",IF(K1305&lt;=5,"BOM","EXCELENTE")))</f>
        <v>EXCELENTE</v>
      </c>
      <c r="M1305">
        <v>21</v>
      </c>
      <c r="N1305">
        <v>98.32</v>
      </c>
      <c r="O1305">
        <v>26.763485477178421</v>
      </c>
    </row>
    <row r="1306" spans="1:15" hidden="1" x14ac:dyDescent="0.25">
      <c r="A1306" s="11">
        <v>46042</v>
      </c>
      <c r="B1306" t="s">
        <v>33</v>
      </c>
      <c r="C1306" t="s">
        <v>32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 s="3">
        <f>E1306+G1306+H1306</f>
        <v>18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19</v>
      </c>
      <c r="K1306" s="3">
        <f>I1306-J1306</f>
        <v>-1</v>
      </c>
      <c r="L1306" s="3" t="str">
        <f>IF(K1306&lt;-5,"CRÍTICO",IF(K1306&lt;0,"ATENÇÃO",IF(K1306&lt;=5,"BOM","EXCELENTE")))</f>
        <v>ATENÇÃO</v>
      </c>
      <c r="M1306">
        <v>15</v>
      </c>
      <c r="N1306">
        <v>99.19</v>
      </c>
      <c r="O1306">
        <v>27.637130801687761</v>
      </c>
    </row>
    <row r="1307" spans="1:15" hidden="1" x14ac:dyDescent="0.25">
      <c r="A1307" s="11">
        <v>46042</v>
      </c>
      <c r="B1307" t="s">
        <v>15</v>
      </c>
      <c r="C1307" t="s">
        <v>16</v>
      </c>
      <c r="D1307">
        <v>8</v>
      </c>
      <c r="E1307">
        <v>8</v>
      </c>
      <c r="F1307">
        <v>27.13</v>
      </c>
      <c r="G1307">
        <v>0</v>
      </c>
      <c r="H1307">
        <v>0</v>
      </c>
      <c r="I1307" s="3">
        <f>E1307+G1307+H1307</f>
        <v>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6</v>
      </c>
      <c r="K1307" s="3">
        <f>I1307-J1307</f>
        <v>2</v>
      </c>
      <c r="L1307" s="3" t="str">
        <f>IF(K1307&lt;-5,"CRÍTICO",IF(K1307&lt;0,"ATENÇÃO",IF(K1307&lt;=5,"BOM","EXCELENTE")))</f>
        <v>BOM</v>
      </c>
      <c r="M1307">
        <v>8</v>
      </c>
      <c r="N1307">
        <v>100</v>
      </c>
      <c r="O1307">
        <v>39.568345323741013</v>
      </c>
    </row>
    <row r="1308" spans="1:15" hidden="1" x14ac:dyDescent="0.25">
      <c r="A1308" s="11">
        <v>46042</v>
      </c>
      <c r="B1308" t="s">
        <v>49</v>
      </c>
      <c r="C1308" t="s">
        <v>48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 s="3">
        <f>E1308+G1308+H1308</f>
        <v>18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3</v>
      </c>
      <c r="L1308" s="3" t="str">
        <f>IF(K1308&lt;-5,"CRÍTICO",IF(K1308&lt;0,"ATENÇÃO",IF(K1308&lt;=5,"BOM","EXCELENTE")))</f>
        <v>BOM</v>
      </c>
      <c r="M1308">
        <v>20</v>
      </c>
      <c r="N1308">
        <v>98.54</v>
      </c>
      <c r="O1308">
        <v>28.544776119402989</v>
      </c>
    </row>
    <row r="1309" spans="1:15" hidden="1" x14ac:dyDescent="0.25">
      <c r="A1309" s="11">
        <v>46042</v>
      </c>
      <c r="B1309" t="s">
        <v>50</v>
      </c>
      <c r="C1309" t="s">
        <v>48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 s="3">
        <f>E1309+G1309+H1309</f>
        <v>17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15</v>
      </c>
      <c r="K1309" s="3">
        <f>I1309-J1309</f>
        <v>2</v>
      </c>
      <c r="L1309" s="3" t="str">
        <f>IF(K1309&lt;-5,"CRÍTICO",IF(K1309&lt;0,"ATENÇÃO",IF(K1309&lt;=5,"BOM","EXCELENTE")))</f>
        <v>BOM</v>
      </c>
      <c r="M1309">
        <v>19</v>
      </c>
      <c r="N1309">
        <v>100</v>
      </c>
      <c r="O1309">
        <v>34.366925064599492</v>
      </c>
    </row>
    <row r="1310" spans="1:15" hidden="1" x14ac:dyDescent="0.25">
      <c r="A1310" s="11">
        <v>46042</v>
      </c>
      <c r="B1310" t="s">
        <v>17</v>
      </c>
      <c r="C1310" t="s">
        <v>16</v>
      </c>
      <c r="D1310">
        <v>0</v>
      </c>
      <c r="E1310">
        <v>0</v>
      </c>
      <c r="F1310">
        <v>0</v>
      </c>
      <c r="G1310">
        <v>0</v>
      </c>
      <c r="H1310">
        <v>0</v>
      </c>
      <c r="I1310" s="3">
        <v>0</v>
      </c>
      <c r="J1310" s="3">
        <v>0</v>
      </c>
      <c r="K1310" s="3">
        <v>0</v>
      </c>
      <c r="L1310" s="3" t="str">
        <f>IF(K1310&lt;-5,"CRÍTICO",IF(K1310&lt;0,"ATENÇÃO",IF(K1310&lt;=5,"BOM","EXCELENTE")))</f>
        <v>BOM</v>
      </c>
      <c r="M1310">
        <v>0</v>
      </c>
      <c r="N1310">
        <v>0</v>
      </c>
      <c r="O1310">
        <v>0</v>
      </c>
    </row>
    <row r="1311" spans="1:15" hidden="1" x14ac:dyDescent="0.25">
      <c r="A1311" s="11">
        <v>46042</v>
      </c>
      <c r="B1311" t="s">
        <v>60</v>
      </c>
      <c r="C1311" t="s">
        <v>23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 s="3">
        <f>E1311+G1311+H1311</f>
        <v>16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13</v>
      </c>
      <c r="K1311" s="3">
        <f>I1311-J1311</f>
        <v>3</v>
      </c>
      <c r="L1311" s="3" t="str">
        <f>IF(K1311&lt;-5,"CRÍTICO",IF(K1311&lt;0,"ATENÇÃO",IF(K1311&lt;=5,"BOM","EXCELENTE")))</f>
        <v>BOM</v>
      </c>
      <c r="M1311">
        <v>13</v>
      </c>
      <c r="N1311">
        <v>100</v>
      </c>
      <c r="O1311">
        <v>29.518072289156631</v>
      </c>
    </row>
    <row r="1312" spans="1:15" hidden="1" x14ac:dyDescent="0.25">
      <c r="A1312" s="11">
        <v>46042</v>
      </c>
      <c r="B1312" t="s">
        <v>34</v>
      </c>
      <c r="C1312" t="s">
        <v>32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 s="3">
        <f>E1312+G1312+H1312</f>
        <v>24</v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>19</v>
      </c>
      <c r="K1312" s="3">
        <f>I1312-J1312</f>
        <v>5</v>
      </c>
      <c r="L1312" s="3" t="str">
        <f>IF(K1312&lt;-5,"CRÍTICO",IF(K1312&lt;0,"ATENÇÃO",IF(K1312&lt;=5,"BOM","EXCELENTE")))</f>
        <v>BOM</v>
      </c>
      <c r="M1312">
        <v>22</v>
      </c>
      <c r="N1312">
        <v>97.45</v>
      </c>
      <c r="O1312">
        <v>41.421143847487002</v>
      </c>
    </row>
    <row r="1313" spans="1:15" hidden="1" x14ac:dyDescent="0.25">
      <c r="A1313" s="11">
        <v>46042</v>
      </c>
      <c r="B1313" t="s">
        <v>51</v>
      </c>
      <c r="C1313" t="s">
        <v>48</v>
      </c>
      <c r="D1313">
        <v>29</v>
      </c>
      <c r="E1313">
        <v>20</v>
      </c>
      <c r="F1313">
        <v>8.26</v>
      </c>
      <c r="G1313">
        <v>0</v>
      </c>
      <c r="H1313">
        <v>0</v>
      </c>
      <c r="I1313" s="3">
        <v>0</v>
      </c>
      <c r="J1313" s="3">
        <v>0</v>
      </c>
      <c r="K1313" s="3">
        <v>0</v>
      </c>
      <c r="L1313" s="3" t="str">
        <f>IF(K1313&lt;-5,"CRÍTICO",IF(K1313&lt;0,"ATENÇÃO",IF(K1313&lt;=5,"BOM","EXCELENTE")))</f>
        <v>BOM</v>
      </c>
      <c r="M1313">
        <v>21</v>
      </c>
      <c r="N1313">
        <v>96.58</v>
      </c>
      <c r="O1313">
        <v>30.396475770925111</v>
      </c>
    </row>
    <row r="1314" spans="1:15" hidden="1" x14ac:dyDescent="0.25">
      <c r="A1314" s="11">
        <v>46042</v>
      </c>
      <c r="B1314" t="s">
        <v>61</v>
      </c>
      <c r="C1314" t="s">
        <v>23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 s="3">
        <f>E1314+G1314+H1314</f>
        <v>17</v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13</v>
      </c>
      <c r="K1314" s="3">
        <f>I1314-J1314</f>
        <v>4</v>
      </c>
      <c r="L1314" s="3" t="str">
        <f>IF(K1314&lt;-5,"CRÍTICO",IF(K1314&lt;0,"ATENÇÃO",IF(K1314&lt;=5,"BOM","EXCELENTE")))</f>
        <v>BOM</v>
      </c>
      <c r="M1314">
        <v>18</v>
      </c>
      <c r="N1314">
        <v>100</v>
      </c>
      <c r="O1314">
        <v>27.44282744282744</v>
      </c>
    </row>
    <row r="1315" spans="1:15" hidden="1" x14ac:dyDescent="0.25">
      <c r="A1315" s="11">
        <v>46042</v>
      </c>
      <c r="B1315" t="s">
        <v>35</v>
      </c>
      <c r="C1315" t="s">
        <v>32</v>
      </c>
      <c r="D1315">
        <v>17</v>
      </c>
      <c r="E1315">
        <v>17</v>
      </c>
      <c r="F1315">
        <v>30.1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>
        <v>19</v>
      </c>
      <c r="N1315">
        <v>99.49</v>
      </c>
      <c r="O1315">
        <v>40.200000000000003</v>
      </c>
    </row>
    <row r="1316" spans="1:15" hidden="1" x14ac:dyDescent="0.25">
      <c r="A1316" s="11">
        <v>46042</v>
      </c>
      <c r="B1316" t="s">
        <v>18</v>
      </c>
      <c r="C1316" t="s">
        <v>16</v>
      </c>
      <c r="D1316">
        <v>0</v>
      </c>
      <c r="E1316">
        <v>0</v>
      </c>
      <c r="F1316">
        <v>0</v>
      </c>
      <c r="G1316">
        <v>0</v>
      </c>
      <c r="H1316">
        <v>0</v>
      </c>
      <c r="I1316" s="3">
        <v>0</v>
      </c>
      <c r="J1316" s="3">
        <v>0</v>
      </c>
      <c r="K1316" s="3">
        <v>0</v>
      </c>
      <c r="L1316" s="3" t="str">
        <f>IF(K1316&lt;-5,"CRÍTICO",IF(K1316&lt;0,"ATENÇÃO",IF(K1316&lt;=5,"BOM","EXCELENTE")))</f>
        <v>BOM</v>
      </c>
      <c r="M1316">
        <v>0</v>
      </c>
      <c r="N1316">
        <v>100</v>
      </c>
      <c r="O1316">
        <v>25</v>
      </c>
    </row>
    <row r="1317" spans="1:15" hidden="1" x14ac:dyDescent="0.25">
      <c r="A1317" s="11">
        <v>46042</v>
      </c>
      <c r="B1317" t="s">
        <v>52</v>
      </c>
      <c r="C1317" t="s">
        <v>48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 s="3">
        <f>E1317+G1317+H1317</f>
        <v>20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15</v>
      </c>
      <c r="K1317" s="3">
        <f>I1317-J1317</f>
        <v>5</v>
      </c>
      <c r="L1317" s="3" t="str">
        <f>IF(K1317&lt;-5,"CRÍTICO",IF(K1317&lt;0,"ATENÇÃO",IF(K1317&lt;=5,"BOM","EXCELENTE")))</f>
        <v>BOM</v>
      </c>
      <c r="M1317">
        <v>21</v>
      </c>
      <c r="N1317">
        <v>100</v>
      </c>
      <c r="O1317">
        <v>34.15094339622641</v>
      </c>
    </row>
    <row r="1318" spans="1:15" hidden="1" x14ac:dyDescent="0.25">
      <c r="A1318" s="11">
        <v>46042</v>
      </c>
      <c r="B1318" t="s">
        <v>36</v>
      </c>
      <c r="C1318" t="s">
        <v>32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 s="3">
        <f>E1318+G1318+H1318</f>
        <v>12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19</v>
      </c>
      <c r="K1318" s="3">
        <f>I1318-J1318</f>
        <v>-7</v>
      </c>
      <c r="L1318" s="3" t="str">
        <f>IF(K1318&lt;-5,"CRÍTICO",IF(K1318&lt;0,"ATENÇÃO",IF(K1318&lt;=5,"BOM","EXCELENTE")))</f>
        <v>CRÍTICO</v>
      </c>
      <c r="M1318">
        <v>16</v>
      </c>
      <c r="N1318">
        <v>100</v>
      </c>
      <c r="O1318">
        <v>32.731376975169297</v>
      </c>
    </row>
    <row r="1319" spans="1:15" hidden="1" x14ac:dyDescent="0.25">
      <c r="A1319" s="11">
        <v>46042</v>
      </c>
      <c r="B1319" t="s">
        <v>53</v>
      </c>
      <c r="C1319" t="s">
        <v>48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 s="3">
        <f>E1319+G1319+H1319</f>
        <v>21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6</v>
      </c>
      <c r="L1319" s="3" t="str">
        <f>IF(K1319&lt;-5,"CRÍTICO",IF(K1319&lt;0,"ATENÇÃO",IF(K1319&lt;=5,"BOM","EXCELENTE")))</f>
        <v>EXCELENTE</v>
      </c>
      <c r="M1319">
        <v>19</v>
      </c>
      <c r="N1319">
        <v>99.31</v>
      </c>
      <c r="O1319">
        <v>30.96234309623431</v>
      </c>
    </row>
    <row r="1320" spans="1:15" hidden="1" x14ac:dyDescent="0.25">
      <c r="A1320" s="11">
        <v>46076</v>
      </c>
      <c r="B1320" t="s">
        <v>22</v>
      </c>
      <c r="C1320" t="s">
        <v>23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>E1320+G1320+H1320</f>
        <v>16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1</v>
      </c>
      <c r="L1320" s="3" t="str">
        <f>IF(K1320&lt;-5,"CRÍTICO",IF(K1320&lt;0,"ATENÇÃO",IF(K1320&lt;=5,"BOM","EXCELENTE")))</f>
        <v>BOM</v>
      </c>
      <c r="M1320">
        <v>16</v>
      </c>
      <c r="N1320">
        <v>96.67</v>
      </c>
      <c r="O1320">
        <v>31.451612903225811</v>
      </c>
    </row>
    <row r="1321" spans="1:15" hidden="1" x14ac:dyDescent="0.25">
      <c r="A1321" s="11">
        <v>46042</v>
      </c>
      <c r="B1321" t="s">
        <v>54</v>
      </c>
      <c r="C1321" t="s">
        <v>48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 s="3">
        <f>E1321+G1321+H1321</f>
        <v>18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15</v>
      </c>
      <c r="K1321" s="3">
        <f>I1321-J1321</f>
        <v>3</v>
      </c>
      <c r="L1321" s="3" t="str">
        <f>IF(K1321&lt;-5,"CRÍTICO",IF(K1321&lt;0,"ATENÇÃO",IF(K1321&lt;=5,"BOM","EXCELENTE")))</f>
        <v>BOM</v>
      </c>
      <c r="M1321">
        <v>18</v>
      </c>
      <c r="N1321">
        <v>100</v>
      </c>
      <c r="O1321">
        <v>27.676767676767678</v>
      </c>
    </row>
    <row r="1322" spans="1:15" hidden="1" x14ac:dyDescent="0.25">
      <c r="A1322" s="11">
        <v>46042</v>
      </c>
      <c r="B1322" t="s">
        <v>37</v>
      </c>
      <c r="C1322" t="s">
        <v>32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 s="3">
        <f>E1322+G1322+H1322</f>
        <v>29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10</v>
      </c>
      <c r="L1322" s="3" t="str">
        <f>IF(K1322&lt;-5,"CRÍTICO",IF(K1322&lt;0,"ATENÇÃO",IF(K1322&lt;=5,"BOM","EXCELENTE")))</f>
        <v>EXCELENTE</v>
      </c>
      <c r="M1322">
        <v>29</v>
      </c>
      <c r="N1322">
        <v>100</v>
      </c>
      <c r="O1322">
        <v>31.17723156532988</v>
      </c>
    </row>
    <row r="1323" spans="1:15" hidden="1" x14ac:dyDescent="0.25">
      <c r="A1323" s="11">
        <v>46042</v>
      </c>
      <c r="B1323" t="s">
        <v>38</v>
      </c>
      <c r="C1323" t="s">
        <v>32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 s="3">
        <f>E1323+G1323+H1323</f>
        <v>11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19</v>
      </c>
      <c r="K1323" s="3">
        <f>I1323-J1323</f>
        <v>-8</v>
      </c>
      <c r="L1323" s="3" t="str">
        <f>IF(K1323&lt;-5,"CRÍTICO",IF(K1323&lt;0,"ATENÇÃO",IF(K1323&lt;=5,"BOM","EXCELENTE")))</f>
        <v>CRÍTICO</v>
      </c>
      <c r="M1323">
        <v>8</v>
      </c>
      <c r="N1323">
        <v>100</v>
      </c>
      <c r="O1323">
        <v>27.609427609427609</v>
      </c>
    </row>
    <row r="1324" spans="1:15" hidden="1" x14ac:dyDescent="0.25">
      <c r="A1324" s="11">
        <v>46042</v>
      </c>
      <c r="B1324" t="s">
        <v>55</v>
      </c>
      <c r="C1324" t="s">
        <v>48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 s="3">
        <f>E1324+G1324+H1324</f>
        <v>22</v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>15</v>
      </c>
      <c r="K1324" s="3">
        <f>I1324-J1324</f>
        <v>7</v>
      </c>
      <c r="L1324" s="3" t="str">
        <f>IF(K1324&lt;-5,"CRÍTICO",IF(K1324&lt;0,"ATENÇÃO",IF(K1324&lt;=5,"BOM","EXCELENTE")))</f>
        <v>EXCELENTE</v>
      </c>
      <c r="M1324">
        <v>20</v>
      </c>
      <c r="N1324">
        <v>96.4</v>
      </c>
      <c r="O1324">
        <v>28.764044943820231</v>
      </c>
    </row>
    <row r="1325" spans="1:15" hidden="1" x14ac:dyDescent="0.25">
      <c r="A1325" s="11">
        <v>46042</v>
      </c>
      <c r="B1325" t="s">
        <v>39</v>
      </c>
      <c r="C1325" t="s">
        <v>32</v>
      </c>
      <c r="D1325">
        <v>0</v>
      </c>
      <c r="E1325">
        <v>0</v>
      </c>
      <c r="F1325">
        <v>0</v>
      </c>
      <c r="G1325">
        <v>0</v>
      </c>
      <c r="H1325">
        <v>0</v>
      </c>
      <c r="I1325" s="3">
        <v>0</v>
      </c>
      <c r="J1325" s="3">
        <v>0</v>
      </c>
      <c r="K1325" s="3">
        <v>0</v>
      </c>
      <c r="L1325" s="3" t="str">
        <f>IF(K1325&lt;-5,"CRÍTICO",IF(K1325&lt;0,"ATENÇÃO",IF(K1325&lt;=5,"BOM","EXCELENTE")))</f>
        <v>BOM</v>
      </c>
      <c r="M1325">
        <v>0</v>
      </c>
      <c r="N1325">
        <v>100</v>
      </c>
      <c r="O1325">
        <v>33.980582524271853</v>
      </c>
    </row>
    <row r="1326" spans="1:15" hidden="1" x14ac:dyDescent="0.25">
      <c r="A1326" s="11">
        <v>46042</v>
      </c>
      <c r="B1326" t="s">
        <v>25</v>
      </c>
      <c r="C1326" t="s">
        <v>26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 s="3">
        <f>E1326+G1326+H1326</f>
        <v>10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11</v>
      </c>
      <c r="K1326" s="3">
        <f>I1326-J1326</f>
        <v>-1</v>
      </c>
      <c r="L1326" s="3" t="str">
        <f>IF(K1326&lt;-5,"CRÍTICO",IF(K1326&lt;0,"ATENÇÃO",IF(K1326&lt;=5,"BOM","EXCELENTE")))</f>
        <v>ATENÇÃO</v>
      </c>
      <c r="M1326">
        <v>8</v>
      </c>
      <c r="N1326">
        <v>97.56</v>
      </c>
      <c r="O1326">
        <v>32.515337423312893</v>
      </c>
    </row>
    <row r="1327" spans="1:15" hidden="1" x14ac:dyDescent="0.25">
      <c r="A1327" s="11">
        <v>46042</v>
      </c>
      <c r="B1327" t="s">
        <v>40</v>
      </c>
      <c r="C1327" t="s">
        <v>32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 s="3">
        <f>E1327+G1327+H1327</f>
        <v>15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19</v>
      </c>
      <c r="K1327" s="3">
        <f>I1327-J1327</f>
        <v>-4</v>
      </c>
      <c r="L1327" s="3" t="str">
        <f>IF(K1327&lt;-5,"CRÍTICO",IF(K1327&lt;0,"ATENÇÃO",IF(K1327&lt;=5,"BOM","EXCELENTE")))</f>
        <v>ATENÇÃO</v>
      </c>
      <c r="M1327">
        <v>12</v>
      </c>
      <c r="N1327">
        <v>97.11</v>
      </c>
      <c r="O1327">
        <v>37.408312958435211</v>
      </c>
    </row>
    <row r="1328" spans="1:15" hidden="1" x14ac:dyDescent="0.25">
      <c r="A1328" s="11">
        <v>46042</v>
      </c>
      <c r="B1328" t="s">
        <v>27</v>
      </c>
      <c r="C1328" t="s">
        <v>26</v>
      </c>
      <c r="D1328">
        <v>0</v>
      </c>
      <c r="E1328">
        <v>0</v>
      </c>
      <c r="F1328">
        <v>0</v>
      </c>
      <c r="G1328">
        <v>0</v>
      </c>
      <c r="H1328">
        <v>0</v>
      </c>
      <c r="I1328" s="3">
        <v>0</v>
      </c>
      <c r="J1328" s="3">
        <v>0</v>
      </c>
      <c r="K1328" s="3">
        <v>0</v>
      </c>
      <c r="L1328" s="3" t="str">
        <f>IF(K1328&lt;-5,"CRÍTICO",IF(K1328&lt;0,"ATENÇÃO",IF(K1328&lt;=5,"BOM","EXCELENTE")))</f>
        <v>BOM</v>
      </c>
      <c r="M1328">
        <v>0</v>
      </c>
      <c r="N1328">
        <v>0</v>
      </c>
      <c r="O1328">
        <v>0</v>
      </c>
    </row>
    <row r="1329" spans="1:15" hidden="1" x14ac:dyDescent="0.25">
      <c r="A1329" s="11">
        <v>46042</v>
      </c>
      <c r="B1329" t="s">
        <v>41</v>
      </c>
      <c r="C1329" t="s">
        <v>32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 s="3">
        <f>E1329+G1329+H1329</f>
        <v>23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19</v>
      </c>
      <c r="K1329" s="3">
        <f>I1329-J1329</f>
        <v>4</v>
      </c>
      <c r="L1329" s="3" t="str">
        <f>IF(K1329&lt;-5,"CRÍTICO",IF(K1329&lt;0,"ATENÇÃO",IF(K1329&lt;=5,"BOM","EXCELENTE")))</f>
        <v>BOM</v>
      </c>
      <c r="M1329">
        <v>19</v>
      </c>
      <c r="N1329">
        <v>100</v>
      </c>
      <c r="O1329">
        <v>30.470347648261761</v>
      </c>
    </row>
    <row r="1330" spans="1:15" hidden="1" x14ac:dyDescent="0.25">
      <c r="A1330" s="11">
        <v>46042</v>
      </c>
      <c r="B1330" t="s">
        <v>56</v>
      </c>
      <c r="C1330" t="s">
        <v>48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15</v>
      </c>
      <c r="K1330" s="3">
        <f>I1330-J1330</f>
        <v>2</v>
      </c>
      <c r="L1330" s="3" t="str">
        <f>IF(K1330&lt;-5,"CRÍTICO",IF(K1330&lt;0,"ATENÇÃO",IF(K1330&lt;=5,"BOM","EXCELENTE")))</f>
        <v>BOM</v>
      </c>
      <c r="M1330">
        <v>15</v>
      </c>
      <c r="N1330">
        <v>100</v>
      </c>
      <c r="O1330">
        <v>32.371134020618562</v>
      </c>
    </row>
    <row r="1331" spans="1:15" hidden="1" x14ac:dyDescent="0.25">
      <c r="A1331" s="11">
        <v>46042</v>
      </c>
      <c r="B1331" t="s">
        <v>57</v>
      </c>
      <c r="C1331" t="s">
        <v>48</v>
      </c>
      <c r="D1331">
        <v>25</v>
      </c>
      <c r="E1331">
        <v>24</v>
      </c>
      <c r="F1331">
        <v>19.16</v>
      </c>
      <c r="G1331">
        <v>0</v>
      </c>
      <c r="H1331">
        <v>0</v>
      </c>
      <c r="I1331" s="3">
        <v>0</v>
      </c>
      <c r="J1331" s="3">
        <v>0</v>
      </c>
      <c r="K1331" s="3">
        <v>0</v>
      </c>
      <c r="L1331" s="3" t="str">
        <f>IF(K1331&lt;-5,"CRÍTICO",IF(K1331&lt;0,"ATENÇÃO",IF(K1331&lt;=5,"BOM","EXCELENTE")))</f>
        <v>BOM</v>
      </c>
      <c r="M1331">
        <v>17</v>
      </c>
      <c r="N1331">
        <v>98.32</v>
      </c>
      <c r="O1331">
        <v>32.318501170960189</v>
      </c>
    </row>
    <row r="1332" spans="1:15" hidden="1" x14ac:dyDescent="0.25">
      <c r="A1332" s="11">
        <v>46042</v>
      </c>
      <c r="B1332" t="s">
        <v>42</v>
      </c>
      <c r="C1332" t="s">
        <v>32</v>
      </c>
      <c r="D1332">
        <v>16</v>
      </c>
      <c r="E1332">
        <v>10</v>
      </c>
      <c r="F1332">
        <v>5.29</v>
      </c>
      <c r="G1332">
        <v>0</v>
      </c>
      <c r="H1332">
        <v>0</v>
      </c>
      <c r="I1332" s="3">
        <f>E1332+G1332+H1332</f>
        <v>10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19</v>
      </c>
      <c r="K1332" s="3">
        <f>I1332-J1332</f>
        <v>-9</v>
      </c>
      <c r="L1332" s="3" t="str">
        <f>IF(K1332&lt;-5,"CRÍTICO",IF(K1332&lt;0,"ATENÇÃO",IF(K1332&lt;=5,"BOM","EXCELENTE")))</f>
        <v>CRÍTICO</v>
      </c>
      <c r="M1332">
        <v>7</v>
      </c>
      <c r="N1332">
        <v>96.43</v>
      </c>
      <c r="O1332">
        <v>27.015250544662312</v>
      </c>
    </row>
    <row r="1333" spans="1:15" hidden="1" x14ac:dyDescent="0.25">
      <c r="A1333" s="11">
        <v>46042</v>
      </c>
      <c r="B1333" t="s">
        <v>62</v>
      </c>
      <c r="C1333" t="s">
        <v>23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 s="3">
        <f>E1333+G1333+H1333</f>
        <v>17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13</v>
      </c>
      <c r="K1333" s="3">
        <f>I1333-J1333</f>
        <v>4</v>
      </c>
      <c r="L1333" s="3" t="str">
        <f>IF(K1333&lt;-5,"CRÍTICO",IF(K1333&lt;0,"ATENÇÃO",IF(K1333&lt;=5,"BOM","EXCELENTE")))</f>
        <v>BOM</v>
      </c>
      <c r="M1333">
        <v>15</v>
      </c>
      <c r="N1333">
        <v>98.89</v>
      </c>
      <c r="O1333">
        <v>28.021978021978018</v>
      </c>
    </row>
    <row r="1334" spans="1:15" hidden="1" x14ac:dyDescent="0.25">
      <c r="A1334" s="11">
        <v>46042</v>
      </c>
      <c r="B1334" t="s">
        <v>19</v>
      </c>
      <c r="C1334" t="s">
        <v>16</v>
      </c>
      <c r="D1334">
        <v>4</v>
      </c>
      <c r="E1334">
        <v>4</v>
      </c>
      <c r="F1334">
        <v>190.33</v>
      </c>
      <c r="G1334">
        <v>0</v>
      </c>
      <c r="H1334">
        <v>0</v>
      </c>
      <c r="I1334" s="3">
        <f>E1334+G1334+H1334</f>
        <v>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6</v>
      </c>
      <c r="K1334" s="3">
        <f>I1334-J1334</f>
        <v>-2</v>
      </c>
      <c r="L1334" s="3" t="str">
        <f>IF(K1334&lt;-5,"CRÍTICO",IF(K1334&lt;0,"ATENÇÃO",IF(K1334&lt;=5,"BOM","EXCELENTE")))</f>
        <v>ATENÇÃO</v>
      </c>
      <c r="M1334">
        <v>3</v>
      </c>
      <c r="N1334">
        <v>100</v>
      </c>
      <c r="O1334">
        <v>33.333333333333329</v>
      </c>
    </row>
    <row r="1335" spans="1:15" hidden="1" x14ac:dyDescent="0.25">
      <c r="A1335" s="11">
        <v>46042</v>
      </c>
      <c r="B1335" t="s">
        <v>43</v>
      </c>
      <c r="C1335" t="s">
        <v>32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>
        <v>22</v>
      </c>
      <c r="N1335">
        <v>100</v>
      </c>
      <c r="O1335">
        <v>27.43362831858407</v>
      </c>
    </row>
    <row r="1336" spans="1:15" hidden="1" x14ac:dyDescent="0.25">
      <c r="A1336" s="11">
        <v>46042</v>
      </c>
      <c r="B1336" t="s">
        <v>44</v>
      </c>
      <c r="C1336" t="s">
        <v>32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 s="3">
        <f>E1336+G1336+H1336</f>
        <v>24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19</v>
      </c>
      <c r="K1336" s="3">
        <f>I1336-J1336</f>
        <v>5</v>
      </c>
      <c r="L1336" s="3" t="str">
        <f>IF(K1336&lt;-5,"CRÍTICO",IF(K1336&lt;0,"ATENÇÃO",IF(K1336&lt;=5,"BOM","EXCELENTE")))</f>
        <v>BOM</v>
      </c>
      <c r="M1336">
        <v>24</v>
      </c>
      <c r="N1336">
        <v>98.65</v>
      </c>
      <c r="O1336">
        <v>30.978260869565219</v>
      </c>
    </row>
    <row r="1337" spans="1:15" hidden="1" x14ac:dyDescent="0.25">
      <c r="A1337" s="11">
        <v>46042</v>
      </c>
      <c r="B1337" t="s">
        <v>20</v>
      </c>
      <c r="C1337" t="s">
        <v>16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>
        <v>0</v>
      </c>
      <c r="N1337">
        <v>100</v>
      </c>
      <c r="O1337">
        <v>12</v>
      </c>
    </row>
    <row r="1338" spans="1:15" hidden="1" x14ac:dyDescent="0.25">
      <c r="A1338" s="11">
        <v>46042</v>
      </c>
      <c r="B1338" t="s">
        <v>28</v>
      </c>
      <c r="C1338" t="s">
        <v>26</v>
      </c>
      <c r="D1338">
        <v>0</v>
      </c>
      <c r="E1338">
        <v>0</v>
      </c>
      <c r="F1338">
        <v>0</v>
      </c>
      <c r="G1338">
        <v>0</v>
      </c>
      <c r="H1338">
        <v>0</v>
      </c>
      <c r="I1338" s="3">
        <v>0</v>
      </c>
      <c r="J1338" s="3">
        <v>0</v>
      </c>
      <c r="K1338" s="3">
        <v>0</v>
      </c>
      <c r="L1338" s="3" t="str">
        <f>IF(K1338&lt;-5,"CRÍTICO",IF(K1338&lt;0,"ATENÇÃO",IF(K1338&lt;=5,"BOM","EXCELENTE")))</f>
        <v>BOM</v>
      </c>
      <c r="M1338">
        <v>0</v>
      </c>
      <c r="N1338">
        <v>0</v>
      </c>
      <c r="O1338">
        <v>0</v>
      </c>
    </row>
    <row r="1339" spans="1:15" hidden="1" x14ac:dyDescent="0.25">
      <c r="A1339" s="11">
        <v>46042</v>
      </c>
      <c r="B1339" t="s">
        <v>58</v>
      </c>
      <c r="C1339" t="s">
        <v>48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 s="3">
        <f>E1339+G1339+H1339</f>
        <v>16</v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>15</v>
      </c>
      <c r="K1339" s="3">
        <f>I1339-J1339</f>
        <v>1</v>
      </c>
      <c r="L1339" s="3" t="str">
        <f>IF(K1339&lt;-5,"CRÍTICO",IF(K1339&lt;0,"ATENÇÃO",IF(K1339&lt;=5,"BOM","EXCELENTE")))</f>
        <v>BOM</v>
      </c>
      <c r="M1339">
        <v>14</v>
      </c>
      <c r="N1339">
        <v>97.56</v>
      </c>
      <c r="O1339">
        <v>31.067961165048541</v>
      </c>
    </row>
    <row r="1340" spans="1:15" hidden="1" x14ac:dyDescent="0.25">
      <c r="A1340" s="11">
        <v>46042</v>
      </c>
      <c r="B1340" t="s">
        <v>29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30</v>
      </c>
      <c r="C1341" t="s">
        <v>26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21</v>
      </c>
      <c r="C1342" t="s">
        <v>16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>
        <v>0</v>
      </c>
      <c r="N1342">
        <v>0</v>
      </c>
      <c r="O1342">
        <v>0</v>
      </c>
    </row>
    <row r="1343" spans="1:15" hidden="1" x14ac:dyDescent="0.25">
      <c r="A1343" s="11">
        <v>46042</v>
      </c>
      <c r="B1343" t="s">
        <v>63</v>
      </c>
      <c r="C1343" t="s">
        <v>23</v>
      </c>
      <c r="D1343">
        <v>0</v>
      </c>
      <c r="E1343">
        <v>0</v>
      </c>
      <c r="F1343">
        <v>0</v>
      </c>
      <c r="G1343">
        <v>0</v>
      </c>
      <c r="H1343">
        <v>0</v>
      </c>
      <c r="I1343" s="3">
        <v>0</v>
      </c>
      <c r="J1343" s="3">
        <v>0</v>
      </c>
      <c r="K1343" s="3">
        <v>0</v>
      </c>
      <c r="L1343" s="3" t="str">
        <f>IF(K1343&lt;-5,"CRÍTICO",IF(K1343&lt;0,"ATENÇÃO",IF(K1343&lt;=5,"BOM","EXCELENTE")))</f>
        <v>BOM</v>
      </c>
      <c r="M1343">
        <v>0</v>
      </c>
      <c r="N1343">
        <v>100</v>
      </c>
      <c r="O1343">
        <v>53.846153846153847</v>
      </c>
    </row>
    <row r="1344" spans="1:15" hidden="1" x14ac:dyDescent="0.25">
      <c r="A1344" s="11">
        <v>46042</v>
      </c>
      <c r="B1344" t="s">
        <v>45</v>
      </c>
      <c r="C1344" t="s">
        <v>32</v>
      </c>
      <c r="D1344">
        <v>28</v>
      </c>
      <c r="E1344">
        <v>25</v>
      </c>
      <c r="F1344">
        <v>12.1</v>
      </c>
      <c r="G1344">
        <v>0</v>
      </c>
      <c r="H1344">
        <v>0</v>
      </c>
      <c r="I1344" s="3">
        <f>E1344+G1344+H1344</f>
        <v>25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19</v>
      </c>
      <c r="K1344" s="3">
        <f>I1344-J1344</f>
        <v>6</v>
      </c>
      <c r="L1344" s="3" t="str">
        <f>IF(K1344&lt;-5,"CRÍTICO",IF(K1344&lt;0,"ATENÇÃO",IF(K1344&lt;=5,"BOM","EXCELENTE")))</f>
        <v>EXCELENTE</v>
      </c>
      <c r="M1344">
        <v>27</v>
      </c>
      <c r="N1344">
        <v>100</v>
      </c>
      <c r="O1344">
        <v>44.05594405594406</v>
      </c>
    </row>
    <row r="1345" spans="1:15" hidden="1" x14ac:dyDescent="0.25">
      <c r="A1345" s="11">
        <v>46042</v>
      </c>
      <c r="B1345" t="s">
        <v>64</v>
      </c>
      <c r="C1345" t="s">
        <v>23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 s="3">
        <f>E1345+G1345+H1345</f>
        <v>11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13</v>
      </c>
      <c r="K1345" s="3">
        <f>I1345-J1345</f>
        <v>-2</v>
      </c>
      <c r="L1345" s="3" t="str">
        <f>IF(K1345&lt;-5,"CRÍTICO",IF(K1345&lt;0,"ATENÇÃO",IF(K1345&lt;=5,"BOM","EXCELENTE")))</f>
        <v>ATENÇÃO</v>
      </c>
      <c r="M1345">
        <v>11</v>
      </c>
      <c r="N1345">
        <v>100</v>
      </c>
      <c r="O1345">
        <v>31.872509960159359</v>
      </c>
    </row>
    <row r="1346" spans="1:15" hidden="1" x14ac:dyDescent="0.25">
      <c r="A1346" s="11">
        <v>46042</v>
      </c>
      <c r="B1346" t="s">
        <v>46</v>
      </c>
      <c r="C1346" t="s">
        <v>32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 s="3">
        <f>E1346+G1346+H1346</f>
        <v>26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19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>
        <v>23</v>
      </c>
      <c r="N1346">
        <v>98.41</v>
      </c>
      <c r="O1346">
        <v>29.22465208747515</v>
      </c>
    </row>
    <row r="1347" spans="1:15" hidden="1" x14ac:dyDescent="0.25">
      <c r="A1347" s="11">
        <v>46043</v>
      </c>
      <c r="B1347" t="s">
        <v>47</v>
      </c>
      <c r="C1347" t="s">
        <v>48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 s="3">
        <f>E1347+G1347+H1347</f>
        <v>23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16</v>
      </c>
      <c r="K1347" s="3">
        <f>I1347-J1347</f>
        <v>7</v>
      </c>
      <c r="L1347" s="3" t="str">
        <f>IF(K1347&lt;-5,"CRÍTICO",IF(K1347&lt;0,"ATENÇÃO",IF(K1347&lt;=5,"BOM","EXCELENTE")))</f>
        <v>EXCELENTE</v>
      </c>
      <c r="M1347">
        <v>19</v>
      </c>
      <c r="N1347">
        <v>96.81</v>
      </c>
      <c r="O1347">
        <v>27.980535279805348</v>
      </c>
    </row>
    <row r="1348" spans="1:15" hidden="1" x14ac:dyDescent="0.25">
      <c r="A1348" s="11">
        <v>46043</v>
      </c>
      <c r="B1348" t="s">
        <v>31</v>
      </c>
      <c r="C1348" t="s">
        <v>32</v>
      </c>
      <c r="D1348">
        <v>0</v>
      </c>
      <c r="E1348">
        <v>0</v>
      </c>
      <c r="F1348">
        <v>0</v>
      </c>
      <c r="G1348">
        <v>0</v>
      </c>
      <c r="H1348">
        <v>0</v>
      </c>
      <c r="I1348" s="3">
        <v>0</v>
      </c>
      <c r="J1348" s="3">
        <v>0</v>
      </c>
      <c r="K1348" s="3">
        <v>0</v>
      </c>
      <c r="L1348" s="3" t="str">
        <f>IF(K1348&lt;-5,"CRÍTICO",IF(K1348&lt;0,"ATENÇÃO",IF(K1348&lt;=5,"BOM","EXCELENTE")))</f>
        <v>BOM</v>
      </c>
      <c r="M1348">
        <v>28</v>
      </c>
      <c r="N1348">
        <v>98.73</v>
      </c>
      <c r="O1348">
        <v>35.756385068762278</v>
      </c>
    </row>
    <row r="1349" spans="1:15" hidden="1" x14ac:dyDescent="0.25">
      <c r="A1349" s="11">
        <v>46043</v>
      </c>
      <c r="B1349" t="s">
        <v>59</v>
      </c>
      <c r="C1349" t="s">
        <v>23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 s="3">
        <f>E1349+G1349+H1349</f>
        <v>21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13</v>
      </c>
      <c r="K1349" s="3">
        <f>I1349-J1349</f>
        <v>8</v>
      </c>
      <c r="L1349" s="3" t="str">
        <f>IF(K1349&lt;-5,"CRÍTICO",IF(K1349&lt;0,"ATENÇÃO",IF(K1349&lt;=5,"BOM","EXCELENTE")))</f>
        <v>EXCELENTE</v>
      </c>
      <c r="M1349">
        <v>18</v>
      </c>
      <c r="N1349">
        <v>98.32</v>
      </c>
      <c r="O1349">
        <v>26.763485477178421</v>
      </c>
    </row>
    <row r="1350" spans="1:15" hidden="1" x14ac:dyDescent="0.25">
      <c r="A1350" s="11">
        <v>46043</v>
      </c>
      <c r="B1350" t="s">
        <v>33</v>
      </c>
      <c r="C1350" t="s">
        <v>32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 s="3">
        <f>E1350+G1350+H1350</f>
        <v>20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20</v>
      </c>
      <c r="K1350" s="3">
        <f>I1350-J1350</f>
        <v>0</v>
      </c>
      <c r="L1350" s="3" t="str">
        <f>IF(K1350&lt;-5,"CRÍTICO",IF(K1350&lt;0,"ATENÇÃO",IF(K1350&lt;=5,"BOM","EXCELENTE")))</f>
        <v>BOM</v>
      </c>
      <c r="M1350">
        <v>20</v>
      </c>
      <c r="N1350">
        <v>99.19</v>
      </c>
      <c r="O1350">
        <v>27.637130801687761</v>
      </c>
    </row>
    <row r="1351" spans="1:15" hidden="1" x14ac:dyDescent="0.25">
      <c r="A1351" s="11">
        <v>46043</v>
      </c>
      <c r="B1351" t="s">
        <v>15</v>
      </c>
      <c r="C1351" t="s">
        <v>16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 s="3">
        <f>E1351+G1351+H1351</f>
        <v>9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6</v>
      </c>
      <c r="K1351" s="3">
        <f>I1351-J1351</f>
        <v>3</v>
      </c>
      <c r="L1351" s="3" t="str">
        <f>IF(K1351&lt;-5,"CRÍTICO",IF(K1351&lt;0,"ATENÇÃO",IF(K1351&lt;=5,"BOM","EXCELENTE")))</f>
        <v>BOM</v>
      </c>
      <c r="M1351">
        <v>6</v>
      </c>
      <c r="N1351">
        <v>100</v>
      </c>
      <c r="O1351">
        <v>39.568345323741013</v>
      </c>
    </row>
    <row r="1352" spans="1:15" hidden="1" x14ac:dyDescent="0.25">
      <c r="A1352" s="11">
        <v>46043</v>
      </c>
      <c r="B1352" t="s">
        <v>49</v>
      </c>
      <c r="C1352" t="s">
        <v>48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9</v>
      </c>
      <c r="L1352" s="3" t="str">
        <f>IF(K1352&lt;-5,"CRÍTICO",IF(K1352&lt;0,"ATENÇÃO",IF(K1352&lt;=5,"BOM","EXCELENTE")))</f>
        <v>EXCELENTE</v>
      </c>
      <c r="M1352">
        <v>25</v>
      </c>
      <c r="N1352">
        <v>98.54</v>
      </c>
      <c r="O1352">
        <v>28.544776119402989</v>
      </c>
    </row>
    <row r="1353" spans="1:15" hidden="1" x14ac:dyDescent="0.25">
      <c r="A1353" s="11">
        <v>46043</v>
      </c>
      <c r="B1353" t="s">
        <v>50</v>
      </c>
      <c r="C1353" t="s">
        <v>48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 s="3">
        <f>E1353+G1353+H1353</f>
        <v>12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16</v>
      </c>
      <c r="K1353" s="3">
        <f>I1353-J1353</f>
        <v>-4</v>
      </c>
      <c r="L1353" s="3" t="str">
        <f>IF(K1353&lt;-5,"CRÍTICO",IF(K1353&lt;0,"ATENÇÃO",IF(K1353&lt;=5,"BOM","EXCELENTE")))</f>
        <v>ATENÇÃO</v>
      </c>
      <c r="M1353">
        <v>12</v>
      </c>
      <c r="N1353">
        <v>100</v>
      </c>
      <c r="O1353">
        <v>34.366925064599492</v>
      </c>
    </row>
    <row r="1354" spans="1:15" hidden="1" x14ac:dyDescent="0.25">
      <c r="A1354" s="11">
        <v>46043</v>
      </c>
      <c r="B1354" t="s">
        <v>17</v>
      </c>
      <c r="C1354" t="s">
        <v>16</v>
      </c>
      <c r="D1354">
        <v>0</v>
      </c>
      <c r="E1354">
        <v>0</v>
      </c>
      <c r="F1354">
        <v>0</v>
      </c>
      <c r="G1354">
        <v>0</v>
      </c>
      <c r="H1354">
        <v>0</v>
      </c>
      <c r="I1354" s="3">
        <v>0</v>
      </c>
      <c r="J1354" s="3">
        <v>0</v>
      </c>
      <c r="K1354" s="3">
        <v>0</v>
      </c>
      <c r="L1354" s="3" t="str">
        <f>IF(K1354&lt;-5,"CRÍTICO",IF(K1354&lt;0,"ATENÇÃO",IF(K1354&lt;=5,"BOM","EXCELENTE")))</f>
        <v>BOM</v>
      </c>
      <c r="M1354">
        <v>0</v>
      </c>
      <c r="N1354">
        <v>0</v>
      </c>
      <c r="O1354">
        <v>0</v>
      </c>
    </row>
    <row r="1355" spans="1:15" hidden="1" x14ac:dyDescent="0.25">
      <c r="A1355" s="11">
        <v>46043</v>
      </c>
      <c r="B1355" t="s">
        <v>60</v>
      </c>
      <c r="C1355" t="s">
        <v>23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 s="3">
        <f>E1355+G1355+H1355</f>
        <v>25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13</v>
      </c>
      <c r="K1355" s="3">
        <f>I1355-J1355</f>
        <v>12</v>
      </c>
      <c r="L1355" s="3" t="str">
        <f>IF(K1355&lt;-5,"CRÍTICO",IF(K1355&lt;0,"ATENÇÃO",IF(K1355&lt;=5,"BOM","EXCELENTE")))</f>
        <v>EXCELENTE</v>
      </c>
      <c r="M1355">
        <v>22</v>
      </c>
      <c r="N1355">
        <v>100</v>
      </c>
      <c r="O1355">
        <v>29.518072289156631</v>
      </c>
    </row>
    <row r="1356" spans="1:15" hidden="1" x14ac:dyDescent="0.25">
      <c r="A1356" s="11">
        <v>46043</v>
      </c>
      <c r="B1356" t="s">
        <v>34</v>
      </c>
      <c r="C1356" t="s">
        <v>32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 s="3">
        <f>E1356+G1356+H1356</f>
        <v>27</v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>20</v>
      </c>
      <c r="K1356" s="3">
        <f>I1356-J1356</f>
        <v>7</v>
      </c>
      <c r="L1356" s="3" t="str">
        <f>IF(K1356&lt;-5,"CRÍTICO",IF(K1356&lt;0,"ATENÇÃO",IF(K1356&lt;=5,"BOM","EXCELENTE")))</f>
        <v>EXCELENTE</v>
      </c>
      <c r="M1356">
        <v>24</v>
      </c>
      <c r="N1356">
        <v>97.45</v>
      </c>
      <c r="O1356">
        <v>41.421143847487002</v>
      </c>
    </row>
    <row r="1357" spans="1:15" hidden="1" x14ac:dyDescent="0.25">
      <c r="A1357" s="11">
        <v>46043</v>
      </c>
      <c r="B1357" t="s">
        <v>51</v>
      </c>
      <c r="C1357" t="s">
        <v>48</v>
      </c>
      <c r="D1357">
        <v>25</v>
      </c>
      <c r="E1357">
        <v>19</v>
      </c>
      <c r="F1357">
        <v>10.4</v>
      </c>
      <c r="G1357">
        <v>0</v>
      </c>
      <c r="H1357">
        <v>0</v>
      </c>
      <c r="I1357" s="3">
        <v>0</v>
      </c>
      <c r="J1357" s="3">
        <v>0</v>
      </c>
      <c r="K1357" s="3">
        <v>0</v>
      </c>
      <c r="L1357" s="3" t="str">
        <f>IF(K1357&lt;-5,"CRÍTICO",IF(K1357&lt;0,"ATENÇÃO",IF(K1357&lt;=5,"BOM","EXCELENTE")))</f>
        <v>BOM</v>
      </c>
      <c r="M1357">
        <v>19</v>
      </c>
      <c r="N1357">
        <v>96.58</v>
      </c>
      <c r="O1357">
        <v>30.396475770925111</v>
      </c>
    </row>
    <row r="1358" spans="1:15" hidden="1" x14ac:dyDescent="0.25">
      <c r="A1358" s="11">
        <v>46043</v>
      </c>
      <c r="B1358" t="s">
        <v>61</v>
      </c>
      <c r="C1358" t="s">
        <v>23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 s="3">
        <f>E1358+G1358+H1358</f>
        <v>20</v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13</v>
      </c>
      <c r="K1358" s="3">
        <f>I1358-J1358</f>
        <v>7</v>
      </c>
      <c r="L1358" s="3" t="str">
        <f>IF(K1358&lt;-5,"CRÍTICO",IF(K1358&lt;0,"ATENÇÃO",IF(K1358&lt;=5,"BOM","EXCELENTE")))</f>
        <v>EXCELENTE</v>
      </c>
      <c r="M1358">
        <v>27</v>
      </c>
      <c r="N1358">
        <v>100</v>
      </c>
      <c r="O1358">
        <v>27.44282744282744</v>
      </c>
    </row>
    <row r="1359" spans="1:15" hidden="1" x14ac:dyDescent="0.25">
      <c r="A1359" s="11">
        <v>46043</v>
      </c>
      <c r="B1359" t="s">
        <v>35</v>
      </c>
      <c r="C1359" t="s">
        <v>32</v>
      </c>
      <c r="D1359">
        <v>19</v>
      </c>
      <c r="E1359">
        <v>17</v>
      </c>
      <c r="F1359">
        <v>25.25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>
        <v>19</v>
      </c>
      <c r="N1359">
        <v>99.49</v>
      </c>
      <c r="O1359">
        <v>40.200000000000003</v>
      </c>
    </row>
    <row r="1360" spans="1:15" hidden="1" x14ac:dyDescent="0.25">
      <c r="A1360" s="11">
        <v>46043</v>
      </c>
      <c r="B1360" t="s">
        <v>18</v>
      </c>
      <c r="C1360" t="s">
        <v>16</v>
      </c>
      <c r="D1360">
        <v>0</v>
      </c>
      <c r="E1360">
        <v>0</v>
      </c>
      <c r="F1360">
        <v>0</v>
      </c>
      <c r="G1360">
        <v>0</v>
      </c>
      <c r="H1360">
        <v>0</v>
      </c>
      <c r="I1360" s="3">
        <v>0</v>
      </c>
      <c r="J1360" s="3">
        <v>0</v>
      </c>
      <c r="K1360" s="3">
        <v>0</v>
      </c>
      <c r="L1360" s="3" t="str">
        <f>IF(K1360&lt;-5,"CRÍTICO",IF(K1360&lt;0,"ATENÇÃO",IF(K1360&lt;=5,"BOM","EXCELENTE")))</f>
        <v>BOM</v>
      </c>
      <c r="M1360">
        <v>0</v>
      </c>
      <c r="N1360">
        <v>100</v>
      </c>
      <c r="O1360">
        <v>25</v>
      </c>
    </row>
    <row r="1361" spans="1:15" hidden="1" x14ac:dyDescent="0.25">
      <c r="A1361" s="11">
        <v>46043</v>
      </c>
      <c r="B1361" t="s">
        <v>52</v>
      </c>
      <c r="C1361" t="s">
        <v>48</v>
      </c>
      <c r="D1361">
        <v>30</v>
      </c>
      <c r="E1361">
        <v>30</v>
      </c>
      <c r="F1361">
        <v>12.2</v>
      </c>
      <c r="G1361">
        <v>0</v>
      </c>
      <c r="H1361">
        <v>0</v>
      </c>
      <c r="I1361" s="3">
        <f>E1361+G1361+H1361</f>
        <v>30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16</v>
      </c>
      <c r="K1361" s="3">
        <f>I1361-J1361</f>
        <v>14</v>
      </c>
      <c r="L1361" s="3" t="str">
        <f>IF(K1361&lt;-5,"CRÍTICO",IF(K1361&lt;0,"ATENÇÃO",IF(K1361&lt;=5,"BOM","EXCELENTE")))</f>
        <v>EXCELENTE</v>
      </c>
      <c r="M1361">
        <v>25</v>
      </c>
      <c r="N1361">
        <v>100</v>
      </c>
      <c r="O1361">
        <v>34.15094339622641</v>
      </c>
    </row>
    <row r="1362" spans="1:15" hidden="1" x14ac:dyDescent="0.25">
      <c r="A1362" s="11">
        <v>46043</v>
      </c>
      <c r="B1362" t="s">
        <v>36</v>
      </c>
      <c r="C1362" t="s">
        <v>32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 s="3">
        <f>E1362+G1362+H1362</f>
        <v>22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20</v>
      </c>
      <c r="K1362" s="3">
        <f>I1362-J1362</f>
        <v>2</v>
      </c>
      <c r="L1362" s="3" t="str">
        <f>IF(K1362&lt;-5,"CRÍTICO",IF(K1362&lt;0,"ATENÇÃO",IF(K1362&lt;=5,"BOM","EXCELENTE")))</f>
        <v>BOM</v>
      </c>
      <c r="M1362">
        <v>21</v>
      </c>
      <c r="N1362">
        <v>100</v>
      </c>
      <c r="O1362">
        <v>32.731376975169297</v>
      </c>
    </row>
    <row r="1363" spans="1:15" hidden="1" x14ac:dyDescent="0.25">
      <c r="A1363" s="11">
        <v>46043</v>
      </c>
      <c r="B1363" t="s">
        <v>53</v>
      </c>
      <c r="C1363" t="s">
        <v>48</v>
      </c>
      <c r="D1363">
        <v>10</v>
      </c>
      <c r="E1363">
        <v>8</v>
      </c>
      <c r="F1363">
        <v>27.24</v>
      </c>
      <c r="G1363">
        <v>0</v>
      </c>
      <c r="H1363">
        <v>0</v>
      </c>
      <c r="I1363" s="3">
        <f>E1363+G1363+H1363</f>
        <v>8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16</v>
      </c>
      <c r="K1363" s="3">
        <f>I1363-J1363</f>
        <v>-8</v>
      </c>
      <c r="L1363" s="3" t="str">
        <f>IF(K1363&lt;-5,"CRÍTICO",IF(K1363&lt;0,"ATENÇÃO",IF(K1363&lt;=5,"BOM","EXCELENTE")))</f>
        <v>CRÍTICO</v>
      </c>
      <c r="M1363">
        <v>8</v>
      </c>
      <c r="N1363">
        <v>99.31</v>
      </c>
      <c r="O1363">
        <v>30.96234309623431</v>
      </c>
    </row>
    <row r="1364" spans="1:15" hidden="1" x14ac:dyDescent="0.25">
      <c r="A1364" s="11">
        <v>46077</v>
      </c>
      <c r="B1364" t="s">
        <v>22</v>
      </c>
      <c r="C1364" t="s">
        <v>23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>E1364+G1364+H1364</f>
        <v>25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13</v>
      </c>
      <c r="K1364" s="3">
        <f>I1364-J1364</f>
        <v>12</v>
      </c>
      <c r="L1364" s="3" t="str">
        <f>IF(K1364&lt;-5,"CRÍTICO",IF(K1364&lt;0,"ATENÇÃO",IF(K1364&lt;=5,"BOM","EXCELENTE")))</f>
        <v>EXCELENTE</v>
      </c>
      <c r="M1364">
        <v>24</v>
      </c>
      <c r="N1364">
        <v>96.67</v>
      </c>
      <c r="O1364">
        <v>31.451612903225811</v>
      </c>
    </row>
    <row r="1365" spans="1:15" hidden="1" x14ac:dyDescent="0.25">
      <c r="A1365" s="11">
        <v>46043</v>
      </c>
      <c r="B1365" t="s">
        <v>54</v>
      </c>
      <c r="C1365" t="s">
        <v>48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 s="3">
        <f>E1365+G1365+H1365</f>
        <v>22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16</v>
      </c>
      <c r="K1365" s="3">
        <f>I1365-J1365</f>
        <v>6</v>
      </c>
      <c r="L1365" s="3" t="str">
        <f>IF(K1365&lt;-5,"CRÍTICO",IF(K1365&lt;0,"ATENÇÃO",IF(K1365&lt;=5,"BOM","EXCELENTE")))</f>
        <v>EXCELENTE</v>
      </c>
      <c r="M1365">
        <v>21</v>
      </c>
      <c r="N1365">
        <v>100</v>
      </c>
      <c r="O1365">
        <v>27.676767676767678</v>
      </c>
    </row>
    <row r="1366" spans="1:15" hidden="1" x14ac:dyDescent="0.25">
      <c r="A1366" s="11">
        <v>46043</v>
      </c>
      <c r="B1366" t="s">
        <v>37</v>
      </c>
      <c r="C1366" t="s">
        <v>32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 s="3">
        <f>E1366+G1366+H1366</f>
        <v>29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9</v>
      </c>
      <c r="L1366" s="3" t="str">
        <f>IF(K1366&lt;-5,"CRÍTICO",IF(K1366&lt;0,"ATENÇÃO",IF(K1366&lt;=5,"BOM","EXCELENTE")))</f>
        <v>EXCELENTE</v>
      </c>
      <c r="M1366">
        <v>26</v>
      </c>
      <c r="N1366">
        <v>100</v>
      </c>
      <c r="O1366">
        <v>31.17723156532988</v>
      </c>
    </row>
    <row r="1367" spans="1:15" hidden="1" x14ac:dyDescent="0.25">
      <c r="A1367" s="11">
        <v>46043</v>
      </c>
      <c r="B1367" t="s">
        <v>38</v>
      </c>
      <c r="C1367" t="s">
        <v>32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 s="3">
        <f>E1367+G1367+H1367</f>
        <v>12</v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>20</v>
      </c>
      <c r="K1367" s="3">
        <f>I1367-J1367</f>
        <v>-8</v>
      </c>
      <c r="L1367" s="3" t="str">
        <f>IF(K1367&lt;-5,"CRÍTICO",IF(K1367&lt;0,"ATENÇÃO",IF(K1367&lt;=5,"BOM","EXCELENTE")))</f>
        <v>CRÍTICO</v>
      </c>
      <c r="M1367">
        <v>11</v>
      </c>
      <c r="N1367">
        <v>100</v>
      </c>
      <c r="O1367">
        <v>27.609427609427609</v>
      </c>
    </row>
    <row r="1368" spans="1:15" hidden="1" x14ac:dyDescent="0.25">
      <c r="A1368" s="11">
        <v>46043</v>
      </c>
      <c r="B1368" t="s">
        <v>55</v>
      </c>
      <c r="C1368" t="s">
        <v>48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>
        <v>0</v>
      </c>
      <c r="N1368">
        <v>96.4</v>
      </c>
      <c r="O1368">
        <v>28.764044943820231</v>
      </c>
    </row>
    <row r="1369" spans="1:15" hidden="1" x14ac:dyDescent="0.25">
      <c r="A1369" s="11">
        <v>46043</v>
      </c>
      <c r="B1369" t="s">
        <v>39</v>
      </c>
      <c r="C1369" t="s">
        <v>32</v>
      </c>
      <c r="D1369">
        <v>0</v>
      </c>
      <c r="E1369">
        <v>0</v>
      </c>
      <c r="F1369">
        <v>0</v>
      </c>
      <c r="G1369">
        <v>0</v>
      </c>
      <c r="H1369">
        <v>0</v>
      </c>
      <c r="I1369" s="3">
        <v>0</v>
      </c>
      <c r="J1369" s="3">
        <v>0</v>
      </c>
      <c r="K1369" s="3">
        <v>0</v>
      </c>
      <c r="L1369" s="3" t="str">
        <f>IF(K1369&lt;-5,"CRÍTICO",IF(K1369&lt;0,"ATENÇÃO",IF(K1369&lt;=5,"BOM","EXCELENTE")))</f>
        <v>BOM</v>
      </c>
      <c r="M1369">
        <v>0</v>
      </c>
      <c r="N1369">
        <v>100</v>
      </c>
      <c r="O1369">
        <v>33.980582524271853</v>
      </c>
    </row>
    <row r="1370" spans="1:15" hidden="1" x14ac:dyDescent="0.25">
      <c r="A1370" s="11">
        <v>46043</v>
      </c>
      <c r="B1370" t="s">
        <v>25</v>
      </c>
      <c r="C1370" t="s">
        <v>26</v>
      </c>
      <c r="D1370">
        <v>6</v>
      </c>
      <c r="E1370">
        <v>6</v>
      </c>
      <c r="F1370">
        <v>39.06</v>
      </c>
      <c r="G1370">
        <v>0</v>
      </c>
      <c r="H1370">
        <v>0</v>
      </c>
      <c r="I1370" s="3">
        <f>E1370+G1370+H1370</f>
        <v>6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11</v>
      </c>
      <c r="K1370" s="3">
        <f>I1370-J1370</f>
        <v>-5</v>
      </c>
      <c r="L1370" s="3" t="str">
        <f>IF(K1370&lt;-5,"CRÍTICO",IF(K1370&lt;0,"ATENÇÃO",IF(K1370&lt;=5,"BOM","EXCELENTE")))</f>
        <v>ATENÇÃO</v>
      </c>
      <c r="M1370">
        <v>9</v>
      </c>
      <c r="N1370">
        <v>97.56</v>
      </c>
      <c r="O1370">
        <v>32.515337423312893</v>
      </c>
    </row>
    <row r="1371" spans="1:15" hidden="1" x14ac:dyDescent="0.25">
      <c r="A1371" s="11">
        <v>46043</v>
      </c>
      <c r="B1371" t="s">
        <v>40</v>
      </c>
      <c r="C1371" t="s">
        <v>32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 s="3">
        <f>E1371+G1371+H1371</f>
        <v>24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20</v>
      </c>
      <c r="K1371" s="3">
        <f>I1371-J1371</f>
        <v>4</v>
      </c>
      <c r="L1371" s="3" t="str">
        <f>IF(K1371&lt;-5,"CRÍTICO",IF(K1371&lt;0,"ATENÇÃO",IF(K1371&lt;=5,"BOM","EXCELENTE")))</f>
        <v>BOM</v>
      </c>
      <c r="M1371">
        <v>21</v>
      </c>
      <c r="N1371">
        <v>97.11</v>
      </c>
      <c r="O1371">
        <v>37.408312958435211</v>
      </c>
    </row>
    <row r="1372" spans="1:15" hidden="1" x14ac:dyDescent="0.25">
      <c r="A1372" s="11">
        <v>46043</v>
      </c>
      <c r="B1372" t="s">
        <v>27</v>
      </c>
      <c r="C1372" t="s">
        <v>26</v>
      </c>
      <c r="D1372">
        <v>0</v>
      </c>
      <c r="E1372">
        <v>0</v>
      </c>
      <c r="F1372">
        <v>0</v>
      </c>
      <c r="G1372">
        <v>0</v>
      </c>
      <c r="H1372">
        <v>0</v>
      </c>
      <c r="I1372" s="3">
        <v>0</v>
      </c>
      <c r="J1372" s="3">
        <v>0</v>
      </c>
      <c r="K1372" s="3">
        <v>0</v>
      </c>
      <c r="L1372" s="3" t="str">
        <f>IF(K1372&lt;-5,"CRÍTICO",IF(K1372&lt;0,"ATENÇÃO",IF(K1372&lt;=5,"BOM","EXCELENTE")))</f>
        <v>BOM</v>
      </c>
      <c r="M1372">
        <v>0</v>
      </c>
      <c r="N1372">
        <v>0</v>
      </c>
      <c r="O1372">
        <v>0</v>
      </c>
    </row>
    <row r="1373" spans="1:15" hidden="1" x14ac:dyDescent="0.25">
      <c r="A1373" s="11">
        <v>46043</v>
      </c>
      <c r="B1373" t="s">
        <v>41</v>
      </c>
      <c r="C1373" t="s">
        <v>32</v>
      </c>
      <c r="D1373">
        <v>24</v>
      </c>
      <c r="E1373">
        <v>19</v>
      </c>
      <c r="F1373">
        <v>15.4</v>
      </c>
      <c r="G1373">
        <v>0</v>
      </c>
      <c r="H1373">
        <v>0</v>
      </c>
      <c r="I1373" s="3">
        <f>E1373+G1373+H1373</f>
        <v>19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20</v>
      </c>
      <c r="K1373" s="3">
        <f>I1373-J1373</f>
        <v>-1</v>
      </c>
      <c r="L1373" s="3" t="str">
        <f>IF(K1373&lt;-5,"CRÍTICO",IF(K1373&lt;0,"ATENÇÃO",IF(K1373&lt;=5,"BOM","EXCELENTE")))</f>
        <v>ATENÇÃO</v>
      </c>
      <c r="M1373">
        <v>21</v>
      </c>
      <c r="N1373">
        <v>100</v>
      </c>
      <c r="O1373">
        <v>30.470347648261761</v>
      </c>
    </row>
    <row r="1374" spans="1:15" hidden="1" x14ac:dyDescent="0.25">
      <c r="A1374" s="11">
        <v>46043</v>
      </c>
      <c r="B1374" t="s">
        <v>56</v>
      </c>
      <c r="C1374" t="s">
        <v>48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 s="3">
        <f>E1374+G1374+H1374</f>
        <v>27</v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>16</v>
      </c>
      <c r="K1374" s="3">
        <f>I1374-J1374</f>
        <v>11</v>
      </c>
      <c r="L1374" s="3" t="str">
        <f>IF(K1374&lt;-5,"CRÍTICO",IF(K1374&lt;0,"ATENÇÃO",IF(K1374&lt;=5,"BOM","EXCELENTE")))</f>
        <v>EXCELENTE</v>
      </c>
      <c r="M1374">
        <v>24</v>
      </c>
      <c r="N1374">
        <v>100</v>
      </c>
      <c r="O1374">
        <v>32.371134020618562</v>
      </c>
    </row>
    <row r="1375" spans="1:15" hidden="1" x14ac:dyDescent="0.25">
      <c r="A1375" s="11">
        <v>46043</v>
      </c>
      <c r="B1375" t="s">
        <v>57</v>
      </c>
      <c r="C1375" t="s">
        <v>48</v>
      </c>
      <c r="D1375">
        <v>26</v>
      </c>
      <c r="E1375">
        <v>23</v>
      </c>
      <c r="F1375">
        <v>13.38</v>
      </c>
      <c r="G1375">
        <v>0</v>
      </c>
      <c r="H1375">
        <v>0</v>
      </c>
      <c r="I1375" s="3">
        <v>0</v>
      </c>
      <c r="J1375" s="3">
        <v>0</v>
      </c>
      <c r="K1375" s="3">
        <v>0</v>
      </c>
      <c r="L1375" s="3" t="str">
        <f>IF(K1375&lt;-5,"CRÍTICO",IF(K1375&lt;0,"ATENÇÃO",IF(K1375&lt;=5,"BOM","EXCELENTE")))</f>
        <v>BOM</v>
      </c>
      <c r="M1375">
        <v>19</v>
      </c>
      <c r="N1375">
        <v>98.32</v>
      </c>
      <c r="O1375">
        <v>32.318501170960189</v>
      </c>
    </row>
    <row r="1376" spans="1:15" hidden="1" x14ac:dyDescent="0.25">
      <c r="A1376" s="11">
        <v>46043</v>
      </c>
      <c r="B1376" t="s">
        <v>42</v>
      </c>
      <c r="C1376" t="s">
        <v>32</v>
      </c>
      <c r="D1376">
        <v>35</v>
      </c>
      <c r="E1376">
        <v>19</v>
      </c>
      <c r="F1376">
        <v>8.25</v>
      </c>
      <c r="G1376">
        <v>0</v>
      </c>
      <c r="H1376">
        <v>0</v>
      </c>
      <c r="I1376" s="3">
        <f>E1376+G1376+H1376</f>
        <v>19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20</v>
      </c>
      <c r="K1376" s="3">
        <f>I1376-J1376</f>
        <v>-1</v>
      </c>
      <c r="L1376" s="3" t="str">
        <f>IF(K1376&lt;-5,"CRÍTICO",IF(K1376&lt;0,"ATENÇÃO",IF(K1376&lt;=5,"BOM","EXCELENTE")))</f>
        <v>ATENÇÃO</v>
      </c>
      <c r="M1376">
        <v>13</v>
      </c>
      <c r="N1376">
        <v>96.43</v>
      </c>
      <c r="O1376">
        <v>27.015250544662312</v>
      </c>
    </row>
    <row r="1377" spans="1:15" hidden="1" x14ac:dyDescent="0.25">
      <c r="A1377" s="11">
        <v>46043</v>
      </c>
      <c r="B1377" t="s">
        <v>62</v>
      </c>
      <c r="C1377" t="s">
        <v>23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 s="3">
        <f>E1377+G1377+H1377</f>
        <v>17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13</v>
      </c>
      <c r="K1377" s="3">
        <f>I1377-J1377</f>
        <v>4</v>
      </c>
      <c r="L1377" s="3" t="str">
        <f>IF(K1377&lt;-5,"CRÍTICO",IF(K1377&lt;0,"ATENÇÃO",IF(K1377&lt;=5,"BOM","EXCELENTE")))</f>
        <v>BOM</v>
      </c>
      <c r="M1377">
        <v>20</v>
      </c>
      <c r="N1377">
        <v>98.89</v>
      </c>
      <c r="O1377">
        <v>28.021978021978018</v>
      </c>
    </row>
    <row r="1378" spans="1:15" hidden="1" x14ac:dyDescent="0.25">
      <c r="A1378" s="11">
        <v>46043</v>
      </c>
      <c r="B1378" t="s">
        <v>19</v>
      </c>
      <c r="C1378" t="s">
        <v>16</v>
      </c>
      <c r="D1378">
        <v>8</v>
      </c>
      <c r="E1378">
        <v>8</v>
      </c>
      <c r="F1378">
        <v>30.44</v>
      </c>
      <c r="G1378">
        <v>0</v>
      </c>
      <c r="H1378">
        <v>0</v>
      </c>
      <c r="I1378" s="3">
        <f>E1378+G1378+H1378</f>
        <v>8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6</v>
      </c>
      <c r="K1378" s="3">
        <f>I1378-J1378</f>
        <v>2</v>
      </c>
      <c r="L1378" s="3" t="str">
        <f>IF(K1378&lt;-5,"CRÍTICO",IF(K1378&lt;0,"ATENÇÃO",IF(K1378&lt;=5,"BOM","EXCELENTE")))</f>
        <v>BOM</v>
      </c>
      <c r="M1378">
        <v>4</v>
      </c>
      <c r="N1378">
        <v>100</v>
      </c>
      <c r="O1378">
        <v>33.333333333333329</v>
      </c>
    </row>
    <row r="1379" spans="1:15" hidden="1" x14ac:dyDescent="0.25">
      <c r="A1379" s="11">
        <v>46043</v>
      </c>
      <c r="B1379" t="s">
        <v>43</v>
      </c>
      <c r="C1379" t="s">
        <v>32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>
        <v>25</v>
      </c>
      <c r="N1379">
        <v>100</v>
      </c>
      <c r="O1379">
        <v>27.43362831858407</v>
      </c>
    </row>
    <row r="1380" spans="1:15" hidden="1" x14ac:dyDescent="0.25">
      <c r="A1380" s="11">
        <v>46043</v>
      </c>
      <c r="B1380" t="s">
        <v>44</v>
      </c>
      <c r="C1380" t="s">
        <v>32</v>
      </c>
      <c r="D1380">
        <v>32</v>
      </c>
      <c r="E1380">
        <v>27</v>
      </c>
      <c r="F1380">
        <v>9.14</v>
      </c>
      <c r="G1380">
        <v>0</v>
      </c>
      <c r="H1380">
        <v>0</v>
      </c>
      <c r="I1380" s="3">
        <f>E1380+G1380+H1380</f>
        <v>27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20</v>
      </c>
      <c r="K1380" s="3">
        <f>I1380-J1380</f>
        <v>7</v>
      </c>
      <c r="L1380" s="3" t="str">
        <f>IF(K1380&lt;-5,"CRÍTICO",IF(K1380&lt;0,"ATENÇÃO",IF(K1380&lt;=5,"BOM","EXCELENTE")))</f>
        <v>EXCELENTE</v>
      </c>
      <c r="M1380">
        <v>25</v>
      </c>
      <c r="N1380">
        <v>98.65</v>
      </c>
      <c r="O1380">
        <v>30.978260869565219</v>
      </c>
    </row>
    <row r="1381" spans="1:15" hidden="1" x14ac:dyDescent="0.25">
      <c r="A1381" s="11">
        <v>46043</v>
      </c>
      <c r="B1381" t="s">
        <v>20</v>
      </c>
      <c r="C1381" t="s">
        <v>16</v>
      </c>
      <c r="D1381">
        <v>6</v>
      </c>
      <c r="E1381">
        <v>5</v>
      </c>
      <c r="F1381">
        <v>27.01</v>
      </c>
      <c r="G1381">
        <v>0</v>
      </c>
      <c r="H1381">
        <v>0</v>
      </c>
      <c r="I1381" s="3">
        <f>E1381+G1381+H1381</f>
        <v>5</v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>6</v>
      </c>
      <c r="K1381" s="3">
        <f>I1381-J1381</f>
        <v>-1</v>
      </c>
      <c r="L1381" s="3" t="str">
        <f>IF(K1381&lt;-5,"CRÍTICO",IF(K1381&lt;0,"ATENÇÃO",IF(K1381&lt;=5,"BOM","EXCELENTE")))</f>
        <v>ATENÇÃO</v>
      </c>
      <c r="M1381">
        <v>2</v>
      </c>
      <c r="N1381">
        <v>100</v>
      </c>
      <c r="O1381">
        <v>12</v>
      </c>
    </row>
    <row r="1382" spans="1:15" hidden="1" x14ac:dyDescent="0.25">
      <c r="A1382" s="11">
        <v>46043</v>
      </c>
      <c r="B1382" t="s">
        <v>28</v>
      </c>
      <c r="C1382" t="s">
        <v>26</v>
      </c>
      <c r="D1382">
        <v>0</v>
      </c>
      <c r="E1382">
        <v>0</v>
      </c>
      <c r="F1382">
        <v>0</v>
      </c>
      <c r="G1382">
        <v>0</v>
      </c>
      <c r="H1382">
        <v>0</v>
      </c>
      <c r="I1382" s="3">
        <v>0</v>
      </c>
      <c r="J1382" s="3">
        <v>0</v>
      </c>
      <c r="K1382" s="3">
        <v>0</v>
      </c>
      <c r="L1382" s="3" t="str">
        <f>IF(K1382&lt;-5,"CRÍTICO",IF(K1382&lt;0,"ATENÇÃO",IF(K1382&lt;=5,"BOM","EXCELENTE")))</f>
        <v>BOM</v>
      </c>
      <c r="M1382">
        <v>0</v>
      </c>
      <c r="N1382">
        <v>0</v>
      </c>
      <c r="O1382">
        <v>0</v>
      </c>
    </row>
    <row r="1383" spans="1:15" hidden="1" x14ac:dyDescent="0.25">
      <c r="A1383" s="11">
        <v>46043</v>
      </c>
      <c r="B1383" t="s">
        <v>58</v>
      </c>
      <c r="C1383" t="s">
        <v>48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 s="3">
        <f>E1383+G1383+H1383</f>
        <v>18</v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>16</v>
      </c>
      <c r="K1383" s="3">
        <f>I1383-J1383</f>
        <v>2</v>
      </c>
      <c r="L1383" s="3" t="str">
        <f>IF(K1383&lt;-5,"CRÍTICO",IF(K1383&lt;0,"ATENÇÃO",IF(K1383&lt;=5,"BOM","EXCELENTE")))</f>
        <v>BOM</v>
      </c>
      <c r="M1383">
        <v>16</v>
      </c>
      <c r="N1383">
        <v>97.56</v>
      </c>
      <c r="O1383">
        <v>31.067961165048541</v>
      </c>
    </row>
    <row r="1384" spans="1:15" hidden="1" x14ac:dyDescent="0.25">
      <c r="A1384" s="11">
        <v>46043</v>
      </c>
      <c r="B1384" t="s">
        <v>29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30</v>
      </c>
      <c r="C1385" t="s">
        <v>26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21</v>
      </c>
      <c r="C1386" t="s">
        <v>16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>
        <v>0</v>
      </c>
      <c r="N1386">
        <v>0</v>
      </c>
      <c r="O1386">
        <v>0</v>
      </c>
    </row>
    <row r="1387" spans="1:15" hidden="1" x14ac:dyDescent="0.25">
      <c r="A1387" s="11">
        <v>46043</v>
      </c>
      <c r="B1387" t="s">
        <v>63</v>
      </c>
      <c r="C1387" t="s">
        <v>23</v>
      </c>
      <c r="D1387">
        <v>0</v>
      </c>
      <c r="E1387">
        <v>0</v>
      </c>
      <c r="F1387">
        <v>0</v>
      </c>
      <c r="G1387">
        <v>0</v>
      </c>
      <c r="H1387">
        <v>0</v>
      </c>
      <c r="I1387" s="3">
        <v>0</v>
      </c>
      <c r="J1387" s="3">
        <v>0</v>
      </c>
      <c r="K1387" s="3">
        <v>0</v>
      </c>
      <c r="L1387" s="3" t="str">
        <f>IF(K1387&lt;-5,"CRÍTICO",IF(K1387&lt;0,"ATENÇÃO",IF(K1387&lt;=5,"BOM","EXCELENTE")))</f>
        <v>BOM</v>
      </c>
      <c r="M1387">
        <v>0</v>
      </c>
      <c r="N1387">
        <v>100</v>
      </c>
      <c r="O1387">
        <v>53.846153846153847</v>
      </c>
    </row>
    <row r="1388" spans="1:15" hidden="1" x14ac:dyDescent="0.25">
      <c r="A1388" s="11">
        <v>46043</v>
      </c>
      <c r="B1388" t="s">
        <v>45</v>
      </c>
      <c r="C1388" t="s">
        <v>32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 s="3">
        <f>E1388+G1388+H1388</f>
        <v>20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20</v>
      </c>
      <c r="K1388" s="3">
        <f>I1388-J1388</f>
        <v>0</v>
      </c>
      <c r="L1388" s="3" t="str">
        <f>IF(K1388&lt;-5,"CRÍTICO",IF(K1388&lt;0,"ATENÇÃO",IF(K1388&lt;=5,"BOM","EXCELENTE")))</f>
        <v>BOM</v>
      </c>
      <c r="M1388">
        <v>19</v>
      </c>
      <c r="N1388">
        <v>100</v>
      </c>
      <c r="O1388">
        <v>44.05594405594406</v>
      </c>
    </row>
    <row r="1389" spans="1:15" hidden="1" x14ac:dyDescent="0.25">
      <c r="A1389" s="11">
        <v>46043</v>
      </c>
      <c r="B1389" t="s">
        <v>64</v>
      </c>
      <c r="C1389" t="s">
        <v>23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 s="3">
        <f>E1389+G1389+H1389</f>
        <v>14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13</v>
      </c>
      <c r="K1389" s="3">
        <f>I1389-J1389</f>
        <v>1</v>
      </c>
      <c r="L1389" s="3" t="str">
        <f>IF(K1389&lt;-5,"CRÍTICO",IF(K1389&lt;0,"ATENÇÃO",IF(K1389&lt;=5,"BOM","EXCELENTE")))</f>
        <v>BOM</v>
      </c>
      <c r="M1389">
        <v>15</v>
      </c>
      <c r="N1389">
        <v>100</v>
      </c>
      <c r="O1389">
        <v>31.872509960159359</v>
      </c>
    </row>
    <row r="1390" spans="1:15" hidden="1" x14ac:dyDescent="0.25">
      <c r="A1390" s="11">
        <v>46043</v>
      </c>
      <c r="B1390" t="s">
        <v>46</v>
      </c>
      <c r="C1390" t="s">
        <v>32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20</v>
      </c>
      <c r="K1390" s="3">
        <f>I1390-J1390</f>
        <v>-2</v>
      </c>
      <c r="L1390" s="3" t="str">
        <f>IF(K1390&lt;-5,"CRÍTICO",IF(K1390&lt;0,"ATENÇÃO",IF(K1390&lt;=5,"BOM","EXCELENTE")))</f>
        <v>ATENÇÃO</v>
      </c>
      <c r="M1390">
        <v>17</v>
      </c>
      <c r="N1390">
        <v>98.41</v>
      </c>
      <c r="O1390">
        <v>29.22465208747515</v>
      </c>
    </row>
    <row r="1391" spans="1:15" hidden="1" x14ac:dyDescent="0.25">
      <c r="A1391" s="11">
        <v>46044</v>
      </c>
      <c r="B1391" t="s">
        <v>47</v>
      </c>
      <c r="C1391" t="s">
        <v>48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 s="3">
        <f>E1391+G1391+H1391</f>
        <v>23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17</v>
      </c>
      <c r="K1391" s="3">
        <f>I1391-J1391</f>
        <v>6</v>
      </c>
      <c r="L1391" s="3" t="str">
        <f>IF(K1391&lt;-5,"CRÍTICO",IF(K1391&lt;0,"ATENÇÃO",IF(K1391&lt;=5,"BOM","EXCELENTE")))</f>
        <v>EXCELENTE</v>
      </c>
      <c r="M1391">
        <v>15</v>
      </c>
      <c r="N1391">
        <v>96.81</v>
      </c>
      <c r="O1391">
        <v>27.980535279805348</v>
      </c>
    </row>
    <row r="1392" spans="1:15" hidden="1" x14ac:dyDescent="0.25">
      <c r="A1392" s="11">
        <v>46044</v>
      </c>
      <c r="B1392" t="s">
        <v>31</v>
      </c>
      <c r="C1392" t="s">
        <v>32</v>
      </c>
      <c r="D1392">
        <v>0</v>
      </c>
      <c r="E1392">
        <v>0</v>
      </c>
      <c r="F1392">
        <v>0</v>
      </c>
      <c r="G1392">
        <v>0</v>
      </c>
      <c r="H1392">
        <v>0</v>
      </c>
      <c r="I1392" s="3">
        <v>0</v>
      </c>
      <c r="J1392" s="3">
        <v>0</v>
      </c>
      <c r="K1392" s="3">
        <v>0</v>
      </c>
      <c r="L1392" s="3" t="str">
        <f>IF(K1392&lt;-5,"CRÍTICO",IF(K1392&lt;0,"ATENÇÃO",IF(K1392&lt;=5,"BOM","EXCELENTE")))</f>
        <v>BOM</v>
      </c>
      <c r="M1392">
        <v>27</v>
      </c>
      <c r="N1392">
        <v>98.73</v>
      </c>
      <c r="O1392">
        <v>35.756385068762278</v>
      </c>
    </row>
    <row r="1393" spans="1:15" hidden="1" x14ac:dyDescent="0.25">
      <c r="A1393" s="11">
        <v>46044</v>
      </c>
      <c r="B1393" t="s">
        <v>59</v>
      </c>
      <c r="C1393" t="s">
        <v>23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 s="3">
        <f>E1393+G1393+H1393</f>
        <v>18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14</v>
      </c>
      <c r="K1393" s="3">
        <f>I1393-J1393</f>
        <v>4</v>
      </c>
      <c r="L1393" s="3" t="str">
        <f>IF(K1393&lt;-5,"CRÍTICO",IF(K1393&lt;0,"ATENÇÃO",IF(K1393&lt;=5,"BOM","EXCELENTE")))</f>
        <v>BOM</v>
      </c>
      <c r="M1393">
        <v>20</v>
      </c>
      <c r="N1393">
        <v>98.32</v>
      </c>
      <c r="O1393">
        <v>26.763485477178421</v>
      </c>
    </row>
    <row r="1394" spans="1:15" hidden="1" x14ac:dyDescent="0.25">
      <c r="A1394" s="11">
        <v>46044</v>
      </c>
      <c r="B1394" t="s">
        <v>33</v>
      </c>
      <c r="C1394" t="s">
        <v>32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 s="3">
        <f>E1394+G1394+H1394</f>
        <v>29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22</v>
      </c>
      <c r="K1394" s="3">
        <f>I1394-J1394</f>
        <v>7</v>
      </c>
      <c r="L1394" s="3" t="str">
        <f>IF(K1394&lt;-5,"CRÍTICO",IF(K1394&lt;0,"ATENÇÃO",IF(K1394&lt;=5,"BOM","EXCELENTE")))</f>
        <v>EXCELENTE</v>
      </c>
      <c r="M1394">
        <v>29</v>
      </c>
      <c r="N1394">
        <v>99.19</v>
      </c>
      <c r="O1394">
        <v>27.637130801687761</v>
      </c>
    </row>
    <row r="1395" spans="1:15" hidden="1" x14ac:dyDescent="0.25">
      <c r="A1395" s="11">
        <v>46044</v>
      </c>
      <c r="B1395" t="s">
        <v>15</v>
      </c>
      <c r="C1395" t="s">
        <v>16</v>
      </c>
      <c r="D1395">
        <v>9</v>
      </c>
      <c r="E1395">
        <v>9</v>
      </c>
      <c r="F1395">
        <v>26.48</v>
      </c>
      <c r="G1395">
        <v>0</v>
      </c>
      <c r="H1395">
        <v>0</v>
      </c>
      <c r="I1395" s="3">
        <f>E1395+G1395+H1395</f>
        <v>9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6</v>
      </c>
      <c r="K1395" s="3">
        <f>I1395-J1395</f>
        <v>3</v>
      </c>
      <c r="L1395" s="3" t="str">
        <f>IF(K1395&lt;-5,"CRÍTICO",IF(K1395&lt;0,"ATENÇÃO",IF(K1395&lt;=5,"BOM","EXCELENTE")))</f>
        <v>BOM</v>
      </c>
      <c r="M1395">
        <v>9</v>
      </c>
      <c r="N1395">
        <v>100</v>
      </c>
      <c r="O1395">
        <v>39.568345323741013</v>
      </c>
    </row>
    <row r="1396" spans="1:15" hidden="1" x14ac:dyDescent="0.25">
      <c r="A1396" s="11">
        <v>46044</v>
      </c>
      <c r="B1396" t="s">
        <v>49</v>
      </c>
      <c r="C1396" t="s">
        <v>48</v>
      </c>
      <c r="D1396">
        <v>32</v>
      </c>
      <c r="E1396">
        <v>26</v>
      </c>
      <c r="F1396">
        <v>11.5</v>
      </c>
      <c r="G1396">
        <v>0</v>
      </c>
      <c r="H1396">
        <v>0</v>
      </c>
      <c r="I1396" s="3">
        <f>E1396+G1396+H1396</f>
        <v>26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9</v>
      </c>
      <c r="L1396" s="3" t="str">
        <f>IF(K1396&lt;-5,"CRÍTICO",IF(K1396&lt;0,"ATENÇÃO",IF(K1396&lt;=5,"BOM","EXCELENTE")))</f>
        <v>EXCELENTE</v>
      </c>
      <c r="M1396">
        <v>25</v>
      </c>
      <c r="N1396">
        <v>98.54</v>
      </c>
      <c r="O1396">
        <v>28.544776119402989</v>
      </c>
    </row>
    <row r="1397" spans="1:15" hidden="1" x14ac:dyDescent="0.25">
      <c r="A1397" s="11">
        <v>46044</v>
      </c>
      <c r="B1397" t="s">
        <v>50</v>
      </c>
      <c r="C1397" t="s">
        <v>48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 s="3">
        <f>E1397+G1397+H1397</f>
        <v>15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17</v>
      </c>
      <c r="K1397" s="3">
        <f>I1397-J1397</f>
        <v>-2</v>
      </c>
      <c r="L1397" s="3" t="str">
        <f>IF(K1397&lt;-5,"CRÍTICO",IF(K1397&lt;0,"ATENÇÃO",IF(K1397&lt;=5,"BOM","EXCELENTE")))</f>
        <v>ATENÇÃO</v>
      </c>
      <c r="M1397">
        <v>14</v>
      </c>
      <c r="N1397">
        <v>100</v>
      </c>
      <c r="O1397">
        <v>34.366925064599492</v>
      </c>
    </row>
    <row r="1398" spans="1:15" hidden="1" x14ac:dyDescent="0.25">
      <c r="A1398" s="11">
        <v>46044</v>
      </c>
      <c r="B1398" t="s">
        <v>17</v>
      </c>
      <c r="C1398" t="s">
        <v>16</v>
      </c>
      <c r="D1398">
        <v>0</v>
      </c>
      <c r="E1398">
        <v>0</v>
      </c>
      <c r="F1398">
        <v>0</v>
      </c>
      <c r="G1398">
        <v>0</v>
      </c>
      <c r="H1398">
        <v>0</v>
      </c>
      <c r="I1398" s="3">
        <v>0</v>
      </c>
      <c r="J1398" s="3">
        <v>0</v>
      </c>
      <c r="K1398" s="3">
        <v>0</v>
      </c>
      <c r="L1398" s="3" t="str">
        <f>IF(K1398&lt;-5,"CRÍTICO",IF(K1398&lt;0,"ATENÇÃO",IF(K1398&lt;=5,"BOM","EXCELENTE")))</f>
        <v>BOM</v>
      </c>
      <c r="M1398">
        <v>0</v>
      </c>
      <c r="N1398">
        <v>0</v>
      </c>
      <c r="O1398">
        <v>0</v>
      </c>
    </row>
    <row r="1399" spans="1:15" hidden="1" x14ac:dyDescent="0.25">
      <c r="A1399" s="11">
        <v>46044</v>
      </c>
      <c r="B1399" t="s">
        <v>60</v>
      </c>
      <c r="C1399" t="s">
        <v>23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 s="3">
        <f>E1399+G1399+H1399</f>
        <v>22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14</v>
      </c>
      <c r="K1399" s="3">
        <f>I1399-J1399</f>
        <v>8</v>
      </c>
      <c r="L1399" s="3" t="str">
        <f>IF(K1399&lt;-5,"CRÍTICO",IF(K1399&lt;0,"ATENÇÃO",IF(K1399&lt;=5,"BOM","EXCELENTE")))</f>
        <v>EXCELENTE</v>
      </c>
      <c r="M1399">
        <v>21</v>
      </c>
      <c r="N1399">
        <v>100</v>
      </c>
      <c r="O1399">
        <v>29.518072289156631</v>
      </c>
    </row>
    <row r="1400" spans="1:15" hidden="1" x14ac:dyDescent="0.25">
      <c r="A1400" s="11">
        <v>46044</v>
      </c>
      <c r="B1400" t="s">
        <v>34</v>
      </c>
      <c r="C1400" t="s">
        <v>32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 s="3">
        <f>E1400+G1400+H1400</f>
        <v>29</v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>22</v>
      </c>
      <c r="K1400" s="3">
        <f>I1400-J1400</f>
        <v>7</v>
      </c>
      <c r="L1400" s="3" t="str">
        <f>IF(K1400&lt;-5,"CRÍTICO",IF(K1400&lt;0,"ATENÇÃO",IF(K1400&lt;=5,"BOM","EXCELENTE")))</f>
        <v>EXCELENTE</v>
      </c>
      <c r="M1400">
        <v>24</v>
      </c>
      <c r="N1400">
        <v>97.45</v>
      </c>
      <c r="O1400">
        <v>41.421143847487002</v>
      </c>
    </row>
    <row r="1401" spans="1:15" hidden="1" x14ac:dyDescent="0.25">
      <c r="A1401" s="11">
        <v>46044</v>
      </c>
      <c r="B1401" t="s">
        <v>51</v>
      </c>
      <c r="C1401" t="s">
        <v>48</v>
      </c>
      <c r="D1401">
        <v>29</v>
      </c>
      <c r="E1401">
        <v>24</v>
      </c>
      <c r="F1401">
        <v>12.11</v>
      </c>
      <c r="G1401">
        <v>0</v>
      </c>
      <c r="H1401">
        <v>0</v>
      </c>
      <c r="I1401" s="3">
        <v>0</v>
      </c>
      <c r="J1401" s="3">
        <v>0</v>
      </c>
      <c r="K1401" s="3">
        <v>0</v>
      </c>
      <c r="L1401" s="3" t="str">
        <f>IF(K1401&lt;-5,"CRÍTICO",IF(K1401&lt;0,"ATENÇÃO",IF(K1401&lt;=5,"BOM","EXCELENTE")))</f>
        <v>BOM</v>
      </c>
      <c r="M1401">
        <v>22</v>
      </c>
      <c r="N1401">
        <v>96.58</v>
      </c>
      <c r="O1401">
        <v>30.396475770925111</v>
      </c>
    </row>
    <row r="1402" spans="1:15" hidden="1" x14ac:dyDescent="0.25">
      <c r="A1402" s="11">
        <v>46044</v>
      </c>
      <c r="B1402" t="s">
        <v>61</v>
      </c>
      <c r="C1402" t="s">
        <v>23</v>
      </c>
      <c r="D1402">
        <v>5</v>
      </c>
      <c r="E1402">
        <v>5</v>
      </c>
      <c r="F1402">
        <v>32.39</v>
      </c>
      <c r="G1402">
        <v>0</v>
      </c>
      <c r="H1402">
        <v>0</v>
      </c>
      <c r="I1402" s="3">
        <f>E1402+G1402+H1402</f>
        <v>5</v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14</v>
      </c>
      <c r="K1402" s="3">
        <f>I1402-J1402</f>
        <v>-9</v>
      </c>
      <c r="L1402" s="3" t="str">
        <f>IF(K1402&lt;-5,"CRÍTICO",IF(K1402&lt;0,"ATENÇÃO",IF(K1402&lt;=5,"BOM","EXCELENTE")))</f>
        <v>CRÍTICO</v>
      </c>
      <c r="M1402">
        <v>7</v>
      </c>
      <c r="N1402">
        <v>100</v>
      </c>
      <c r="O1402">
        <v>27.44282744282744</v>
      </c>
    </row>
    <row r="1403" spans="1:15" hidden="1" x14ac:dyDescent="0.25">
      <c r="A1403" s="11">
        <v>46044</v>
      </c>
      <c r="B1403" t="s">
        <v>35</v>
      </c>
      <c r="C1403" t="s">
        <v>32</v>
      </c>
      <c r="D1403">
        <v>23</v>
      </c>
      <c r="E1403">
        <v>23</v>
      </c>
      <c r="F1403">
        <v>22.17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>
        <v>23</v>
      </c>
      <c r="N1403">
        <v>99.49</v>
      </c>
      <c r="O1403">
        <v>40.200000000000003</v>
      </c>
    </row>
    <row r="1404" spans="1:15" hidden="1" x14ac:dyDescent="0.25">
      <c r="A1404" s="11">
        <v>46044</v>
      </c>
      <c r="B1404" t="s">
        <v>18</v>
      </c>
      <c r="C1404" t="s">
        <v>16</v>
      </c>
      <c r="D1404">
        <v>0</v>
      </c>
      <c r="E1404">
        <v>0</v>
      </c>
      <c r="F1404">
        <v>0</v>
      </c>
      <c r="G1404">
        <v>0</v>
      </c>
      <c r="H1404">
        <v>0</v>
      </c>
      <c r="I1404" s="3">
        <v>0</v>
      </c>
      <c r="J1404" s="3">
        <v>0</v>
      </c>
      <c r="K1404" s="3">
        <v>0</v>
      </c>
      <c r="L1404" s="3" t="str">
        <f>IF(K1404&lt;-5,"CRÍTICO",IF(K1404&lt;0,"ATENÇÃO",IF(K1404&lt;=5,"BOM","EXCELENTE")))</f>
        <v>BOM</v>
      </c>
      <c r="M1404">
        <v>0</v>
      </c>
      <c r="N1404">
        <v>100</v>
      </c>
      <c r="O1404">
        <v>25</v>
      </c>
    </row>
    <row r="1405" spans="1:15" hidden="1" x14ac:dyDescent="0.25">
      <c r="A1405" s="11">
        <v>46044</v>
      </c>
      <c r="B1405" t="s">
        <v>52</v>
      </c>
      <c r="C1405" t="s">
        <v>48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 s="3">
        <f>E1405+G1405+H1405</f>
        <v>26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17</v>
      </c>
      <c r="K1405" s="3">
        <f>I1405-J1405</f>
        <v>9</v>
      </c>
      <c r="L1405" s="3" t="str">
        <f>IF(K1405&lt;-5,"CRÍTICO",IF(K1405&lt;0,"ATENÇÃO",IF(K1405&lt;=5,"BOM","EXCELENTE")))</f>
        <v>EXCELENTE</v>
      </c>
      <c r="M1405">
        <v>24</v>
      </c>
      <c r="N1405">
        <v>100</v>
      </c>
      <c r="O1405">
        <v>34.15094339622641</v>
      </c>
    </row>
    <row r="1406" spans="1:15" hidden="1" x14ac:dyDescent="0.25">
      <c r="A1406" s="11">
        <v>46044</v>
      </c>
      <c r="B1406" t="s">
        <v>36</v>
      </c>
      <c r="C1406" t="s">
        <v>32</v>
      </c>
      <c r="D1406">
        <v>19</v>
      </c>
      <c r="E1406">
        <v>17</v>
      </c>
      <c r="F1406">
        <v>13.4</v>
      </c>
      <c r="G1406">
        <v>0</v>
      </c>
      <c r="H1406">
        <v>0</v>
      </c>
      <c r="I1406" s="3">
        <f>E1406+G1406+H1406</f>
        <v>17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22</v>
      </c>
      <c r="K1406" s="3">
        <f>I1406-J1406</f>
        <v>-5</v>
      </c>
      <c r="L1406" s="3" t="str">
        <f>IF(K1406&lt;-5,"CRÍTICO",IF(K1406&lt;0,"ATENÇÃO",IF(K1406&lt;=5,"BOM","EXCELENTE")))</f>
        <v>ATENÇÃO</v>
      </c>
      <c r="M1406">
        <v>17</v>
      </c>
      <c r="N1406">
        <v>100</v>
      </c>
      <c r="O1406">
        <v>32.731376975169297</v>
      </c>
    </row>
    <row r="1407" spans="1:15" hidden="1" x14ac:dyDescent="0.25">
      <c r="A1407" s="11">
        <v>46044</v>
      </c>
      <c r="B1407" t="s">
        <v>53</v>
      </c>
      <c r="C1407" t="s">
        <v>48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 s="3">
        <f>E1407+G1407+H1407</f>
        <v>20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17</v>
      </c>
      <c r="K1407" s="3">
        <f>I1407-J1407</f>
        <v>3</v>
      </c>
      <c r="L1407" s="3" t="str">
        <f>IF(K1407&lt;-5,"CRÍTICO",IF(K1407&lt;0,"ATENÇÃO",IF(K1407&lt;=5,"BOM","EXCELENTE")))</f>
        <v>BOM</v>
      </c>
      <c r="M1407">
        <v>19</v>
      </c>
      <c r="N1407">
        <v>99.31</v>
      </c>
      <c r="O1407">
        <v>30.96234309623431</v>
      </c>
    </row>
    <row r="1408" spans="1:15" hidden="1" x14ac:dyDescent="0.25">
      <c r="A1408" s="11">
        <v>46078</v>
      </c>
      <c r="B1408" t="s">
        <v>22</v>
      </c>
      <c r="C1408" t="s">
        <v>23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>E1408+G1408+H1408</f>
        <v>15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13</v>
      </c>
      <c r="K1408" s="3">
        <f>I1408-J1408</f>
        <v>2</v>
      </c>
      <c r="L1408" s="3" t="str">
        <f>IF(K1408&lt;-5,"CRÍTICO",IF(K1408&lt;0,"ATENÇÃO",IF(K1408&lt;=5,"BOM","EXCELENTE")))</f>
        <v>BOM</v>
      </c>
      <c r="M1408">
        <v>14</v>
      </c>
      <c r="N1408">
        <v>96.67</v>
      </c>
      <c r="O1408">
        <v>31.451612903225811</v>
      </c>
    </row>
    <row r="1409" spans="1:15" hidden="1" x14ac:dyDescent="0.25">
      <c r="A1409" s="11">
        <v>46044</v>
      </c>
      <c r="B1409" t="s">
        <v>54</v>
      </c>
      <c r="C1409" t="s">
        <v>48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 s="3">
        <f>E1409+G1409+H1409</f>
        <v>20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17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>
        <v>17</v>
      </c>
      <c r="N1409">
        <v>100</v>
      </c>
      <c r="O1409">
        <v>27.676767676767678</v>
      </c>
    </row>
    <row r="1410" spans="1:15" hidden="1" x14ac:dyDescent="0.25">
      <c r="A1410" s="11">
        <v>46044</v>
      </c>
      <c r="B1410" t="s">
        <v>37</v>
      </c>
      <c r="C1410" t="s">
        <v>32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 s="3">
        <f>E1410+G1410+H1410</f>
        <v>25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3</v>
      </c>
      <c r="L1410" s="3" t="str">
        <f>IF(K1410&lt;-5,"CRÍTICO",IF(K1410&lt;0,"ATENÇÃO",IF(K1410&lt;=5,"BOM","EXCELENTE")))</f>
        <v>BOM</v>
      </c>
      <c r="M1410">
        <v>23</v>
      </c>
      <c r="N1410">
        <v>100</v>
      </c>
      <c r="O1410">
        <v>31.17723156532988</v>
      </c>
    </row>
    <row r="1411" spans="1:15" hidden="1" x14ac:dyDescent="0.25">
      <c r="A1411" s="11">
        <v>46044</v>
      </c>
      <c r="B1411" t="s">
        <v>38</v>
      </c>
      <c r="C1411" t="s">
        <v>32</v>
      </c>
      <c r="D1411">
        <v>10</v>
      </c>
      <c r="E1411">
        <v>8</v>
      </c>
      <c r="F1411">
        <v>13.39</v>
      </c>
      <c r="G1411">
        <v>0</v>
      </c>
      <c r="H1411">
        <v>0</v>
      </c>
      <c r="I1411" s="3">
        <f>E1411+G1411+H1411</f>
        <v>8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22</v>
      </c>
      <c r="K1411" s="3">
        <f>I1411-J1411</f>
        <v>-14</v>
      </c>
      <c r="L1411" s="3" t="str">
        <f>IF(K1411&lt;-5,"CRÍTICO",IF(K1411&lt;0,"ATENÇÃO",IF(K1411&lt;=5,"BOM","EXCELENTE")))</f>
        <v>CRÍTICO</v>
      </c>
      <c r="M1411">
        <v>5</v>
      </c>
      <c r="N1411">
        <v>100</v>
      </c>
      <c r="O1411">
        <v>27.609427609427609</v>
      </c>
    </row>
    <row r="1412" spans="1:15" hidden="1" x14ac:dyDescent="0.25">
      <c r="A1412" s="11">
        <v>46044</v>
      </c>
      <c r="B1412" t="s">
        <v>55</v>
      </c>
      <c r="C1412" t="s">
        <v>48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 s="3">
        <f>E1412+G1412+H1412</f>
        <v>20</v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>17</v>
      </c>
      <c r="K1412" s="3">
        <f>I1412-J1412</f>
        <v>3</v>
      </c>
      <c r="L1412" s="3" t="str">
        <f>IF(K1412&lt;-5,"CRÍTICO",IF(K1412&lt;0,"ATENÇÃO",IF(K1412&lt;=5,"BOM","EXCELENTE")))</f>
        <v>BOM</v>
      </c>
      <c r="M1412">
        <v>19</v>
      </c>
      <c r="N1412">
        <v>96.4</v>
      </c>
      <c r="O1412">
        <v>28.764044943820231</v>
      </c>
    </row>
    <row r="1413" spans="1:15" hidden="1" x14ac:dyDescent="0.25">
      <c r="A1413" s="11">
        <v>46044</v>
      </c>
      <c r="B1413" t="s">
        <v>39</v>
      </c>
      <c r="C1413" t="s">
        <v>32</v>
      </c>
      <c r="D1413">
        <v>0</v>
      </c>
      <c r="E1413">
        <v>0</v>
      </c>
      <c r="F1413">
        <v>0</v>
      </c>
      <c r="G1413">
        <v>0</v>
      </c>
      <c r="H1413">
        <v>0</v>
      </c>
      <c r="I1413" s="3">
        <v>0</v>
      </c>
      <c r="J1413" s="3">
        <v>0</v>
      </c>
      <c r="K1413" s="3">
        <v>0</v>
      </c>
      <c r="L1413" s="3" t="str">
        <f>IF(K1413&lt;-5,"CRÍTICO",IF(K1413&lt;0,"ATENÇÃO",IF(K1413&lt;=5,"BOM","EXCELENTE")))</f>
        <v>BOM</v>
      </c>
      <c r="M1413">
        <v>0</v>
      </c>
      <c r="N1413">
        <v>100</v>
      </c>
      <c r="O1413">
        <v>33.980582524271853</v>
      </c>
    </row>
    <row r="1414" spans="1:15" hidden="1" x14ac:dyDescent="0.25">
      <c r="A1414" s="11">
        <v>46044</v>
      </c>
      <c r="B1414" t="s">
        <v>25</v>
      </c>
      <c r="C1414" t="s">
        <v>26</v>
      </c>
      <c r="D1414">
        <v>5</v>
      </c>
      <c r="E1414">
        <v>4</v>
      </c>
      <c r="F1414">
        <v>46.55</v>
      </c>
      <c r="G1414">
        <v>0</v>
      </c>
      <c r="H1414">
        <v>0</v>
      </c>
      <c r="I1414" s="3">
        <f>E1414+G1414+H1414</f>
        <v>4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12</v>
      </c>
      <c r="K1414" s="3">
        <f>I1414-J1414</f>
        <v>-8</v>
      </c>
      <c r="L1414" s="3" t="str">
        <f>IF(K1414&lt;-5,"CRÍTICO",IF(K1414&lt;0,"ATENÇÃO",IF(K1414&lt;=5,"BOM","EXCELENTE")))</f>
        <v>CRÍTICO</v>
      </c>
      <c r="M1414">
        <v>4</v>
      </c>
      <c r="N1414">
        <v>97.56</v>
      </c>
      <c r="O1414">
        <v>32.515337423312893</v>
      </c>
    </row>
    <row r="1415" spans="1:15" hidden="1" x14ac:dyDescent="0.25">
      <c r="A1415" s="11">
        <v>46044</v>
      </c>
      <c r="B1415" t="s">
        <v>40</v>
      </c>
      <c r="C1415" t="s">
        <v>32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 s="3">
        <f>E1415+G1415+H1415</f>
        <v>18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22</v>
      </c>
      <c r="K1415" s="3">
        <f>I1415-J1415</f>
        <v>-4</v>
      </c>
      <c r="L1415" s="3" t="str">
        <f>IF(K1415&lt;-5,"CRÍTICO",IF(K1415&lt;0,"ATENÇÃO",IF(K1415&lt;=5,"BOM","EXCELENTE")))</f>
        <v>ATENÇÃO</v>
      </c>
      <c r="M1415">
        <v>18</v>
      </c>
      <c r="N1415">
        <v>97.11</v>
      </c>
      <c r="O1415">
        <v>37.408312958435211</v>
      </c>
    </row>
    <row r="1416" spans="1:15" hidden="1" x14ac:dyDescent="0.25">
      <c r="A1416" s="11">
        <v>46044</v>
      </c>
      <c r="B1416" t="s">
        <v>27</v>
      </c>
      <c r="C1416" t="s">
        <v>26</v>
      </c>
      <c r="D1416">
        <v>0</v>
      </c>
      <c r="E1416">
        <v>0</v>
      </c>
      <c r="F1416">
        <v>0</v>
      </c>
      <c r="G1416">
        <v>0</v>
      </c>
      <c r="H1416">
        <v>0</v>
      </c>
      <c r="I1416" s="3">
        <v>0</v>
      </c>
      <c r="J1416" s="3">
        <v>0</v>
      </c>
      <c r="K1416" s="3">
        <v>0</v>
      </c>
      <c r="L1416" s="3" t="str">
        <f>IF(K1416&lt;-5,"CRÍTICO",IF(K1416&lt;0,"ATENÇÃO",IF(K1416&lt;=5,"BOM","EXCELENTE")))</f>
        <v>BOM</v>
      </c>
      <c r="M1416">
        <v>0</v>
      </c>
      <c r="N1416">
        <v>0</v>
      </c>
      <c r="O1416">
        <v>0</v>
      </c>
    </row>
    <row r="1417" spans="1:15" hidden="1" x14ac:dyDescent="0.25">
      <c r="A1417" s="11">
        <v>46044</v>
      </c>
      <c r="B1417" t="s">
        <v>41</v>
      </c>
      <c r="C1417" t="s">
        <v>32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 s="3">
        <f>E1417+G1417+H1417</f>
        <v>21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22</v>
      </c>
      <c r="K1417" s="3">
        <f>I1417-J1417</f>
        <v>-1</v>
      </c>
      <c r="L1417" s="3" t="str">
        <f>IF(K1417&lt;-5,"CRÍTICO",IF(K1417&lt;0,"ATENÇÃO",IF(K1417&lt;=5,"BOM","EXCELENTE")))</f>
        <v>ATENÇÃO</v>
      </c>
      <c r="M1417">
        <v>21</v>
      </c>
      <c r="N1417">
        <v>100</v>
      </c>
      <c r="O1417">
        <v>30.470347648261761</v>
      </c>
    </row>
    <row r="1418" spans="1:15" hidden="1" x14ac:dyDescent="0.25">
      <c r="A1418" s="11">
        <v>46044</v>
      </c>
      <c r="B1418" t="s">
        <v>56</v>
      </c>
      <c r="C1418" t="s">
        <v>48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 s="3">
        <f>E1418+G1418+H1418</f>
        <v>23</v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>17</v>
      </c>
      <c r="K1418" s="3">
        <f>I1418-J1418</f>
        <v>6</v>
      </c>
      <c r="L1418" s="3" t="str">
        <f>IF(K1418&lt;-5,"CRÍTICO",IF(K1418&lt;0,"ATENÇÃO",IF(K1418&lt;=5,"BOM","EXCELENTE")))</f>
        <v>EXCELENTE</v>
      </c>
      <c r="M1418">
        <v>17</v>
      </c>
      <c r="N1418">
        <v>100</v>
      </c>
      <c r="O1418">
        <v>32.371134020618562</v>
      </c>
    </row>
    <row r="1419" spans="1:15" hidden="1" x14ac:dyDescent="0.25">
      <c r="A1419" s="11">
        <v>46044</v>
      </c>
      <c r="B1419" t="s">
        <v>57</v>
      </c>
      <c r="C1419" t="s">
        <v>48</v>
      </c>
      <c r="D1419">
        <v>28</v>
      </c>
      <c r="E1419">
        <v>27</v>
      </c>
      <c r="F1419">
        <v>17.059999999999999</v>
      </c>
      <c r="G1419">
        <v>0</v>
      </c>
      <c r="H1419">
        <v>0</v>
      </c>
      <c r="I1419" s="3">
        <v>0</v>
      </c>
      <c r="J1419" s="3">
        <v>0</v>
      </c>
      <c r="K1419" s="3">
        <v>0</v>
      </c>
      <c r="L1419" s="3" t="str">
        <f>IF(K1419&lt;-5,"CRÍTICO",IF(K1419&lt;0,"ATENÇÃO",IF(K1419&lt;=5,"BOM","EXCELENTE")))</f>
        <v>BOM</v>
      </c>
      <c r="M1419">
        <v>21</v>
      </c>
      <c r="N1419">
        <v>98.32</v>
      </c>
      <c r="O1419">
        <v>32.318501170960189</v>
      </c>
    </row>
    <row r="1420" spans="1:15" hidden="1" x14ac:dyDescent="0.25">
      <c r="A1420" s="11">
        <v>46044</v>
      </c>
      <c r="B1420" t="s">
        <v>42</v>
      </c>
      <c r="C1420" t="s">
        <v>32</v>
      </c>
      <c r="D1420">
        <v>47</v>
      </c>
      <c r="E1420">
        <v>29</v>
      </c>
      <c r="F1420">
        <v>5.45</v>
      </c>
      <c r="G1420">
        <v>0</v>
      </c>
      <c r="H1420">
        <v>0</v>
      </c>
      <c r="I1420" s="3">
        <f>E1420+G1420+H1420</f>
        <v>29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22</v>
      </c>
      <c r="K1420" s="3">
        <f>I1420-J1420</f>
        <v>7</v>
      </c>
      <c r="L1420" s="3" t="str">
        <f>IF(K1420&lt;-5,"CRÍTICO",IF(K1420&lt;0,"ATENÇÃO",IF(K1420&lt;=5,"BOM","EXCELENTE")))</f>
        <v>EXCELENTE</v>
      </c>
      <c r="M1420">
        <v>22</v>
      </c>
      <c r="N1420">
        <v>96.43</v>
      </c>
      <c r="O1420">
        <v>27.015250544662312</v>
      </c>
    </row>
    <row r="1421" spans="1:15" hidden="1" x14ac:dyDescent="0.25">
      <c r="A1421" s="11">
        <v>46044</v>
      </c>
      <c r="B1421" t="s">
        <v>62</v>
      </c>
      <c r="C1421" t="s">
        <v>23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 s="3">
        <f>E1421+G1421+H1421</f>
        <v>23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14</v>
      </c>
      <c r="K1421" s="3">
        <f>I1421-J1421</f>
        <v>9</v>
      </c>
      <c r="L1421" s="3" t="str">
        <f>IF(K1421&lt;-5,"CRÍTICO",IF(K1421&lt;0,"ATENÇÃO",IF(K1421&lt;=5,"BOM","EXCELENTE")))</f>
        <v>EXCELENTE</v>
      </c>
      <c r="M1421">
        <v>23</v>
      </c>
      <c r="N1421">
        <v>98.89</v>
      </c>
      <c r="O1421">
        <v>28.021978021978018</v>
      </c>
    </row>
    <row r="1422" spans="1:15" hidden="1" x14ac:dyDescent="0.25">
      <c r="A1422" s="11">
        <v>46044</v>
      </c>
      <c r="B1422" t="s">
        <v>19</v>
      </c>
      <c r="C1422" t="s">
        <v>16</v>
      </c>
      <c r="D1422">
        <v>8</v>
      </c>
      <c r="E1422">
        <v>8</v>
      </c>
      <c r="F1422">
        <v>42.33</v>
      </c>
      <c r="G1422">
        <v>0</v>
      </c>
      <c r="H1422">
        <v>0</v>
      </c>
      <c r="I1422" s="3">
        <f>E1422+G1422+H1422</f>
        <v>8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6</v>
      </c>
      <c r="K1422" s="3">
        <f>I1422-J1422</f>
        <v>2</v>
      </c>
      <c r="L1422" s="3" t="str">
        <f>IF(K1422&lt;-5,"CRÍTICO",IF(K1422&lt;0,"ATENÇÃO",IF(K1422&lt;=5,"BOM","EXCELENTE")))</f>
        <v>BOM</v>
      </c>
      <c r="M1422">
        <v>6</v>
      </c>
      <c r="N1422">
        <v>100</v>
      </c>
      <c r="O1422">
        <v>33.333333333333329</v>
      </c>
    </row>
    <row r="1423" spans="1:15" hidden="1" x14ac:dyDescent="0.25">
      <c r="A1423" s="11">
        <v>46044</v>
      </c>
      <c r="B1423" t="s">
        <v>43</v>
      </c>
      <c r="C1423" t="s">
        <v>32</v>
      </c>
      <c r="D1423">
        <v>24</v>
      </c>
      <c r="E1423">
        <v>22</v>
      </c>
      <c r="F1423">
        <v>13.4</v>
      </c>
      <c r="G1423">
        <v>0</v>
      </c>
      <c r="H1423">
        <v>0</v>
      </c>
      <c r="I1423" s="3">
        <f>E1423+G1423+H1423</f>
        <v>22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0</v>
      </c>
      <c r="L1423" s="3" t="str">
        <f>IF(K1423&lt;-5,"CRÍTICO",IF(K1423&lt;0,"ATENÇÃO",IF(K1423&lt;=5,"BOM","EXCELENTE")))</f>
        <v>BOM</v>
      </c>
      <c r="M1423">
        <v>19</v>
      </c>
      <c r="N1423">
        <v>100</v>
      </c>
      <c r="O1423">
        <v>27.43362831858407</v>
      </c>
    </row>
    <row r="1424" spans="1:15" hidden="1" x14ac:dyDescent="0.25">
      <c r="A1424" s="11">
        <v>46044</v>
      </c>
      <c r="B1424" t="s">
        <v>44</v>
      </c>
      <c r="C1424" t="s">
        <v>32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 s="3">
        <f>E1424+G1424+H1424</f>
        <v>23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22</v>
      </c>
      <c r="K1424" s="3">
        <f>I1424-J1424</f>
        <v>1</v>
      </c>
      <c r="L1424" s="3" t="str">
        <f>IF(K1424&lt;-5,"CRÍTICO",IF(K1424&lt;0,"ATENÇÃO",IF(K1424&lt;=5,"BOM","EXCELENTE")))</f>
        <v>BOM</v>
      </c>
      <c r="M1424">
        <v>17</v>
      </c>
      <c r="N1424">
        <v>98.65</v>
      </c>
      <c r="O1424">
        <v>30.978260869565219</v>
      </c>
    </row>
    <row r="1425" spans="1:15" hidden="1" x14ac:dyDescent="0.25">
      <c r="A1425" s="11">
        <v>46044</v>
      </c>
      <c r="B1425" t="s">
        <v>20</v>
      </c>
      <c r="C1425" t="s">
        <v>16</v>
      </c>
      <c r="D1425">
        <v>9</v>
      </c>
      <c r="E1425">
        <v>9</v>
      </c>
      <c r="F1425">
        <v>22.37</v>
      </c>
      <c r="G1425">
        <v>0</v>
      </c>
      <c r="H1425">
        <v>0</v>
      </c>
      <c r="I1425" s="3">
        <f>E1425+G1425+H1425</f>
        <v>9</v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>6</v>
      </c>
      <c r="K1425" s="3">
        <f>I1425-J1425</f>
        <v>3</v>
      </c>
      <c r="L1425" s="3" t="str">
        <f>IF(K1425&lt;-5,"CRÍTICO",IF(K1425&lt;0,"ATENÇÃO",IF(K1425&lt;=5,"BOM","EXCELENTE")))</f>
        <v>BOM</v>
      </c>
      <c r="M1425">
        <v>2</v>
      </c>
      <c r="N1425">
        <v>100</v>
      </c>
      <c r="O1425">
        <v>12</v>
      </c>
    </row>
    <row r="1426" spans="1:15" hidden="1" x14ac:dyDescent="0.25">
      <c r="A1426" s="11">
        <v>46044</v>
      </c>
      <c r="B1426" t="s">
        <v>28</v>
      </c>
      <c r="C1426" t="s">
        <v>26</v>
      </c>
      <c r="D1426">
        <v>0</v>
      </c>
      <c r="E1426">
        <v>0</v>
      </c>
      <c r="F1426">
        <v>0</v>
      </c>
      <c r="G1426">
        <v>0</v>
      </c>
      <c r="H1426">
        <v>0</v>
      </c>
      <c r="I1426" s="3">
        <v>0</v>
      </c>
      <c r="J1426" s="3">
        <v>0</v>
      </c>
      <c r="K1426" s="3">
        <v>0</v>
      </c>
      <c r="L1426" s="3" t="str">
        <f>IF(K1426&lt;-5,"CRÍTICO",IF(K1426&lt;0,"ATENÇÃO",IF(K1426&lt;=5,"BOM","EXCELENTE")))</f>
        <v>BOM</v>
      </c>
      <c r="M1426">
        <v>0</v>
      </c>
      <c r="N1426">
        <v>0</v>
      </c>
      <c r="O1426">
        <v>0</v>
      </c>
    </row>
    <row r="1427" spans="1:15" hidden="1" x14ac:dyDescent="0.25">
      <c r="A1427" s="11">
        <v>46044</v>
      </c>
      <c r="B1427" t="s">
        <v>58</v>
      </c>
      <c r="C1427" t="s">
        <v>48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 s="3">
        <f>E1427+G1427+H1427</f>
        <v>18</v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>17</v>
      </c>
      <c r="K1427" s="3">
        <f>I1427-J1427</f>
        <v>1</v>
      </c>
      <c r="L1427" s="3" t="str">
        <f>IF(K1427&lt;-5,"CRÍTICO",IF(K1427&lt;0,"ATENÇÃO",IF(K1427&lt;=5,"BOM","EXCELENTE")))</f>
        <v>BOM</v>
      </c>
      <c r="M1427">
        <v>20</v>
      </c>
      <c r="N1427">
        <v>97.56</v>
      </c>
      <c r="O1427">
        <v>31.067961165048541</v>
      </c>
    </row>
    <row r="1428" spans="1:15" hidden="1" x14ac:dyDescent="0.25">
      <c r="A1428" s="11">
        <v>46044</v>
      </c>
      <c r="B1428" t="s">
        <v>29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30</v>
      </c>
      <c r="C1429" t="s">
        <v>26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21</v>
      </c>
      <c r="C1430" t="s">
        <v>16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>
        <v>0</v>
      </c>
      <c r="N1430">
        <v>0</v>
      </c>
      <c r="O1430">
        <v>0</v>
      </c>
    </row>
    <row r="1431" spans="1:15" hidden="1" x14ac:dyDescent="0.25">
      <c r="A1431" s="11">
        <v>46044</v>
      </c>
      <c r="B1431" t="s">
        <v>63</v>
      </c>
      <c r="C1431" t="s">
        <v>23</v>
      </c>
      <c r="D1431">
        <v>0</v>
      </c>
      <c r="E1431">
        <v>0</v>
      </c>
      <c r="F1431">
        <v>0</v>
      </c>
      <c r="G1431">
        <v>0</v>
      </c>
      <c r="H1431">
        <v>0</v>
      </c>
      <c r="I1431" s="3">
        <v>0</v>
      </c>
      <c r="J1431" s="3">
        <v>0</v>
      </c>
      <c r="K1431" s="3">
        <v>0</v>
      </c>
      <c r="L1431" s="3" t="str">
        <f>IF(K1431&lt;-5,"CRÍTICO",IF(K1431&lt;0,"ATENÇÃO",IF(K1431&lt;=5,"BOM","EXCELENTE")))</f>
        <v>BOM</v>
      </c>
      <c r="M1431">
        <v>0</v>
      </c>
      <c r="N1431">
        <v>100</v>
      </c>
      <c r="O1431">
        <v>53.846153846153847</v>
      </c>
    </row>
    <row r="1432" spans="1:15" hidden="1" x14ac:dyDescent="0.25">
      <c r="A1432" s="11">
        <v>46044</v>
      </c>
      <c r="B1432" t="s">
        <v>45</v>
      </c>
      <c r="C1432" t="s">
        <v>32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 s="3">
        <f>E1432+G1432+H1432</f>
        <v>24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22</v>
      </c>
      <c r="K1432" s="3">
        <f>I1432-J1432</f>
        <v>2</v>
      </c>
      <c r="L1432" s="3" t="str">
        <f>IF(K1432&lt;-5,"CRÍTICO",IF(K1432&lt;0,"ATENÇÃO",IF(K1432&lt;=5,"BOM","EXCELENTE")))</f>
        <v>BOM</v>
      </c>
      <c r="M1432">
        <v>24</v>
      </c>
      <c r="N1432">
        <v>100</v>
      </c>
      <c r="O1432">
        <v>44.05594405594406</v>
      </c>
    </row>
    <row r="1433" spans="1:15" hidden="1" x14ac:dyDescent="0.25">
      <c r="A1433" s="11">
        <v>46044</v>
      </c>
      <c r="B1433" t="s">
        <v>64</v>
      </c>
      <c r="C1433" t="s">
        <v>23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 s="3">
        <f>E1433+G1433+H1433</f>
        <v>13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14</v>
      </c>
      <c r="K1433" s="3">
        <f>I1433-J1433</f>
        <v>-1</v>
      </c>
      <c r="L1433" s="3" t="str">
        <f>IF(K1433&lt;-5,"CRÍTICO",IF(K1433&lt;0,"ATENÇÃO",IF(K1433&lt;=5,"BOM","EXCELENTE")))</f>
        <v>ATENÇÃO</v>
      </c>
      <c r="M1433">
        <v>10</v>
      </c>
      <c r="N1433">
        <v>100</v>
      </c>
      <c r="O1433">
        <v>31.872509960159359</v>
      </c>
    </row>
    <row r="1434" spans="1:15" hidden="1" x14ac:dyDescent="0.25">
      <c r="A1434" s="11">
        <v>46044</v>
      </c>
      <c r="B1434" t="s">
        <v>46</v>
      </c>
      <c r="C1434" t="s">
        <v>32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 s="3">
        <f>E1434+G1434+H1434</f>
        <v>27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22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>
        <v>22</v>
      </c>
      <c r="N1434">
        <v>98.41</v>
      </c>
      <c r="O1434">
        <v>29.22465208747515</v>
      </c>
    </row>
    <row r="1435" spans="1:15" hidden="1" x14ac:dyDescent="0.25">
      <c r="A1435" s="11">
        <v>46045</v>
      </c>
      <c r="B1435" t="s">
        <v>47</v>
      </c>
      <c r="C1435" t="s">
        <v>48</v>
      </c>
      <c r="D1435">
        <v>25</v>
      </c>
      <c r="E1435">
        <v>22</v>
      </c>
      <c r="F1435">
        <v>13.3</v>
      </c>
      <c r="G1435">
        <v>0</v>
      </c>
      <c r="H1435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17</v>
      </c>
      <c r="K1435" s="3">
        <f>I1435-J1435</f>
        <v>5</v>
      </c>
      <c r="L1435" s="3" t="str">
        <f>IF(K1435&lt;-5,"CRÍTICO",IF(K1435&lt;0,"ATENÇÃO",IF(K1435&lt;=5,"BOM","EXCELENTE")))</f>
        <v>BOM</v>
      </c>
      <c r="M1435">
        <v>17</v>
      </c>
      <c r="N1435">
        <v>96.81</v>
      </c>
      <c r="O1435">
        <v>27.980535279805348</v>
      </c>
    </row>
    <row r="1436" spans="1:15" hidden="1" x14ac:dyDescent="0.25">
      <c r="A1436" s="11">
        <v>46045</v>
      </c>
      <c r="B1436" t="s">
        <v>31</v>
      </c>
      <c r="C1436" t="s">
        <v>32</v>
      </c>
      <c r="D1436">
        <v>0</v>
      </c>
      <c r="E1436">
        <v>0</v>
      </c>
      <c r="F1436">
        <v>0</v>
      </c>
      <c r="G1436">
        <v>0</v>
      </c>
      <c r="H1436">
        <v>0</v>
      </c>
      <c r="I1436" s="3">
        <v>0</v>
      </c>
      <c r="J1436" s="3">
        <v>0</v>
      </c>
      <c r="K1436" s="3">
        <v>0</v>
      </c>
      <c r="L1436" s="3" t="str">
        <f>IF(K1436&lt;-5,"CRÍTICO",IF(K1436&lt;0,"ATENÇÃO",IF(K1436&lt;=5,"BOM","EXCELENTE")))</f>
        <v>BOM</v>
      </c>
      <c r="M1436">
        <v>22</v>
      </c>
      <c r="N1436">
        <v>98.73</v>
      </c>
      <c r="O1436">
        <v>35.756385068762278</v>
      </c>
    </row>
    <row r="1437" spans="1:15" hidden="1" x14ac:dyDescent="0.25">
      <c r="A1437" s="11">
        <v>46045</v>
      </c>
      <c r="B1437" t="s">
        <v>59</v>
      </c>
      <c r="C1437" t="s">
        <v>23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 s="3">
        <f>E1437+G1437+H1437</f>
        <v>29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14</v>
      </c>
      <c r="K1437" s="3">
        <f>I1437-J1437</f>
        <v>15</v>
      </c>
      <c r="L1437" s="3" t="str">
        <f>IF(K1437&lt;-5,"CRÍTICO",IF(K1437&lt;0,"ATENÇÃO",IF(K1437&lt;=5,"BOM","EXCELENTE")))</f>
        <v>EXCELENTE</v>
      </c>
      <c r="M1437">
        <v>25</v>
      </c>
      <c r="N1437">
        <v>98.32</v>
      </c>
      <c r="O1437">
        <v>26.763485477178421</v>
      </c>
    </row>
    <row r="1438" spans="1:15" hidden="1" x14ac:dyDescent="0.25">
      <c r="A1438" s="11">
        <v>46045</v>
      </c>
      <c r="B1438" t="s">
        <v>33</v>
      </c>
      <c r="C1438" t="s">
        <v>32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 s="3">
        <f>E1438+G1438+H1438</f>
        <v>22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21</v>
      </c>
      <c r="K1438" s="3">
        <f>I1438-J1438</f>
        <v>1</v>
      </c>
      <c r="L1438" s="3" t="str">
        <f>IF(K1438&lt;-5,"CRÍTICO",IF(K1438&lt;0,"ATENÇÃO",IF(K1438&lt;=5,"BOM","EXCELENTE")))</f>
        <v>BOM</v>
      </c>
      <c r="M1438">
        <v>21</v>
      </c>
      <c r="N1438">
        <v>99.19</v>
      </c>
      <c r="O1438">
        <v>27.637130801687761</v>
      </c>
    </row>
    <row r="1439" spans="1:15" hidden="1" x14ac:dyDescent="0.25">
      <c r="A1439" s="11">
        <v>46045</v>
      </c>
      <c r="B1439" t="s">
        <v>15</v>
      </c>
      <c r="C1439" t="s">
        <v>16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 s="3">
        <f>E1439+G1439+H1439</f>
        <v>8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6</v>
      </c>
      <c r="K1439" s="3">
        <f>I1439-J1439</f>
        <v>2</v>
      </c>
      <c r="L1439" s="3" t="str">
        <f>IF(K1439&lt;-5,"CRÍTICO",IF(K1439&lt;0,"ATENÇÃO",IF(K1439&lt;=5,"BOM","EXCELENTE")))</f>
        <v>BOM</v>
      </c>
      <c r="M1439">
        <v>7</v>
      </c>
      <c r="N1439">
        <v>100</v>
      </c>
      <c r="O1439">
        <v>39.568345323741013</v>
      </c>
    </row>
    <row r="1440" spans="1:15" hidden="1" x14ac:dyDescent="0.25">
      <c r="A1440" s="11">
        <v>46045</v>
      </c>
      <c r="B1440" t="s">
        <v>49</v>
      </c>
      <c r="C1440" t="s">
        <v>48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 s="3">
        <f>E1440+G1440+H1440</f>
        <v>21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4</v>
      </c>
      <c r="L1440" s="3" t="str">
        <f>IF(K1440&lt;-5,"CRÍTICO",IF(K1440&lt;0,"ATENÇÃO",IF(K1440&lt;=5,"BOM","EXCELENTE")))</f>
        <v>BOM</v>
      </c>
      <c r="M1440">
        <v>21</v>
      </c>
      <c r="N1440">
        <v>98.54</v>
      </c>
      <c r="O1440">
        <v>28.544776119402989</v>
      </c>
    </row>
    <row r="1441" spans="1:15" hidden="1" x14ac:dyDescent="0.25">
      <c r="A1441" s="11">
        <v>46045</v>
      </c>
      <c r="B1441" t="s">
        <v>50</v>
      </c>
      <c r="C1441" t="s">
        <v>48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 s="3">
        <f>E1441+G1441+H1441</f>
        <v>23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17</v>
      </c>
      <c r="K1441" s="3">
        <f>I1441-J1441</f>
        <v>6</v>
      </c>
      <c r="L1441" s="3" t="str">
        <f>IF(K1441&lt;-5,"CRÍTICO",IF(K1441&lt;0,"ATENÇÃO",IF(K1441&lt;=5,"BOM","EXCELENTE")))</f>
        <v>EXCELENTE</v>
      </c>
      <c r="M1441">
        <v>21</v>
      </c>
      <c r="N1441">
        <v>100</v>
      </c>
      <c r="O1441">
        <v>34.366925064599492</v>
      </c>
    </row>
    <row r="1442" spans="1:15" hidden="1" x14ac:dyDescent="0.25">
      <c r="A1442" s="11">
        <v>46045</v>
      </c>
      <c r="B1442" t="s">
        <v>17</v>
      </c>
      <c r="C1442" t="s">
        <v>16</v>
      </c>
      <c r="D1442">
        <v>0</v>
      </c>
      <c r="E1442">
        <v>0</v>
      </c>
      <c r="F1442">
        <v>0</v>
      </c>
      <c r="G1442">
        <v>0</v>
      </c>
      <c r="H1442">
        <v>0</v>
      </c>
      <c r="I1442" s="3">
        <v>0</v>
      </c>
      <c r="J1442" s="3">
        <v>0</v>
      </c>
      <c r="K1442" s="3">
        <v>0</v>
      </c>
      <c r="L1442" s="3" t="str">
        <f>IF(K1442&lt;-5,"CRÍTICO",IF(K1442&lt;0,"ATENÇÃO",IF(K1442&lt;=5,"BOM","EXCELENTE")))</f>
        <v>BOM</v>
      </c>
      <c r="M1442">
        <v>0</v>
      </c>
      <c r="N1442">
        <v>0</v>
      </c>
      <c r="O1442">
        <v>0</v>
      </c>
    </row>
    <row r="1443" spans="1:15" hidden="1" x14ac:dyDescent="0.25">
      <c r="A1443" s="11">
        <v>46045</v>
      </c>
      <c r="B1443" t="s">
        <v>60</v>
      </c>
      <c r="C1443" t="s">
        <v>23</v>
      </c>
      <c r="D1443">
        <v>16</v>
      </c>
      <c r="E1443">
        <v>15</v>
      </c>
      <c r="F1443">
        <v>19</v>
      </c>
      <c r="G1443">
        <v>0</v>
      </c>
      <c r="H1443">
        <v>0</v>
      </c>
      <c r="I1443" s="3">
        <f>E1443+G1443+H1443</f>
        <v>15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14</v>
      </c>
      <c r="K1443" s="3">
        <f>I1443-J1443</f>
        <v>1</v>
      </c>
      <c r="L1443" s="3" t="str">
        <f>IF(K1443&lt;-5,"CRÍTICO",IF(K1443&lt;0,"ATENÇÃO",IF(K1443&lt;=5,"BOM","EXCELENTE")))</f>
        <v>BOM</v>
      </c>
      <c r="M1443">
        <v>15</v>
      </c>
      <c r="N1443">
        <v>100</v>
      </c>
      <c r="O1443">
        <v>29.518072289156631</v>
      </c>
    </row>
    <row r="1444" spans="1:15" hidden="1" x14ac:dyDescent="0.25">
      <c r="A1444" s="11">
        <v>46045</v>
      </c>
      <c r="B1444" t="s">
        <v>34</v>
      </c>
      <c r="C1444" t="s">
        <v>32</v>
      </c>
      <c r="D1444">
        <v>28</v>
      </c>
      <c r="E1444">
        <v>27</v>
      </c>
      <c r="F1444">
        <v>15.1</v>
      </c>
      <c r="G1444">
        <v>0</v>
      </c>
      <c r="H1444">
        <v>0</v>
      </c>
      <c r="I1444" s="3">
        <f>E1444+G1444+H1444</f>
        <v>27</v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>21</v>
      </c>
      <c r="K1444" s="3">
        <f>I1444-J1444</f>
        <v>6</v>
      </c>
      <c r="L1444" s="3" t="str">
        <f>IF(K1444&lt;-5,"CRÍTICO",IF(K1444&lt;0,"ATENÇÃO",IF(K1444&lt;=5,"BOM","EXCELENTE")))</f>
        <v>EXCELENTE</v>
      </c>
      <c r="M1444">
        <v>20</v>
      </c>
      <c r="N1444">
        <v>97.45</v>
      </c>
      <c r="O1444">
        <v>41.421143847487002</v>
      </c>
    </row>
    <row r="1445" spans="1:15" hidden="1" x14ac:dyDescent="0.25">
      <c r="A1445" s="11">
        <v>46045</v>
      </c>
      <c r="B1445" t="s">
        <v>51</v>
      </c>
      <c r="C1445" t="s">
        <v>48</v>
      </c>
      <c r="D1445">
        <v>31</v>
      </c>
      <c r="E1445">
        <v>20</v>
      </c>
      <c r="F1445">
        <v>11.42</v>
      </c>
      <c r="G1445">
        <v>0</v>
      </c>
      <c r="H1445">
        <v>0</v>
      </c>
      <c r="I1445" s="3">
        <v>0</v>
      </c>
      <c r="J1445" s="3">
        <v>0</v>
      </c>
      <c r="K1445" s="3">
        <v>0</v>
      </c>
      <c r="L1445" s="3" t="str">
        <f>IF(K1445&lt;-5,"CRÍTICO",IF(K1445&lt;0,"ATENÇÃO",IF(K1445&lt;=5,"BOM","EXCELENTE")))</f>
        <v>BOM</v>
      </c>
      <c r="M1445">
        <v>16</v>
      </c>
      <c r="N1445">
        <v>96.58</v>
      </c>
      <c r="O1445">
        <v>30.396475770925111</v>
      </c>
    </row>
    <row r="1446" spans="1:15" hidden="1" x14ac:dyDescent="0.25">
      <c r="A1446" s="11">
        <v>46045</v>
      </c>
      <c r="B1446" t="s">
        <v>61</v>
      </c>
      <c r="C1446" t="s">
        <v>23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 s="3">
        <f>E1446+G1446+H1446</f>
        <v>27</v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14</v>
      </c>
      <c r="K1446" s="3">
        <f>I1446-J1446</f>
        <v>13</v>
      </c>
      <c r="L1446" s="3" t="str">
        <f>IF(K1446&lt;-5,"CRÍTICO",IF(K1446&lt;0,"ATENÇÃO",IF(K1446&lt;=5,"BOM","EXCELENTE")))</f>
        <v>EXCELENTE</v>
      </c>
      <c r="M1446">
        <v>31</v>
      </c>
      <c r="N1446">
        <v>100</v>
      </c>
      <c r="O1446">
        <v>27.44282744282744</v>
      </c>
    </row>
    <row r="1447" spans="1:15" hidden="1" x14ac:dyDescent="0.25">
      <c r="A1447" s="11">
        <v>46045</v>
      </c>
      <c r="B1447" t="s">
        <v>35</v>
      </c>
      <c r="C1447" t="s">
        <v>32</v>
      </c>
      <c r="D1447">
        <v>25</v>
      </c>
      <c r="E1447">
        <v>24</v>
      </c>
      <c r="F1447">
        <v>23.24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>
        <v>24</v>
      </c>
      <c r="N1447">
        <v>99.49</v>
      </c>
      <c r="O1447">
        <v>40.200000000000003</v>
      </c>
    </row>
    <row r="1448" spans="1:15" hidden="1" x14ac:dyDescent="0.25">
      <c r="A1448" s="11">
        <v>46045</v>
      </c>
      <c r="B1448" t="s">
        <v>18</v>
      </c>
      <c r="C1448" t="s">
        <v>16</v>
      </c>
      <c r="D1448">
        <v>0</v>
      </c>
      <c r="E1448">
        <v>0</v>
      </c>
      <c r="F1448">
        <v>0</v>
      </c>
      <c r="G1448">
        <v>0</v>
      </c>
      <c r="H1448">
        <v>0</v>
      </c>
      <c r="I1448" s="3">
        <v>0</v>
      </c>
      <c r="J1448" s="3">
        <v>0</v>
      </c>
      <c r="K1448" s="3">
        <v>0</v>
      </c>
      <c r="L1448" s="3" t="str">
        <f>IF(K1448&lt;-5,"CRÍTICO",IF(K1448&lt;0,"ATENÇÃO",IF(K1448&lt;=5,"BOM","EXCELENTE")))</f>
        <v>BOM</v>
      </c>
      <c r="M1448">
        <v>0</v>
      </c>
      <c r="N1448">
        <v>100</v>
      </c>
      <c r="O1448">
        <v>25</v>
      </c>
    </row>
    <row r="1449" spans="1:15" hidden="1" x14ac:dyDescent="0.25">
      <c r="A1449" s="11">
        <v>46045</v>
      </c>
      <c r="B1449" t="s">
        <v>52</v>
      </c>
      <c r="C1449" t="s">
        <v>48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 s="3">
        <f>E1449+G1449+H1449</f>
        <v>20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17</v>
      </c>
      <c r="K1449" s="3">
        <f>I1449-J1449</f>
        <v>3</v>
      </c>
      <c r="L1449" s="3" t="str">
        <f>IF(K1449&lt;-5,"CRÍTICO",IF(K1449&lt;0,"ATENÇÃO",IF(K1449&lt;=5,"BOM","EXCELENTE")))</f>
        <v>BOM</v>
      </c>
      <c r="M1449">
        <v>20</v>
      </c>
      <c r="N1449">
        <v>100</v>
      </c>
      <c r="O1449">
        <v>34.15094339622641</v>
      </c>
    </row>
    <row r="1450" spans="1:15" hidden="1" x14ac:dyDescent="0.25">
      <c r="A1450" s="11">
        <v>46045</v>
      </c>
      <c r="B1450" t="s">
        <v>36</v>
      </c>
      <c r="C1450" t="s">
        <v>32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 s="3">
        <f>E1450+G1450+H1450</f>
        <v>13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21</v>
      </c>
      <c r="K1450" s="3">
        <f>I1450-J1450</f>
        <v>-8</v>
      </c>
      <c r="L1450" s="3" t="str">
        <f>IF(K1450&lt;-5,"CRÍTICO",IF(K1450&lt;0,"ATENÇÃO",IF(K1450&lt;=5,"BOM","EXCELENTE")))</f>
        <v>CRÍTICO</v>
      </c>
      <c r="M1450">
        <v>15</v>
      </c>
      <c r="N1450">
        <v>100</v>
      </c>
      <c r="O1450">
        <v>32.731376975169297</v>
      </c>
    </row>
    <row r="1451" spans="1:15" hidden="1" x14ac:dyDescent="0.25">
      <c r="A1451" s="11">
        <v>46045</v>
      </c>
      <c r="B1451" t="s">
        <v>53</v>
      </c>
      <c r="C1451" t="s">
        <v>48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 s="3">
        <f>E1451+G1451+H1451</f>
        <v>17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17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>
        <v>18</v>
      </c>
      <c r="N1451">
        <v>99.31</v>
      </c>
      <c r="O1451">
        <v>30.96234309623431</v>
      </c>
    </row>
    <row r="1452" spans="1:15" hidden="1" x14ac:dyDescent="0.25">
      <c r="A1452" s="11">
        <v>46079</v>
      </c>
      <c r="B1452" t="s">
        <v>22</v>
      </c>
      <c r="C1452" t="s">
        <v>23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>E1452+G1452+H1452</f>
        <v>13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13</v>
      </c>
      <c r="K1452" s="3">
        <f>I1452-J1452</f>
        <v>0</v>
      </c>
      <c r="L1452" s="3" t="str">
        <f>IF(K1452&lt;-5,"CRÍTICO",IF(K1452&lt;0,"ATENÇÃO",IF(K1452&lt;=5,"BOM","EXCELENTE")))</f>
        <v>BOM</v>
      </c>
      <c r="M1452">
        <v>13</v>
      </c>
      <c r="N1452">
        <v>96.67</v>
      </c>
      <c r="O1452">
        <v>31.451612903225811</v>
      </c>
    </row>
    <row r="1453" spans="1:15" hidden="1" x14ac:dyDescent="0.25">
      <c r="A1453" s="11">
        <v>46045</v>
      </c>
      <c r="B1453" t="s">
        <v>54</v>
      </c>
      <c r="C1453" t="s">
        <v>48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 s="3">
        <f>E1453+G1453+H1453</f>
        <v>23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17</v>
      </c>
      <c r="K1453" s="3">
        <f>I1453-J1453</f>
        <v>6</v>
      </c>
      <c r="L1453" s="3" t="str">
        <f>IF(K1453&lt;-5,"CRÍTICO",IF(K1453&lt;0,"ATENÇÃO",IF(K1453&lt;=5,"BOM","EXCELENTE")))</f>
        <v>EXCELENTE</v>
      </c>
      <c r="M1453">
        <v>22</v>
      </c>
      <c r="N1453">
        <v>100</v>
      </c>
      <c r="O1453">
        <v>27.676767676767678</v>
      </c>
    </row>
    <row r="1454" spans="1:15" hidden="1" x14ac:dyDescent="0.25">
      <c r="A1454" s="11">
        <v>46045</v>
      </c>
      <c r="B1454" t="s">
        <v>37</v>
      </c>
      <c r="C1454" t="s">
        <v>32</v>
      </c>
      <c r="D1454">
        <v>36</v>
      </c>
      <c r="E1454">
        <v>34</v>
      </c>
      <c r="F1454">
        <v>18.5</v>
      </c>
      <c r="G1454">
        <v>0</v>
      </c>
      <c r="H1454">
        <v>0</v>
      </c>
      <c r="I1454" s="3">
        <f>E1454+G1454+H1454</f>
        <v>34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13</v>
      </c>
      <c r="L1454" s="3" t="str">
        <f>IF(K1454&lt;-5,"CRÍTICO",IF(K1454&lt;0,"ATENÇÃO",IF(K1454&lt;=5,"BOM","EXCELENTE")))</f>
        <v>EXCELENTE</v>
      </c>
      <c r="M1454">
        <v>29</v>
      </c>
      <c r="N1454">
        <v>100</v>
      </c>
      <c r="O1454">
        <v>31.17723156532988</v>
      </c>
    </row>
    <row r="1455" spans="1:15" hidden="1" x14ac:dyDescent="0.25">
      <c r="A1455" s="11">
        <v>46045</v>
      </c>
      <c r="B1455" t="s">
        <v>38</v>
      </c>
      <c r="C1455" t="s">
        <v>32</v>
      </c>
      <c r="D1455">
        <v>9</v>
      </c>
      <c r="E1455">
        <v>6</v>
      </c>
      <c r="F1455">
        <v>10.51</v>
      </c>
      <c r="G1455">
        <v>0</v>
      </c>
      <c r="H1455">
        <v>0</v>
      </c>
      <c r="I1455" s="3">
        <f>E1455+G1455+H1455</f>
        <v>6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21</v>
      </c>
      <c r="K1455" s="3">
        <f>I1455-J1455</f>
        <v>-15</v>
      </c>
      <c r="L1455" s="3" t="str">
        <f>IF(K1455&lt;-5,"CRÍTICO",IF(K1455&lt;0,"ATENÇÃO",IF(K1455&lt;=5,"BOM","EXCELENTE")))</f>
        <v>CRÍTICO</v>
      </c>
      <c r="M1455">
        <v>8</v>
      </c>
      <c r="N1455">
        <v>100</v>
      </c>
      <c r="O1455">
        <v>27.609427609427609</v>
      </c>
    </row>
    <row r="1456" spans="1:15" hidden="1" x14ac:dyDescent="0.25">
      <c r="A1456" s="11">
        <v>46045</v>
      </c>
      <c r="B1456" t="s">
        <v>55</v>
      </c>
      <c r="C1456" t="s">
        <v>48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 s="3">
        <f>E1456+G1456+H1456</f>
        <v>17</v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>17</v>
      </c>
      <c r="K1456" s="3">
        <f>I1456-J1456</f>
        <v>0</v>
      </c>
      <c r="L1456" s="3" t="str">
        <f>IF(K1456&lt;-5,"CRÍTICO",IF(K1456&lt;0,"ATENÇÃO",IF(K1456&lt;=5,"BOM","EXCELENTE")))</f>
        <v>BOM</v>
      </c>
      <c r="M1456">
        <v>18</v>
      </c>
      <c r="N1456">
        <v>96.4</v>
      </c>
      <c r="O1456">
        <v>28.764044943820231</v>
      </c>
    </row>
    <row r="1457" spans="1:15" hidden="1" x14ac:dyDescent="0.25">
      <c r="A1457" s="11">
        <v>46045</v>
      </c>
      <c r="B1457" t="s">
        <v>39</v>
      </c>
      <c r="C1457" t="s">
        <v>32</v>
      </c>
      <c r="D1457">
        <v>0</v>
      </c>
      <c r="E1457">
        <v>0</v>
      </c>
      <c r="F1457">
        <v>0</v>
      </c>
      <c r="G1457">
        <v>0</v>
      </c>
      <c r="H1457">
        <v>0</v>
      </c>
      <c r="I1457" s="3">
        <v>0</v>
      </c>
      <c r="J1457" s="3">
        <v>0</v>
      </c>
      <c r="K1457" s="3">
        <v>0</v>
      </c>
      <c r="L1457" s="3" t="str">
        <f>IF(K1457&lt;-5,"CRÍTICO",IF(K1457&lt;0,"ATENÇÃO",IF(K1457&lt;=5,"BOM","EXCELENTE")))</f>
        <v>BOM</v>
      </c>
      <c r="M1457">
        <v>0</v>
      </c>
      <c r="N1457">
        <v>100</v>
      </c>
      <c r="O1457">
        <v>33.980582524271853</v>
      </c>
    </row>
    <row r="1458" spans="1:15" hidden="1" x14ac:dyDescent="0.25">
      <c r="A1458" s="11">
        <v>46045</v>
      </c>
      <c r="B1458" t="s">
        <v>25</v>
      </c>
      <c r="C1458" t="s">
        <v>26</v>
      </c>
      <c r="D1458">
        <v>5</v>
      </c>
      <c r="E1458">
        <v>5</v>
      </c>
      <c r="F1458">
        <v>45.31</v>
      </c>
      <c r="G1458">
        <v>0</v>
      </c>
      <c r="H1458">
        <v>0</v>
      </c>
      <c r="I1458" s="3">
        <f>E1458+G1458+H1458</f>
        <v>5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12</v>
      </c>
      <c r="K1458" s="3">
        <f>I1458-J1458</f>
        <v>-7</v>
      </c>
      <c r="L1458" s="3" t="str">
        <f>IF(K1458&lt;-5,"CRÍTICO",IF(K1458&lt;0,"ATENÇÃO",IF(K1458&lt;=5,"BOM","EXCELENTE")))</f>
        <v>CRÍTICO</v>
      </c>
      <c r="M1458">
        <v>5</v>
      </c>
      <c r="N1458">
        <v>97.56</v>
      </c>
      <c r="O1458">
        <v>32.515337423312893</v>
      </c>
    </row>
    <row r="1459" spans="1:15" hidden="1" x14ac:dyDescent="0.25">
      <c r="A1459" s="11">
        <v>46045</v>
      </c>
      <c r="B1459" t="s">
        <v>40</v>
      </c>
      <c r="C1459" t="s">
        <v>32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 s="3">
        <f>E1459+G1459+H1459</f>
        <v>22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21</v>
      </c>
      <c r="K1459" s="3">
        <f>I1459-J1459</f>
        <v>1</v>
      </c>
      <c r="L1459" s="3" t="str">
        <f>IF(K1459&lt;-5,"CRÍTICO",IF(K1459&lt;0,"ATENÇÃO",IF(K1459&lt;=5,"BOM","EXCELENTE")))</f>
        <v>BOM</v>
      </c>
      <c r="M1459">
        <v>23</v>
      </c>
      <c r="N1459">
        <v>97.11</v>
      </c>
      <c r="O1459">
        <v>37.408312958435211</v>
      </c>
    </row>
    <row r="1460" spans="1:15" hidden="1" x14ac:dyDescent="0.25">
      <c r="A1460" s="11">
        <v>46045</v>
      </c>
      <c r="B1460" t="s">
        <v>27</v>
      </c>
      <c r="C1460" t="s">
        <v>26</v>
      </c>
      <c r="D1460">
        <v>0</v>
      </c>
      <c r="E1460">
        <v>0</v>
      </c>
      <c r="F1460">
        <v>0</v>
      </c>
      <c r="G1460">
        <v>0</v>
      </c>
      <c r="H1460">
        <v>0</v>
      </c>
      <c r="I1460" s="3">
        <v>0</v>
      </c>
      <c r="J1460" s="3">
        <v>0</v>
      </c>
      <c r="K1460" s="3">
        <v>0</v>
      </c>
      <c r="L1460" s="3" t="str">
        <f>IF(K1460&lt;-5,"CRÍTICO",IF(K1460&lt;0,"ATENÇÃO",IF(K1460&lt;=5,"BOM","EXCELENTE")))</f>
        <v>BOM</v>
      </c>
      <c r="M1460">
        <v>0</v>
      </c>
      <c r="N1460">
        <v>0</v>
      </c>
      <c r="O1460">
        <v>0</v>
      </c>
    </row>
    <row r="1461" spans="1:15" hidden="1" x14ac:dyDescent="0.25">
      <c r="A1461" s="11">
        <v>46045</v>
      </c>
      <c r="B1461" t="s">
        <v>41</v>
      </c>
      <c r="C1461" t="s">
        <v>32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 s="3">
        <f>E1461+G1461+H1461</f>
        <v>11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21</v>
      </c>
      <c r="K1461" s="3">
        <f>I1461-J1461</f>
        <v>-10</v>
      </c>
      <c r="L1461" s="3" t="str">
        <f>IF(K1461&lt;-5,"CRÍTICO",IF(K1461&lt;0,"ATENÇÃO",IF(K1461&lt;=5,"BOM","EXCELENTE")))</f>
        <v>CRÍTICO</v>
      </c>
      <c r="M1461">
        <v>9</v>
      </c>
      <c r="N1461">
        <v>100</v>
      </c>
      <c r="O1461">
        <v>30.470347648261761</v>
      </c>
    </row>
    <row r="1462" spans="1:15" hidden="1" x14ac:dyDescent="0.25">
      <c r="A1462" s="11">
        <v>46045</v>
      </c>
      <c r="B1462" t="s">
        <v>56</v>
      </c>
      <c r="C1462" t="s">
        <v>48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 s="3">
        <f>E1462+G1462+H1462</f>
        <v>23</v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>17</v>
      </c>
      <c r="K1462" s="3">
        <f>I1462-J1462</f>
        <v>6</v>
      </c>
      <c r="L1462" s="3" t="str">
        <f>IF(K1462&lt;-5,"CRÍTICO",IF(K1462&lt;0,"ATENÇÃO",IF(K1462&lt;=5,"BOM","EXCELENTE")))</f>
        <v>EXCELENTE</v>
      </c>
      <c r="M1462">
        <v>21</v>
      </c>
      <c r="N1462">
        <v>100</v>
      </c>
      <c r="O1462">
        <v>32.371134020618562</v>
      </c>
    </row>
    <row r="1463" spans="1:15" hidden="1" x14ac:dyDescent="0.25">
      <c r="A1463" s="11">
        <v>46045</v>
      </c>
      <c r="B1463" t="s">
        <v>57</v>
      </c>
      <c r="C1463" t="s">
        <v>48</v>
      </c>
      <c r="D1463">
        <v>11</v>
      </c>
      <c r="E1463">
        <v>11</v>
      </c>
      <c r="F1463">
        <v>18.28</v>
      </c>
      <c r="G1463">
        <v>0</v>
      </c>
      <c r="H1463">
        <v>0</v>
      </c>
      <c r="I1463" s="3">
        <v>0</v>
      </c>
      <c r="J1463" s="3">
        <v>0</v>
      </c>
      <c r="K1463" s="3">
        <v>0</v>
      </c>
      <c r="L1463" s="3" t="str">
        <f>IF(K1463&lt;-5,"CRÍTICO",IF(K1463&lt;0,"ATENÇÃO",IF(K1463&lt;=5,"BOM","EXCELENTE")))</f>
        <v>BOM</v>
      </c>
      <c r="M1463">
        <v>10</v>
      </c>
      <c r="N1463">
        <v>98.32</v>
      </c>
      <c r="O1463">
        <v>32.318501170960189</v>
      </c>
    </row>
    <row r="1464" spans="1:15" hidden="1" x14ac:dyDescent="0.25">
      <c r="A1464" s="11">
        <v>46045</v>
      </c>
      <c r="B1464" t="s">
        <v>42</v>
      </c>
      <c r="C1464" t="s">
        <v>32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 s="3">
        <f>E1464+G1464+H1464</f>
        <v>17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21</v>
      </c>
      <c r="K1464" s="3">
        <f>I1464-J1464</f>
        <v>-4</v>
      </c>
      <c r="L1464" s="3" t="str">
        <f>IF(K1464&lt;-5,"CRÍTICO",IF(K1464&lt;0,"ATENÇÃO",IF(K1464&lt;=5,"BOM","EXCELENTE")))</f>
        <v>ATENÇÃO</v>
      </c>
      <c r="M1464">
        <v>11</v>
      </c>
      <c r="N1464">
        <v>96.43</v>
      </c>
      <c r="O1464">
        <v>27.015250544662312</v>
      </c>
    </row>
    <row r="1465" spans="1:15" hidden="1" x14ac:dyDescent="0.25">
      <c r="A1465" s="11">
        <v>46045</v>
      </c>
      <c r="B1465" t="s">
        <v>62</v>
      </c>
      <c r="C1465" t="s">
        <v>23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 s="3">
        <f>E1465+G1465+H1465</f>
        <v>18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14</v>
      </c>
      <c r="K1465" s="3">
        <f>I1465-J1465</f>
        <v>4</v>
      </c>
      <c r="L1465" s="3" t="str">
        <f>IF(K1465&lt;-5,"CRÍTICO",IF(K1465&lt;0,"ATENÇÃO",IF(K1465&lt;=5,"BOM","EXCELENTE")))</f>
        <v>BOM</v>
      </c>
      <c r="M1465">
        <v>14</v>
      </c>
      <c r="N1465">
        <v>98.89</v>
      </c>
      <c r="O1465">
        <v>28.021978021978018</v>
      </c>
    </row>
    <row r="1466" spans="1:15" hidden="1" x14ac:dyDescent="0.25">
      <c r="A1466" s="11">
        <v>46045</v>
      </c>
      <c r="B1466" t="s">
        <v>19</v>
      </c>
      <c r="C1466" t="s">
        <v>16</v>
      </c>
      <c r="D1466">
        <v>9</v>
      </c>
      <c r="E1466">
        <v>9</v>
      </c>
      <c r="F1466">
        <v>25.29</v>
      </c>
      <c r="G1466">
        <v>0</v>
      </c>
      <c r="H1466">
        <v>0</v>
      </c>
      <c r="I1466" s="3">
        <f>E1466+G1466+H1466</f>
        <v>9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6</v>
      </c>
      <c r="K1466" s="3">
        <f>I1466-J1466</f>
        <v>3</v>
      </c>
      <c r="L1466" s="3" t="str">
        <f>IF(K1466&lt;-5,"CRÍTICO",IF(K1466&lt;0,"ATENÇÃO",IF(K1466&lt;=5,"BOM","EXCELENTE")))</f>
        <v>BOM</v>
      </c>
      <c r="M1466">
        <v>6</v>
      </c>
      <c r="N1466">
        <v>100</v>
      </c>
      <c r="O1466">
        <v>33.333333333333329</v>
      </c>
    </row>
    <row r="1467" spans="1:15" hidden="1" x14ac:dyDescent="0.25">
      <c r="A1467" s="11">
        <v>46045</v>
      </c>
      <c r="B1467" t="s">
        <v>43</v>
      </c>
      <c r="C1467" t="s">
        <v>32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 s="3">
        <f>E1467+G1467+H1467</f>
        <v>26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5</v>
      </c>
      <c r="L1467" s="3" t="str">
        <f>IF(K1467&lt;-5,"CRÍTICO",IF(K1467&lt;0,"ATENÇÃO",IF(K1467&lt;=5,"BOM","EXCELENTE")))</f>
        <v>BOM</v>
      </c>
      <c r="M1467">
        <v>23</v>
      </c>
      <c r="N1467">
        <v>100</v>
      </c>
      <c r="O1467">
        <v>27.43362831858407</v>
      </c>
    </row>
    <row r="1468" spans="1:15" hidden="1" x14ac:dyDescent="0.25">
      <c r="A1468" s="11">
        <v>46045</v>
      </c>
      <c r="B1468" t="s">
        <v>44</v>
      </c>
      <c r="C1468" t="s">
        <v>32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 s="3">
        <f>E1468+G1468+H1468</f>
        <v>24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21</v>
      </c>
      <c r="K1468" s="3">
        <f>I1468-J1468</f>
        <v>3</v>
      </c>
      <c r="L1468" s="3" t="str">
        <f>IF(K1468&lt;-5,"CRÍTICO",IF(K1468&lt;0,"ATENÇÃO",IF(K1468&lt;=5,"BOM","EXCELENTE")))</f>
        <v>BOM</v>
      </c>
      <c r="M1468">
        <v>20</v>
      </c>
      <c r="N1468">
        <v>98.65</v>
      </c>
      <c r="O1468">
        <v>30.978260869565219</v>
      </c>
    </row>
    <row r="1469" spans="1:15" hidden="1" x14ac:dyDescent="0.25">
      <c r="A1469" s="11">
        <v>46045</v>
      </c>
      <c r="B1469" t="s">
        <v>20</v>
      </c>
      <c r="C1469" t="s">
        <v>16</v>
      </c>
      <c r="D1469">
        <v>8</v>
      </c>
      <c r="E1469">
        <v>8</v>
      </c>
      <c r="F1469">
        <v>32.1</v>
      </c>
      <c r="G1469">
        <v>0</v>
      </c>
      <c r="H1469">
        <v>0</v>
      </c>
      <c r="I1469" s="3">
        <f>E1469+G1469+H1469</f>
        <v>8</v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>6</v>
      </c>
      <c r="K1469" s="3">
        <f>I1469-J1469</f>
        <v>2</v>
      </c>
      <c r="L1469" s="3" t="str">
        <f>IF(K1469&lt;-5,"CRÍTICO",IF(K1469&lt;0,"ATENÇÃO",IF(K1469&lt;=5,"BOM","EXCELENTE")))</f>
        <v>BOM</v>
      </c>
      <c r="M1469">
        <v>4</v>
      </c>
      <c r="N1469">
        <v>100</v>
      </c>
      <c r="O1469">
        <v>12</v>
      </c>
    </row>
    <row r="1470" spans="1:15" hidden="1" x14ac:dyDescent="0.25">
      <c r="A1470" s="11">
        <v>46045</v>
      </c>
      <c r="B1470" t="s">
        <v>28</v>
      </c>
      <c r="C1470" t="s">
        <v>26</v>
      </c>
      <c r="D1470">
        <v>0</v>
      </c>
      <c r="E1470">
        <v>0</v>
      </c>
      <c r="F1470">
        <v>0</v>
      </c>
      <c r="G1470">
        <v>0</v>
      </c>
      <c r="H1470">
        <v>0</v>
      </c>
      <c r="I1470" s="3">
        <v>0</v>
      </c>
      <c r="J1470" s="3">
        <v>0</v>
      </c>
      <c r="K1470" s="3">
        <v>0</v>
      </c>
      <c r="L1470" s="3" t="str">
        <f>IF(K1470&lt;-5,"CRÍTICO",IF(K1470&lt;0,"ATENÇÃO",IF(K1470&lt;=5,"BOM","EXCELENTE")))</f>
        <v>BOM</v>
      </c>
      <c r="M1470">
        <v>0</v>
      </c>
      <c r="N1470">
        <v>0</v>
      </c>
      <c r="O1470">
        <v>0</v>
      </c>
    </row>
    <row r="1471" spans="1:15" hidden="1" x14ac:dyDescent="0.25">
      <c r="A1471" s="11">
        <v>46045</v>
      </c>
      <c r="B1471" t="s">
        <v>58</v>
      </c>
      <c r="C1471" t="s">
        <v>48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 s="3">
        <f>E1471+G1471+H1471</f>
        <v>21</v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>17</v>
      </c>
      <c r="K1471" s="3">
        <f>I1471-J1471</f>
        <v>4</v>
      </c>
      <c r="L1471" s="3" t="str">
        <f>IF(K1471&lt;-5,"CRÍTICO",IF(K1471&lt;0,"ATENÇÃO",IF(K1471&lt;=5,"BOM","EXCELENTE")))</f>
        <v>BOM</v>
      </c>
      <c r="M1471">
        <v>16</v>
      </c>
      <c r="N1471">
        <v>97.56</v>
      </c>
      <c r="O1471">
        <v>31.067961165048541</v>
      </c>
    </row>
    <row r="1472" spans="1:15" hidden="1" x14ac:dyDescent="0.25">
      <c r="A1472" s="11">
        <v>46045</v>
      </c>
      <c r="B1472" t="s">
        <v>29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30</v>
      </c>
      <c r="C1473" t="s">
        <v>26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21</v>
      </c>
      <c r="C1474" t="s">
        <v>16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>
        <v>0</v>
      </c>
      <c r="N1474">
        <v>0</v>
      </c>
      <c r="O1474">
        <v>0</v>
      </c>
    </row>
    <row r="1475" spans="1:15" hidden="1" x14ac:dyDescent="0.25">
      <c r="A1475" s="11">
        <v>46045</v>
      </c>
      <c r="B1475" t="s">
        <v>63</v>
      </c>
      <c r="C1475" t="s">
        <v>23</v>
      </c>
      <c r="D1475">
        <v>0</v>
      </c>
      <c r="E1475">
        <v>0</v>
      </c>
      <c r="F1475">
        <v>0</v>
      </c>
      <c r="G1475">
        <v>0</v>
      </c>
      <c r="H1475">
        <v>0</v>
      </c>
      <c r="I1475" s="3">
        <v>0</v>
      </c>
      <c r="J1475" s="3">
        <v>0</v>
      </c>
      <c r="K1475" s="3">
        <v>0</v>
      </c>
      <c r="L1475" s="3" t="str">
        <f>IF(K1475&lt;-5,"CRÍTICO",IF(K1475&lt;0,"ATENÇÃO",IF(K1475&lt;=5,"BOM","EXCELENTE")))</f>
        <v>BOM</v>
      </c>
      <c r="M1475">
        <v>0</v>
      </c>
      <c r="N1475">
        <v>100</v>
      </c>
      <c r="O1475">
        <v>53.846153846153847</v>
      </c>
    </row>
    <row r="1476" spans="1:15" hidden="1" x14ac:dyDescent="0.25">
      <c r="A1476" s="11">
        <v>46045</v>
      </c>
      <c r="B1476" t="s">
        <v>45</v>
      </c>
      <c r="C1476" t="s">
        <v>32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 s="3">
        <f>E1476+G1476+H1476</f>
        <v>28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21</v>
      </c>
      <c r="K1476" s="3">
        <f>I1476-J1476</f>
        <v>7</v>
      </c>
      <c r="L1476" s="3" t="str">
        <f>IF(K1476&lt;-5,"CRÍTICO",IF(K1476&lt;0,"ATENÇÃO",IF(K1476&lt;=5,"BOM","EXCELENTE")))</f>
        <v>EXCELENTE</v>
      </c>
      <c r="M1476">
        <v>26</v>
      </c>
      <c r="N1476">
        <v>100</v>
      </c>
      <c r="O1476">
        <v>44.05594405594406</v>
      </c>
    </row>
    <row r="1477" spans="1:15" hidden="1" x14ac:dyDescent="0.25">
      <c r="A1477" s="11">
        <v>46045</v>
      </c>
      <c r="B1477" t="s">
        <v>64</v>
      </c>
      <c r="C1477" t="s">
        <v>23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 s="3">
        <f>E1477+G1477+H1477</f>
        <v>15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14</v>
      </c>
      <c r="K1477" s="3">
        <f>I1477-J1477</f>
        <v>1</v>
      </c>
      <c r="L1477" s="3" t="str">
        <f>IF(K1477&lt;-5,"CRÍTICO",IF(K1477&lt;0,"ATENÇÃO",IF(K1477&lt;=5,"BOM","EXCELENTE")))</f>
        <v>BOM</v>
      </c>
      <c r="M1477">
        <v>14</v>
      </c>
      <c r="N1477">
        <v>100</v>
      </c>
      <c r="O1477">
        <v>31.872509960159359</v>
      </c>
    </row>
    <row r="1478" spans="1:15" hidden="1" x14ac:dyDescent="0.25">
      <c r="A1478" s="11">
        <v>46045</v>
      </c>
      <c r="B1478" t="s">
        <v>46</v>
      </c>
      <c r="C1478" t="s">
        <v>32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21</v>
      </c>
      <c r="K1478" s="3">
        <f>I1478-J1478</f>
        <v>4</v>
      </c>
      <c r="L1478" s="3" t="str">
        <f>IF(K1478&lt;-5,"CRÍTICO",IF(K1478&lt;0,"ATENÇÃO",IF(K1478&lt;=5,"BOM","EXCELENTE")))</f>
        <v>BOM</v>
      </c>
      <c r="M1478">
        <v>23</v>
      </c>
      <c r="N1478">
        <v>98.41</v>
      </c>
      <c r="O1478">
        <v>29.22465208747515</v>
      </c>
    </row>
    <row r="1479" spans="1:15" hidden="1" x14ac:dyDescent="0.25">
      <c r="A1479" s="11">
        <v>46048</v>
      </c>
      <c r="B1479" t="s">
        <v>47</v>
      </c>
      <c r="C1479" t="s">
        <v>48</v>
      </c>
      <c r="D1479">
        <v>26</v>
      </c>
      <c r="E1479">
        <v>25</v>
      </c>
      <c r="F1479">
        <v>17.2</v>
      </c>
      <c r="G1479">
        <v>0</v>
      </c>
      <c r="H1479">
        <v>0</v>
      </c>
      <c r="I1479" s="3">
        <f>E1479+G1479+H1479</f>
        <v>25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19</v>
      </c>
      <c r="K1479" s="3">
        <f>I1479-J1479</f>
        <v>6</v>
      </c>
      <c r="L1479" s="3" t="str">
        <f>IF(K1479&lt;-5,"CRÍTICO",IF(K1479&lt;0,"ATENÇÃO",IF(K1479&lt;=5,"BOM","EXCELENTE")))</f>
        <v>EXCELENTE</v>
      </c>
      <c r="M1479">
        <v>19</v>
      </c>
      <c r="N1479">
        <v>96.81</v>
      </c>
      <c r="O1479">
        <v>27.980535279805348</v>
      </c>
    </row>
    <row r="1480" spans="1:15" hidden="1" x14ac:dyDescent="0.25">
      <c r="A1480" s="11">
        <v>46048</v>
      </c>
      <c r="B1480" t="s">
        <v>31</v>
      </c>
      <c r="C1480" t="s">
        <v>32</v>
      </c>
      <c r="D1480">
        <v>0</v>
      </c>
      <c r="E1480">
        <v>0</v>
      </c>
      <c r="F1480">
        <v>0</v>
      </c>
      <c r="G1480">
        <v>0</v>
      </c>
      <c r="H1480">
        <v>0</v>
      </c>
      <c r="I1480" s="3">
        <v>0</v>
      </c>
      <c r="J1480" s="3">
        <v>0</v>
      </c>
      <c r="K1480" s="3">
        <v>0</v>
      </c>
      <c r="L1480" s="3" t="str">
        <f>IF(K1480&lt;-5,"CRÍTICO",IF(K1480&lt;0,"ATENÇÃO",IF(K1480&lt;=5,"BOM","EXCELENTE")))</f>
        <v>BOM</v>
      </c>
      <c r="M1480">
        <v>21</v>
      </c>
      <c r="N1480">
        <v>98.73</v>
      </c>
      <c r="O1480">
        <v>35.756385068762278</v>
      </c>
    </row>
    <row r="1481" spans="1:15" hidden="1" x14ac:dyDescent="0.25">
      <c r="A1481" s="11">
        <v>46048</v>
      </c>
      <c r="B1481" t="s">
        <v>59</v>
      </c>
      <c r="C1481" t="s">
        <v>23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 s="3">
        <f>E1481+G1481+H1481</f>
        <v>26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15</v>
      </c>
      <c r="K1481" s="3">
        <f>I1481-J1481</f>
        <v>11</v>
      </c>
      <c r="L1481" s="3" t="str">
        <f>IF(K1481&lt;-5,"CRÍTICO",IF(K1481&lt;0,"ATENÇÃO",IF(K1481&lt;=5,"BOM","EXCELENTE")))</f>
        <v>EXCELENTE</v>
      </c>
      <c r="M1481">
        <v>27</v>
      </c>
      <c r="N1481">
        <v>98.32</v>
      </c>
      <c r="O1481">
        <v>26.763485477178421</v>
      </c>
    </row>
    <row r="1482" spans="1:15" hidden="1" x14ac:dyDescent="0.25">
      <c r="A1482" s="11">
        <v>46048</v>
      </c>
      <c r="B1482" t="s">
        <v>33</v>
      </c>
      <c r="C1482" t="s">
        <v>32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 s="3">
        <f>E1482+G1482+H1482</f>
        <v>24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23</v>
      </c>
      <c r="K1482" s="3">
        <f>I1482-J1482</f>
        <v>1</v>
      </c>
      <c r="L1482" s="3" t="str">
        <f>IF(K1482&lt;-5,"CRÍTICO",IF(K1482&lt;0,"ATENÇÃO",IF(K1482&lt;=5,"BOM","EXCELENTE")))</f>
        <v>BOM</v>
      </c>
      <c r="M1482">
        <v>16</v>
      </c>
      <c r="N1482">
        <v>99.19</v>
      </c>
      <c r="O1482">
        <v>27.637130801687761</v>
      </c>
    </row>
    <row r="1483" spans="1:15" hidden="1" x14ac:dyDescent="0.25">
      <c r="A1483" s="11">
        <v>46048</v>
      </c>
      <c r="B1483" t="s">
        <v>15</v>
      </c>
      <c r="C1483" t="s">
        <v>16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 s="3">
        <f>E1483+G1483+H1483</f>
        <v>9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7</v>
      </c>
      <c r="K1483" s="3">
        <f>I1483-J1483</f>
        <v>2</v>
      </c>
      <c r="L1483" s="3" t="str">
        <f>IF(K1483&lt;-5,"CRÍTICO",IF(K1483&lt;0,"ATENÇÃO",IF(K1483&lt;=5,"BOM","EXCELENTE")))</f>
        <v>BOM</v>
      </c>
      <c r="M1483">
        <v>7</v>
      </c>
      <c r="N1483">
        <v>100</v>
      </c>
      <c r="O1483">
        <v>39.568345323741013</v>
      </c>
    </row>
    <row r="1484" spans="1:15" hidden="1" x14ac:dyDescent="0.25">
      <c r="A1484" s="11">
        <v>46048</v>
      </c>
      <c r="B1484" t="s">
        <v>49</v>
      </c>
      <c r="C1484" t="s">
        <v>48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 s="3">
        <f>E1484+G1484+H1484</f>
        <v>30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11</v>
      </c>
      <c r="L1484" s="3" t="str">
        <f>IF(K1484&lt;-5,"CRÍTICO",IF(K1484&lt;0,"ATENÇÃO",IF(K1484&lt;=5,"BOM","EXCELENTE")))</f>
        <v>EXCELENTE</v>
      </c>
      <c r="M1484">
        <v>30</v>
      </c>
      <c r="N1484">
        <v>98.54</v>
      </c>
      <c r="O1484">
        <v>28.544776119402989</v>
      </c>
    </row>
    <row r="1485" spans="1:15" hidden="1" x14ac:dyDescent="0.25">
      <c r="A1485" s="11">
        <v>46048</v>
      </c>
      <c r="B1485" t="s">
        <v>50</v>
      </c>
      <c r="C1485" t="s">
        <v>48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 s="3">
        <f>E1485+G1485+H1485</f>
        <v>23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19</v>
      </c>
      <c r="K1485" s="3">
        <f>I1485-J1485</f>
        <v>4</v>
      </c>
      <c r="L1485" s="3" t="str">
        <f>IF(K1485&lt;-5,"CRÍTICO",IF(K1485&lt;0,"ATENÇÃO",IF(K1485&lt;=5,"BOM","EXCELENTE")))</f>
        <v>BOM</v>
      </c>
      <c r="M1485">
        <v>21</v>
      </c>
      <c r="N1485">
        <v>100</v>
      </c>
      <c r="O1485">
        <v>34.366925064599492</v>
      </c>
    </row>
    <row r="1486" spans="1:15" hidden="1" x14ac:dyDescent="0.25">
      <c r="A1486" s="11">
        <v>46048</v>
      </c>
      <c r="B1486" t="s">
        <v>17</v>
      </c>
      <c r="C1486" t="s">
        <v>16</v>
      </c>
      <c r="D1486">
        <v>0</v>
      </c>
      <c r="E1486">
        <v>0</v>
      </c>
      <c r="F1486">
        <v>0</v>
      </c>
      <c r="G1486">
        <v>0</v>
      </c>
      <c r="H1486">
        <v>0</v>
      </c>
      <c r="I1486" s="3">
        <v>0</v>
      </c>
      <c r="J1486" s="3">
        <v>0</v>
      </c>
      <c r="K1486" s="3">
        <v>0</v>
      </c>
      <c r="L1486" s="3" t="str">
        <f>IF(K1486&lt;-5,"CRÍTICO",IF(K1486&lt;0,"ATENÇÃO",IF(K1486&lt;=5,"BOM","EXCELENTE")))</f>
        <v>BOM</v>
      </c>
      <c r="M1486">
        <v>0</v>
      </c>
      <c r="N1486">
        <v>0</v>
      </c>
      <c r="O1486">
        <v>0</v>
      </c>
    </row>
    <row r="1487" spans="1:15" hidden="1" x14ac:dyDescent="0.25">
      <c r="A1487" s="11">
        <v>46048</v>
      </c>
      <c r="B1487" t="s">
        <v>60</v>
      </c>
      <c r="C1487" t="s">
        <v>23</v>
      </c>
      <c r="D1487">
        <v>21</v>
      </c>
      <c r="E1487">
        <v>20</v>
      </c>
      <c r="F1487">
        <v>25.2</v>
      </c>
      <c r="G1487">
        <v>0</v>
      </c>
      <c r="H1487">
        <v>0</v>
      </c>
      <c r="I1487" s="3">
        <f>E1487+G1487+H1487</f>
        <v>20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15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>
        <v>19</v>
      </c>
      <c r="N1487">
        <v>100</v>
      </c>
      <c r="O1487">
        <v>29.518072289156631</v>
      </c>
    </row>
    <row r="1488" spans="1:15" hidden="1" x14ac:dyDescent="0.25">
      <c r="A1488" s="11">
        <v>46048</v>
      </c>
      <c r="B1488" t="s">
        <v>34</v>
      </c>
      <c r="C1488" t="s">
        <v>32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 s="3">
        <f>E1488+G1488+H1488</f>
        <v>28</v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>23</v>
      </c>
      <c r="K1488" s="3">
        <f>I1488-J1488</f>
        <v>5</v>
      </c>
      <c r="L1488" s="3" t="str">
        <f>IF(K1488&lt;-5,"CRÍTICO",IF(K1488&lt;0,"ATENÇÃO",IF(K1488&lt;=5,"BOM","EXCELENTE")))</f>
        <v>BOM</v>
      </c>
      <c r="M1488">
        <v>30</v>
      </c>
      <c r="N1488">
        <v>97.45</v>
      </c>
      <c r="O1488">
        <v>41.421143847487002</v>
      </c>
    </row>
    <row r="1489" spans="1:15" hidden="1" x14ac:dyDescent="0.25">
      <c r="A1489" s="11">
        <v>46048</v>
      </c>
      <c r="B1489" t="s">
        <v>51</v>
      </c>
      <c r="C1489" t="s">
        <v>48</v>
      </c>
      <c r="D1489">
        <v>30</v>
      </c>
      <c r="E1489">
        <v>21</v>
      </c>
      <c r="F1489">
        <v>20.239999999999998</v>
      </c>
      <c r="G1489">
        <v>0</v>
      </c>
      <c r="H1489">
        <v>0</v>
      </c>
      <c r="I1489" s="3">
        <v>0</v>
      </c>
      <c r="J1489" s="3">
        <v>0</v>
      </c>
      <c r="K1489" s="3">
        <v>0</v>
      </c>
      <c r="L1489" s="3" t="str">
        <f>IF(K1489&lt;-5,"CRÍTICO",IF(K1489&lt;0,"ATENÇÃO",IF(K1489&lt;=5,"BOM","EXCELENTE")))</f>
        <v>BOM</v>
      </c>
      <c r="M1489">
        <v>21</v>
      </c>
      <c r="N1489">
        <v>96.58</v>
      </c>
      <c r="O1489">
        <v>30.396475770925111</v>
      </c>
    </row>
    <row r="1490" spans="1:15" hidden="1" x14ac:dyDescent="0.25">
      <c r="A1490" s="11">
        <v>46048</v>
      </c>
      <c r="B1490" t="s">
        <v>61</v>
      </c>
      <c r="C1490" t="s">
        <v>23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 s="3">
        <f>E1490+G1490+H1490</f>
        <v>11</v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15</v>
      </c>
      <c r="K1490" s="3">
        <f>I1490-J1490</f>
        <v>-4</v>
      </c>
      <c r="L1490" s="3" t="str">
        <f>IF(K1490&lt;-5,"CRÍTICO",IF(K1490&lt;0,"ATENÇÃO",IF(K1490&lt;=5,"BOM","EXCELENTE")))</f>
        <v>ATENÇÃO</v>
      </c>
      <c r="M1490">
        <v>11</v>
      </c>
      <c r="N1490">
        <v>100</v>
      </c>
      <c r="O1490">
        <v>27.44282744282744</v>
      </c>
    </row>
    <row r="1491" spans="1:15" hidden="1" x14ac:dyDescent="0.25">
      <c r="A1491" s="11">
        <v>46048</v>
      </c>
      <c r="B1491" t="s">
        <v>35</v>
      </c>
      <c r="C1491" t="s">
        <v>32</v>
      </c>
      <c r="D1491">
        <v>11</v>
      </c>
      <c r="E1491">
        <v>10</v>
      </c>
      <c r="F1491">
        <v>18.54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>
        <v>8</v>
      </c>
      <c r="N1491">
        <v>99.49</v>
      </c>
      <c r="O1491">
        <v>40.200000000000003</v>
      </c>
    </row>
    <row r="1492" spans="1:15" hidden="1" x14ac:dyDescent="0.25">
      <c r="A1492" s="11">
        <v>46048</v>
      </c>
      <c r="B1492" t="s">
        <v>18</v>
      </c>
      <c r="C1492" t="s">
        <v>16</v>
      </c>
      <c r="D1492">
        <v>0</v>
      </c>
      <c r="E1492">
        <v>0</v>
      </c>
      <c r="F1492">
        <v>0</v>
      </c>
      <c r="G1492">
        <v>0</v>
      </c>
      <c r="H1492">
        <v>0</v>
      </c>
      <c r="I1492" s="3">
        <v>0</v>
      </c>
      <c r="J1492" s="3">
        <v>0</v>
      </c>
      <c r="K1492" s="3">
        <v>0</v>
      </c>
      <c r="L1492" s="3" t="str">
        <f>IF(K1492&lt;-5,"CRÍTICO",IF(K1492&lt;0,"ATENÇÃO",IF(K1492&lt;=5,"BOM","EXCELENTE")))</f>
        <v>BOM</v>
      </c>
      <c r="M1492">
        <v>0</v>
      </c>
      <c r="N1492">
        <v>100</v>
      </c>
      <c r="O1492">
        <v>25</v>
      </c>
    </row>
    <row r="1493" spans="1:15" hidden="1" x14ac:dyDescent="0.25">
      <c r="A1493" s="11">
        <v>46048</v>
      </c>
      <c r="B1493" t="s">
        <v>52</v>
      </c>
      <c r="C1493" t="s">
        <v>48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 s="3">
        <f>E1493+G1493+H1493</f>
        <v>31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19</v>
      </c>
      <c r="K1493" s="3">
        <f>I1493-J1493</f>
        <v>12</v>
      </c>
      <c r="L1493" s="3" t="str">
        <f>IF(K1493&lt;-5,"CRÍTICO",IF(K1493&lt;0,"ATENÇÃO",IF(K1493&lt;=5,"BOM","EXCELENTE")))</f>
        <v>EXCELENTE</v>
      </c>
      <c r="M1493">
        <v>28</v>
      </c>
      <c r="N1493">
        <v>100</v>
      </c>
      <c r="O1493">
        <v>34.15094339622641</v>
      </c>
    </row>
    <row r="1494" spans="1:15" hidden="1" x14ac:dyDescent="0.25">
      <c r="A1494" s="11">
        <v>46048</v>
      </c>
      <c r="B1494" t="s">
        <v>36</v>
      </c>
      <c r="C1494" t="s">
        <v>32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 s="3">
        <f>E1494+G1494+H1494</f>
        <v>25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23</v>
      </c>
      <c r="K1494" s="3">
        <f>I1494-J1494</f>
        <v>2</v>
      </c>
      <c r="L1494" s="3" t="str">
        <f>IF(K1494&lt;-5,"CRÍTICO",IF(K1494&lt;0,"ATENÇÃO",IF(K1494&lt;=5,"BOM","EXCELENTE")))</f>
        <v>BOM</v>
      </c>
      <c r="M1494">
        <v>26</v>
      </c>
      <c r="N1494">
        <v>100</v>
      </c>
      <c r="O1494">
        <v>32.731376975169297</v>
      </c>
    </row>
    <row r="1495" spans="1:15" hidden="1" x14ac:dyDescent="0.25">
      <c r="A1495" s="11">
        <v>46048</v>
      </c>
      <c r="B1495" t="s">
        <v>53</v>
      </c>
      <c r="C1495" t="s">
        <v>48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 s="3">
        <f>E1495+G1495+H1495</f>
        <v>24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19</v>
      </c>
      <c r="K1495" s="3">
        <f>I1495-J1495</f>
        <v>5</v>
      </c>
      <c r="L1495" s="3" t="str">
        <f>IF(K1495&lt;-5,"CRÍTICO",IF(K1495&lt;0,"ATENÇÃO",IF(K1495&lt;=5,"BOM","EXCELENTE")))</f>
        <v>BOM</v>
      </c>
      <c r="M1495">
        <v>21</v>
      </c>
      <c r="N1495">
        <v>99.31</v>
      </c>
      <c r="O1495">
        <v>30.96234309623431</v>
      </c>
    </row>
    <row r="1496" spans="1:15" hidden="1" x14ac:dyDescent="0.25">
      <c r="A1496" s="11">
        <v>46080</v>
      </c>
      <c r="B1496" t="s">
        <v>22</v>
      </c>
      <c r="C1496" t="s">
        <v>23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>E1496+G1496+H1496</f>
        <v>13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13</v>
      </c>
      <c r="K1496" s="3">
        <f>I1496-J1496</f>
        <v>0</v>
      </c>
      <c r="L1496" s="3" t="str">
        <f>IF(K1496&lt;-5,"CRÍTICO",IF(K1496&lt;0,"ATENÇÃO",IF(K1496&lt;=5,"BOM","EXCELENTE")))</f>
        <v>BOM</v>
      </c>
      <c r="M1496">
        <v>12</v>
      </c>
      <c r="N1496">
        <v>96.67</v>
      </c>
      <c r="O1496">
        <v>31.451612903225811</v>
      </c>
    </row>
    <row r="1497" spans="1:15" hidden="1" x14ac:dyDescent="0.25">
      <c r="A1497" s="11">
        <v>46048</v>
      </c>
      <c r="B1497" t="s">
        <v>54</v>
      </c>
      <c r="C1497" t="s">
        <v>48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 s="3">
        <f>E1497+G1497+H1497</f>
        <v>26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19</v>
      </c>
      <c r="K1497" s="3">
        <f>I1497-J1497</f>
        <v>7</v>
      </c>
      <c r="L1497" s="3" t="str">
        <f>IF(K1497&lt;-5,"CRÍTICO",IF(K1497&lt;0,"ATENÇÃO",IF(K1497&lt;=5,"BOM","EXCELENTE")))</f>
        <v>EXCELENTE</v>
      </c>
      <c r="M1497">
        <v>24</v>
      </c>
      <c r="N1497">
        <v>100</v>
      </c>
      <c r="O1497">
        <v>27.676767676767678</v>
      </c>
    </row>
    <row r="1498" spans="1:15" hidden="1" x14ac:dyDescent="0.25">
      <c r="A1498" s="11">
        <v>46048</v>
      </c>
      <c r="B1498" t="s">
        <v>37</v>
      </c>
      <c r="C1498" t="s">
        <v>32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 s="3">
        <f>E1498+G1498+H1498</f>
        <v>38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15</v>
      </c>
      <c r="L1498" s="3" t="str">
        <f>IF(K1498&lt;-5,"CRÍTICO",IF(K1498&lt;0,"ATENÇÃO",IF(K1498&lt;=5,"BOM","EXCELENTE")))</f>
        <v>EXCELENTE</v>
      </c>
      <c r="M1498">
        <v>34</v>
      </c>
      <c r="N1498">
        <v>100</v>
      </c>
      <c r="O1498">
        <v>31.17723156532988</v>
      </c>
    </row>
    <row r="1499" spans="1:15" hidden="1" x14ac:dyDescent="0.25">
      <c r="A1499" s="11">
        <v>46048</v>
      </c>
      <c r="B1499" t="s">
        <v>38</v>
      </c>
      <c r="C1499" t="s">
        <v>32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 s="3">
        <f>E1499+G1499+H1499</f>
        <v>21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23</v>
      </c>
      <c r="K1499" s="3">
        <f>I1499-J1499</f>
        <v>-2</v>
      </c>
      <c r="L1499" s="3" t="str">
        <f>IF(K1499&lt;-5,"CRÍTICO",IF(K1499&lt;0,"ATENÇÃO",IF(K1499&lt;=5,"BOM","EXCELENTE")))</f>
        <v>ATENÇÃO</v>
      </c>
      <c r="M1499">
        <v>18</v>
      </c>
      <c r="N1499">
        <v>100</v>
      </c>
      <c r="O1499">
        <v>27.609427609427609</v>
      </c>
    </row>
    <row r="1500" spans="1:15" hidden="1" x14ac:dyDescent="0.25">
      <c r="A1500" s="11">
        <v>46048</v>
      </c>
      <c r="B1500" t="s">
        <v>55</v>
      </c>
      <c r="C1500" t="s">
        <v>48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 s="3">
        <f>E1500+G1500+H1500</f>
        <v>28</v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>19</v>
      </c>
      <c r="K1500" s="3">
        <f>I1500-J1500</f>
        <v>9</v>
      </c>
      <c r="L1500" s="3" t="str">
        <f>IF(K1500&lt;-5,"CRÍTICO",IF(K1500&lt;0,"ATENÇÃO",IF(K1500&lt;=5,"BOM","EXCELENTE")))</f>
        <v>EXCELENTE</v>
      </c>
      <c r="M1500">
        <v>26</v>
      </c>
      <c r="N1500">
        <v>96.4</v>
      </c>
      <c r="O1500">
        <v>28.764044943820231</v>
      </c>
    </row>
    <row r="1501" spans="1:15" hidden="1" x14ac:dyDescent="0.25">
      <c r="A1501" s="11">
        <v>46048</v>
      </c>
      <c r="B1501" t="s">
        <v>39</v>
      </c>
      <c r="C1501" t="s">
        <v>32</v>
      </c>
      <c r="D1501">
        <v>0</v>
      </c>
      <c r="E1501">
        <v>0</v>
      </c>
      <c r="F1501">
        <v>0</v>
      </c>
      <c r="G1501">
        <v>0</v>
      </c>
      <c r="H1501">
        <v>0</v>
      </c>
      <c r="I1501" s="3">
        <v>0</v>
      </c>
      <c r="J1501" s="3">
        <v>0</v>
      </c>
      <c r="K1501" s="3">
        <v>0</v>
      </c>
      <c r="L1501" s="3" t="str">
        <f>IF(K1501&lt;-5,"CRÍTICO",IF(K1501&lt;0,"ATENÇÃO",IF(K1501&lt;=5,"BOM","EXCELENTE")))</f>
        <v>BOM</v>
      </c>
      <c r="M1501">
        <v>0</v>
      </c>
      <c r="N1501">
        <v>100</v>
      </c>
      <c r="O1501">
        <v>33.980582524271853</v>
      </c>
    </row>
    <row r="1502" spans="1:15" hidden="1" x14ac:dyDescent="0.25">
      <c r="A1502" s="11">
        <v>46048</v>
      </c>
      <c r="B1502" t="s">
        <v>25</v>
      </c>
      <c r="C1502" t="s">
        <v>26</v>
      </c>
      <c r="D1502">
        <v>8</v>
      </c>
      <c r="E1502">
        <v>8</v>
      </c>
      <c r="F1502">
        <v>29.18</v>
      </c>
      <c r="G1502">
        <v>0</v>
      </c>
      <c r="H1502">
        <v>0</v>
      </c>
      <c r="I1502" s="3">
        <f>E1502+G1502+H1502</f>
        <v>8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13</v>
      </c>
      <c r="K1502" s="3">
        <f>I1502-J1502</f>
        <v>-5</v>
      </c>
      <c r="L1502" s="3" t="str">
        <f>IF(K1502&lt;-5,"CRÍTICO",IF(K1502&lt;0,"ATENÇÃO",IF(K1502&lt;=5,"BOM","EXCELENTE")))</f>
        <v>ATENÇÃO</v>
      </c>
      <c r="M1502">
        <v>8</v>
      </c>
      <c r="N1502">
        <v>97.56</v>
      </c>
      <c r="O1502">
        <v>32.515337423312893</v>
      </c>
    </row>
    <row r="1503" spans="1:15" hidden="1" x14ac:dyDescent="0.25">
      <c r="A1503" s="11">
        <v>46048</v>
      </c>
      <c r="B1503" t="s">
        <v>40</v>
      </c>
      <c r="C1503" t="s">
        <v>32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 s="3">
        <f>E1503+G1503+H1503</f>
        <v>16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23</v>
      </c>
      <c r="K1503" s="3">
        <f>I1503-J1503</f>
        <v>-7</v>
      </c>
      <c r="L1503" s="3" t="str">
        <f>IF(K1503&lt;-5,"CRÍTICO",IF(K1503&lt;0,"ATENÇÃO",IF(K1503&lt;=5,"BOM","EXCELENTE")))</f>
        <v>CRÍTICO</v>
      </c>
      <c r="M1503">
        <v>17</v>
      </c>
      <c r="N1503">
        <v>97.11</v>
      </c>
      <c r="O1503">
        <v>37.408312958435211</v>
      </c>
    </row>
    <row r="1504" spans="1:15" hidden="1" x14ac:dyDescent="0.25">
      <c r="A1504" s="11">
        <v>46048</v>
      </c>
      <c r="B1504" t="s">
        <v>27</v>
      </c>
      <c r="C1504" t="s">
        <v>26</v>
      </c>
      <c r="D1504">
        <v>0</v>
      </c>
      <c r="E1504">
        <v>0</v>
      </c>
      <c r="F1504">
        <v>0</v>
      </c>
      <c r="G1504">
        <v>0</v>
      </c>
      <c r="H1504">
        <v>0</v>
      </c>
      <c r="I1504" s="3">
        <v>0</v>
      </c>
      <c r="J1504" s="3">
        <v>0</v>
      </c>
      <c r="K1504" s="3">
        <v>0</v>
      </c>
      <c r="L1504" s="3" t="str">
        <f>IF(K1504&lt;-5,"CRÍTICO",IF(K1504&lt;0,"ATENÇÃO",IF(K1504&lt;=5,"BOM","EXCELENTE")))</f>
        <v>BOM</v>
      </c>
      <c r="M1504">
        <v>0</v>
      </c>
      <c r="N1504">
        <v>0</v>
      </c>
      <c r="O1504">
        <v>0</v>
      </c>
    </row>
    <row r="1505" spans="1:15" hidden="1" x14ac:dyDescent="0.25">
      <c r="A1505" s="11">
        <v>46048</v>
      </c>
      <c r="B1505" t="s">
        <v>41</v>
      </c>
      <c r="C1505" t="s">
        <v>32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 s="3">
        <f>E1505+G1505+H1505</f>
        <v>24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23</v>
      </c>
      <c r="K1505" s="3">
        <f>I1505-J1505</f>
        <v>1</v>
      </c>
      <c r="L1505" s="3" t="str">
        <f>IF(K1505&lt;-5,"CRÍTICO",IF(K1505&lt;0,"ATENÇÃO",IF(K1505&lt;=5,"BOM","EXCELENTE")))</f>
        <v>BOM</v>
      </c>
      <c r="M1505">
        <v>24</v>
      </c>
      <c r="N1505">
        <v>100</v>
      </c>
      <c r="O1505">
        <v>30.470347648261761</v>
      </c>
    </row>
    <row r="1506" spans="1:15" hidden="1" x14ac:dyDescent="0.25">
      <c r="A1506" s="11">
        <v>46048</v>
      </c>
      <c r="B1506" t="s">
        <v>56</v>
      </c>
      <c r="C1506" t="s">
        <v>48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 s="3">
        <f>E1506+G1506+H1506</f>
        <v>30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19</v>
      </c>
      <c r="K1506" s="3">
        <f>I1506-J1506</f>
        <v>11</v>
      </c>
      <c r="L1506" s="3" t="str">
        <f>IF(K1506&lt;-5,"CRÍTICO",IF(K1506&lt;0,"ATENÇÃO",IF(K1506&lt;=5,"BOM","EXCELENTE")))</f>
        <v>EXCELENTE</v>
      </c>
      <c r="M1506">
        <v>21</v>
      </c>
      <c r="N1506">
        <v>100</v>
      </c>
      <c r="O1506">
        <v>32.371134020618562</v>
      </c>
    </row>
    <row r="1507" spans="1:15" hidden="1" x14ac:dyDescent="0.25">
      <c r="A1507" s="11">
        <v>46048</v>
      </c>
      <c r="B1507" t="s">
        <v>57</v>
      </c>
      <c r="C1507" t="s">
        <v>48</v>
      </c>
      <c r="D1507">
        <v>34</v>
      </c>
      <c r="E1507">
        <v>33</v>
      </c>
      <c r="F1507">
        <v>17.23</v>
      </c>
      <c r="G1507">
        <v>0</v>
      </c>
      <c r="H1507">
        <v>0</v>
      </c>
      <c r="I1507" s="3">
        <v>0</v>
      </c>
      <c r="J1507" s="3">
        <v>0</v>
      </c>
      <c r="K1507" s="3">
        <v>0</v>
      </c>
      <c r="L1507" s="3" t="str">
        <f>IF(K1507&lt;-5,"CRÍTICO",IF(K1507&lt;0,"ATENÇÃO",IF(K1507&lt;=5,"BOM","EXCELENTE")))</f>
        <v>BOM</v>
      </c>
      <c r="M1507">
        <v>29</v>
      </c>
      <c r="N1507">
        <v>98.32</v>
      </c>
      <c r="O1507">
        <v>32.318501170960189</v>
      </c>
    </row>
    <row r="1508" spans="1:15" hidden="1" x14ac:dyDescent="0.25">
      <c r="A1508" s="11">
        <v>46048</v>
      </c>
      <c r="B1508" t="s">
        <v>42</v>
      </c>
      <c r="C1508" t="s">
        <v>32</v>
      </c>
      <c r="D1508">
        <v>46</v>
      </c>
      <c r="E1508">
        <v>31</v>
      </c>
      <c r="F1508">
        <v>13.3</v>
      </c>
      <c r="G1508">
        <v>0</v>
      </c>
      <c r="H1508">
        <v>0</v>
      </c>
      <c r="I1508" s="3">
        <f>E1508+G1508+H1508</f>
        <v>31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23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>
        <v>28</v>
      </c>
      <c r="N1508">
        <v>96.43</v>
      </c>
      <c r="O1508">
        <v>27.015250544662312</v>
      </c>
    </row>
    <row r="1509" spans="1:15" hidden="1" x14ac:dyDescent="0.25">
      <c r="A1509" s="11">
        <v>46048</v>
      </c>
      <c r="B1509" t="s">
        <v>62</v>
      </c>
      <c r="C1509" t="s">
        <v>23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 s="3">
        <f>E1509+G1509+H1509</f>
        <v>23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15</v>
      </c>
      <c r="K1509" s="3">
        <f>I1509-J1509</f>
        <v>8</v>
      </c>
      <c r="L1509" s="3" t="str">
        <f>IF(K1509&lt;-5,"CRÍTICO",IF(K1509&lt;0,"ATENÇÃO",IF(K1509&lt;=5,"BOM","EXCELENTE")))</f>
        <v>EXCELENTE</v>
      </c>
      <c r="M1509">
        <v>22</v>
      </c>
      <c r="N1509">
        <v>98.89</v>
      </c>
      <c r="O1509">
        <v>28.021978021978018</v>
      </c>
    </row>
    <row r="1510" spans="1:15" hidden="1" x14ac:dyDescent="0.25">
      <c r="A1510" s="11">
        <v>46048</v>
      </c>
      <c r="B1510" t="s">
        <v>19</v>
      </c>
      <c r="C1510" t="s">
        <v>16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>
        <v>0</v>
      </c>
      <c r="N1510">
        <v>100</v>
      </c>
      <c r="O1510">
        <v>33.333333333333329</v>
      </c>
    </row>
    <row r="1511" spans="1:15" hidden="1" x14ac:dyDescent="0.25">
      <c r="A1511" s="11">
        <v>46048</v>
      </c>
      <c r="B1511" t="s">
        <v>43</v>
      </c>
      <c r="C1511" t="s">
        <v>32</v>
      </c>
      <c r="D1511">
        <v>0</v>
      </c>
      <c r="E1511">
        <v>0</v>
      </c>
      <c r="F1511">
        <v>0</v>
      </c>
      <c r="G1511">
        <v>0</v>
      </c>
      <c r="H1511">
        <v>0</v>
      </c>
      <c r="I1511" s="3">
        <v>0</v>
      </c>
      <c r="J1511" s="3">
        <v>0</v>
      </c>
      <c r="K1511" s="3">
        <v>0</v>
      </c>
      <c r="L1511" s="3" t="str">
        <f>IF(K1511&lt;-5,"CRÍTICO",IF(K1511&lt;0,"ATENÇÃO",IF(K1511&lt;=5,"BOM","EXCELENTE")))</f>
        <v>BOM</v>
      </c>
      <c r="M1511">
        <v>0</v>
      </c>
      <c r="N1511">
        <v>100</v>
      </c>
      <c r="O1511">
        <v>27.43362831858407</v>
      </c>
    </row>
    <row r="1512" spans="1:15" hidden="1" x14ac:dyDescent="0.25">
      <c r="A1512" s="11">
        <v>46048</v>
      </c>
      <c r="B1512" t="s">
        <v>44</v>
      </c>
      <c r="C1512" t="s">
        <v>32</v>
      </c>
      <c r="D1512">
        <v>46</v>
      </c>
      <c r="E1512">
        <v>33</v>
      </c>
      <c r="F1512">
        <v>9.14</v>
      </c>
      <c r="G1512">
        <v>0</v>
      </c>
      <c r="H1512">
        <v>0</v>
      </c>
      <c r="I1512" s="3">
        <f>E1512+G1512+H1512</f>
        <v>33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23</v>
      </c>
      <c r="K1512" s="3">
        <f>I1512-J1512</f>
        <v>10</v>
      </c>
      <c r="L1512" s="3" t="str">
        <f>IF(K1512&lt;-5,"CRÍTICO",IF(K1512&lt;0,"ATENÇÃO",IF(K1512&lt;=5,"BOM","EXCELENTE")))</f>
        <v>EXCELENTE</v>
      </c>
      <c r="M1512">
        <v>31</v>
      </c>
      <c r="N1512">
        <v>98.65</v>
      </c>
      <c r="O1512">
        <v>30.978260869565219</v>
      </c>
    </row>
    <row r="1513" spans="1:15" hidden="1" x14ac:dyDescent="0.25">
      <c r="A1513" s="11">
        <v>46048</v>
      </c>
      <c r="B1513" t="s">
        <v>20</v>
      </c>
      <c r="C1513" t="s">
        <v>16</v>
      </c>
      <c r="D1513">
        <v>3</v>
      </c>
      <c r="E1513">
        <v>3</v>
      </c>
      <c r="F1513">
        <v>79.17</v>
      </c>
      <c r="G1513">
        <v>0</v>
      </c>
      <c r="H1513">
        <v>0</v>
      </c>
      <c r="I1513" s="3">
        <f>E1513+G1513+H1513</f>
        <v>3</v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>7</v>
      </c>
      <c r="K1513" s="3">
        <f>I1513-J1513</f>
        <v>-4</v>
      </c>
      <c r="L1513" s="3" t="str">
        <f>IF(K1513&lt;-5,"CRÍTICO",IF(K1513&lt;0,"ATENÇÃO",IF(K1513&lt;=5,"BOM","EXCELENTE")))</f>
        <v>ATENÇÃO</v>
      </c>
      <c r="M1513">
        <v>0</v>
      </c>
      <c r="N1513">
        <v>100</v>
      </c>
      <c r="O1513">
        <v>12</v>
      </c>
    </row>
    <row r="1514" spans="1:15" hidden="1" x14ac:dyDescent="0.25">
      <c r="A1514" s="11">
        <v>46048</v>
      </c>
      <c r="B1514" t="s">
        <v>28</v>
      </c>
      <c r="C1514" t="s">
        <v>26</v>
      </c>
      <c r="D1514">
        <v>0</v>
      </c>
      <c r="E1514">
        <v>0</v>
      </c>
      <c r="F1514">
        <v>0</v>
      </c>
      <c r="G1514">
        <v>0</v>
      </c>
      <c r="H1514">
        <v>0</v>
      </c>
      <c r="I1514" s="3">
        <v>0</v>
      </c>
      <c r="J1514" s="3">
        <v>0</v>
      </c>
      <c r="K1514" s="3">
        <v>0</v>
      </c>
      <c r="L1514" s="3" t="str">
        <f>IF(K1514&lt;-5,"CRÍTICO",IF(K1514&lt;0,"ATENÇÃO",IF(K1514&lt;=5,"BOM","EXCELENTE")))</f>
        <v>BOM</v>
      </c>
      <c r="M1514">
        <v>0</v>
      </c>
      <c r="N1514">
        <v>0</v>
      </c>
      <c r="O1514">
        <v>0</v>
      </c>
    </row>
    <row r="1515" spans="1:15" hidden="1" x14ac:dyDescent="0.25">
      <c r="A1515" s="11">
        <v>46048</v>
      </c>
      <c r="B1515" t="s">
        <v>58</v>
      </c>
      <c r="C1515" t="s">
        <v>48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 s="3">
        <f>E1515+G1515+H1515</f>
        <v>19</v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>19</v>
      </c>
      <c r="K1515" s="3">
        <f>I1515-J1515</f>
        <v>0</v>
      </c>
      <c r="L1515" s="3" t="str">
        <f>IF(K1515&lt;-5,"CRÍTICO",IF(K1515&lt;0,"ATENÇÃO",IF(K1515&lt;=5,"BOM","EXCELENTE")))</f>
        <v>BOM</v>
      </c>
      <c r="M1515">
        <v>17</v>
      </c>
      <c r="N1515">
        <v>97.56</v>
      </c>
      <c r="O1515">
        <v>31.067961165048541</v>
      </c>
    </row>
    <row r="1516" spans="1:15" hidden="1" x14ac:dyDescent="0.25">
      <c r="A1516" s="11">
        <v>46048</v>
      </c>
      <c r="B1516" t="s">
        <v>29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30</v>
      </c>
      <c r="C1517" t="s">
        <v>26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21</v>
      </c>
      <c r="C1518" t="s">
        <v>16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>
        <v>0</v>
      </c>
      <c r="N1518">
        <v>0</v>
      </c>
      <c r="O1518">
        <v>0</v>
      </c>
    </row>
    <row r="1519" spans="1:15" hidden="1" x14ac:dyDescent="0.25">
      <c r="A1519" s="11">
        <v>46048</v>
      </c>
      <c r="B1519" t="s">
        <v>63</v>
      </c>
      <c r="C1519" t="s">
        <v>23</v>
      </c>
      <c r="D1519">
        <v>0</v>
      </c>
      <c r="E1519">
        <v>0</v>
      </c>
      <c r="F1519">
        <v>0</v>
      </c>
      <c r="G1519">
        <v>0</v>
      </c>
      <c r="H1519">
        <v>0</v>
      </c>
      <c r="I1519" s="3">
        <v>0</v>
      </c>
      <c r="J1519" s="3">
        <v>0</v>
      </c>
      <c r="K1519" s="3">
        <v>0</v>
      </c>
      <c r="L1519" s="3" t="str">
        <f>IF(K1519&lt;-5,"CRÍTICO",IF(K1519&lt;0,"ATENÇÃO",IF(K1519&lt;=5,"BOM","EXCELENTE")))</f>
        <v>BOM</v>
      </c>
      <c r="M1519">
        <v>0</v>
      </c>
      <c r="N1519">
        <v>100</v>
      </c>
      <c r="O1519">
        <v>53.846153846153847</v>
      </c>
    </row>
    <row r="1520" spans="1:15" hidden="1" x14ac:dyDescent="0.25">
      <c r="A1520" s="11">
        <v>46048</v>
      </c>
      <c r="B1520" t="s">
        <v>45</v>
      </c>
      <c r="C1520" t="s">
        <v>32</v>
      </c>
      <c r="D1520">
        <v>35</v>
      </c>
      <c r="E1520">
        <v>33</v>
      </c>
      <c r="F1520">
        <v>12.1</v>
      </c>
      <c r="G1520">
        <v>0</v>
      </c>
      <c r="H1520">
        <v>0</v>
      </c>
      <c r="I1520" s="3">
        <f>E1520+G1520+H1520</f>
        <v>33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23</v>
      </c>
      <c r="K1520" s="3">
        <f>I1520-J1520</f>
        <v>10</v>
      </c>
      <c r="L1520" s="3" t="str">
        <f>IF(K1520&lt;-5,"CRÍTICO",IF(K1520&lt;0,"ATENÇÃO",IF(K1520&lt;=5,"BOM","EXCELENTE")))</f>
        <v>EXCELENTE</v>
      </c>
      <c r="M1520">
        <v>33</v>
      </c>
      <c r="N1520">
        <v>100</v>
      </c>
      <c r="O1520">
        <v>44.05594405594406</v>
      </c>
    </row>
    <row r="1521" spans="1:15" hidden="1" x14ac:dyDescent="0.25">
      <c r="A1521" s="11">
        <v>46048</v>
      </c>
      <c r="B1521" t="s">
        <v>64</v>
      </c>
      <c r="C1521" t="s">
        <v>23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 s="3">
        <f>E1521+G1521+H1521</f>
        <v>13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15</v>
      </c>
      <c r="K1521" s="3">
        <f>I1521-J1521</f>
        <v>-2</v>
      </c>
      <c r="L1521" s="3" t="str">
        <f>IF(K1521&lt;-5,"CRÍTICO",IF(K1521&lt;0,"ATENÇÃO",IF(K1521&lt;=5,"BOM","EXCELENTE")))</f>
        <v>ATENÇÃO</v>
      </c>
      <c r="M1521">
        <v>13</v>
      </c>
      <c r="N1521">
        <v>100</v>
      </c>
      <c r="O1521">
        <v>31.872509960159359</v>
      </c>
    </row>
    <row r="1522" spans="1:15" hidden="1" x14ac:dyDescent="0.25">
      <c r="A1522" s="11">
        <v>46048</v>
      </c>
      <c r="B1522" t="s">
        <v>46</v>
      </c>
      <c r="C1522" t="s">
        <v>32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23</v>
      </c>
      <c r="K1522" s="3">
        <f>I1522-J1522</f>
        <v>3</v>
      </c>
      <c r="L1522" s="3" t="str">
        <f>IF(K1522&lt;-5,"CRÍTICO",IF(K1522&lt;0,"ATENÇÃO",IF(K1522&lt;=5,"BOM","EXCELENTE")))</f>
        <v>BOM</v>
      </c>
      <c r="M1522">
        <v>24</v>
      </c>
      <c r="N1522">
        <v>98.41</v>
      </c>
      <c r="O1522">
        <v>29.22465208747515</v>
      </c>
    </row>
    <row r="1523" spans="1:15" hidden="1" x14ac:dyDescent="0.25">
      <c r="A1523" s="11">
        <v>46049</v>
      </c>
      <c r="B1523" t="s">
        <v>47</v>
      </c>
      <c r="C1523" t="s">
        <v>48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 s="3">
        <f>E1523+G1523+H1523</f>
        <v>28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20</v>
      </c>
      <c r="K1523" s="3">
        <f>I1523-J1523</f>
        <v>8</v>
      </c>
      <c r="L1523" s="3" t="str">
        <f>IF(K1523&lt;-5,"CRÍTICO",IF(K1523&lt;0,"ATENÇÃO",IF(K1523&lt;=5,"BOM","EXCELENTE")))</f>
        <v>EXCELENTE</v>
      </c>
      <c r="M1523">
        <v>21</v>
      </c>
      <c r="N1523">
        <v>96.81</v>
      </c>
      <c r="O1523">
        <v>27.980535279805348</v>
      </c>
    </row>
    <row r="1524" spans="1:15" hidden="1" x14ac:dyDescent="0.25">
      <c r="A1524" s="11">
        <v>46049</v>
      </c>
      <c r="B1524" t="s">
        <v>31</v>
      </c>
      <c r="C1524" t="s">
        <v>32</v>
      </c>
      <c r="D1524">
        <v>0</v>
      </c>
      <c r="E1524">
        <v>0</v>
      </c>
      <c r="F1524">
        <v>0</v>
      </c>
      <c r="G1524">
        <v>0</v>
      </c>
      <c r="H1524">
        <v>0</v>
      </c>
      <c r="I1524" s="3">
        <v>0</v>
      </c>
      <c r="J1524" s="3">
        <v>0</v>
      </c>
      <c r="K1524" s="3">
        <v>0</v>
      </c>
      <c r="L1524" s="3" t="str">
        <f>IF(K1524&lt;-5,"CRÍTICO",IF(K1524&lt;0,"ATENÇÃO",IF(K1524&lt;=5,"BOM","EXCELENTE")))</f>
        <v>BOM</v>
      </c>
      <c r="M1524">
        <v>29</v>
      </c>
      <c r="N1524">
        <v>98.73</v>
      </c>
      <c r="O1524">
        <v>35.756385068762278</v>
      </c>
    </row>
    <row r="1525" spans="1:15" hidden="1" x14ac:dyDescent="0.25">
      <c r="A1525" s="11">
        <v>46049</v>
      </c>
      <c r="B1525" t="s">
        <v>59</v>
      </c>
      <c r="C1525" t="s">
        <v>23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 s="3">
        <f>E1525+G1525+H1525</f>
        <v>26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17</v>
      </c>
      <c r="K1525" s="3">
        <f>I1525-J1525</f>
        <v>9</v>
      </c>
      <c r="L1525" s="3" t="str">
        <f>IF(K1525&lt;-5,"CRÍTICO",IF(K1525&lt;0,"ATENÇÃO",IF(K1525&lt;=5,"BOM","EXCELENTE")))</f>
        <v>EXCELENTE</v>
      </c>
      <c r="M1525">
        <v>24</v>
      </c>
      <c r="N1525">
        <v>98.32</v>
      </c>
      <c r="O1525">
        <v>26.763485477178421</v>
      </c>
    </row>
    <row r="1526" spans="1:15" hidden="1" x14ac:dyDescent="0.25">
      <c r="A1526" s="11">
        <v>46049</v>
      </c>
      <c r="B1526" t="s">
        <v>33</v>
      </c>
      <c r="C1526" t="s">
        <v>32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 s="3">
        <f>E1526+G1526+H1526</f>
        <v>37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25</v>
      </c>
      <c r="K1526" s="3">
        <f>I1526-J1526</f>
        <v>12</v>
      </c>
      <c r="L1526" s="3" t="str">
        <f>IF(K1526&lt;-5,"CRÍTICO",IF(K1526&lt;0,"ATENÇÃO",IF(K1526&lt;=5,"BOM","EXCELENTE")))</f>
        <v>EXCELENTE</v>
      </c>
      <c r="M1526">
        <v>31</v>
      </c>
      <c r="N1526">
        <v>99.19</v>
      </c>
      <c r="O1526">
        <v>27.637130801687761</v>
      </c>
    </row>
    <row r="1527" spans="1:15" hidden="1" x14ac:dyDescent="0.25">
      <c r="A1527" s="11">
        <v>46049</v>
      </c>
      <c r="B1527" t="s">
        <v>15</v>
      </c>
      <c r="C1527" t="s">
        <v>16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 s="3">
        <f>E1527+G1527+H1527</f>
        <v>12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7</v>
      </c>
      <c r="K1527" s="3">
        <f>I1527-J1527</f>
        <v>5</v>
      </c>
      <c r="L1527" s="3" t="str">
        <f>IF(K1527&lt;-5,"CRÍTICO",IF(K1527&lt;0,"ATENÇÃO",IF(K1527&lt;=5,"BOM","EXCELENTE")))</f>
        <v>BOM</v>
      </c>
      <c r="M1527">
        <v>10</v>
      </c>
      <c r="N1527">
        <v>100</v>
      </c>
      <c r="O1527">
        <v>39.568345323741013</v>
      </c>
    </row>
    <row r="1528" spans="1:15" hidden="1" x14ac:dyDescent="0.25">
      <c r="A1528" s="11">
        <v>46049</v>
      </c>
      <c r="B1528" t="s">
        <v>49</v>
      </c>
      <c r="C1528" t="s">
        <v>48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 s="3">
        <f>E1528+G1528+H1528</f>
        <v>30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10</v>
      </c>
      <c r="L1528" s="3" t="str">
        <f>IF(K1528&lt;-5,"CRÍTICO",IF(K1528&lt;0,"ATENÇÃO",IF(K1528&lt;=5,"BOM","EXCELENTE")))</f>
        <v>EXCELENTE</v>
      </c>
      <c r="M1528">
        <v>26</v>
      </c>
      <c r="N1528">
        <v>98.54</v>
      </c>
      <c r="O1528">
        <v>28.544776119402989</v>
      </c>
    </row>
    <row r="1529" spans="1:15" hidden="1" x14ac:dyDescent="0.25">
      <c r="A1529" s="11">
        <v>46049</v>
      </c>
      <c r="B1529" t="s">
        <v>50</v>
      </c>
      <c r="C1529" t="s">
        <v>48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 s="3">
        <f>E1529+G1529+H1529</f>
        <v>24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20</v>
      </c>
      <c r="K1529" s="3">
        <f>I1529-J1529</f>
        <v>4</v>
      </c>
      <c r="L1529" s="3" t="str">
        <f>IF(K1529&lt;-5,"CRÍTICO",IF(K1529&lt;0,"ATENÇÃO",IF(K1529&lt;=5,"BOM","EXCELENTE")))</f>
        <v>BOM</v>
      </c>
      <c r="M1529">
        <v>22</v>
      </c>
      <c r="N1529">
        <v>100</v>
      </c>
      <c r="O1529">
        <v>34.366925064599492</v>
      </c>
    </row>
    <row r="1530" spans="1:15" hidden="1" x14ac:dyDescent="0.25">
      <c r="A1530" s="11">
        <v>46049</v>
      </c>
      <c r="B1530" t="s">
        <v>17</v>
      </c>
      <c r="C1530" t="s">
        <v>16</v>
      </c>
      <c r="D1530">
        <v>0</v>
      </c>
      <c r="E1530">
        <v>0</v>
      </c>
      <c r="F1530">
        <v>0</v>
      </c>
      <c r="G1530">
        <v>0</v>
      </c>
      <c r="H1530">
        <v>0</v>
      </c>
      <c r="I1530" s="3">
        <v>0</v>
      </c>
      <c r="J1530" s="3">
        <v>0</v>
      </c>
      <c r="K1530" s="3">
        <v>0</v>
      </c>
      <c r="L1530" s="3" t="str">
        <f>IF(K1530&lt;-5,"CRÍTICO",IF(K1530&lt;0,"ATENÇÃO",IF(K1530&lt;=5,"BOM","EXCELENTE")))</f>
        <v>BOM</v>
      </c>
      <c r="M1530">
        <v>0</v>
      </c>
      <c r="N1530">
        <v>0</v>
      </c>
      <c r="O1530">
        <v>0</v>
      </c>
    </row>
    <row r="1531" spans="1:15" hidden="1" x14ac:dyDescent="0.25">
      <c r="A1531" s="11">
        <v>46049</v>
      </c>
      <c r="B1531" t="s">
        <v>60</v>
      </c>
      <c r="C1531" t="s">
        <v>23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 s="3">
        <f>E1531+G1531+H1531</f>
        <v>26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17</v>
      </c>
      <c r="K1531" s="3">
        <f>I1531-J1531</f>
        <v>9</v>
      </c>
      <c r="L1531" s="3" t="str">
        <f>IF(K1531&lt;-5,"CRÍTICO",IF(K1531&lt;0,"ATENÇÃO",IF(K1531&lt;=5,"BOM","EXCELENTE")))</f>
        <v>EXCELENTE</v>
      </c>
      <c r="M1531">
        <v>22</v>
      </c>
      <c r="N1531">
        <v>100</v>
      </c>
      <c r="O1531">
        <v>29.518072289156631</v>
      </c>
    </row>
    <row r="1532" spans="1:15" hidden="1" x14ac:dyDescent="0.25">
      <c r="A1532" s="11">
        <v>46049</v>
      </c>
      <c r="B1532" t="s">
        <v>34</v>
      </c>
      <c r="C1532" t="s">
        <v>32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 s="3">
        <f>E1532+G1532+H1532</f>
        <v>28</v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>25</v>
      </c>
      <c r="K1532" s="3">
        <f>I1532-J1532</f>
        <v>3</v>
      </c>
      <c r="L1532" s="3" t="str">
        <f>IF(K1532&lt;-5,"CRÍTICO",IF(K1532&lt;0,"ATENÇÃO",IF(K1532&lt;=5,"BOM","EXCELENTE")))</f>
        <v>BOM</v>
      </c>
      <c r="M1532">
        <v>25</v>
      </c>
      <c r="N1532">
        <v>97.45</v>
      </c>
      <c r="O1532">
        <v>41.421143847487002</v>
      </c>
    </row>
    <row r="1533" spans="1:15" hidden="1" x14ac:dyDescent="0.25">
      <c r="A1533" s="11">
        <v>46049</v>
      </c>
      <c r="B1533" t="s">
        <v>51</v>
      </c>
      <c r="C1533" t="s">
        <v>48</v>
      </c>
      <c r="D1533">
        <v>35</v>
      </c>
      <c r="E1533">
        <v>25</v>
      </c>
      <c r="F1533">
        <v>13.29</v>
      </c>
      <c r="G1533">
        <v>0</v>
      </c>
      <c r="H1533">
        <v>0</v>
      </c>
      <c r="I1533" s="3">
        <v>0</v>
      </c>
      <c r="J1533" s="3">
        <v>0</v>
      </c>
      <c r="K1533" s="3">
        <v>0</v>
      </c>
      <c r="L1533" s="3" t="str">
        <f>IF(K1533&lt;-5,"CRÍTICO",IF(K1533&lt;0,"ATENÇÃO",IF(K1533&lt;=5,"BOM","EXCELENTE")))</f>
        <v>BOM</v>
      </c>
      <c r="M1533">
        <v>19</v>
      </c>
      <c r="N1533">
        <v>96.58</v>
      </c>
      <c r="O1533">
        <v>30.396475770925111</v>
      </c>
    </row>
    <row r="1534" spans="1:15" hidden="1" x14ac:dyDescent="0.25">
      <c r="A1534" s="11">
        <v>46049</v>
      </c>
      <c r="B1534" t="s">
        <v>61</v>
      </c>
      <c r="C1534" t="s">
        <v>23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 s="3">
        <f>E1534+G1534+H1534</f>
        <v>22</v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17</v>
      </c>
      <c r="K1534" s="3">
        <f>I1534-J1534</f>
        <v>5</v>
      </c>
      <c r="L1534" s="3" t="str">
        <f>IF(K1534&lt;-5,"CRÍTICO",IF(K1534&lt;0,"ATENÇÃO",IF(K1534&lt;=5,"BOM","EXCELENTE")))</f>
        <v>BOM</v>
      </c>
      <c r="M1534">
        <v>27</v>
      </c>
      <c r="N1534">
        <v>100</v>
      </c>
      <c r="O1534">
        <v>27.44282744282744</v>
      </c>
    </row>
    <row r="1535" spans="1:15" hidden="1" x14ac:dyDescent="0.25">
      <c r="A1535" s="11">
        <v>46049</v>
      </c>
      <c r="B1535" t="s">
        <v>35</v>
      </c>
      <c r="C1535" t="s">
        <v>32</v>
      </c>
      <c r="D1535">
        <v>29</v>
      </c>
      <c r="E1535">
        <v>28</v>
      </c>
      <c r="F1535">
        <v>26.43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>
        <v>26</v>
      </c>
      <c r="N1535">
        <v>99.49</v>
      </c>
      <c r="O1535">
        <v>40.200000000000003</v>
      </c>
    </row>
    <row r="1536" spans="1:15" hidden="1" x14ac:dyDescent="0.25">
      <c r="A1536" s="11">
        <v>46049</v>
      </c>
      <c r="B1536" t="s">
        <v>18</v>
      </c>
      <c r="C1536" t="s">
        <v>16</v>
      </c>
      <c r="D1536">
        <v>0</v>
      </c>
      <c r="E1536">
        <v>0</v>
      </c>
      <c r="F1536">
        <v>0</v>
      </c>
      <c r="G1536">
        <v>0</v>
      </c>
      <c r="H1536">
        <v>0</v>
      </c>
      <c r="I1536" s="3">
        <v>0</v>
      </c>
      <c r="J1536" s="3">
        <v>0</v>
      </c>
      <c r="K1536" s="3">
        <v>0</v>
      </c>
      <c r="L1536" s="3" t="str">
        <f>IF(K1536&lt;-5,"CRÍTICO",IF(K1536&lt;0,"ATENÇÃO",IF(K1536&lt;=5,"BOM","EXCELENTE")))</f>
        <v>BOM</v>
      </c>
      <c r="M1536">
        <v>0</v>
      </c>
      <c r="N1536">
        <v>100</v>
      </c>
      <c r="O1536">
        <v>25</v>
      </c>
    </row>
    <row r="1537" spans="1:15" hidden="1" x14ac:dyDescent="0.25">
      <c r="A1537" s="11">
        <v>46049</v>
      </c>
      <c r="B1537" t="s">
        <v>52</v>
      </c>
      <c r="C1537" t="s">
        <v>48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 s="3">
        <f>E1537+G1537+H1537</f>
        <v>34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20</v>
      </c>
      <c r="K1537" s="3">
        <f>I1537-J1537</f>
        <v>14</v>
      </c>
      <c r="L1537" s="3" t="str">
        <f>IF(K1537&lt;-5,"CRÍTICO",IF(K1537&lt;0,"ATENÇÃO",IF(K1537&lt;=5,"BOM","EXCELENTE")))</f>
        <v>EXCELENTE</v>
      </c>
      <c r="M1537">
        <v>30</v>
      </c>
      <c r="N1537">
        <v>100</v>
      </c>
      <c r="O1537">
        <v>34.15094339622641</v>
      </c>
    </row>
    <row r="1538" spans="1:15" hidden="1" x14ac:dyDescent="0.25">
      <c r="A1538" s="11">
        <v>46049</v>
      </c>
      <c r="B1538" t="s">
        <v>36</v>
      </c>
      <c r="C1538" t="s">
        <v>32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 s="3">
        <f>E1538+G1538+H1538</f>
        <v>23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25</v>
      </c>
      <c r="K1538" s="3">
        <f>I1538-J1538</f>
        <v>-2</v>
      </c>
      <c r="L1538" s="3" t="str">
        <f>IF(K1538&lt;-5,"CRÍTICO",IF(K1538&lt;0,"ATENÇÃO",IF(K1538&lt;=5,"BOM","EXCELENTE")))</f>
        <v>ATENÇÃO</v>
      </c>
      <c r="M1538">
        <v>25</v>
      </c>
      <c r="N1538">
        <v>100</v>
      </c>
      <c r="O1538">
        <v>32.731376975169297</v>
      </c>
    </row>
    <row r="1539" spans="1:15" hidden="1" x14ac:dyDescent="0.25">
      <c r="A1539" s="11">
        <v>46049</v>
      </c>
      <c r="B1539" t="s">
        <v>53</v>
      </c>
      <c r="C1539" t="s">
        <v>48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 s="3">
        <f>E1539+G1539+H1539</f>
        <v>33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20</v>
      </c>
      <c r="K1539" s="3">
        <f>I1539-J1539</f>
        <v>13</v>
      </c>
      <c r="L1539" s="3" t="str">
        <f>IF(K1539&lt;-5,"CRÍTICO",IF(K1539&lt;0,"ATENÇÃO",IF(K1539&lt;=5,"BOM","EXCELENTE")))</f>
        <v>EXCELENTE</v>
      </c>
      <c r="M1539">
        <v>25</v>
      </c>
      <c r="N1539">
        <v>99.31</v>
      </c>
      <c r="O1539">
        <v>30.96234309623431</v>
      </c>
    </row>
    <row r="1540" spans="1:15" hidden="1" x14ac:dyDescent="0.25">
      <c r="A1540" s="11">
        <v>46083</v>
      </c>
      <c r="B1540" t="s">
        <v>22</v>
      </c>
      <c r="C1540" t="s">
        <v>23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>E1540+G1540+H1540</f>
        <v>21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18</v>
      </c>
      <c r="K1540" s="3">
        <f>I1540-J1540</f>
        <v>3</v>
      </c>
      <c r="L1540" s="3" t="str">
        <f>IF(K1540&lt;-5,"CRÍTICO",IF(K1540&lt;0,"ATENÇÃO",IF(K1540&lt;=5,"BOM","EXCELENTE")))</f>
        <v>BOM</v>
      </c>
      <c r="M1540">
        <v>20</v>
      </c>
      <c r="N1540">
        <v>99.05</v>
      </c>
      <c r="O1540">
        <v>26.621923937360179</v>
      </c>
    </row>
    <row r="1541" spans="1:15" hidden="1" x14ac:dyDescent="0.25">
      <c r="A1541" s="11">
        <v>46049</v>
      </c>
      <c r="B1541" t="s">
        <v>54</v>
      </c>
      <c r="C1541" t="s">
        <v>48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 s="3">
        <f>E1541+G1541+H1541</f>
        <v>32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20</v>
      </c>
      <c r="K1541" s="3">
        <f>I1541-J1541</f>
        <v>12</v>
      </c>
      <c r="L1541" s="3" t="str">
        <f>IF(K1541&lt;-5,"CRÍTICO",IF(K1541&lt;0,"ATENÇÃO",IF(K1541&lt;=5,"BOM","EXCELENTE")))</f>
        <v>EXCELENTE</v>
      </c>
      <c r="M1541">
        <v>28</v>
      </c>
      <c r="N1541">
        <v>100</v>
      </c>
      <c r="O1541">
        <v>27.676767676767678</v>
      </c>
    </row>
    <row r="1542" spans="1:15" hidden="1" x14ac:dyDescent="0.25">
      <c r="A1542" s="11">
        <v>46049</v>
      </c>
      <c r="B1542" t="s">
        <v>37</v>
      </c>
      <c r="C1542" t="s">
        <v>32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 s="3">
        <f>E1542+G1542+H1542</f>
        <v>36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11</v>
      </c>
      <c r="L1542" s="3" t="str">
        <f>IF(K1542&lt;-5,"CRÍTICO",IF(K1542&lt;0,"ATENÇÃO",IF(K1542&lt;=5,"BOM","EXCELENTE")))</f>
        <v>EXCELENTE</v>
      </c>
      <c r="M1542">
        <v>30</v>
      </c>
      <c r="N1542">
        <v>100</v>
      </c>
      <c r="O1542">
        <v>31.17723156532988</v>
      </c>
    </row>
    <row r="1543" spans="1:15" hidden="1" x14ac:dyDescent="0.25">
      <c r="A1543" s="11">
        <v>46049</v>
      </c>
      <c r="B1543" t="s">
        <v>38</v>
      </c>
      <c r="C1543" t="s">
        <v>32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 s="3">
        <f>E1543+G1543+H1543</f>
        <v>15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25</v>
      </c>
      <c r="K1543" s="3">
        <f>I1543-J1543</f>
        <v>-10</v>
      </c>
      <c r="L1543" s="3" t="str">
        <f>IF(K1543&lt;-5,"CRÍTICO",IF(K1543&lt;0,"ATENÇÃO",IF(K1543&lt;=5,"BOM","EXCELENTE")))</f>
        <v>CRÍTICO</v>
      </c>
      <c r="M1543">
        <v>14</v>
      </c>
      <c r="N1543">
        <v>100</v>
      </c>
      <c r="O1543">
        <v>27.609427609427609</v>
      </c>
    </row>
    <row r="1544" spans="1:15" hidden="1" x14ac:dyDescent="0.25">
      <c r="A1544" s="11">
        <v>46049</v>
      </c>
      <c r="B1544" t="s">
        <v>55</v>
      </c>
      <c r="C1544" t="s">
        <v>48</v>
      </c>
      <c r="D1544">
        <v>32</v>
      </c>
      <c r="E1544">
        <v>23</v>
      </c>
      <c r="F1544">
        <v>15.2</v>
      </c>
      <c r="G1544">
        <v>0</v>
      </c>
      <c r="H1544">
        <v>0</v>
      </c>
      <c r="I1544" s="3">
        <f>E1544+G1544+H1544</f>
        <v>23</v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>20</v>
      </c>
      <c r="K1544" s="3">
        <f>I1544-J1544</f>
        <v>3</v>
      </c>
      <c r="L1544" s="3" t="str">
        <f>IF(K1544&lt;-5,"CRÍTICO",IF(K1544&lt;0,"ATENÇÃO",IF(K1544&lt;=5,"BOM","EXCELENTE")))</f>
        <v>BOM</v>
      </c>
      <c r="M1544">
        <v>23</v>
      </c>
      <c r="N1544">
        <v>96.4</v>
      </c>
      <c r="O1544">
        <v>28.764044943820231</v>
      </c>
    </row>
    <row r="1545" spans="1:15" hidden="1" x14ac:dyDescent="0.25">
      <c r="A1545" s="11">
        <v>46049</v>
      </c>
      <c r="B1545" t="s">
        <v>39</v>
      </c>
      <c r="C1545" t="s">
        <v>32</v>
      </c>
      <c r="D1545">
        <v>0</v>
      </c>
      <c r="E1545">
        <v>0</v>
      </c>
      <c r="F1545">
        <v>0</v>
      </c>
      <c r="G1545">
        <v>0</v>
      </c>
      <c r="H1545">
        <v>0</v>
      </c>
      <c r="I1545" s="3">
        <v>0</v>
      </c>
      <c r="J1545" s="3">
        <v>0</v>
      </c>
      <c r="K1545" s="3">
        <v>0</v>
      </c>
      <c r="L1545" s="3" t="str">
        <f>IF(K1545&lt;-5,"CRÍTICO",IF(K1545&lt;0,"ATENÇÃO",IF(K1545&lt;=5,"BOM","EXCELENTE")))</f>
        <v>BOM</v>
      </c>
      <c r="M1545">
        <v>0</v>
      </c>
      <c r="N1545">
        <v>100</v>
      </c>
      <c r="O1545">
        <v>33.980582524271853</v>
      </c>
    </row>
    <row r="1546" spans="1:15" hidden="1" x14ac:dyDescent="0.25">
      <c r="A1546" s="11">
        <v>46049</v>
      </c>
      <c r="B1546" t="s">
        <v>25</v>
      </c>
      <c r="C1546" t="s">
        <v>26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 s="3">
        <f>E1546+G1546+H1546</f>
        <v>8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14</v>
      </c>
      <c r="K1546" s="3">
        <f>I1546-J1546</f>
        <v>-6</v>
      </c>
      <c r="L1546" s="3" t="str">
        <f>IF(K1546&lt;-5,"CRÍTICO",IF(K1546&lt;0,"ATENÇÃO",IF(K1546&lt;=5,"BOM","EXCELENTE")))</f>
        <v>CRÍTICO</v>
      </c>
      <c r="M1546">
        <v>5</v>
      </c>
      <c r="N1546">
        <v>97.56</v>
      </c>
      <c r="O1546">
        <v>32.515337423312893</v>
      </c>
    </row>
    <row r="1547" spans="1:15" hidden="1" x14ac:dyDescent="0.25">
      <c r="A1547" s="11">
        <v>46049</v>
      </c>
      <c r="B1547" t="s">
        <v>40</v>
      </c>
      <c r="C1547" t="s">
        <v>32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 s="3">
        <f>E1547+G1547+H1547</f>
        <v>14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25</v>
      </c>
      <c r="K1547" s="3">
        <f>I1547-J1547</f>
        <v>-11</v>
      </c>
      <c r="L1547" s="3" t="str">
        <f>IF(K1547&lt;-5,"CRÍTICO",IF(K1547&lt;0,"ATENÇÃO",IF(K1547&lt;=5,"BOM","EXCELENTE")))</f>
        <v>CRÍTICO</v>
      </c>
      <c r="M1547">
        <v>14</v>
      </c>
      <c r="N1547">
        <v>97.11</v>
      </c>
      <c r="O1547">
        <v>37.408312958435211</v>
      </c>
    </row>
    <row r="1548" spans="1:15" hidden="1" x14ac:dyDescent="0.25">
      <c r="A1548" s="11">
        <v>46049</v>
      </c>
      <c r="B1548" t="s">
        <v>27</v>
      </c>
      <c r="C1548" t="s">
        <v>26</v>
      </c>
      <c r="D1548">
        <v>0</v>
      </c>
      <c r="E1548">
        <v>0</v>
      </c>
      <c r="F1548">
        <v>0</v>
      </c>
      <c r="G1548">
        <v>0</v>
      </c>
      <c r="H1548">
        <v>0</v>
      </c>
      <c r="I1548" s="3">
        <v>0</v>
      </c>
      <c r="J1548" s="3">
        <v>0</v>
      </c>
      <c r="K1548" s="3">
        <v>0</v>
      </c>
      <c r="L1548" s="3" t="str">
        <f>IF(K1548&lt;-5,"CRÍTICO",IF(K1548&lt;0,"ATENÇÃO",IF(K1548&lt;=5,"BOM","EXCELENTE")))</f>
        <v>BOM</v>
      </c>
      <c r="M1548">
        <v>0</v>
      </c>
      <c r="N1548">
        <v>0</v>
      </c>
      <c r="O1548">
        <v>0</v>
      </c>
    </row>
    <row r="1549" spans="1:15" hidden="1" x14ac:dyDescent="0.25">
      <c r="A1549" s="11">
        <v>46049</v>
      </c>
      <c r="B1549" t="s">
        <v>41</v>
      </c>
      <c r="C1549" t="s">
        <v>32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 s="3">
        <f>E1549+G1549+H1549</f>
        <v>25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25</v>
      </c>
      <c r="K1549" s="3">
        <f>I1549-J1549</f>
        <v>0</v>
      </c>
      <c r="L1549" s="3" t="str">
        <f>IF(K1549&lt;-5,"CRÍTICO",IF(K1549&lt;0,"ATENÇÃO",IF(K1549&lt;=5,"BOM","EXCELENTE")))</f>
        <v>BOM</v>
      </c>
      <c r="M1549">
        <v>18</v>
      </c>
      <c r="N1549">
        <v>100</v>
      </c>
      <c r="O1549">
        <v>30.470347648261761</v>
      </c>
    </row>
    <row r="1550" spans="1:15" hidden="1" x14ac:dyDescent="0.25">
      <c r="A1550" s="11">
        <v>46049</v>
      </c>
      <c r="B1550" t="s">
        <v>56</v>
      </c>
      <c r="C1550" t="s">
        <v>48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 s="3">
        <f>E1550+G1550+H1550</f>
        <v>37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20</v>
      </c>
      <c r="K1550" s="3">
        <f>I1550-J1550</f>
        <v>17</v>
      </c>
      <c r="L1550" s="3" t="str">
        <f>IF(K1550&lt;-5,"CRÍTICO",IF(K1550&lt;0,"ATENÇÃO",IF(K1550&lt;=5,"BOM","EXCELENTE")))</f>
        <v>EXCELENTE</v>
      </c>
      <c r="M1550">
        <v>24</v>
      </c>
      <c r="N1550">
        <v>100</v>
      </c>
      <c r="O1550">
        <v>32.371134020618562</v>
      </c>
    </row>
    <row r="1551" spans="1:15" hidden="1" x14ac:dyDescent="0.25">
      <c r="A1551" s="11">
        <v>46049</v>
      </c>
      <c r="B1551" t="s">
        <v>57</v>
      </c>
      <c r="C1551" t="s">
        <v>48</v>
      </c>
      <c r="D1551">
        <v>25</v>
      </c>
      <c r="E1551">
        <v>23</v>
      </c>
      <c r="F1551">
        <v>20.28</v>
      </c>
      <c r="G1551">
        <v>0</v>
      </c>
      <c r="H1551">
        <v>0</v>
      </c>
      <c r="I1551" s="3">
        <v>0</v>
      </c>
      <c r="J1551" s="3">
        <v>0</v>
      </c>
      <c r="K1551" s="3">
        <v>0</v>
      </c>
      <c r="L1551" s="3" t="str">
        <f>IF(K1551&lt;-5,"CRÍTICO",IF(K1551&lt;0,"ATENÇÃO",IF(K1551&lt;=5,"BOM","EXCELENTE")))</f>
        <v>BOM</v>
      </c>
      <c r="M1551">
        <v>19</v>
      </c>
      <c r="N1551">
        <v>98.32</v>
      </c>
      <c r="O1551">
        <v>32.318501170960189</v>
      </c>
    </row>
    <row r="1552" spans="1:15" hidden="1" x14ac:dyDescent="0.25">
      <c r="A1552" s="11">
        <v>46049</v>
      </c>
      <c r="B1552" t="s">
        <v>42</v>
      </c>
      <c r="C1552" t="s">
        <v>32</v>
      </c>
      <c r="D1552">
        <v>169</v>
      </c>
      <c r="E1552">
        <v>32</v>
      </c>
      <c r="F1552">
        <v>2</v>
      </c>
      <c r="G1552">
        <v>0</v>
      </c>
      <c r="H1552">
        <v>0</v>
      </c>
      <c r="I1552" s="3">
        <f>E1552+G1552+H1552</f>
        <v>32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25</v>
      </c>
      <c r="K1552" s="3">
        <f>I1552-J1552</f>
        <v>7</v>
      </c>
      <c r="L1552" s="3" t="str">
        <f>IF(K1552&lt;-5,"CRÍTICO",IF(K1552&lt;0,"ATENÇÃO",IF(K1552&lt;=5,"BOM","EXCELENTE")))</f>
        <v>EXCELENTE</v>
      </c>
      <c r="M1552">
        <v>13</v>
      </c>
      <c r="N1552">
        <v>96.43</v>
      </c>
      <c r="O1552">
        <v>27.015250544662312</v>
      </c>
    </row>
    <row r="1553" spans="1:15" hidden="1" x14ac:dyDescent="0.25">
      <c r="A1553" s="11">
        <v>46049</v>
      </c>
      <c r="B1553" t="s">
        <v>62</v>
      </c>
      <c r="C1553" t="s">
        <v>23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 s="3">
        <f>E1553+G1553+H1553</f>
        <v>15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17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>
        <v>13</v>
      </c>
      <c r="N1553">
        <v>98.89</v>
      </c>
      <c r="O1553">
        <v>28.021978021978018</v>
      </c>
    </row>
    <row r="1554" spans="1:15" hidden="1" x14ac:dyDescent="0.25">
      <c r="A1554" s="11">
        <v>46049</v>
      </c>
      <c r="B1554" t="s">
        <v>19</v>
      </c>
      <c r="C1554" t="s">
        <v>16</v>
      </c>
      <c r="D1554">
        <v>7</v>
      </c>
      <c r="E1554">
        <v>5</v>
      </c>
      <c r="F1554">
        <v>40.53</v>
      </c>
      <c r="G1554">
        <v>0</v>
      </c>
      <c r="H1554">
        <v>0</v>
      </c>
      <c r="I1554" s="3">
        <f>E1554+G1554+H1554</f>
        <v>5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-2</v>
      </c>
      <c r="L1554" s="3" t="str">
        <f>IF(K1554&lt;-5,"CRÍTICO",IF(K1554&lt;0,"ATENÇÃO",IF(K1554&lt;=5,"BOM","EXCELENTE")))</f>
        <v>ATENÇÃO</v>
      </c>
      <c r="M1554">
        <v>4</v>
      </c>
      <c r="N1554">
        <v>100</v>
      </c>
      <c r="O1554">
        <v>33.333333333333329</v>
      </c>
    </row>
    <row r="1555" spans="1:15" hidden="1" x14ac:dyDescent="0.25">
      <c r="A1555" s="11">
        <v>46049</v>
      </c>
      <c r="B1555" t="s">
        <v>43</v>
      </c>
      <c r="C1555" t="s">
        <v>32</v>
      </c>
      <c r="D1555">
        <v>0</v>
      </c>
      <c r="E1555">
        <v>0</v>
      </c>
      <c r="F1555">
        <v>0</v>
      </c>
      <c r="G1555">
        <v>0</v>
      </c>
      <c r="H1555">
        <v>0</v>
      </c>
      <c r="I1555" s="3">
        <v>0</v>
      </c>
      <c r="J1555" s="3">
        <v>0</v>
      </c>
      <c r="K1555" s="3">
        <v>0</v>
      </c>
      <c r="L1555" s="3" t="str">
        <f>IF(K1555&lt;-5,"CRÍTICO",IF(K1555&lt;0,"ATENÇÃO",IF(K1555&lt;=5,"BOM","EXCELENTE")))</f>
        <v>BOM</v>
      </c>
      <c r="M1555">
        <v>0</v>
      </c>
      <c r="N1555">
        <v>100</v>
      </c>
      <c r="O1555">
        <v>27.43362831858407</v>
      </c>
    </row>
    <row r="1556" spans="1:15" hidden="1" x14ac:dyDescent="0.25">
      <c r="A1556" s="11">
        <v>46049</v>
      </c>
      <c r="B1556" t="s">
        <v>44</v>
      </c>
      <c r="C1556" t="s">
        <v>32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 s="3">
        <f>E1556+G1556+H1556</f>
        <v>22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25</v>
      </c>
      <c r="K1556" s="3">
        <f>I1556-J1556</f>
        <v>-3</v>
      </c>
      <c r="L1556" s="3" t="str">
        <f>IF(K1556&lt;-5,"CRÍTICO",IF(K1556&lt;0,"ATENÇÃO",IF(K1556&lt;=5,"BOM","EXCELENTE")))</f>
        <v>ATENÇÃO</v>
      </c>
      <c r="M1556">
        <v>18</v>
      </c>
      <c r="N1556">
        <v>98.65</v>
      </c>
      <c r="O1556">
        <v>30.978260869565219</v>
      </c>
    </row>
    <row r="1557" spans="1:15" hidden="1" x14ac:dyDescent="0.25">
      <c r="A1557" s="11">
        <v>46049</v>
      </c>
      <c r="B1557" t="s">
        <v>20</v>
      </c>
      <c r="C1557" t="s">
        <v>16</v>
      </c>
      <c r="D1557">
        <v>6</v>
      </c>
      <c r="E1557">
        <v>6</v>
      </c>
      <c r="F1557">
        <v>45.33</v>
      </c>
      <c r="G1557">
        <v>0</v>
      </c>
      <c r="H1557">
        <v>0</v>
      </c>
      <c r="I1557" s="3">
        <f>E1557+G1557+H1557</f>
        <v>6</v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>7</v>
      </c>
      <c r="K1557" s="3">
        <f>I1557-J1557</f>
        <v>-1</v>
      </c>
      <c r="L1557" s="3" t="str">
        <f>IF(K1557&lt;-5,"CRÍTICO",IF(K1557&lt;0,"ATENÇÃO",IF(K1557&lt;=5,"BOM","EXCELENTE")))</f>
        <v>ATENÇÃO</v>
      </c>
      <c r="M1557">
        <v>5</v>
      </c>
      <c r="N1557">
        <v>100</v>
      </c>
      <c r="O1557">
        <v>12</v>
      </c>
    </row>
    <row r="1558" spans="1:15" hidden="1" x14ac:dyDescent="0.25">
      <c r="A1558" s="11">
        <v>46049</v>
      </c>
      <c r="B1558" t="s">
        <v>28</v>
      </c>
      <c r="C1558" t="s">
        <v>26</v>
      </c>
      <c r="D1558">
        <v>0</v>
      </c>
      <c r="E1558">
        <v>0</v>
      </c>
      <c r="F1558">
        <v>0</v>
      </c>
      <c r="G1558">
        <v>0</v>
      </c>
      <c r="H1558">
        <v>0</v>
      </c>
      <c r="I1558" s="3">
        <v>0</v>
      </c>
      <c r="J1558" s="3">
        <v>0</v>
      </c>
      <c r="K1558" s="3">
        <v>0</v>
      </c>
      <c r="L1558" s="3" t="str">
        <f>IF(K1558&lt;-5,"CRÍTICO",IF(K1558&lt;0,"ATENÇÃO",IF(K1558&lt;=5,"BOM","EXCELENTE")))</f>
        <v>BOM</v>
      </c>
      <c r="M1558">
        <v>0</v>
      </c>
      <c r="N1558">
        <v>0</v>
      </c>
      <c r="O1558">
        <v>0</v>
      </c>
    </row>
    <row r="1559" spans="1:15" hidden="1" x14ac:dyDescent="0.25">
      <c r="A1559" s="11">
        <v>46049</v>
      </c>
      <c r="B1559" t="s">
        <v>58</v>
      </c>
      <c r="C1559" t="s">
        <v>48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 s="3">
        <f>E1559+G1559+H1559</f>
        <v>11</v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>20</v>
      </c>
      <c r="K1559" s="3">
        <f>I1559-J1559</f>
        <v>-9</v>
      </c>
      <c r="L1559" s="3" t="str">
        <f>IF(K1559&lt;-5,"CRÍTICO",IF(K1559&lt;0,"ATENÇÃO",IF(K1559&lt;=5,"BOM","EXCELENTE")))</f>
        <v>CRÍTICO</v>
      </c>
      <c r="M1559">
        <v>8</v>
      </c>
      <c r="N1559">
        <v>97.56</v>
      </c>
      <c r="O1559">
        <v>31.067961165048541</v>
      </c>
    </row>
    <row r="1560" spans="1:15" hidden="1" x14ac:dyDescent="0.25">
      <c r="A1560" s="11">
        <v>46049</v>
      </c>
      <c r="B1560" t="s">
        <v>29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30</v>
      </c>
      <c r="C1561" t="s">
        <v>26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21</v>
      </c>
      <c r="C1562" t="s">
        <v>16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>
        <v>0</v>
      </c>
      <c r="N1562">
        <v>0</v>
      </c>
      <c r="O1562">
        <v>0</v>
      </c>
    </row>
    <row r="1563" spans="1:15" hidden="1" x14ac:dyDescent="0.25">
      <c r="A1563" s="11">
        <v>46049</v>
      </c>
      <c r="B1563" t="s">
        <v>63</v>
      </c>
      <c r="C1563" t="s">
        <v>23</v>
      </c>
      <c r="D1563">
        <v>0</v>
      </c>
      <c r="E1563">
        <v>0</v>
      </c>
      <c r="F1563">
        <v>0</v>
      </c>
      <c r="G1563">
        <v>0</v>
      </c>
      <c r="H1563">
        <v>0</v>
      </c>
      <c r="I1563" s="3">
        <v>0</v>
      </c>
      <c r="J1563" s="3">
        <v>0</v>
      </c>
      <c r="K1563" s="3">
        <v>0</v>
      </c>
      <c r="L1563" s="3" t="str">
        <f>IF(K1563&lt;-5,"CRÍTICO",IF(K1563&lt;0,"ATENÇÃO",IF(K1563&lt;=5,"BOM","EXCELENTE")))</f>
        <v>BOM</v>
      </c>
      <c r="M1563">
        <v>0</v>
      </c>
      <c r="N1563">
        <v>100</v>
      </c>
      <c r="O1563">
        <v>53.846153846153847</v>
      </c>
    </row>
    <row r="1564" spans="1:15" hidden="1" x14ac:dyDescent="0.25">
      <c r="A1564" s="11">
        <v>46049</v>
      </c>
      <c r="B1564" t="s">
        <v>45</v>
      </c>
      <c r="C1564" t="s">
        <v>32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 s="3">
        <f>E1564+G1564+H1564</f>
        <v>34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25</v>
      </c>
      <c r="K1564" s="3">
        <f>I1564-J1564</f>
        <v>9</v>
      </c>
      <c r="L1564" s="3" t="str">
        <f>IF(K1564&lt;-5,"CRÍTICO",IF(K1564&lt;0,"ATENÇÃO",IF(K1564&lt;=5,"BOM","EXCELENTE")))</f>
        <v>EXCELENTE</v>
      </c>
      <c r="M1564">
        <v>28</v>
      </c>
      <c r="N1564">
        <v>100</v>
      </c>
      <c r="O1564">
        <v>44.05594405594406</v>
      </c>
    </row>
    <row r="1565" spans="1:15" hidden="1" x14ac:dyDescent="0.25">
      <c r="A1565" s="11">
        <v>46049</v>
      </c>
      <c r="B1565" t="s">
        <v>64</v>
      </c>
      <c r="C1565" t="s">
        <v>23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 s="3">
        <f>E1565+G1565+H1565</f>
        <v>20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17</v>
      </c>
      <c r="K1565" s="3">
        <f>I1565-J1565</f>
        <v>3</v>
      </c>
      <c r="L1565" s="3" t="str">
        <f>IF(K1565&lt;-5,"CRÍTICO",IF(K1565&lt;0,"ATENÇÃO",IF(K1565&lt;=5,"BOM","EXCELENTE")))</f>
        <v>BOM</v>
      </c>
      <c r="M1565">
        <v>17</v>
      </c>
      <c r="N1565">
        <v>100</v>
      </c>
      <c r="O1565">
        <v>31.872509960159359</v>
      </c>
    </row>
    <row r="1566" spans="1:15" hidden="1" x14ac:dyDescent="0.25">
      <c r="A1566" s="11">
        <v>46049</v>
      </c>
      <c r="B1566" t="s">
        <v>46</v>
      </c>
      <c r="C1566" t="s">
        <v>32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 s="3">
        <f>E1566+G1566+H1566</f>
        <v>31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25</v>
      </c>
      <c r="K1566" s="3">
        <f>I1566-J1566</f>
        <v>6</v>
      </c>
      <c r="L1566" s="3" t="str">
        <f>IF(K1566&lt;-5,"CRÍTICO",IF(K1566&lt;0,"ATENÇÃO",IF(K1566&lt;=5,"BOM","EXCELENTE")))</f>
        <v>EXCELENTE</v>
      </c>
      <c r="M1566">
        <v>29</v>
      </c>
      <c r="N1566">
        <v>98.41</v>
      </c>
      <c r="O1566">
        <v>29.22465208747515</v>
      </c>
    </row>
    <row r="1567" spans="1:15" hidden="1" x14ac:dyDescent="0.25">
      <c r="A1567" s="11">
        <v>46050</v>
      </c>
      <c r="B1567" t="s">
        <v>47</v>
      </c>
      <c r="C1567" t="s">
        <v>48</v>
      </c>
      <c r="D1567">
        <v>45</v>
      </c>
      <c r="E1567">
        <v>40</v>
      </c>
      <c r="F1567">
        <v>12.1</v>
      </c>
      <c r="G1567">
        <v>0</v>
      </c>
      <c r="H1567">
        <v>0</v>
      </c>
      <c r="I1567" s="3">
        <f>E1567+G1567+H1567</f>
        <v>40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23</v>
      </c>
      <c r="K1567" s="3">
        <f>I1567-J1567</f>
        <v>17</v>
      </c>
      <c r="L1567" s="3" t="str">
        <f>IF(K1567&lt;-5,"CRÍTICO",IF(K1567&lt;0,"ATENÇÃO",IF(K1567&lt;=5,"BOM","EXCELENTE")))</f>
        <v>EXCELENTE</v>
      </c>
      <c r="M1567">
        <v>39</v>
      </c>
      <c r="N1567">
        <v>96.81</v>
      </c>
      <c r="O1567">
        <v>27.980535279805348</v>
      </c>
    </row>
    <row r="1568" spans="1:15" hidden="1" x14ac:dyDescent="0.25">
      <c r="A1568" s="11">
        <v>46050</v>
      </c>
      <c r="B1568" t="s">
        <v>31</v>
      </c>
      <c r="C1568" t="s">
        <v>32</v>
      </c>
      <c r="D1568">
        <v>0</v>
      </c>
      <c r="E1568">
        <v>0</v>
      </c>
      <c r="F1568">
        <v>0</v>
      </c>
      <c r="G1568">
        <v>0</v>
      </c>
      <c r="H1568">
        <v>0</v>
      </c>
      <c r="I1568" s="3">
        <v>0</v>
      </c>
      <c r="J1568" s="3">
        <v>0</v>
      </c>
      <c r="K1568" s="3">
        <v>0</v>
      </c>
      <c r="L1568" s="3" t="str">
        <f>IF(K1568&lt;-5,"CRÍTICO",IF(K1568&lt;0,"ATENÇÃO",IF(K1568&lt;=5,"BOM","EXCELENTE")))</f>
        <v>BOM</v>
      </c>
      <c r="M1568">
        <v>36</v>
      </c>
      <c r="N1568">
        <v>98.73</v>
      </c>
      <c r="O1568">
        <v>35.756385068762278</v>
      </c>
    </row>
    <row r="1569" spans="1:15" hidden="1" x14ac:dyDescent="0.25">
      <c r="A1569" s="11">
        <v>46050</v>
      </c>
      <c r="B1569" t="s">
        <v>59</v>
      </c>
      <c r="C1569" t="s">
        <v>23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 s="3">
        <f>E1569+G1569+H1569</f>
        <v>28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19</v>
      </c>
      <c r="K1569" s="3">
        <f>I1569-J1569</f>
        <v>9</v>
      </c>
      <c r="L1569" s="3" t="str">
        <f>IF(K1569&lt;-5,"CRÍTICO",IF(K1569&lt;0,"ATENÇÃO",IF(K1569&lt;=5,"BOM","EXCELENTE")))</f>
        <v>EXCELENTE</v>
      </c>
      <c r="M1569">
        <v>24</v>
      </c>
      <c r="N1569">
        <v>98.32</v>
      </c>
      <c r="O1569">
        <v>26.763485477178421</v>
      </c>
    </row>
    <row r="1570" spans="1:15" hidden="1" x14ac:dyDescent="0.25">
      <c r="A1570" s="11">
        <v>46050</v>
      </c>
      <c r="B1570" t="s">
        <v>33</v>
      </c>
      <c r="C1570" t="s">
        <v>32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 s="3">
        <f>E1570+G1570+H1570</f>
        <v>23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29</v>
      </c>
      <c r="K1570" s="3">
        <f>I1570-J1570</f>
        <v>-6</v>
      </c>
      <c r="L1570" s="3" t="str">
        <f>IF(K1570&lt;-5,"CRÍTICO",IF(K1570&lt;0,"ATENÇÃO",IF(K1570&lt;=5,"BOM","EXCELENTE")))</f>
        <v>CRÍTICO</v>
      </c>
      <c r="M1570">
        <v>20</v>
      </c>
      <c r="N1570">
        <v>99.19</v>
      </c>
      <c r="O1570">
        <v>27.637130801687761</v>
      </c>
    </row>
    <row r="1571" spans="1:15" hidden="1" x14ac:dyDescent="0.25">
      <c r="A1571" s="11">
        <v>46050</v>
      </c>
      <c r="B1571" t="s">
        <v>15</v>
      </c>
      <c r="C1571" t="s">
        <v>16</v>
      </c>
      <c r="D1571">
        <v>13</v>
      </c>
      <c r="E1571">
        <v>13</v>
      </c>
      <c r="F1571">
        <v>20.5</v>
      </c>
      <c r="G1571">
        <v>0</v>
      </c>
      <c r="H1571">
        <v>0</v>
      </c>
      <c r="I1571" s="3">
        <f>E1571+G1571+H1571</f>
        <v>13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8</v>
      </c>
      <c r="K1571" s="3">
        <f>I1571-J1571</f>
        <v>5</v>
      </c>
      <c r="L1571" s="3" t="str">
        <f>IF(K1571&lt;-5,"CRÍTICO",IF(K1571&lt;0,"ATENÇÃO",IF(K1571&lt;=5,"BOM","EXCELENTE")))</f>
        <v>BOM</v>
      </c>
      <c r="M1571">
        <v>13</v>
      </c>
      <c r="N1571">
        <v>100</v>
      </c>
      <c r="O1571">
        <v>39.568345323741013</v>
      </c>
    </row>
    <row r="1572" spans="1:15" hidden="1" x14ac:dyDescent="0.25">
      <c r="A1572" s="11">
        <v>46050</v>
      </c>
      <c r="B1572" t="s">
        <v>49</v>
      </c>
      <c r="C1572" t="s">
        <v>48</v>
      </c>
      <c r="D1572">
        <v>46</v>
      </c>
      <c r="E1572">
        <v>35</v>
      </c>
      <c r="F1572">
        <v>13.3</v>
      </c>
      <c r="G1572">
        <v>0</v>
      </c>
      <c r="H1572">
        <v>0</v>
      </c>
      <c r="I1572" s="3">
        <f>E1572+G1572+H1572</f>
        <v>35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12</v>
      </c>
      <c r="L1572" s="3" t="str">
        <f>IF(K1572&lt;-5,"CRÍTICO",IF(K1572&lt;0,"ATENÇÃO",IF(K1572&lt;=5,"BOM","EXCELENTE")))</f>
        <v>EXCELENTE</v>
      </c>
      <c r="M1572">
        <v>38</v>
      </c>
      <c r="N1572">
        <v>98.54</v>
      </c>
      <c r="O1572">
        <v>28.544776119402989</v>
      </c>
    </row>
    <row r="1573" spans="1:15" hidden="1" x14ac:dyDescent="0.25">
      <c r="A1573" s="11">
        <v>46050</v>
      </c>
      <c r="B1573" t="s">
        <v>50</v>
      </c>
      <c r="C1573" t="s">
        <v>48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 s="3">
        <f>E1573+G1573+H1573</f>
        <v>24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23</v>
      </c>
      <c r="K1573" s="3">
        <f>I1573-J1573</f>
        <v>1</v>
      </c>
      <c r="L1573" s="3" t="str">
        <f>IF(K1573&lt;-5,"CRÍTICO",IF(K1573&lt;0,"ATENÇÃO",IF(K1573&lt;=5,"BOM","EXCELENTE")))</f>
        <v>BOM</v>
      </c>
      <c r="M1573">
        <v>20</v>
      </c>
      <c r="N1573">
        <v>100</v>
      </c>
      <c r="O1573">
        <v>34.366925064599492</v>
      </c>
    </row>
    <row r="1574" spans="1:15" hidden="1" x14ac:dyDescent="0.25">
      <c r="A1574" s="11">
        <v>46050</v>
      </c>
      <c r="B1574" t="s">
        <v>17</v>
      </c>
      <c r="C1574" t="s">
        <v>16</v>
      </c>
      <c r="D1574">
        <v>0</v>
      </c>
      <c r="E1574">
        <v>0</v>
      </c>
      <c r="F1574">
        <v>0</v>
      </c>
      <c r="G1574">
        <v>0</v>
      </c>
      <c r="H1574">
        <v>0</v>
      </c>
      <c r="I1574" s="3">
        <v>0</v>
      </c>
      <c r="J1574" s="3">
        <v>0</v>
      </c>
      <c r="K1574" s="3">
        <v>0</v>
      </c>
      <c r="L1574" s="3" t="str">
        <f>IF(K1574&lt;-5,"CRÍTICO",IF(K1574&lt;0,"ATENÇÃO",IF(K1574&lt;=5,"BOM","EXCELENTE")))</f>
        <v>BOM</v>
      </c>
      <c r="M1574">
        <v>0</v>
      </c>
      <c r="N1574">
        <v>0</v>
      </c>
      <c r="O1574">
        <v>0</v>
      </c>
    </row>
    <row r="1575" spans="1:15" hidden="1" x14ac:dyDescent="0.25">
      <c r="A1575" s="11">
        <v>46050</v>
      </c>
      <c r="B1575" t="s">
        <v>60</v>
      </c>
      <c r="C1575" t="s">
        <v>23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 s="3">
        <f>E1575+G1575+H1575</f>
        <v>25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19</v>
      </c>
      <c r="K1575" s="3">
        <f>I1575-J1575</f>
        <v>6</v>
      </c>
      <c r="L1575" s="3" t="str">
        <f>IF(K1575&lt;-5,"CRÍTICO",IF(K1575&lt;0,"ATENÇÃO",IF(K1575&lt;=5,"BOM","EXCELENTE")))</f>
        <v>EXCELENTE</v>
      </c>
      <c r="M1575">
        <v>26</v>
      </c>
      <c r="N1575">
        <v>100</v>
      </c>
      <c r="O1575">
        <v>29.518072289156631</v>
      </c>
    </row>
    <row r="1576" spans="1:15" hidden="1" x14ac:dyDescent="0.25">
      <c r="A1576" s="11">
        <v>46050</v>
      </c>
      <c r="B1576" t="s">
        <v>34</v>
      </c>
      <c r="C1576" t="s">
        <v>32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 s="3">
        <f>E1576+G1576+H1576</f>
        <v>37</v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>29</v>
      </c>
      <c r="K1576" s="3">
        <f>I1576-J1576</f>
        <v>8</v>
      </c>
      <c r="L1576" s="3" t="str">
        <f>IF(K1576&lt;-5,"CRÍTICO",IF(K1576&lt;0,"ATENÇÃO",IF(K1576&lt;=5,"BOM","EXCELENTE")))</f>
        <v>EXCELENTE</v>
      </c>
      <c r="M1576">
        <v>36</v>
      </c>
      <c r="N1576">
        <v>97.45</v>
      </c>
      <c r="O1576">
        <v>41.421143847487002</v>
      </c>
    </row>
    <row r="1577" spans="1:15" hidden="1" x14ac:dyDescent="0.25">
      <c r="A1577" s="11">
        <v>46050</v>
      </c>
      <c r="B1577" t="s">
        <v>51</v>
      </c>
      <c r="C1577" t="s">
        <v>48</v>
      </c>
      <c r="D1577">
        <v>41</v>
      </c>
      <c r="E1577">
        <v>32</v>
      </c>
      <c r="F1577">
        <v>13.51</v>
      </c>
      <c r="G1577">
        <v>0</v>
      </c>
      <c r="H1577">
        <v>0</v>
      </c>
      <c r="I1577" s="3">
        <v>0</v>
      </c>
      <c r="J1577" s="3">
        <v>0</v>
      </c>
      <c r="K1577" s="3">
        <v>0</v>
      </c>
      <c r="L1577" s="3" t="str">
        <f>IF(K1577&lt;-5,"CRÍTICO",IF(K1577&lt;0,"ATENÇÃO",IF(K1577&lt;=5,"BOM","EXCELENTE")))</f>
        <v>BOM</v>
      </c>
      <c r="M1577">
        <v>30</v>
      </c>
      <c r="N1577">
        <v>96.58</v>
      </c>
      <c r="O1577">
        <v>30.396475770925111</v>
      </c>
    </row>
    <row r="1578" spans="1:15" hidden="1" x14ac:dyDescent="0.25">
      <c r="A1578" s="11">
        <v>46050</v>
      </c>
      <c r="B1578" t="s">
        <v>61</v>
      </c>
      <c r="C1578" t="s">
        <v>23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 s="3">
        <f>E1578+G1578+H1578</f>
        <v>23</v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>19</v>
      </c>
      <c r="K1578" s="3">
        <f>I1578-J1578</f>
        <v>4</v>
      </c>
      <c r="L1578" s="3" t="str">
        <f>IF(K1578&lt;-5,"CRÍTICO",IF(K1578&lt;0,"ATENÇÃO",IF(K1578&lt;=5,"BOM","EXCELENTE")))</f>
        <v>BOM</v>
      </c>
      <c r="M1578">
        <v>28</v>
      </c>
      <c r="N1578">
        <v>100</v>
      </c>
      <c r="O1578">
        <v>27.44282744282744</v>
      </c>
    </row>
    <row r="1579" spans="1:15" hidden="1" x14ac:dyDescent="0.25">
      <c r="A1579" s="11">
        <v>46050</v>
      </c>
      <c r="B1579" t="s">
        <v>35</v>
      </c>
      <c r="C1579" t="s">
        <v>32</v>
      </c>
      <c r="D1579">
        <v>32</v>
      </c>
      <c r="E1579">
        <v>32</v>
      </c>
      <c r="F1579">
        <v>22.01</v>
      </c>
      <c r="G1579">
        <v>0</v>
      </c>
      <c r="H1579">
        <v>0</v>
      </c>
      <c r="I1579" s="3">
        <v>0</v>
      </c>
      <c r="J1579" s="3">
        <v>0</v>
      </c>
      <c r="K1579" s="3">
        <v>0</v>
      </c>
      <c r="L1579" s="3" t="str">
        <f>IF(K1579&lt;-5,"CRÍTICO",IF(K1579&lt;0,"ATENÇÃO",IF(K1579&lt;=5,"BOM","EXCELENTE")))</f>
        <v>BOM</v>
      </c>
      <c r="M1579">
        <v>31</v>
      </c>
      <c r="N1579">
        <v>99.49</v>
      </c>
      <c r="O1579">
        <v>40.200000000000003</v>
      </c>
    </row>
    <row r="1580" spans="1:15" hidden="1" x14ac:dyDescent="0.25">
      <c r="A1580" s="11">
        <v>46050</v>
      </c>
      <c r="B1580" t="s">
        <v>18</v>
      </c>
      <c r="C1580" t="s">
        <v>16</v>
      </c>
      <c r="D1580">
        <v>2</v>
      </c>
      <c r="E1580">
        <v>2</v>
      </c>
      <c r="F1580">
        <v>55.02</v>
      </c>
      <c r="G1580">
        <v>0</v>
      </c>
      <c r="H1580">
        <v>0</v>
      </c>
      <c r="I1580" s="3">
        <f>E1580+G1580+H1580</f>
        <v>2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8</v>
      </c>
      <c r="K1580" s="3">
        <f>I1580-J1580</f>
        <v>-6</v>
      </c>
      <c r="L1580" s="3" t="str">
        <f>IF(K1580&lt;-5,"CRÍTICO",IF(K1580&lt;0,"ATENÇÃO",IF(K1580&lt;=5,"BOM","EXCELENTE")))</f>
        <v>CRÍTICO</v>
      </c>
      <c r="M1580">
        <v>0</v>
      </c>
      <c r="N1580">
        <v>100</v>
      </c>
      <c r="O1580">
        <v>25</v>
      </c>
    </row>
    <row r="1581" spans="1:15" hidden="1" x14ac:dyDescent="0.25">
      <c r="A1581" s="11">
        <v>46050</v>
      </c>
      <c r="B1581" t="s">
        <v>52</v>
      </c>
      <c r="C1581" t="s">
        <v>48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 s="3">
        <f>E1581+G1581+H1581</f>
        <v>31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23</v>
      </c>
      <c r="K1581" s="3">
        <f>I1581-J1581</f>
        <v>8</v>
      </c>
      <c r="L1581" s="3" t="str">
        <f>IF(K1581&lt;-5,"CRÍTICO",IF(K1581&lt;0,"ATENÇÃO",IF(K1581&lt;=5,"BOM","EXCELENTE")))</f>
        <v>EXCELENTE</v>
      </c>
      <c r="M1581">
        <v>31</v>
      </c>
      <c r="N1581">
        <v>100</v>
      </c>
      <c r="O1581">
        <v>34.15094339622641</v>
      </c>
    </row>
    <row r="1582" spans="1:15" hidden="1" x14ac:dyDescent="0.25">
      <c r="A1582" s="11">
        <v>46050</v>
      </c>
      <c r="B1582" t="s">
        <v>36</v>
      </c>
      <c r="C1582" t="s">
        <v>32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29</v>
      </c>
      <c r="K1582" s="3">
        <f>I1582-J1582</f>
        <v>1</v>
      </c>
      <c r="L1582" s="3" t="str">
        <f>IF(K1582&lt;-5,"CRÍTICO",IF(K1582&lt;0,"ATENÇÃO",IF(K1582&lt;=5,"BOM","EXCELENTE")))</f>
        <v>BOM</v>
      </c>
      <c r="M1582">
        <v>32</v>
      </c>
      <c r="N1582">
        <v>100</v>
      </c>
      <c r="O1582">
        <v>32.731376975169297</v>
      </c>
    </row>
    <row r="1583" spans="1:15" hidden="1" x14ac:dyDescent="0.25">
      <c r="A1583" s="11">
        <v>46050</v>
      </c>
      <c r="B1583" t="s">
        <v>53</v>
      </c>
      <c r="C1583" t="s">
        <v>48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 s="3">
        <f>E1583+G1583+H1583</f>
        <v>30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23</v>
      </c>
      <c r="K1583" s="3">
        <f>I1583-J1583</f>
        <v>7</v>
      </c>
      <c r="L1583" s="3" t="str">
        <f>IF(K1583&lt;-5,"CRÍTICO",IF(K1583&lt;0,"ATENÇÃO",IF(K1583&lt;=5,"BOM","EXCELENTE")))</f>
        <v>EXCELENTE</v>
      </c>
      <c r="M1583">
        <v>28</v>
      </c>
      <c r="N1583">
        <v>99.31</v>
      </c>
      <c r="O1583">
        <v>30.96234309623431</v>
      </c>
    </row>
    <row r="1584" spans="1:15" hidden="1" x14ac:dyDescent="0.25">
      <c r="A1584" s="11">
        <v>46084</v>
      </c>
      <c r="B1584" t="s">
        <v>22</v>
      </c>
      <c r="C1584" t="s">
        <v>23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>E1584+G1584+H1584</f>
        <v>21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18</v>
      </c>
      <c r="K1584" s="3">
        <f>I1584-J1584</f>
        <v>3</v>
      </c>
      <c r="L1584" s="3" t="str">
        <f>IF(K1584&lt;-5,"CRÍTICO",IF(K1584&lt;0,"ATENÇÃO",IF(K1584&lt;=5,"BOM","EXCELENTE")))</f>
        <v>BOM</v>
      </c>
      <c r="M1584">
        <v>21</v>
      </c>
      <c r="N1584">
        <v>99.05</v>
      </c>
      <c r="O1584">
        <v>26.621923937360179</v>
      </c>
    </row>
    <row r="1585" spans="1:15" hidden="1" x14ac:dyDescent="0.25">
      <c r="A1585" s="11">
        <v>46050</v>
      </c>
      <c r="B1585" t="s">
        <v>54</v>
      </c>
      <c r="C1585" t="s">
        <v>48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 s="3">
        <f>E1585+G1585+H1585</f>
        <v>34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23</v>
      </c>
      <c r="K1585" s="3">
        <f>I1585-J1585</f>
        <v>11</v>
      </c>
      <c r="L1585" s="3" t="str">
        <f>IF(K1585&lt;-5,"CRÍTICO",IF(K1585&lt;0,"ATENÇÃO",IF(K1585&lt;=5,"BOM","EXCELENTE")))</f>
        <v>EXCELENTE</v>
      </c>
      <c r="M1585">
        <v>30</v>
      </c>
      <c r="N1585">
        <v>100</v>
      </c>
      <c r="O1585">
        <v>27.676767676767678</v>
      </c>
    </row>
    <row r="1586" spans="1:15" hidden="1" x14ac:dyDescent="0.25">
      <c r="A1586" s="11">
        <v>46050</v>
      </c>
      <c r="B1586" t="s">
        <v>37</v>
      </c>
      <c r="C1586" t="s">
        <v>32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 s="3">
        <f>E1586+G1586+H1586</f>
        <v>50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21</v>
      </c>
      <c r="L1586" s="3" t="str">
        <f>IF(K1586&lt;-5,"CRÍTICO",IF(K1586&lt;0,"ATENÇÃO",IF(K1586&lt;=5,"BOM","EXCELENTE")))</f>
        <v>EXCELENTE</v>
      </c>
      <c r="M1586">
        <v>47</v>
      </c>
      <c r="N1586">
        <v>100</v>
      </c>
      <c r="O1586">
        <v>31.17723156532988</v>
      </c>
    </row>
    <row r="1587" spans="1:15" hidden="1" x14ac:dyDescent="0.25">
      <c r="A1587" s="11">
        <v>46050</v>
      </c>
      <c r="B1587" t="s">
        <v>38</v>
      </c>
      <c r="C1587" t="s">
        <v>32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 s="3">
        <f>E1587+G1587+H1587</f>
        <v>15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29</v>
      </c>
      <c r="K1587" s="3">
        <f>I1587-J1587</f>
        <v>-14</v>
      </c>
      <c r="L1587" s="3" t="str">
        <f>IF(K1587&lt;-5,"CRÍTICO",IF(K1587&lt;0,"ATENÇÃO",IF(K1587&lt;=5,"BOM","EXCELENTE")))</f>
        <v>CRÍTICO</v>
      </c>
      <c r="M1587">
        <v>16</v>
      </c>
      <c r="N1587">
        <v>100</v>
      </c>
      <c r="O1587">
        <v>27.609427609427609</v>
      </c>
    </row>
    <row r="1588" spans="1:15" hidden="1" x14ac:dyDescent="0.25">
      <c r="A1588" s="11">
        <v>46050</v>
      </c>
      <c r="B1588" t="s">
        <v>55</v>
      </c>
      <c r="C1588" t="s">
        <v>48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 s="3">
        <f>E1588+G1588+H1588</f>
        <v>38</v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>23</v>
      </c>
      <c r="K1588" s="3">
        <f>I1588-J1588</f>
        <v>15</v>
      </c>
      <c r="L1588" s="3" t="str">
        <f>IF(K1588&lt;-5,"CRÍTICO",IF(K1588&lt;0,"ATENÇÃO",IF(K1588&lt;=5,"BOM","EXCELENTE")))</f>
        <v>EXCELENTE</v>
      </c>
      <c r="M1588">
        <v>37</v>
      </c>
      <c r="N1588">
        <v>96.4</v>
      </c>
      <c r="O1588">
        <v>28.764044943820231</v>
      </c>
    </row>
    <row r="1589" spans="1:15" hidden="1" x14ac:dyDescent="0.25">
      <c r="A1589" s="11">
        <v>46050</v>
      </c>
      <c r="B1589" t="s">
        <v>39</v>
      </c>
      <c r="C1589" t="s">
        <v>32</v>
      </c>
      <c r="D1589">
        <v>0</v>
      </c>
      <c r="E1589">
        <v>0</v>
      </c>
      <c r="F1589">
        <v>0</v>
      </c>
      <c r="G1589">
        <v>0</v>
      </c>
      <c r="H1589">
        <v>0</v>
      </c>
      <c r="I1589" s="3">
        <v>0</v>
      </c>
      <c r="J1589" s="3">
        <v>0</v>
      </c>
      <c r="K1589" s="3">
        <v>0</v>
      </c>
      <c r="L1589" s="3" t="str">
        <f>IF(K1589&lt;-5,"CRÍTICO",IF(K1589&lt;0,"ATENÇÃO",IF(K1589&lt;=5,"BOM","EXCELENTE")))</f>
        <v>BOM</v>
      </c>
      <c r="M1589">
        <v>0</v>
      </c>
      <c r="N1589">
        <v>100</v>
      </c>
      <c r="O1589">
        <v>33.980582524271853</v>
      </c>
    </row>
    <row r="1590" spans="1:15" hidden="1" x14ac:dyDescent="0.25">
      <c r="A1590" s="11">
        <v>46050</v>
      </c>
      <c r="B1590" t="s">
        <v>25</v>
      </c>
      <c r="C1590" t="s">
        <v>26</v>
      </c>
      <c r="D1590">
        <v>9</v>
      </c>
      <c r="E1590">
        <v>9</v>
      </c>
      <c r="F1590">
        <v>23.36</v>
      </c>
      <c r="G1590">
        <v>0</v>
      </c>
      <c r="H1590">
        <v>0</v>
      </c>
      <c r="I1590" s="3">
        <f>E1590+G1590+H1590</f>
        <v>9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16</v>
      </c>
      <c r="K1590" s="3">
        <f>I1590-J1590</f>
        <v>-7</v>
      </c>
      <c r="L1590" s="3" t="str">
        <f>IF(K1590&lt;-5,"CRÍTICO",IF(K1590&lt;0,"ATENÇÃO",IF(K1590&lt;=5,"BOM","EXCELENTE")))</f>
        <v>CRÍTICO</v>
      </c>
      <c r="M1590">
        <v>10</v>
      </c>
      <c r="N1590">
        <v>97.56</v>
      </c>
      <c r="O1590">
        <v>32.515337423312893</v>
      </c>
    </row>
    <row r="1591" spans="1:15" hidden="1" x14ac:dyDescent="0.25">
      <c r="A1591" s="11">
        <v>46050</v>
      </c>
      <c r="B1591" t="s">
        <v>40</v>
      </c>
      <c r="C1591" t="s">
        <v>32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 s="3">
        <f>E1591+G1591+H1591</f>
        <v>18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29</v>
      </c>
      <c r="K1591" s="3">
        <f>I1591-J1591</f>
        <v>-11</v>
      </c>
      <c r="L1591" s="3" t="str">
        <f>IF(K1591&lt;-5,"CRÍTICO",IF(K1591&lt;0,"ATENÇÃO",IF(K1591&lt;=5,"BOM","EXCELENTE")))</f>
        <v>CRÍTICO</v>
      </c>
      <c r="M1591">
        <v>18</v>
      </c>
      <c r="N1591">
        <v>97.11</v>
      </c>
      <c r="O1591">
        <v>37.408312958435211</v>
      </c>
    </row>
    <row r="1592" spans="1:15" hidden="1" x14ac:dyDescent="0.25">
      <c r="A1592" s="11">
        <v>46050</v>
      </c>
      <c r="B1592" t="s">
        <v>27</v>
      </c>
      <c r="C1592" t="s">
        <v>26</v>
      </c>
      <c r="D1592">
        <v>0</v>
      </c>
      <c r="E1592">
        <v>0</v>
      </c>
      <c r="F1592">
        <v>0</v>
      </c>
      <c r="G1592">
        <v>0</v>
      </c>
      <c r="H1592">
        <v>0</v>
      </c>
      <c r="I1592" s="3">
        <v>0</v>
      </c>
      <c r="J1592" s="3">
        <v>0</v>
      </c>
      <c r="K1592" s="3">
        <v>0</v>
      </c>
      <c r="L1592" s="3" t="str">
        <f>IF(K1592&lt;-5,"CRÍTICO",IF(K1592&lt;0,"ATENÇÃO",IF(K1592&lt;=5,"BOM","EXCELENTE")))</f>
        <v>BOM</v>
      </c>
      <c r="M1592">
        <v>0</v>
      </c>
      <c r="N1592">
        <v>0</v>
      </c>
      <c r="O1592">
        <v>0</v>
      </c>
    </row>
    <row r="1593" spans="1:15" hidden="1" x14ac:dyDescent="0.25">
      <c r="A1593" s="11">
        <v>46050</v>
      </c>
      <c r="B1593" t="s">
        <v>41</v>
      </c>
      <c r="C1593" t="s">
        <v>32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 s="3">
        <f>E1593+G1593+H1593</f>
        <v>26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29</v>
      </c>
      <c r="K1593" s="3">
        <f>I1593-J1593</f>
        <v>-3</v>
      </c>
      <c r="L1593" s="3" t="str">
        <f>IF(K1593&lt;-5,"CRÍTICO",IF(K1593&lt;0,"ATENÇÃO",IF(K1593&lt;=5,"BOM","EXCELENTE")))</f>
        <v>ATENÇÃO</v>
      </c>
      <c r="M1593">
        <v>28</v>
      </c>
      <c r="N1593">
        <v>100</v>
      </c>
      <c r="O1593">
        <v>30.470347648261761</v>
      </c>
    </row>
    <row r="1594" spans="1:15" hidden="1" x14ac:dyDescent="0.25">
      <c r="A1594" s="11">
        <v>46050</v>
      </c>
      <c r="B1594" t="s">
        <v>56</v>
      </c>
      <c r="C1594" t="s">
        <v>48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 s="3">
        <f>E1594+G1594+H1594</f>
        <v>30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23</v>
      </c>
      <c r="K1594" s="3">
        <f>I1594-J1594</f>
        <v>7</v>
      </c>
      <c r="L1594" s="3" t="str">
        <f>IF(K1594&lt;-5,"CRÍTICO",IF(K1594&lt;0,"ATENÇÃO",IF(K1594&lt;=5,"BOM","EXCELENTE")))</f>
        <v>EXCELENTE</v>
      </c>
      <c r="M1594">
        <v>25</v>
      </c>
      <c r="N1594">
        <v>100</v>
      </c>
      <c r="O1594">
        <v>32.371134020618562</v>
      </c>
    </row>
    <row r="1595" spans="1:15" hidden="1" x14ac:dyDescent="0.25">
      <c r="A1595" s="11">
        <v>46050</v>
      </c>
      <c r="B1595" t="s">
        <v>57</v>
      </c>
      <c r="C1595" t="s">
        <v>48</v>
      </c>
      <c r="D1595">
        <v>42</v>
      </c>
      <c r="E1595">
        <v>40</v>
      </c>
      <c r="F1595">
        <v>13.55</v>
      </c>
      <c r="G1595">
        <v>0</v>
      </c>
      <c r="H1595">
        <v>0</v>
      </c>
      <c r="I1595" s="3">
        <v>0</v>
      </c>
      <c r="J1595" s="3">
        <v>0</v>
      </c>
      <c r="K1595" s="3">
        <v>0</v>
      </c>
      <c r="L1595" s="3" t="str">
        <f>IF(K1595&lt;-5,"CRÍTICO",IF(K1595&lt;0,"ATENÇÃO",IF(K1595&lt;=5,"BOM","EXCELENTE")))</f>
        <v>BOM</v>
      </c>
      <c r="M1595">
        <v>35</v>
      </c>
      <c r="N1595">
        <v>98.32</v>
      </c>
      <c r="O1595">
        <v>32.318501170960189</v>
      </c>
    </row>
    <row r="1596" spans="1:15" hidden="1" x14ac:dyDescent="0.25">
      <c r="A1596" s="11">
        <v>46050</v>
      </c>
      <c r="B1596" t="s">
        <v>42</v>
      </c>
      <c r="C1596" t="s">
        <v>32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 s="3">
        <f>E1596+G1596+H1596</f>
        <v>28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29</v>
      </c>
      <c r="K1596" s="3">
        <f>I1596-J1596</f>
        <v>-1</v>
      </c>
      <c r="L1596" s="3" t="str">
        <f>IF(K1596&lt;-5,"CRÍTICO",IF(K1596&lt;0,"ATENÇÃO",IF(K1596&lt;=5,"BOM","EXCELENTE")))</f>
        <v>ATENÇÃO</v>
      </c>
      <c r="M1596">
        <v>13</v>
      </c>
      <c r="N1596">
        <v>96.43</v>
      </c>
      <c r="O1596">
        <v>27.015250544662312</v>
      </c>
    </row>
    <row r="1597" spans="1:15" hidden="1" x14ac:dyDescent="0.25">
      <c r="A1597" s="11">
        <v>46050</v>
      </c>
      <c r="B1597" t="s">
        <v>62</v>
      </c>
      <c r="C1597" t="s">
        <v>23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 s="3">
        <f>E1597+G1597+H1597</f>
        <v>19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19</v>
      </c>
      <c r="K1597" s="3">
        <f>I1597-J1597</f>
        <v>0</v>
      </c>
      <c r="L1597" s="3" t="str">
        <f>IF(K1597&lt;-5,"CRÍTICO",IF(K1597&lt;0,"ATENÇÃO",IF(K1597&lt;=5,"BOM","EXCELENTE")))</f>
        <v>BOM</v>
      </c>
      <c r="M1597">
        <v>16</v>
      </c>
      <c r="N1597">
        <v>98.89</v>
      </c>
      <c r="O1597">
        <v>28.021978021978018</v>
      </c>
    </row>
    <row r="1598" spans="1:15" hidden="1" x14ac:dyDescent="0.25">
      <c r="A1598" s="11">
        <v>46050</v>
      </c>
      <c r="B1598" t="s">
        <v>19</v>
      </c>
      <c r="C1598" t="s">
        <v>16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>
        <v>0</v>
      </c>
      <c r="N1598">
        <v>100</v>
      </c>
      <c r="O1598">
        <v>33.333333333333329</v>
      </c>
    </row>
    <row r="1599" spans="1:15" hidden="1" x14ac:dyDescent="0.25">
      <c r="A1599" s="11">
        <v>46050</v>
      </c>
      <c r="B1599" t="s">
        <v>43</v>
      </c>
      <c r="C1599" t="s">
        <v>32</v>
      </c>
      <c r="D1599">
        <v>0</v>
      </c>
      <c r="E1599">
        <v>0</v>
      </c>
      <c r="F1599">
        <v>0</v>
      </c>
      <c r="G1599">
        <v>0</v>
      </c>
      <c r="H1599">
        <v>0</v>
      </c>
      <c r="I1599" s="3">
        <v>0</v>
      </c>
      <c r="J1599" s="3">
        <v>0</v>
      </c>
      <c r="K1599" s="3">
        <v>0</v>
      </c>
      <c r="L1599" s="3" t="str">
        <f>IF(K1599&lt;-5,"CRÍTICO",IF(K1599&lt;0,"ATENÇÃO",IF(K1599&lt;=5,"BOM","EXCELENTE")))</f>
        <v>BOM</v>
      </c>
      <c r="M1599">
        <v>0</v>
      </c>
      <c r="N1599">
        <v>100</v>
      </c>
      <c r="O1599">
        <v>27.43362831858407</v>
      </c>
    </row>
    <row r="1600" spans="1:15" hidden="1" x14ac:dyDescent="0.25">
      <c r="A1600" s="11">
        <v>46050</v>
      </c>
      <c r="B1600" t="s">
        <v>44</v>
      </c>
      <c r="C1600" t="s">
        <v>32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 s="3">
        <f>E1600+G1600+H1600</f>
        <v>42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29</v>
      </c>
      <c r="K1600" s="3">
        <f>I1600-J1600</f>
        <v>13</v>
      </c>
      <c r="L1600" s="3" t="str">
        <f>IF(K1600&lt;-5,"CRÍTICO",IF(K1600&lt;0,"ATENÇÃO",IF(K1600&lt;=5,"BOM","EXCELENTE")))</f>
        <v>EXCELENTE</v>
      </c>
      <c r="M1600">
        <v>31</v>
      </c>
      <c r="N1600">
        <v>98.65</v>
      </c>
      <c r="O1600">
        <v>30.978260869565219</v>
      </c>
    </row>
    <row r="1601" spans="1:15" hidden="1" x14ac:dyDescent="0.25">
      <c r="A1601" s="11">
        <v>46050</v>
      </c>
      <c r="B1601" t="s">
        <v>20</v>
      </c>
      <c r="C1601" t="s">
        <v>16</v>
      </c>
      <c r="D1601">
        <v>8</v>
      </c>
      <c r="E1601">
        <v>7</v>
      </c>
      <c r="F1601">
        <v>37.04</v>
      </c>
      <c r="G1601">
        <v>0</v>
      </c>
      <c r="H1601">
        <v>0</v>
      </c>
      <c r="I1601" s="3">
        <f>E1601+G1601+H1601</f>
        <v>7</v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>8</v>
      </c>
      <c r="K1601" s="3">
        <f>I1601-J1601</f>
        <v>-1</v>
      </c>
      <c r="L1601" s="3" t="str">
        <f>IF(K1601&lt;-5,"CRÍTICO",IF(K1601&lt;0,"ATENÇÃO",IF(K1601&lt;=5,"BOM","EXCELENTE")))</f>
        <v>ATENÇÃO</v>
      </c>
      <c r="M1601">
        <v>3</v>
      </c>
      <c r="N1601">
        <v>100</v>
      </c>
      <c r="O1601">
        <v>12</v>
      </c>
    </row>
    <row r="1602" spans="1:15" hidden="1" x14ac:dyDescent="0.25">
      <c r="A1602" s="11">
        <v>46050</v>
      </c>
      <c r="B1602" t="s">
        <v>28</v>
      </c>
      <c r="C1602" t="s">
        <v>26</v>
      </c>
      <c r="D1602">
        <v>0</v>
      </c>
      <c r="E1602">
        <v>0</v>
      </c>
      <c r="F1602">
        <v>0</v>
      </c>
      <c r="G1602">
        <v>0</v>
      </c>
      <c r="H1602">
        <v>0</v>
      </c>
      <c r="I1602" s="3">
        <v>0</v>
      </c>
      <c r="J1602" s="3">
        <v>0</v>
      </c>
      <c r="K1602" s="3">
        <v>0</v>
      </c>
      <c r="L1602" s="3" t="str">
        <f>IF(K1602&lt;-5,"CRÍTICO",IF(K1602&lt;0,"ATENÇÃO",IF(K1602&lt;=5,"BOM","EXCELENTE")))</f>
        <v>BOM</v>
      </c>
      <c r="M1602">
        <v>0</v>
      </c>
      <c r="N1602">
        <v>0</v>
      </c>
      <c r="O1602">
        <v>0</v>
      </c>
    </row>
    <row r="1603" spans="1:15" hidden="1" x14ac:dyDescent="0.25">
      <c r="A1603" s="11">
        <v>46050</v>
      </c>
      <c r="B1603" t="s">
        <v>58</v>
      </c>
      <c r="C1603" t="s">
        <v>48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 s="3">
        <f>E1603+G1603+H1603</f>
        <v>30</v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>23</v>
      </c>
      <c r="K1603" s="3">
        <f>I1603-J1603</f>
        <v>7</v>
      </c>
      <c r="L1603" s="3" t="str">
        <f>IF(K1603&lt;-5,"CRÍTICO",IF(K1603&lt;0,"ATENÇÃO",IF(K1603&lt;=5,"BOM","EXCELENTE")))</f>
        <v>EXCELENTE</v>
      </c>
      <c r="M1603">
        <v>25</v>
      </c>
      <c r="N1603">
        <v>97.56</v>
      </c>
      <c r="O1603">
        <v>31.067961165048541</v>
      </c>
    </row>
    <row r="1604" spans="1:15" hidden="1" x14ac:dyDescent="0.25">
      <c r="A1604" s="11">
        <v>46050</v>
      </c>
      <c r="B1604" t="s">
        <v>29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30</v>
      </c>
      <c r="C1605" t="s">
        <v>26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21</v>
      </c>
      <c r="C1606" t="s">
        <v>16</v>
      </c>
      <c r="D1606">
        <v>0</v>
      </c>
      <c r="E1606">
        <v>0</v>
      </c>
      <c r="F1606">
        <v>0</v>
      </c>
      <c r="G1606">
        <v>0</v>
      </c>
      <c r="H1606">
        <v>0</v>
      </c>
      <c r="I1606" s="3">
        <v>0</v>
      </c>
      <c r="J1606" s="3">
        <v>0</v>
      </c>
      <c r="K1606" s="3">
        <v>0</v>
      </c>
      <c r="L1606" s="3" t="str">
        <f>IF(K1606&lt;-5,"CRÍTICO",IF(K1606&lt;0,"ATENÇÃO",IF(K1606&lt;=5,"BOM","EXCELENTE")))</f>
        <v>BOM</v>
      </c>
      <c r="M1606">
        <v>0</v>
      </c>
      <c r="N1606">
        <v>0</v>
      </c>
      <c r="O1606">
        <v>0</v>
      </c>
    </row>
    <row r="1607" spans="1:15" hidden="1" x14ac:dyDescent="0.25">
      <c r="A1607" s="11">
        <v>46050</v>
      </c>
      <c r="B1607" t="s">
        <v>63</v>
      </c>
      <c r="C1607" t="s">
        <v>23</v>
      </c>
      <c r="D1607">
        <v>2</v>
      </c>
      <c r="E1607">
        <v>2</v>
      </c>
      <c r="F1607">
        <v>13.56</v>
      </c>
      <c r="G1607">
        <v>0</v>
      </c>
      <c r="H1607">
        <v>0</v>
      </c>
      <c r="I1607" s="3">
        <f>E1607+G1607+H1607</f>
        <v>2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19</v>
      </c>
      <c r="K1607" s="3">
        <f>I1607-J1607</f>
        <v>-17</v>
      </c>
      <c r="L1607" s="3" t="str">
        <f>IF(K1607&lt;-5,"CRÍTICO",IF(K1607&lt;0,"ATENÇÃO",IF(K1607&lt;=5,"BOM","EXCELENTE")))</f>
        <v>CRÍTICO</v>
      </c>
      <c r="M1607">
        <v>2</v>
      </c>
      <c r="N1607">
        <v>100</v>
      </c>
      <c r="O1607">
        <v>53.846153846153847</v>
      </c>
    </row>
    <row r="1608" spans="1:15" hidden="1" x14ac:dyDescent="0.25">
      <c r="A1608" s="11">
        <v>46050</v>
      </c>
      <c r="B1608" t="s">
        <v>45</v>
      </c>
      <c r="C1608" t="s">
        <v>32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 s="3">
        <f>E1608+G1608+H1608</f>
        <v>36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29</v>
      </c>
      <c r="K1608" s="3">
        <f>I1608-J1608</f>
        <v>7</v>
      </c>
      <c r="L1608" s="3" t="str">
        <f>IF(K1608&lt;-5,"CRÍTICO",IF(K1608&lt;0,"ATENÇÃO",IF(K1608&lt;=5,"BOM","EXCELENTE")))</f>
        <v>EXCELENTE</v>
      </c>
      <c r="M1608">
        <v>40</v>
      </c>
      <c r="N1608">
        <v>100</v>
      </c>
      <c r="O1608">
        <v>44.05594405594406</v>
      </c>
    </row>
    <row r="1609" spans="1:15" hidden="1" x14ac:dyDescent="0.25">
      <c r="A1609" s="11">
        <v>46050</v>
      </c>
      <c r="B1609" t="s">
        <v>64</v>
      </c>
      <c r="C1609" t="s">
        <v>23</v>
      </c>
      <c r="D1609">
        <v>13</v>
      </c>
      <c r="E1609">
        <v>13</v>
      </c>
      <c r="F1609">
        <v>40.5</v>
      </c>
      <c r="G1609">
        <v>0</v>
      </c>
      <c r="H1609">
        <v>0</v>
      </c>
      <c r="I1609" s="3">
        <f>E1609+G1609+H1609</f>
        <v>13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19</v>
      </c>
      <c r="K1609" s="3">
        <f>I1609-J1609</f>
        <v>-6</v>
      </c>
      <c r="L1609" s="3" t="str">
        <f>IF(K1609&lt;-5,"CRÍTICO",IF(K1609&lt;0,"ATENÇÃO",IF(K1609&lt;=5,"BOM","EXCELENTE")))</f>
        <v>CRÍTICO</v>
      </c>
      <c r="M1609">
        <v>7</v>
      </c>
      <c r="N1609">
        <v>100</v>
      </c>
      <c r="O1609">
        <v>31.872509960159359</v>
      </c>
    </row>
    <row r="1610" spans="1:15" hidden="1" x14ac:dyDescent="0.25">
      <c r="A1610" s="11">
        <v>46050</v>
      </c>
      <c r="B1610" t="s">
        <v>46</v>
      </c>
      <c r="C1610" t="s">
        <v>32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 s="3">
        <f>E1610+G1610+H1610</f>
        <v>30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29</v>
      </c>
      <c r="K1610" s="3">
        <f>I1610-J1610</f>
        <v>1</v>
      </c>
      <c r="L1610" s="3" t="str">
        <f>IF(K1610&lt;-5,"CRÍTICO",IF(K1610&lt;0,"ATENÇÃO",IF(K1610&lt;=5,"BOM","EXCELENTE")))</f>
        <v>BOM</v>
      </c>
      <c r="M1610">
        <v>27</v>
      </c>
      <c r="N1610">
        <v>98.41</v>
      </c>
      <c r="O1610">
        <v>29.22465208747515</v>
      </c>
    </row>
    <row r="1611" spans="1:15" hidden="1" x14ac:dyDescent="0.25">
      <c r="A1611" s="11">
        <v>46051</v>
      </c>
      <c r="B1611" t="s">
        <v>47</v>
      </c>
      <c r="C1611" t="s">
        <v>48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 s="3">
        <f>E1611+G1611+H1611</f>
        <v>22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22</v>
      </c>
      <c r="K1611" s="3">
        <f>I1611-J1611</f>
        <v>0</v>
      </c>
      <c r="L1611" s="3" t="str">
        <f>IF(K1611&lt;-5,"CRÍTICO",IF(K1611&lt;0,"ATENÇÃO",IF(K1611&lt;=5,"BOM","EXCELENTE")))</f>
        <v>BOM</v>
      </c>
      <c r="M1611">
        <v>21</v>
      </c>
      <c r="N1611">
        <v>96.81</v>
      </c>
      <c r="O1611">
        <v>27.980535279805348</v>
      </c>
    </row>
    <row r="1612" spans="1:15" hidden="1" x14ac:dyDescent="0.25">
      <c r="A1612" s="11">
        <v>46051</v>
      </c>
      <c r="B1612" t="s">
        <v>31</v>
      </c>
      <c r="C1612" t="s">
        <v>32</v>
      </c>
      <c r="D1612">
        <v>0</v>
      </c>
      <c r="E1612">
        <v>0</v>
      </c>
      <c r="F1612">
        <v>0</v>
      </c>
      <c r="G1612">
        <v>0</v>
      </c>
      <c r="H1612">
        <v>0</v>
      </c>
      <c r="I1612" s="3">
        <v>0</v>
      </c>
      <c r="J1612" s="3">
        <v>0</v>
      </c>
      <c r="K1612" s="3">
        <v>0</v>
      </c>
      <c r="L1612" s="3" t="str">
        <f>IF(K1612&lt;-5,"CRÍTICO",IF(K1612&lt;0,"ATENÇÃO",IF(K1612&lt;=5,"BOM","EXCELENTE")))</f>
        <v>BOM</v>
      </c>
      <c r="M1612">
        <v>28</v>
      </c>
      <c r="N1612">
        <v>98.73</v>
      </c>
      <c r="O1612">
        <v>35.756385068762278</v>
      </c>
    </row>
    <row r="1613" spans="1:15" hidden="1" x14ac:dyDescent="0.25">
      <c r="A1613" s="11">
        <v>46051</v>
      </c>
      <c r="B1613" t="s">
        <v>59</v>
      </c>
      <c r="C1613" t="s">
        <v>23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18</v>
      </c>
      <c r="K1613" s="3">
        <f>I1613-J1613</f>
        <v>10</v>
      </c>
      <c r="L1613" s="3" t="str">
        <f>IF(K1613&lt;-5,"CRÍTICO",IF(K1613&lt;0,"ATENÇÃO",IF(K1613&lt;=5,"BOM","EXCELENTE")))</f>
        <v>EXCELENTE</v>
      </c>
      <c r="M1613">
        <v>29</v>
      </c>
      <c r="N1613">
        <v>98.32</v>
      </c>
      <c r="O1613">
        <v>26.763485477178421</v>
      </c>
    </row>
    <row r="1614" spans="1:15" hidden="1" x14ac:dyDescent="0.25">
      <c r="A1614" s="11">
        <v>46051</v>
      </c>
      <c r="B1614" t="s">
        <v>33</v>
      </c>
      <c r="C1614" t="s">
        <v>32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 s="3">
        <f>E1614+G1614+H1614</f>
        <v>27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28</v>
      </c>
      <c r="K1614" s="3">
        <f>I1614-J1614</f>
        <v>-1</v>
      </c>
      <c r="L1614" s="3" t="str">
        <f>IF(K1614&lt;-5,"CRÍTICO",IF(K1614&lt;0,"ATENÇÃO",IF(K1614&lt;=5,"BOM","EXCELENTE")))</f>
        <v>ATENÇÃO</v>
      </c>
      <c r="M1614">
        <v>21</v>
      </c>
      <c r="N1614">
        <v>99.19</v>
      </c>
      <c r="O1614">
        <v>27.637130801687761</v>
      </c>
    </row>
    <row r="1615" spans="1:15" hidden="1" x14ac:dyDescent="0.25">
      <c r="A1615" s="11">
        <v>46051</v>
      </c>
      <c r="B1615" t="s">
        <v>15</v>
      </c>
      <c r="C1615" t="s">
        <v>16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 s="3">
        <f>E1615+G1615+H1615</f>
        <v>10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8</v>
      </c>
      <c r="K1615" s="3">
        <f>I1615-J1615</f>
        <v>2</v>
      </c>
      <c r="L1615" s="3" t="str">
        <f>IF(K1615&lt;-5,"CRÍTICO",IF(K1615&lt;0,"ATENÇÃO",IF(K1615&lt;=5,"BOM","EXCELENTE")))</f>
        <v>BOM</v>
      </c>
      <c r="M1615">
        <v>8</v>
      </c>
      <c r="N1615">
        <v>100</v>
      </c>
      <c r="O1615">
        <v>39.568345323741013</v>
      </c>
    </row>
    <row r="1616" spans="1:15" hidden="1" x14ac:dyDescent="0.25">
      <c r="A1616" s="11">
        <v>46051</v>
      </c>
      <c r="B1616" t="s">
        <v>49</v>
      </c>
      <c r="C1616" t="s">
        <v>48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 s="3">
        <f>E1616+G1616+H1616</f>
        <v>28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6</v>
      </c>
      <c r="L1616" s="3" t="str">
        <f>IF(K1616&lt;-5,"CRÍTICO",IF(K1616&lt;0,"ATENÇÃO",IF(K1616&lt;=5,"BOM","EXCELENTE")))</f>
        <v>EXCELENTE</v>
      </c>
      <c r="M1616">
        <v>30</v>
      </c>
      <c r="N1616">
        <v>98.54</v>
      </c>
      <c r="O1616">
        <v>28.544776119402989</v>
      </c>
    </row>
    <row r="1617" spans="1:15" hidden="1" x14ac:dyDescent="0.25">
      <c r="A1617" s="11">
        <v>46051</v>
      </c>
      <c r="B1617" t="s">
        <v>50</v>
      </c>
      <c r="C1617" t="s">
        <v>48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 s="3">
        <f>E1617+G1617+H1617</f>
        <v>29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22</v>
      </c>
      <c r="K1617" s="3">
        <f>I1617-J1617</f>
        <v>7</v>
      </c>
      <c r="L1617" s="3" t="str">
        <f>IF(K1617&lt;-5,"CRÍTICO",IF(K1617&lt;0,"ATENÇÃO",IF(K1617&lt;=5,"BOM","EXCELENTE")))</f>
        <v>EXCELENTE</v>
      </c>
      <c r="M1617">
        <v>27</v>
      </c>
      <c r="N1617">
        <v>100</v>
      </c>
      <c r="O1617">
        <v>34.366925064599492</v>
      </c>
    </row>
    <row r="1618" spans="1:15" hidden="1" x14ac:dyDescent="0.25">
      <c r="A1618" s="11">
        <v>46051</v>
      </c>
      <c r="B1618" t="s">
        <v>17</v>
      </c>
      <c r="C1618" t="s">
        <v>16</v>
      </c>
      <c r="D1618">
        <v>0</v>
      </c>
      <c r="E1618">
        <v>0</v>
      </c>
      <c r="F1618">
        <v>0</v>
      </c>
      <c r="G1618">
        <v>0</v>
      </c>
      <c r="H1618">
        <v>0</v>
      </c>
      <c r="I1618" s="3">
        <v>0</v>
      </c>
      <c r="J1618" s="3">
        <v>0</v>
      </c>
      <c r="K1618" s="3">
        <v>0</v>
      </c>
      <c r="L1618" s="3" t="str">
        <f>IF(K1618&lt;-5,"CRÍTICO",IF(K1618&lt;0,"ATENÇÃO",IF(K1618&lt;=5,"BOM","EXCELENTE")))</f>
        <v>BOM</v>
      </c>
      <c r="M1618">
        <v>0</v>
      </c>
      <c r="N1618">
        <v>0</v>
      </c>
      <c r="O1618">
        <v>0</v>
      </c>
    </row>
    <row r="1619" spans="1:15" hidden="1" x14ac:dyDescent="0.25">
      <c r="A1619" s="11">
        <v>46051</v>
      </c>
      <c r="B1619" t="s">
        <v>60</v>
      </c>
      <c r="C1619" t="s">
        <v>23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 s="3">
        <f>E1619+G1619+H1619</f>
        <v>14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18</v>
      </c>
      <c r="K1619" s="3">
        <f>I1619-J1619</f>
        <v>-4</v>
      </c>
      <c r="L1619" s="3" t="str">
        <f>IF(K1619&lt;-5,"CRÍTICO",IF(K1619&lt;0,"ATENÇÃO",IF(K1619&lt;=5,"BOM","EXCELENTE")))</f>
        <v>ATENÇÃO</v>
      </c>
      <c r="M1619">
        <v>12</v>
      </c>
      <c r="N1619">
        <v>100</v>
      </c>
      <c r="O1619">
        <v>29.518072289156631</v>
      </c>
    </row>
    <row r="1620" spans="1:15" hidden="1" x14ac:dyDescent="0.25">
      <c r="A1620" s="11">
        <v>46051</v>
      </c>
      <c r="B1620" t="s">
        <v>34</v>
      </c>
      <c r="C1620" t="s">
        <v>32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 s="3">
        <f>E1620+G1620+H1620</f>
        <v>31</v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>28</v>
      </c>
      <c r="K1620" s="3">
        <f>I1620-J1620</f>
        <v>3</v>
      </c>
      <c r="L1620" s="3" t="str">
        <f>IF(K1620&lt;-5,"CRÍTICO",IF(K1620&lt;0,"ATENÇÃO",IF(K1620&lt;=5,"BOM","EXCELENTE")))</f>
        <v>BOM</v>
      </c>
      <c r="M1620">
        <v>25</v>
      </c>
      <c r="N1620">
        <v>97.45</v>
      </c>
      <c r="O1620">
        <v>41.421143847487002</v>
      </c>
    </row>
    <row r="1621" spans="1:15" hidden="1" x14ac:dyDescent="0.25">
      <c r="A1621" s="11">
        <v>46051</v>
      </c>
      <c r="B1621" t="s">
        <v>51</v>
      </c>
      <c r="C1621" t="s">
        <v>48</v>
      </c>
      <c r="D1621">
        <v>40</v>
      </c>
      <c r="E1621">
        <v>33</v>
      </c>
      <c r="F1621">
        <v>13.31</v>
      </c>
      <c r="G1621">
        <v>0</v>
      </c>
      <c r="H1621">
        <v>0</v>
      </c>
      <c r="I1621" s="3">
        <v>0</v>
      </c>
      <c r="J1621" s="3">
        <v>0</v>
      </c>
      <c r="K1621" s="3">
        <v>0</v>
      </c>
      <c r="L1621" s="3" t="str">
        <f>IF(K1621&lt;-5,"CRÍTICO",IF(K1621&lt;0,"ATENÇÃO",IF(K1621&lt;=5,"BOM","EXCELENTE")))</f>
        <v>BOM</v>
      </c>
      <c r="M1621">
        <v>28</v>
      </c>
      <c r="N1621">
        <v>96.58</v>
      </c>
      <c r="O1621">
        <v>30.396475770925111</v>
      </c>
    </row>
    <row r="1622" spans="1:15" hidden="1" x14ac:dyDescent="0.25">
      <c r="A1622" s="11">
        <v>46051</v>
      </c>
      <c r="B1622" t="s">
        <v>61</v>
      </c>
      <c r="C1622" t="s">
        <v>23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 s="3">
        <f>E1622+G1622+H1622</f>
        <v>21</v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>18</v>
      </c>
      <c r="K1622" s="3">
        <f>I1622-J1622</f>
        <v>3</v>
      </c>
      <c r="L1622" s="3" t="str">
        <f>IF(K1622&lt;-5,"CRÍTICO",IF(K1622&lt;0,"ATENÇÃO",IF(K1622&lt;=5,"BOM","EXCELENTE")))</f>
        <v>BOM</v>
      </c>
      <c r="M1622">
        <v>22</v>
      </c>
      <c r="N1622">
        <v>100</v>
      </c>
      <c r="O1622">
        <v>27.44282744282744</v>
      </c>
    </row>
    <row r="1623" spans="1:15" hidden="1" x14ac:dyDescent="0.25">
      <c r="A1623" s="11">
        <v>46051</v>
      </c>
      <c r="B1623" t="s">
        <v>35</v>
      </c>
      <c r="C1623" t="s">
        <v>32</v>
      </c>
      <c r="D1623">
        <v>33</v>
      </c>
      <c r="E1623">
        <v>31</v>
      </c>
      <c r="F1623">
        <v>20.03</v>
      </c>
      <c r="G1623">
        <v>0</v>
      </c>
      <c r="H1623">
        <v>0</v>
      </c>
      <c r="I1623" s="3">
        <v>0</v>
      </c>
      <c r="J1623" s="3">
        <v>0</v>
      </c>
      <c r="K1623" s="3">
        <v>0</v>
      </c>
      <c r="L1623" s="3" t="str">
        <f>IF(K1623&lt;-5,"CRÍTICO",IF(K1623&lt;0,"ATENÇÃO",IF(K1623&lt;=5,"BOM","EXCELENTE")))</f>
        <v>BOM</v>
      </c>
      <c r="M1623">
        <v>31</v>
      </c>
      <c r="N1623">
        <v>99.49</v>
      </c>
      <c r="O1623">
        <v>40.200000000000003</v>
      </c>
    </row>
    <row r="1624" spans="1:15" hidden="1" x14ac:dyDescent="0.25">
      <c r="A1624" s="11">
        <v>46051</v>
      </c>
      <c r="B1624" t="s">
        <v>18</v>
      </c>
      <c r="C1624" t="s">
        <v>16</v>
      </c>
      <c r="D1624">
        <v>5</v>
      </c>
      <c r="E1624">
        <v>4</v>
      </c>
      <c r="F1624">
        <v>32.18</v>
      </c>
      <c r="G1624">
        <v>0</v>
      </c>
      <c r="H1624">
        <v>0</v>
      </c>
      <c r="I1624" s="3">
        <f>E1624+G1624+H1624</f>
        <v>4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8</v>
      </c>
      <c r="K1624" s="3">
        <f>I1624-J1624</f>
        <v>-4</v>
      </c>
      <c r="L1624" s="3" t="str">
        <f>IF(K1624&lt;-5,"CRÍTICO",IF(K1624&lt;0,"ATENÇÃO",IF(K1624&lt;=5,"BOM","EXCELENTE")))</f>
        <v>ATENÇÃO</v>
      </c>
      <c r="M1624">
        <v>2</v>
      </c>
      <c r="N1624">
        <v>100</v>
      </c>
      <c r="O1624">
        <v>25</v>
      </c>
    </row>
    <row r="1625" spans="1:15" hidden="1" x14ac:dyDescent="0.25">
      <c r="A1625" s="11">
        <v>46051</v>
      </c>
      <c r="B1625" t="s">
        <v>52</v>
      </c>
      <c r="C1625" t="s">
        <v>48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 s="3">
        <f>E1625+G1625+H1625</f>
        <v>23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22</v>
      </c>
      <c r="K1625" s="3">
        <f>I1625-J1625</f>
        <v>1</v>
      </c>
      <c r="L1625" s="3" t="str">
        <f>IF(K1625&lt;-5,"CRÍTICO",IF(K1625&lt;0,"ATENÇÃO",IF(K1625&lt;=5,"BOM","EXCELENTE")))</f>
        <v>BOM</v>
      </c>
      <c r="M1625">
        <v>18</v>
      </c>
      <c r="N1625">
        <v>100</v>
      </c>
      <c r="O1625">
        <v>34.15094339622641</v>
      </c>
    </row>
    <row r="1626" spans="1:15" hidden="1" x14ac:dyDescent="0.25">
      <c r="A1626" s="11">
        <v>46051</v>
      </c>
      <c r="B1626" t="s">
        <v>36</v>
      </c>
      <c r="C1626" t="s">
        <v>32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 s="3">
        <f>E1626+G1626+H1626</f>
        <v>28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28</v>
      </c>
      <c r="K1626" s="3">
        <f>I1626-J1626</f>
        <v>0</v>
      </c>
      <c r="L1626" s="3" t="str">
        <f>IF(K1626&lt;-5,"CRÍTICO",IF(K1626&lt;0,"ATENÇÃO",IF(K1626&lt;=5,"BOM","EXCELENTE")))</f>
        <v>BOM</v>
      </c>
      <c r="M1626">
        <v>27</v>
      </c>
      <c r="N1626">
        <v>100</v>
      </c>
      <c r="O1626">
        <v>32.731376975169297</v>
      </c>
    </row>
    <row r="1627" spans="1:15" hidden="1" x14ac:dyDescent="0.25">
      <c r="A1627" s="11">
        <v>46051</v>
      </c>
      <c r="B1627" t="s">
        <v>53</v>
      </c>
      <c r="C1627" t="s">
        <v>48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 s="3">
        <f>E1627+G1627+H1627</f>
        <v>43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22</v>
      </c>
      <c r="K1627" s="3">
        <f>I1627-J1627</f>
        <v>21</v>
      </c>
      <c r="L1627" s="3" t="str">
        <f>IF(K1627&lt;-5,"CRÍTICO",IF(K1627&lt;0,"ATENÇÃO",IF(K1627&lt;=5,"BOM","EXCELENTE")))</f>
        <v>EXCELENTE</v>
      </c>
      <c r="M1627">
        <v>37</v>
      </c>
      <c r="N1627">
        <v>99.31</v>
      </c>
      <c r="O1627">
        <v>30.96234309623431</v>
      </c>
    </row>
    <row r="1628" spans="1:15" hidden="1" x14ac:dyDescent="0.25">
      <c r="A1628" s="11">
        <v>46085</v>
      </c>
      <c r="B1628" t="s">
        <v>22</v>
      </c>
      <c r="C1628" t="s">
        <v>23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>E1628+G1628+H1628</f>
        <v>21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17</v>
      </c>
      <c r="K1628" s="3">
        <f>I1628-J1628</f>
        <v>4</v>
      </c>
      <c r="L1628" s="3" t="str">
        <f>IF(K1628&lt;-5,"CRÍTICO",IF(K1628&lt;0,"ATENÇÃO",IF(K1628&lt;=5,"BOM","EXCELENTE")))</f>
        <v>BOM</v>
      </c>
      <c r="M1628">
        <v>21</v>
      </c>
      <c r="N1628">
        <v>99.05</v>
      </c>
      <c r="O1628">
        <v>26.621923937360179</v>
      </c>
    </row>
    <row r="1629" spans="1:15" hidden="1" x14ac:dyDescent="0.25">
      <c r="A1629" s="11">
        <v>46051</v>
      </c>
      <c r="B1629" t="s">
        <v>54</v>
      </c>
      <c r="C1629" t="s">
        <v>48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 s="3">
        <f>E1629+G1629+H1629</f>
        <v>31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22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>
        <v>30</v>
      </c>
      <c r="N1629">
        <v>100</v>
      </c>
      <c r="O1629">
        <v>27.676767676767678</v>
      </c>
    </row>
    <row r="1630" spans="1:15" hidden="1" x14ac:dyDescent="0.25">
      <c r="A1630" s="11">
        <v>46051</v>
      </c>
      <c r="B1630" t="s">
        <v>37</v>
      </c>
      <c r="C1630" t="s">
        <v>32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 s="3">
        <f>E1630+G1630+H1630</f>
        <v>37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9</v>
      </c>
      <c r="L1630" s="3" t="str">
        <f>IF(K1630&lt;-5,"CRÍTICO",IF(K1630&lt;0,"ATENÇÃO",IF(K1630&lt;=5,"BOM","EXCELENTE")))</f>
        <v>EXCELENTE</v>
      </c>
      <c r="M1630">
        <v>38</v>
      </c>
      <c r="N1630">
        <v>100</v>
      </c>
      <c r="O1630">
        <v>31.17723156532988</v>
      </c>
    </row>
    <row r="1631" spans="1:15" hidden="1" x14ac:dyDescent="0.25">
      <c r="A1631" s="11">
        <v>46051</v>
      </c>
      <c r="B1631" t="s">
        <v>38</v>
      </c>
      <c r="C1631" t="s">
        <v>32</v>
      </c>
      <c r="D1631">
        <v>44</v>
      </c>
      <c r="E1631">
        <v>18</v>
      </c>
      <c r="F1631">
        <v>4.09</v>
      </c>
      <c r="G1631">
        <v>0</v>
      </c>
      <c r="H1631">
        <v>0</v>
      </c>
      <c r="I1631" s="3">
        <f>E1631+G1631+H1631</f>
        <v>18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28</v>
      </c>
      <c r="K1631" s="3">
        <f>I1631-J1631</f>
        <v>-10</v>
      </c>
      <c r="L1631" s="3" t="str">
        <f>IF(K1631&lt;-5,"CRÍTICO",IF(K1631&lt;0,"ATENÇÃO",IF(K1631&lt;=5,"BOM","EXCELENTE")))</f>
        <v>CRÍTICO</v>
      </c>
      <c r="M1631">
        <v>14</v>
      </c>
      <c r="N1631">
        <v>100</v>
      </c>
      <c r="O1631">
        <v>27.609427609427609</v>
      </c>
    </row>
    <row r="1632" spans="1:15" hidden="1" x14ac:dyDescent="0.25">
      <c r="A1632" s="11">
        <v>46051</v>
      </c>
      <c r="B1632" t="s">
        <v>55</v>
      </c>
      <c r="C1632" t="s">
        <v>48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 s="3">
        <f>E1632+G1632+H1632</f>
        <v>21</v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>22</v>
      </c>
      <c r="K1632" s="3">
        <f>I1632-J1632</f>
        <v>-1</v>
      </c>
      <c r="L1632" s="3" t="str">
        <f>IF(K1632&lt;-5,"CRÍTICO",IF(K1632&lt;0,"ATENÇÃO",IF(K1632&lt;=5,"BOM","EXCELENTE")))</f>
        <v>ATENÇÃO</v>
      </c>
      <c r="M1632">
        <v>23</v>
      </c>
      <c r="N1632">
        <v>96.4</v>
      </c>
      <c r="O1632">
        <v>28.764044943820231</v>
      </c>
    </row>
    <row r="1633" spans="1:15" hidden="1" x14ac:dyDescent="0.25">
      <c r="A1633" s="11">
        <v>46051</v>
      </c>
      <c r="B1633" t="s">
        <v>39</v>
      </c>
      <c r="C1633" t="s">
        <v>32</v>
      </c>
      <c r="D1633">
        <v>0</v>
      </c>
      <c r="E1633">
        <v>0</v>
      </c>
      <c r="F1633">
        <v>0</v>
      </c>
      <c r="G1633">
        <v>0</v>
      </c>
      <c r="H1633">
        <v>0</v>
      </c>
      <c r="I1633" s="3">
        <v>0</v>
      </c>
      <c r="J1633" s="3">
        <v>0</v>
      </c>
      <c r="K1633" s="3">
        <v>0</v>
      </c>
      <c r="L1633" s="3" t="str">
        <f>IF(K1633&lt;-5,"CRÍTICO",IF(K1633&lt;0,"ATENÇÃO",IF(K1633&lt;=5,"BOM","EXCELENTE")))</f>
        <v>BOM</v>
      </c>
      <c r="M1633">
        <v>0</v>
      </c>
      <c r="N1633">
        <v>100</v>
      </c>
      <c r="O1633">
        <v>33.980582524271853</v>
      </c>
    </row>
    <row r="1634" spans="1:15" hidden="1" x14ac:dyDescent="0.25">
      <c r="A1634" s="11">
        <v>46051</v>
      </c>
      <c r="B1634" t="s">
        <v>25</v>
      </c>
      <c r="C1634" t="s">
        <v>26</v>
      </c>
      <c r="D1634">
        <v>10</v>
      </c>
      <c r="E1634">
        <v>8</v>
      </c>
      <c r="F1634">
        <v>24.14</v>
      </c>
      <c r="G1634">
        <v>0</v>
      </c>
      <c r="H1634">
        <v>0</v>
      </c>
      <c r="I1634" s="3">
        <f>E1634+G1634+H1634</f>
        <v>8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16</v>
      </c>
      <c r="K1634" s="3">
        <f>I1634-J1634</f>
        <v>-8</v>
      </c>
      <c r="L1634" s="3" t="str">
        <f>IF(K1634&lt;-5,"CRÍTICO",IF(K1634&lt;0,"ATENÇÃO",IF(K1634&lt;=5,"BOM","EXCELENTE")))</f>
        <v>CRÍTICO</v>
      </c>
      <c r="M1634">
        <v>7</v>
      </c>
      <c r="N1634">
        <v>97.56</v>
      </c>
      <c r="O1634">
        <v>32.515337423312893</v>
      </c>
    </row>
    <row r="1635" spans="1:15" hidden="1" x14ac:dyDescent="0.25">
      <c r="A1635" s="11">
        <v>46051</v>
      </c>
      <c r="B1635" t="s">
        <v>40</v>
      </c>
      <c r="C1635" t="s">
        <v>32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 s="3">
        <f>E1635+G1635+H1635</f>
        <v>14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28</v>
      </c>
      <c r="K1635" s="3">
        <f>I1635-J1635</f>
        <v>-14</v>
      </c>
      <c r="L1635" s="3" t="str">
        <f>IF(K1635&lt;-5,"CRÍTICO",IF(K1635&lt;0,"ATENÇÃO",IF(K1635&lt;=5,"BOM","EXCELENTE")))</f>
        <v>CRÍTICO</v>
      </c>
      <c r="M1635">
        <v>14</v>
      </c>
      <c r="N1635">
        <v>97.11</v>
      </c>
      <c r="O1635">
        <v>37.408312958435211</v>
      </c>
    </row>
    <row r="1636" spans="1:15" hidden="1" x14ac:dyDescent="0.25">
      <c r="A1636" s="11">
        <v>46051</v>
      </c>
      <c r="B1636" t="s">
        <v>27</v>
      </c>
      <c r="C1636" t="s">
        <v>26</v>
      </c>
      <c r="D1636">
        <v>0</v>
      </c>
      <c r="E1636">
        <v>0</v>
      </c>
      <c r="F1636">
        <v>0</v>
      </c>
      <c r="G1636">
        <v>0</v>
      </c>
      <c r="H1636">
        <v>0</v>
      </c>
      <c r="I1636" s="3">
        <v>0</v>
      </c>
      <c r="J1636" s="3">
        <v>0</v>
      </c>
      <c r="K1636" s="3">
        <v>0</v>
      </c>
      <c r="L1636" s="3" t="str">
        <f>IF(K1636&lt;-5,"CRÍTICO",IF(K1636&lt;0,"ATENÇÃO",IF(K1636&lt;=5,"BOM","EXCELENTE")))</f>
        <v>BOM</v>
      </c>
      <c r="M1636">
        <v>0</v>
      </c>
      <c r="N1636">
        <v>0</v>
      </c>
      <c r="O1636">
        <v>0</v>
      </c>
    </row>
    <row r="1637" spans="1:15" hidden="1" x14ac:dyDescent="0.25">
      <c r="A1637" s="11">
        <v>46051</v>
      </c>
      <c r="B1637" t="s">
        <v>41</v>
      </c>
      <c r="C1637" t="s">
        <v>32</v>
      </c>
      <c r="D1637">
        <v>32</v>
      </c>
      <c r="E1637">
        <v>29</v>
      </c>
      <c r="F1637">
        <v>15</v>
      </c>
      <c r="G1637">
        <v>0</v>
      </c>
      <c r="H1637">
        <v>0</v>
      </c>
      <c r="I1637" s="3">
        <f>E1637+G1637+H1637</f>
        <v>29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28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>
        <v>25</v>
      </c>
      <c r="N1637">
        <v>100</v>
      </c>
      <c r="O1637">
        <v>30.470347648261761</v>
      </c>
    </row>
    <row r="1638" spans="1:15" hidden="1" x14ac:dyDescent="0.25">
      <c r="A1638" s="11">
        <v>46051</v>
      </c>
      <c r="B1638" t="s">
        <v>56</v>
      </c>
      <c r="C1638" t="s">
        <v>48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 s="3">
        <f>E1638+G1638+H1638</f>
        <v>23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22</v>
      </c>
      <c r="K1638" s="3">
        <f>I1638-J1638</f>
        <v>1</v>
      </c>
      <c r="L1638" s="3" t="str">
        <f>IF(K1638&lt;-5,"CRÍTICO",IF(K1638&lt;0,"ATENÇÃO",IF(K1638&lt;=5,"BOM","EXCELENTE")))</f>
        <v>BOM</v>
      </c>
      <c r="M1638">
        <v>31</v>
      </c>
      <c r="N1638">
        <v>100</v>
      </c>
      <c r="O1638">
        <v>32.371134020618562</v>
      </c>
    </row>
    <row r="1639" spans="1:15" hidden="1" x14ac:dyDescent="0.25">
      <c r="A1639" s="11">
        <v>46051</v>
      </c>
      <c r="B1639" t="s">
        <v>57</v>
      </c>
      <c r="C1639" t="s">
        <v>48</v>
      </c>
      <c r="D1639">
        <v>26</v>
      </c>
      <c r="E1639">
        <v>23</v>
      </c>
      <c r="F1639">
        <v>15.59</v>
      </c>
      <c r="G1639">
        <v>0</v>
      </c>
      <c r="H1639">
        <v>0</v>
      </c>
      <c r="I1639" s="3">
        <v>0</v>
      </c>
      <c r="J1639" s="3">
        <v>0</v>
      </c>
      <c r="K1639" s="3">
        <v>0</v>
      </c>
      <c r="L1639" s="3" t="str">
        <f>IF(K1639&lt;-5,"CRÍTICO",IF(K1639&lt;0,"ATENÇÃO",IF(K1639&lt;=5,"BOM","EXCELENTE")))</f>
        <v>BOM</v>
      </c>
      <c r="M1639">
        <v>15</v>
      </c>
      <c r="N1639">
        <v>98.32</v>
      </c>
      <c r="O1639">
        <v>32.318501170960189</v>
      </c>
    </row>
    <row r="1640" spans="1:15" hidden="1" x14ac:dyDescent="0.25">
      <c r="A1640" s="11">
        <v>46051</v>
      </c>
      <c r="B1640" t="s">
        <v>42</v>
      </c>
      <c r="C1640" t="s">
        <v>32</v>
      </c>
      <c r="D1640">
        <v>96</v>
      </c>
      <c r="E1640">
        <v>35</v>
      </c>
      <c r="F1640">
        <v>5.04</v>
      </c>
      <c r="G1640">
        <v>0</v>
      </c>
      <c r="H1640">
        <v>0</v>
      </c>
      <c r="I1640" s="3">
        <f>E1640+G1640+H1640</f>
        <v>35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28</v>
      </c>
      <c r="K1640" s="3">
        <f>I1640-J1640</f>
        <v>7</v>
      </c>
      <c r="L1640" s="3" t="str">
        <f>IF(K1640&lt;-5,"CRÍTICO",IF(K1640&lt;0,"ATENÇÃO",IF(K1640&lt;=5,"BOM","EXCELENTE")))</f>
        <v>EXCELENTE</v>
      </c>
      <c r="M1640">
        <v>15</v>
      </c>
      <c r="N1640">
        <v>96.43</v>
      </c>
      <c r="O1640">
        <v>27.015250544662312</v>
      </c>
    </row>
    <row r="1641" spans="1:15" hidden="1" x14ac:dyDescent="0.25">
      <c r="A1641" s="11">
        <v>46051</v>
      </c>
      <c r="B1641" t="s">
        <v>62</v>
      </c>
      <c r="C1641" t="s">
        <v>23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 s="3">
        <f>E1641+G1641+H1641</f>
        <v>17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18</v>
      </c>
      <c r="K1641" s="3">
        <f>I1641-J1641</f>
        <v>-1</v>
      </c>
      <c r="L1641" s="3" t="str">
        <f>IF(K1641&lt;-5,"CRÍTICO",IF(K1641&lt;0,"ATENÇÃO",IF(K1641&lt;=5,"BOM","EXCELENTE")))</f>
        <v>ATENÇÃO</v>
      </c>
      <c r="M1641">
        <v>17</v>
      </c>
      <c r="N1641">
        <v>98.89</v>
      </c>
      <c r="O1641">
        <v>28.021978021978018</v>
      </c>
    </row>
    <row r="1642" spans="1:15" hidden="1" x14ac:dyDescent="0.25">
      <c r="A1642" s="11">
        <v>46051</v>
      </c>
      <c r="B1642" t="s">
        <v>19</v>
      </c>
      <c r="C1642" t="s">
        <v>16</v>
      </c>
      <c r="D1642">
        <v>8</v>
      </c>
      <c r="E1642">
        <v>8</v>
      </c>
      <c r="F1642">
        <v>25.39</v>
      </c>
      <c r="G1642">
        <v>0</v>
      </c>
      <c r="H1642">
        <v>0</v>
      </c>
      <c r="I1642" s="3">
        <f>E1642+G1642+H1642</f>
        <v>8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8</v>
      </c>
      <c r="K1642" s="3">
        <f>I1642-J1642</f>
        <v>0</v>
      </c>
      <c r="L1642" s="3" t="str">
        <f>IF(K1642&lt;-5,"CRÍTICO",IF(K1642&lt;0,"ATENÇÃO",IF(K1642&lt;=5,"BOM","EXCELENTE")))</f>
        <v>BOM</v>
      </c>
      <c r="M1642">
        <v>7</v>
      </c>
      <c r="N1642">
        <v>100</v>
      </c>
      <c r="O1642">
        <v>33.333333333333329</v>
      </c>
    </row>
    <row r="1643" spans="1:15" hidden="1" x14ac:dyDescent="0.25">
      <c r="A1643" s="11">
        <v>46051</v>
      </c>
      <c r="B1643" t="s">
        <v>43</v>
      </c>
      <c r="C1643" t="s">
        <v>32</v>
      </c>
      <c r="D1643">
        <v>0</v>
      </c>
      <c r="E1643">
        <v>0</v>
      </c>
      <c r="F1643">
        <v>0</v>
      </c>
      <c r="G1643">
        <v>0</v>
      </c>
      <c r="H1643">
        <v>0</v>
      </c>
      <c r="I1643" s="3">
        <v>0</v>
      </c>
      <c r="J1643" s="3">
        <v>0</v>
      </c>
      <c r="K1643" s="3">
        <v>0</v>
      </c>
      <c r="L1643" s="3" t="str">
        <f>IF(K1643&lt;-5,"CRÍTICO",IF(K1643&lt;0,"ATENÇÃO",IF(K1643&lt;=5,"BOM","EXCELENTE")))</f>
        <v>BOM</v>
      </c>
      <c r="M1643">
        <v>0</v>
      </c>
      <c r="N1643">
        <v>100</v>
      </c>
      <c r="O1643">
        <v>27.43362831858407</v>
      </c>
    </row>
    <row r="1644" spans="1:15" hidden="1" x14ac:dyDescent="0.25">
      <c r="A1644" s="11">
        <v>46051</v>
      </c>
      <c r="B1644" t="s">
        <v>44</v>
      </c>
      <c r="C1644" t="s">
        <v>32</v>
      </c>
      <c r="D1644">
        <v>50</v>
      </c>
      <c r="E1644">
        <v>31</v>
      </c>
      <c r="F1644">
        <v>7.17</v>
      </c>
      <c r="G1644">
        <v>0</v>
      </c>
      <c r="H1644">
        <v>0</v>
      </c>
      <c r="I1644" s="3">
        <f>E1644+G1644+H1644</f>
        <v>31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28</v>
      </c>
      <c r="K1644" s="3">
        <f>I1644-J1644</f>
        <v>3</v>
      </c>
      <c r="L1644" s="3" t="str">
        <f>IF(K1644&lt;-5,"CRÍTICO",IF(K1644&lt;0,"ATENÇÃO",IF(K1644&lt;=5,"BOM","EXCELENTE")))</f>
        <v>BOM</v>
      </c>
      <c r="M1644">
        <v>28</v>
      </c>
      <c r="N1644">
        <v>98.65</v>
      </c>
      <c r="O1644">
        <v>30.978260869565219</v>
      </c>
    </row>
    <row r="1645" spans="1:15" hidden="1" x14ac:dyDescent="0.25">
      <c r="A1645" s="11">
        <v>46051</v>
      </c>
      <c r="B1645" t="s">
        <v>20</v>
      </c>
      <c r="C1645" t="s">
        <v>16</v>
      </c>
      <c r="D1645">
        <v>9</v>
      </c>
      <c r="E1645">
        <v>9</v>
      </c>
      <c r="F1645">
        <v>32.01</v>
      </c>
      <c r="G1645">
        <v>0</v>
      </c>
      <c r="H1645">
        <v>0</v>
      </c>
      <c r="I1645" s="3">
        <f>E1645+G1645+H1645</f>
        <v>9</v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>8</v>
      </c>
      <c r="K1645" s="3">
        <f>I1645-J1645</f>
        <v>1</v>
      </c>
      <c r="L1645" s="3" t="str">
        <f>IF(K1645&lt;-5,"CRÍTICO",IF(K1645&lt;0,"ATENÇÃO",IF(K1645&lt;=5,"BOM","EXCELENTE")))</f>
        <v>BOM</v>
      </c>
      <c r="M1645">
        <v>5</v>
      </c>
      <c r="N1645">
        <v>100</v>
      </c>
      <c r="O1645">
        <v>12</v>
      </c>
    </row>
    <row r="1646" spans="1:15" hidden="1" x14ac:dyDescent="0.25">
      <c r="A1646" s="11">
        <v>46051</v>
      </c>
      <c r="B1646" t="s">
        <v>28</v>
      </c>
      <c r="C1646" t="s">
        <v>26</v>
      </c>
      <c r="D1646">
        <v>0</v>
      </c>
      <c r="E1646">
        <v>0</v>
      </c>
      <c r="F1646">
        <v>0</v>
      </c>
      <c r="G1646">
        <v>0</v>
      </c>
      <c r="H1646">
        <v>0</v>
      </c>
      <c r="I1646" s="3">
        <v>0</v>
      </c>
      <c r="J1646" s="3">
        <v>0</v>
      </c>
      <c r="K1646" s="3">
        <v>0</v>
      </c>
      <c r="L1646" s="3" t="str">
        <f>IF(K1646&lt;-5,"CRÍTICO",IF(K1646&lt;0,"ATENÇÃO",IF(K1646&lt;=5,"BOM","EXCELENTE")))</f>
        <v>BOM</v>
      </c>
      <c r="M1646">
        <v>0</v>
      </c>
      <c r="N1646">
        <v>0</v>
      </c>
      <c r="O1646">
        <v>0</v>
      </c>
    </row>
    <row r="1647" spans="1:15" hidden="1" x14ac:dyDescent="0.25">
      <c r="A1647" s="11">
        <v>46051</v>
      </c>
      <c r="B1647" t="s">
        <v>58</v>
      </c>
      <c r="C1647" t="s">
        <v>48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 s="3">
        <f>E1647+G1647+H1647</f>
        <v>16</v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>22</v>
      </c>
      <c r="K1647" s="3">
        <f>I1647-J1647</f>
        <v>-6</v>
      </c>
      <c r="L1647" s="3" t="str">
        <f>IF(K1647&lt;-5,"CRÍTICO",IF(K1647&lt;0,"ATENÇÃO",IF(K1647&lt;=5,"BOM","EXCELENTE")))</f>
        <v>CRÍTICO</v>
      </c>
      <c r="M1647">
        <v>11</v>
      </c>
      <c r="N1647">
        <v>97.56</v>
      </c>
      <c r="O1647">
        <v>31.067961165048541</v>
      </c>
    </row>
    <row r="1648" spans="1:15" hidden="1" x14ac:dyDescent="0.25">
      <c r="A1648" s="11">
        <v>46051</v>
      </c>
      <c r="B1648" t="s">
        <v>29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30</v>
      </c>
      <c r="C1649" t="s">
        <v>26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21</v>
      </c>
      <c r="C1650" t="s">
        <v>16</v>
      </c>
      <c r="D1650">
        <v>0</v>
      </c>
      <c r="E1650">
        <v>0</v>
      </c>
      <c r="F1650">
        <v>0</v>
      </c>
      <c r="G1650">
        <v>0</v>
      </c>
      <c r="H1650">
        <v>0</v>
      </c>
      <c r="I1650" s="3">
        <v>0</v>
      </c>
      <c r="J1650" s="3">
        <v>0</v>
      </c>
      <c r="K1650" s="3">
        <v>0</v>
      </c>
      <c r="L1650" s="3" t="str">
        <f>IF(K1650&lt;-5,"CRÍTICO",IF(K1650&lt;0,"ATENÇÃO",IF(K1650&lt;=5,"BOM","EXCELENTE")))</f>
        <v>BOM</v>
      </c>
      <c r="M1650">
        <v>0</v>
      </c>
      <c r="N1650">
        <v>0</v>
      </c>
      <c r="O1650">
        <v>0</v>
      </c>
    </row>
    <row r="1651" spans="1:15" hidden="1" x14ac:dyDescent="0.25">
      <c r="A1651" s="11">
        <v>46051</v>
      </c>
      <c r="B1651" t="s">
        <v>63</v>
      </c>
      <c r="C1651" t="s">
        <v>23</v>
      </c>
      <c r="D1651">
        <v>8</v>
      </c>
      <c r="E1651">
        <v>5</v>
      </c>
      <c r="F1651">
        <v>43.53</v>
      </c>
      <c r="G1651">
        <v>0</v>
      </c>
      <c r="H1651">
        <v>0</v>
      </c>
      <c r="I1651" s="3">
        <f>E1651+G1651+H1651</f>
        <v>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18</v>
      </c>
      <c r="K1651" s="3">
        <f>I1651-J1651</f>
        <v>-13</v>
      </c>
      <c r="L1651" s="3" t="str">
        <f>IF(K1651&lt;-5,"CRÍTICO",IF(K1651&lt;0,"ATENÇÃO",IF(K1651&lt;=5,"BOM","EXCELENTE")))</f>
        <v>CRÍTICO</v>
      </c>
      <c r="M1651">
        <v>6</v>
      </c>
      <c r="N1651">
        <v>100</v>
      </c>
      <c r="O1651">
        <v>53.846153846153847</v>
      </c>
    </row>
    <row r="1652" spans="1:15" hidden="1" x14ac:dyDescent="0.25">
      <c r="A1652" s="11">
        <v>46051</v>
      </c>
      <c r="B1652" t="s">
        <v>45</v>
      </c>
      <c r="C1652" t="s">
        <v>32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 s="3">
        <f>E1652+G1652+H1652</f>
        <v>45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28</v>
      </c>
      <c r="K1652" s="3">
        <f>I1652-J1652</f>
        <v>17</v>
      </c>
      <c r="L1652" s="3" t="str">
        <f>IF(K1652&lt;-5,"CRÍTICO",IF(K1652&lt;0,"ATENÇÃO",IF(K1652&lt;=5,"BOM","EXCELENTE")))</f>
        <v>EXCELENTE</v>
      </c>
      <c r="M1652">
        <v>34</v>
      </c>
      <c r="N1652">
        <v>100</v>
      </c>
      <c r="O1652">
        <v>44.05594405594406</v>
      </c>
    </row>
    <row r="1653" spans="1:15" hidden="1" x14ac:dyDescent="0.25">
      <c r="A1653" s="11">
        <v>46051</v>
      </c>
      <c r="B1653" t="s">
        <v>64</v>
      </c>
      <c r="C1653" t="s">
        <v>23</v>
      </c>
      <c r="D1653">
        <v>13</v>
      </c>
      <c r="E1653">
        <v>10</v>
      </c>
      <c r="F1653">
        <v>55</v>
      </c>
      <c r="G1653">
        <v>0</v>
      </c>
      <c r="H1653">
        <v>0</v>
      </c>
      <c r="I1653" s="3">
        <f>E1653+G1653+H1653</f>
        <v>10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18</v>
      </c>
      <c r="K1653" s="3">
        <f>I1653-J1653</f>
        <v>-8</v>
      </c>
      <c r="L1653" s="3" t="str">
        <f>IF(K1653&lt;-5,"CRÍTICO",IF(K1653&lt;0,"ATENÇÃO",IF(K1653&lt;=5,"BOM","EXCELENTE")))</f>
        <v>CRÍTICO</v>
      </c>
      <c r="M1653">
        <v>10</v>
      </c>
      <c r="N1653">
        <v>100</v>
      </c>
      <c r="O1653">
        <v>31.872509960159359</v>
      </c>
    </row>
    <row r="1654" spans="1:15" hidden="1" x14ac:dyDescent="0.25">
      <c r="A1654" s="11">
        <v>46051</v>
      </c>
      <c r="B1654" t="s">
        <v>46</v>
      </c>
      <c r="C1654" t="s">
        <v>32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28</v>
      </c>
      <c r="K1654" s="3">
        <f>I1654-J1654</f>
        <v>4</v>
      </c>
      <c r="L1654" s="3" t="str">
        <f>IF(K1654&lt;-5,"CRÍTICO",IF(K1654&lt;0,"ATENÇÃO",IF(K1654&lt;=5,"BOM","EXCELENTE")))</f>
        <v>BOM</v>
      </c>
      <c r="M1654">
        <v>29</v>
      </c>
      <c r="N1654">
        <v>98.41</v>
      </c>
      <c r="O1654">
        <v>29.22465208747515</v>
      </c>
    </row>
    <row r="1655" spans="1:15" hidden="1" x14ac:dyDescent="0.25">
      <c r="A1655" s="11">
        <v>46052</v>
      </c>
      <c r="B1655" t="s">
        <v>47</v>
      </c>
      <c r="C1655" t="s">
        <v>48</v>
      </c>
      <c r="D1655">
        <v>39</v>
      </c>
      <c r="E1655">
        <v>32</v>
      </c>
      <c r="F1655">
        <v>14</v>
      </c>
      <c r="G1655">
        <v>0</v>
      </c>
      <c r="H1655">
        <v>0</v>
      </c>
      <c r="I1655" s="3">
        <f>E1655+G1655+H1655</f>
        <v>32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22</v>
      </c>
      <c r="K1655" s="3">
        <f>I1655-J1655</f>
        <v>10</v>
      </c>
      <c r="L1655" s="3" t="str">
        <f>IF(K1655&lt;-5,"CRÍTICO",IF(K1655&lt;0,"ATENÇÃO",IF(K1655&lt;=5,"BOM","EXCELENTE")))</f>
        <v>EXCELENTE</v>
      </c>
      <c r="M1655">
        <v>23</v>
      </c>
      <c r="N1655">
        <v>96.81</v>
      </c>
      <c r="O1655">
        <v>27.980535279805348</v>
      </c>
    </row>
    <row r="1656" spans="1:15" hidden="1" x14ac:dyDescent="0.25">
      <c r="A1656" s="11">
        <v>46052</v>
      </c>
      <c r="B1656" t="s">
        <v>31</v>
      </c>
      <c r="C1656" t="s">
        <v>32</v>
      </c>
      <c r="D1656">
        <v>0</v>
      </c>
      <c r="E1656">
        <v>0</v>
      </c>
      <c r="F1656">
        <v>0</v>
      </c>
      <c r="G1656">
        <v>0</v>
      </c>
      <c r="H1656">
        <v>0</v>
      </c>
      <c r="I1656" s="3">
        <v>0</v>
      </c>
      <c r="J1656" s="3">
        <v>0</v>
      </c>
      <c r="K1656" s="3">
        <v>0</v>
      </c>
      <c r="L1656" s="3" t="str">
        <f>IF(K1656&lt;-5,"CRÍTICO",IF(K1656&lt;0,"ATENÇÃO",IF(K1656&lt;=5,"BOM","EXCELENTE")))</f>
        <v>BOM</v>
      </c>
      <c r="M1656">
        <v>29</v>
      </c>
      <c r="N1656">
        <v>98.73</v>
      </c>
      <c r="O1656">
        <v>35.756385068762278</v>
      </c>
    </row>
    <row r="1657" spans="1:15" hidden="1" x14ac:dyDescent="0.25">
      <c r="A1657" s="11">
        <v>46052</v>
      </c>
      <c r="B1657" t="s">
        <v>59</v>
      </c>
      <c r="C1657" t="s">
        <v>23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18</v>
      </c>
      <c r="K1657" s="3">
        <f>I1657-J1657</f>
        <v>7</v>
      </c>
      <c r="L1657" s="3" t="str">
        <f>IF(K1657&lt;-5,"CRÍTICO",IF(K1657&lt;0,"ATENÇÃO",IF(K1657&lt;=5,"BOM","EXCELENTE")))</f>
        <v>EXCELENTE</v>
      </c>
      <c r="M1657">
        <v>21</v>
      </c>
      <c r="N1657">
        <v>98.32</v>
      </c>
      <c r="O1657">
        <v>26.763485477178421</v>
      </c>
    </row>
    <row r="1658" spans="1:15" hidden="1" x14ac:dyDescent="0.25">
      <c r="A1658" s="11">
        <v>46052</v>
      </c>
      <c r="B1658" t="s">
        <v>33</v>
      </c>
      <c r="C1658" t="s">
        <v>32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 s="3">
        <f>E1658+G1658+H1658</f>
        <v>25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28</v>
      </c>
      <c r="K1658" s="3">
        <f>I1658-J1658</f>
        <v>-3</v>
      </c>
      <c r="L1658" s="3" t="str">
        <f>IF(K1658&lt;-5,"CRÍTICO",IF(K1658&lt;0,"ATENÇÃO",IF(K1658&lt;=5,"BOM","EXCELENTE")))</f>
        <v>ATENÇÃO</v>
      </c>
      <c r="M1658">
        <v>23</v>
      </c>
      <c r="N1658">
        <v>99.19</v>
      </c>
      <c r="O1658">
        <v>27.637130801687761</v>
      </c>
    </row>
    <row r="1659" spans="1:15" hidden="1" x14ac:dyDescent="0.25">
      <c r="A1659" s="11">
        <v>46052</v>
      </c>
      <c r="B1659" t="s">
        <v>15</v>
      </c>
      <c r="C1659" t="s">
        <v>16</v>
      </c>
      <c r="D1659">
        <v>0</v>
      </c>
      <c r="E1659">
        <v>0</v>
      </c>
      <c r="F1659">
        <v>0</v>
      </c>
      <c r="G1659">
        <v>0</v>
      </c>
      <c r="H1659">
        <v>0</v>
      </c>
      <c r="I1659" s="3">
        <v>0</v>
      </c>
      <c r="J1659" s="3">
        <v>0</v>
      </c>
      <c r="K1659" s="3">
        <v>0</v>
      </c>
      <c r="L1659" s="3" t="str">
        <f>IF(K1659&lt;-5,"CRÍTICO",IF(K1659&lt;0,"ATENÇÃO",IF(K1659&lt;=5,"BOM","EXCELENTE")))</f>
        <v>BOM</v>
      </c>
      <c r="M1659">
        <v>0</v>
      </c>
      <c r="N1659">
        <v>100</v>
      </c>
      <c r="O1659">
        <v>39.568345323741013</v>
      </c>
    </row>
    <row r="1660" spans="1:15" hidden="1" x14ac:dyDescent="0.25">
      <c r="A1660" s="11">
        <v>46052</v>
      </c>
      <c r="B1660" t="s">
        <v>49</v>
      </c>
      <c r="C1660" t="s">
        <v>48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 s="3">
        <f>E1660+G1660+H1660</f>
        <v>18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-4</v>
      </c>
      <c r="L1660" s="3" t="str">
        <f>IF(K1660&lt;-5,"CRÍTICO",IF(K1660&lt;0,"ATENÇÃO",IF(K1660&lt;=5,"BOM","EXCELENTE")))</f>
        <v>ATENÇÃO</v>
      </c>
      <c r="M1660">
        <v>22</v>
      </c>
      <c r="N1660">
        <v>98.54</v>
      </c>
      <c r="O1660">
        <v>28.544776119402989</v>
      </c>
    </row>
    <row r="1661" spans="1:15" hidden="1" x14ac:dyDescent="0.25">
      <c r="A1661" s="11">
        <v>46052</v>
      </c>
      <c r="B1661" t="s">
        <v>50</v>
      </c>
      <c r="C1661" t="s">
        <v>48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 s="3">
        <f>E1661+G1661+H1661</f>
        <v>14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22</v>
      </c>
      <c r="K1661" s="3">
        <f>I1661-J1661</f>
        <v>-8</v>
      </c>
      <c r="L1661" s="3" t="str">
        <f>IF(K1661&lt;-5,"CRÍTICO",IF(K1661&lt;0,"ATENÇÃO",IF(K1661&lt;=5,"BOM","EXCELENTE")))</f>
        <v>CRÍTICO</v>
      </c>
      <c r="M1661">
        <v>16</v>
      </c>
      <c r="N1661">
        <v>100</v>
      </c>
      <c r="O1661">
        <v>34.366925064599492</v>
      </c>
    </row>
    <row r="1662" spans="1:15" hidden="1" x14ac:dyDescent="0.25">
      <c r="A1662" s="11">
        <v>46052</v>
      </c>
      <c r="B1662" t="s">
        <v>17</v>
      </c>
      <c r="C1662" t="s">
        <v>16</v>
      </c>
      <c r="D1662">
        <v>0</v>
      </c>
      <c r="E1662">
        <v>0</v>
      </c>
      <c r="F1662">
        <v>0</v>
      </c>
      <c r="G1662">
        <v>0</v>
      </c>
      <c r="H1662">
        <v>0</v>
      </c>
      <c r="I1662" s="3">
        <v>0</v>
      </c>
      <c r="J1662" s="3">
        <v>0</v>
      </c>
      <c r="K1662" s="3">
        <v>0</v>
      </c>
      <c r="L1662" s="3" t="str">
        <f>IF(K1662&lt;-5,"CRÍTICO",IF(K1662&lt;0,"ATENÇÃO",IF(K1662&lt;=5,"BOM","EXCELENTE")))</f>
        <v>BOM</v>
      </c>
      <c r="M1662">
        <v>0</v>
      </c>
      <c r="N1662">
        <v>0</v>
      </c>
      <c r="O1662">
        <v>0</v>
      </c>
    </row>
    <row r="1663" spans="1:15" hidden="1" x14ac:dyDescent="0.25">
      <c r="A1663" s="11">
        <v>46052</v>
      </c>
      <c r="B1663" t="s">
        <v>60</v>
      </c>
      <c r="C1663" t="s">
        <v>23</v>
      </c>
      <c r="D1663">
        <v>25</v>
      </c>
      <c r="E1663">
        <v>23</v>
      </c>
      <c r="F1663">
        <v>24.1</v>
      </c>
      <c r="G1663">
        <v>0</v>
      </c>
      <c r="H1663">
        <v>0</v>
      </c>
      <c r="I1663" s="3">
        <f>E1663+G1663+H1663</f>
        <v>23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18</v>
      </c>
      <c r="K1663" s="3">
        <f>I1663-J1663</f>
        <v>5</v>
      </c>
      <c r="L1663" s="3" t="str">
        <f>IF(K1663&lt;-5,"CRÍTICO",IF(K1663&lt;0,"ATENÇÃO",IF(K1663&lt;=5,"BOM","EXCELENTE")))</f>
        <v>BOM</v>
      </c>
      <c r="M1663">
        <v>21</v>
      </c>
      <c r="N1663">
        <v>100</v>
      </c>
      <c r="O1663">
        <v>29.518072289156631</v>
      </c>
    </row>
    <row r="1664" spans="1:15" hidden="1" x14ac:dyDescent="0.25">
      <c r="A1664" s="11">
        <v>46052</v>
      </c>
      <c r="B1664" t="s">
        <v>34</v>
      </c>
      <c r="C1664" t="s">
        <v>32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 s="3">
        <f>E1664+G1664+H1664</f>
        <v>44</v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>28</v>
      </c>
      <c r="K1664" s="3">
        <f>I1664-J1664</f>
        <v>16</v>
      </c>
      <c r="L1664" s="3" t="str">
        <f>IF(K1664&lt;-5,"CRÍTICO",IF(K1664&lt;0,"ATENÇÃO",IF(K1664&lt;=5,"BOM","EXCELENTE")))</f>
        <v>EXCELENTE</v>
      </c>
      <c r="M1664">
        <v>45</v>
      </c>
      <c r="N1664">
        <v>97.45</v>
      </c>
      <c r="O1664">
        <v>41.421143847487002</v>
      </c>
    </row>
    <row r="1665" spans="1:15" hidden="1" x14ac:dyDescent="0.25">
      <c r="A1665" s="11">
        <v>46052</v>
      </c>
      <c r="B1665" t="s">
        <v>51</v>
      </c>
      <c r="C1665" t="s">
        <v>48</v>
      </c>
      <c r="D1665">
        <v>30</v>
      </c>
      <c r="E1665">
        <v>28</v>
      </c>
      <c r="F1665">
        <v>15.34</v>
      </c>
      <c r="G1665">
        <v>0</v>
      </c>
      <c r="H1665">
        <v>0</v>
      </c>
      <c r="I1665" s="3">
        <v>0</v>
      </c>
      <c r="J1665" s="3">
        <v>0</v>
      </c>
      <c r="K1665" s="3">
        <v>0</v>
      </c>
      <c r="L1665" s="3" t="str">
        <f>IF(K1665&lt;-5,"CRÍTICO",IF(K1665&lt;0,"ATENÇÃO",IF(K1665&lt;=5,"BOM","EXCELENTE")))</f>
        <v>BOM</v>
      </c>
      <c r="M1665">
        <v>24</v>
      </c>
      <c r="N1665">
        <v>96.58</v>
      </c>
      <c r="O1665">
        <v>30.396475770925111</v>
      </c>
    </row>
    <row r="1666" spans="1:15" hidden="1" x14ac:dyDescent="0.25">
      <c r="A1666" s="11">
        <v>46052</v>
      </c>
      <c r="B1666" t="s">
        <v>61</v>
      </c>
      <c r="C1666" t="s">
        <v>23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 s="3">
        <f>E1666+G1666+H1666</f>
        <v>26</v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>18</v>
      </c>
      <c r="K1666" s="3">
        <f>I1666-J1666</f>
        <v>8</v>
      </c>
      <c r="L1666" s="3" t="str">
        <f>IF(K1666&lt;-5,"CRÍTICO",IF(K1666&lt;0,"ATENÇÃO",IF(K1666&lt;=5,"BOM","EXCELENTE")))</f>
        <v>EXCELENTE</v>
      </c>
      <c r="M1666">
        <v>29</v>
      </c>
      <c r="N1666">
        <v>100</v>
      </c>
      <c r="O1666">
        <v>27.44282744282744</v>
      </c>
    </row>
    <row r="1667" spans="1:15" hidden="1" x14ac:dyDescent="0.25">
      <c r="A1667" s="11">
        <v>46052</v>
      </c>
      <c r="B1667" t="s">
        <v>35</v>
      </c>
      <c r="C1667" t="s">
        <v>32</v>
      </c>
      <c r="D1667">
        <v>38</v>
      </c>
      <c r="E1667">
        <v>38</v>
      </c>
      <c r="F1667">
        <v>18.43</v>
      </c>
      <c r="G1667">
        <v>0</v>
      </c>
      <c r="H1667">
        <v>0</v>
      </c>
      <c r="I1667" s="3">
        <v>0</v>
      </c>
      <c r="J1667" s="3">
        <v>0</v>
      </c>
      <c r="K1667" s="3">
        <v>0</v>
      </c>
      <c r="L1667" s="3" t="str">
        <f>IF(K1667&lt;-5,"CRÍTICO",IF(K1667&lt;0,"ATENÇÃO",IF(K1667&lt;=5,"BOM","EXCELENTE")))</f>
        <v>BOM</v>
      </c>
      <c r="M1667">
        <v>38</v>
      </c>
      <c r="N1667">
        <v>99.49</v>
      </c>
      <c r="O1667">
        <v>40.200000000000003</v>
      </c>
    </row>
    <row r="1668" spans="1:15" hidden="1" x14ac:dyDescent="0.25">
      <c r="A1668" s="11">
        <v>46052</v>
      </c>
      <c r="B1668" t="s">
        <v>18</v>
      </c>
      <c r="C1668" t="s">
        <v>16</v>
      </c>
      <c r="D1668">
        <v>3</v>
      </c>
      <c r="E1668">
        <v>3</v>
      </c>
      <c r="F1668">
        <v>65.23</v>
      </c>
      <c r="G1668">
        <v>0</v>
      </c>
      <c r="H1668">
        <v>0</v>
      </c>
      <c r="I1668" s="3">
        <f>E1668+G1668+H1668</f>
        <v>3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8</v>
      </c>
      <c r="K1668" s="3">
        <f>I1668-J1668</f>
        <v>-5</v>
      </c>
      <c r="L1668" s="3" t="str">
        <f>IF(K1668&lt;-5,"CRÍTICO",IF(K1668&lt;0,"ATENÇÃO",IF(K1668&lt;=5,"BOM","EXCELENTE")))</f>
        <v>ATENÇÃO</v>
      </c>
      <c r="M1668">
        <v>2</v>
      </c>
      <c r="N1668">
        <v>100</v>
      </c>
      <c r="O1668">
        <v>25</v>
      </c>
    </row>
    <row r="1669" spans="1:15" hidden="1" x14ac:dyDescent="0.25">
      <c r="A1669" s="11">
        <v>46052</v>
      </c>
      <c r="B1669" t="s">
        <v>52</v>
      </c>
      <c r="C1669" t="s">
        <v>48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 s="3">
        <f>E1669+G1669+H1669</f>
        <v>32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22</v>
      </c>
      <c r="K1669" s="3">
        <f>I1669-J1669</f>
        <v>10</v>
      </c>
      <c r="L1669" s="3" t="str">
        <f>IF(K1669&lt;-5,"CRÍTICO",IF(K1669&lt;0,"ATENÇÃO",IF(K1669&lt;=5,"BOM","EXCELENTE")))</f>
        <v>EXCELENTE</v>
      </c>
      <c r="M1669">
        <v>31</v>
      </c>
      <c r="N1669">
        <v>100</v>
      </c>
      <c r="O1669">
        <v>34.15094339622641</v>
      </c>
    </row>
    <row r="1670" spans="1:15" hidden="1" x14ac:dyDescent="0.25">
      <c r="A1670" s="11">
        <v>46052</v>
      </c>
      <c r="B1670" t="s">
        <v>36</v>
      </c>
      <c r="C1670" t="s">
        <v>32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 s="3">
        <f>E1670+G1670+H1670</f>
        <v>27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28</v>
      </c>
      <c r="K1670" s="3">
        <f>I1670-J1670</f>
        <v>-1</v>
      </c>
      <c r="L1670" s="3" t="str">
        <f>IF(K1670&lt;-5,"CRÍTICO",IF(K1670&lt;0,"ATENÇÃO",IF(K1670&lt;=5,"BOM","EXCELENTE")))</f>
        <v>ATENÇÃO</v>
      </c>
      <c r="M1670">
        <v>28</v>
      </c>
      <c r="N1670">
        <v>100</v>
      </c>
      <c r="O1670">
        <v>32.731376975169297</v>
      </c>
    </row>
    <row r="1671" spans="1:15" hidden="1" x14ac:dyDescent="0.25">
      <c r="A1671" s="11">
        <v>46052</v>
      </c>
      <c r="B1671" t="s">
        <v>53</v>
      </c>
      <c r="C1671" t="s">
        <v>48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 s="3">
        <f>E1671+G1671+H1671</f>
        <v>39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22</v>
      </c>
      <c r="K1671" s="3">
        <f>I1671-J1671</f>
        <v>17</v>
      </c>
      <c r="L1671" s="3" t="str">
        <f>IF(K1671&lt;-5,"CRÍTICO",IF(K1671&lt;0,"ATENÇÃO",IF(K1671&lt;=5,"BOM","EXCELENTE")))</f>
        <v>EXCELENTE</v>
      </c>
      <c r="M1671">
        <v>38</v>
      </c>
      <c r="N1671">
        <v>99.31</v>
      </c>
      <c r="O1671">
        <v>30.96234309623431</v>
      </c>
    </row>
    <row r="1672" spans="1:15" hidden="1" x14ac:dyDescent="0.25">
      <c r="A1672" s="11">
        <v>46086</v>
      </c>
      <c r="B1672" t="s">
        <v>22</v>
      </c>
      <c r="C1672" t="s">
        <v>23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>E1672+G1672+H1672</f>
        <v>16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19</v>
      </c>
      <c r="K1672" s="3">
        <f>I1672-J1672</f>
        <v>-3</v>
      </c>
      <c r="L1672" s="3" t="str">
        <f>IF(K1672&lt;-5,"CRÍTICO",IF(K1672&lt;0,"ATENÇÃO",IF(K1672&lt;=5,"BOM","EXCELENTE")))</f>
        <v>ATENÇÃO</v>
      </c>
      <c r="M1672">
        <v>27</v>
      </c>
      <c r="N1672">
        <v>99.05</v>
      </c>
      <c r="O1672">
        <v>26.621923937360179</v>
      </c>
    </row>
    <row r="1673" spans="1:15" hidden="1" x14ac:dyDescent="0.25">
      <c r="A1673" s="11">
        <v>46052</v>
      </c>
      <c r="B1673" t="s">
        <v>54</v>
      </c>
      <c r="C1673" t="s">
        <v>48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 s="3">
        <f>E1673+G1673+H1673</f>
        <v>35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22</v>
      </c>
      <c r="K1673" s="3">
        <f>I1673-J1673</f>
        <v>13</v>
      </c>
      <c r="L1673" s="3" t="str">
        <f>IF(K1673&lt;-5,"CRÍTICO",IF(K1673&lt;0,"ATENÇÃO",IF(K1673&lt;=5,"BOM","EXCELENTE")))</f>
        <v>EXCELENTE</v>
      </c>
      <c r="M1673">
        <v>31</v>
      </c>
      <c r="N1673">
        <v>100</v>
      </c>
      <c r="O1673">
        <v>27.676767676767678</v>
      </c>
    </row>
    <row r="1674" spans="1:15" hidden="1" x14ac:dyDescent="0.25">
      <c r="A1674" s="11">
        <v>46052</v>
      </c>
      <c r="B1674" t="s">
        <v>37</v>
      </c>
      <c r="C1674" t="s">
        <v>32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 s="3">
        <f>E1674+G1674+H1674</f>
        <v>59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31</v>
      </c>
      <c r="L1674" s="3" t="str">
        <f>IF(K1674&lt;-5,"CRÍTICO",IF(K1674&lt;0,"ATENÇÃO",IF(K1674&lt;=5,"BOM","EXCELENTE")))</f>
        <v>EXCELENTE</v>
      </c>
      <c r="M1674">
        <v>58</v>
      </c>
      <c r="N1674">
        <v>100</v>
      </c>
      <c r="O1674">
        <v>31.17723156532988</v>
      </c>
    </row>
    <row r="1675" spans="1:15" hidden="1" x14ac:dyDescent="0.25">
      <c r="A1675" s="11">
        <v>46052</v>
      </c>
      <c r="B1675" t="s">
        <v>38</v>
      </c>
      <c r="C1675" t="s">
        <v>32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 s="3">
        <f>E1675+G1675+H1675</f>
        <v>17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28</v>
      </c>
      <c r="K1675" s="3">
        <f>I1675-J1675</f>
        <v>-11</v>
      </c>
      <c r="L1675" s="3" t="str">
        <f>IF(K1675&lt;-5,"CRÍTICO",IF(K1675&lt;0,"ATENÇÃO",IF(K1675&lt;=5,"BOM","EXCELENTE")))</f>
        <v>CRÍTICO</v>
      </c>
      <c r="M1675">
        <v>15</v>
      </c>
      <c r="N1675">
        <v>100</v>
      </c>
      <c r="O1675">
        <v>27.609427609427609</v>
      </c>
    </row>
    <row r="1676" spans="1:15" hidden="1" x14ac:dyDescent="0.25">
      <c r="A1676" s="11">
        <v>46052</v>
      </c>
      <c r="B1676" t="s">
        <v>55</v>
      </c>
      <c r="C1676" t="s">
        <v>48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 s="3">
        <f>E1676+G1676+H1676</f>
        <v>14</v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>22</v>
      </c>
      <c r="K1676" s="3">
        <f>I1676-J1676</f>
        <v>-8</v>
      </c>
      <c r="L1676" s="3" t="str">
        <f>IF(K1676&lt;-5,"CRÍTICO",IF(K1676&lt;0,"ATENÇÃO",IF(K1676&lt;=5,"BOM","EXCELENTE")))</f>
        <v>CRÍTICO</v>
      </c>
      <c r="M1676">
        <v>14</v>
      </c>
      <c r="N1676">
        <v>96.4</v>
      </c>
      <c r="O1676">
        <v>28.764044943820231</v>
      </c>
    </row>
    <row r="1677" spans="1:15" hidden="1" x14ac:dyDescent="0.25">
      <c r="A1677" s="11">
        <v>46052</v>
      </c>
      <c r="B1677" t="s">
        <v>39</v>
      </c>
      <c r="C1677" t="s">
        <v>32</v>
      </c>
      <c r="D1677">
        <v>0</v>
      </c>
      <c r="E1677">
        <v>0</v>
      </c>
      <c r="F1677">
        <v>0</v>
      </c>
      <c r="G1677">
        <v>0</v>
      </c>
      <c r="H1677">
        <v>0</v>
      </c>
      <c r="I1677" s="3">
        <v>0</v>
      </c>
      <c r="J1677" s="3">
        <v>0</v>
      </c>
      <c r="K1677" s="3">
        <v>0</v>
      </c>
      <c r="L1677" s="3" t="str">
        <f>IF(K1677&lt;-5,"CRÍTICO",IF(K1677&lt;0,"ATENÇÃO",IF(K1677&lt;=5,"BOM","EXCELENTE")))</f>
        <v>BOM</v>
      </c>
      <c r="M1677">
        <v>0</v>
      </c>
      <c r="N1677">
        <v>100</v>
      </c>
      <c r="O1677">
        <v>33.980582524271853</v>
      </c>
    </row>
    <row r="1678" spans="1:15" hidden="1" x14ac:dyDescent="0.25">
      <c r="A1678" s="11">
        <v>46052</v>
      </c>
      <c r="B1678" t="s">
        <v>25</v>
      </c>
      <c r="C1678" t="s">
        <v>26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 s="3">
        <f>E1678+G1678+H1678</f>
        <v>19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16</v>
      </c>
      <c r="K1678" s="3">
        <f>I1678-J1678</f>
        <v>3</v>
      </c>
      <c r="L1678" s="3" t="str">
        <f>IF(K1678&lt;-5,"CRÍTICO",IF(K1678&lt;0,"ATENÇÃO",IF(K1678&lt;=5,"BOM","EXCELENTE")))</f>
        <v>BOM</v>
      </c>
      <c r="M1678">
        <v>16</v>
      </c>
      <c r="N1678">
        <v>97.56</v>
      </c>
      <c r="O1678">
        <v>32.515337423312893</v>
      </c>
    </row>
    <row r="1679" spans="1:15" hidden="1" x14ac:dyDescent="0.25">
      <c r="A1679" s="11">
        <v>46052</v>
      </c>
      <c r="B1679" t="s">
        <v>40</v>
      </c>
      <c r="C1679" t="s">
        <v>32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 s="3">
        <f>E1679+G1679+H1679</f>
        <v>17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28</v>
      </c>
      <c r="K1679" s="3">
        <f>I1679-J1679</f>
        <v>-11</v>
      </c>
      <c r="L1679" s="3" t="str">
        <f>IF(K1679&lt;-5,"CRÍTICO",IF(K1679&lt;0,"ATENÇÃO",IF(K1679&lt;=5,"BOM","EXCELENTE")))</f>
        <v>CRÍTICO</v>
      </c>
      <c r="M1679">
        <v>16</v>
      </c>
      <c r="N1679">
        <v>97.11</v>
      </c>
      <c r="O1679">
        <v>37.408312958435211</v>
      </c>
    </row>
    <row r="1680" spans="1:15" hidden="1" x14ac:dyDescent="0.25">
      <c r="A1680" s="11">
        <v>46052</v>
      </c>
      <c r="B1680" t="s">
        <v>27</v>
      </c>
      <c r="C1680" t="s">
        <v>26</v>
      </c>
      <c r="D1680">
        <v>0</v>
      </c>
      <c r="E1680">
        <v>0</v>
      </c>
      <c r="F1680">
        <v>0</v>
      </c>
      <c r="G1680">
        <v>0</v>
      </c>
      <c r="H1680">
        <v>0</v>
      </c>
      <c r="I1680" s="3">
        <v>0</v>
      </c>
      <c r="J1680" s="3">
        <v>0</v>
      </c>
      <c r="K1680" s="3">
        <v>0</v>
      </c>
      <c r="L1680" s="3" t="str">
        <f>IF(K1680&lt;-5,"CRÍTICO",IF(K1680&lt;0,"ATENÇÃO",IF(K1680&lt;=5,"BOM","EXCELENTE")))</f>
        <v>BOM</v>
      </c>
      <c r="M1680">
        <v>0</v>
      </c>
      <c r="N1680">
        <v>0</v>
      </c>
      <c r="O1680">
        <v>0</v>
      </c>
    </row>
    <row r="1681" spans="1:15" hidden="1" x14ac:dyDescent="0.25">
      <c r="A1681" s="11">
        <v>46052</v>
      </c>
      <c r="B1681" t="s">
        <v>41</v>
      </c>
      <c r="C1681" t="s">
        <v>32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 s="3">
        <f>E1681+G1681+H1681</f>
        <v>26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28</v>
      </c>
      <c r="K1681" s="3">
        <f>I1681-J1681</f>
        <v>-2</v>
      </c>
      <c r="L1681" s="3" t="str">
        <f>IF(K1681&lt;-5,"CRÍTICO",IF(K1681&lt;0,"ATENÇÃO",IF(K1681&lt;=5,"BOM","EXCELENTE")))</f>
        <v>ATENÇÃO</v>
      </c>
      <c r="M1681">
        <v>28</v>
      </c>
      <c r="N1681">
        <v>100</v>
      </c>
      <c r="O1681">
        <v>30.470347648261761</v>
      </c>
    </row>
    <row r="1682" spans="1:15" hidden="1" x14ac:dyDescent="0.25">
      <c r="A1682" s="11">
        <v>46052</v>
      </c>
      <c r="B1682" t="s">
        <v>56</v>
      </c>
      <c r="C1682" t="s">
        <v>48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 s="3">
        <f>E1682+G1682+H1682</f>
        <v>41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22</v>
      </c>
      <c r="K1682" s="3">
        <f>I1682-J1682</f>
        <v>19</v>
      </c>
      <c r="L1682" s="3" t="str">
        <f>IF(K1682&lt;-5,"CRÍTICO",IF(K1682&lt;0,"ATENÇÃO",IF(K1682&lt;=5,"BOM","EXCELENTE")))</f>
        <v>EXCELENTE</v>
      </c>
      <c r="M1682">
        <v>30</v>
      </c>
      <c r="N1682">
        <v>100</v>
      </c>
      <c r="O1682">
        <v>32.371134020618562</v>
      </c>
    </row>
    <row r="1683" spans="1:15" hidden="1" x14ac:dyDescent="0.25">
      <c r="A1683" s="11">
        <v>46052</v>
      </c>
      <c r="B1683" t="s">
        <v>57</v>
      </c>
      <c r="C1683" t="s">
        <v>48</v>
      </c>
      <c r="D1683">
        <v>37</v>
      </c>
      <c r="E1683">
        <v>36</v>
      </c>
      <c r="F1683">
        <v>15.48</v>
      </c>
      <c r="G1683">
        <v>0</v>
      </c>
      <c r="H1683">
        <v>0</v>
      </c>
      <c r="I1683" s="3">
        <v>0</v>
      </c>
      <c r="J1683" s="3">
        <v>0</v>
      </c>
      <c r="K1683" s="3">
        <v>0</v>
      </c>
      <c r="L1683" s="3" t="str">
        <f>IF(K1683&lt;-5,"CRÍTICO",IF(K1683&lt;0,"ATENÇÃO",IF(K1683&lt;=5,"BOM","EXCELENTE")))</f>
        <v>BOM</v>
      </c>
      <c r="M1683">
        <v>29</v>
      </c>
      <c r="N1683">
        <v>98.32</v>
      </c>
      <c r="O1683">
        <v>32.318501170960189</v>
      </c>
    </row>
    <row r="1684" spans="1:15" hidden="1" x14ac:dyDescent="0.25">
      <c r="A1684" s="11">
        <v>46052</v>
      </c>
      <c r="B1684" t="s">
        <v>42</v>
      </c>
      <c r="C1684" t="s">
        <v>32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 s="3">
        <f>E1684+G1684+H1684</f>
        <v>24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28</v>
      </c>
      <c r="K1684" s="3">
        <f>I1684-J1684</f>
        <v>-4</v>
      </c>
      <c r="L1684" s="3" t="str">
        <f>IF(K1684&lt;-5,"CRÍTICO",IF(K1684&lt;0,"ATENÇÃO",IF(K1684&lt;=5,"BOM","EXCELENTE")))</f>
        <v>ATENÇÃO</v>
      </c>
      <c r="M1684">
        <v>9</v>
      </c>
      <c r="N1684">
        <v>96.43</v>
      </c>
      <c r="O1684">
        <v>27.015250544662312</v>
      </c>
    </row>
    <row r="1685" spans="1:15" hidden="1" x14ac:dyDescent="0.25">
      <c r="A1685" s="11">
        <v>46052</v>
      </c>
      <c r="B1685" t="s">
        <v>62</v>
      </c>
      <c r="C1685" t="s">
        <v>23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 s="3">
        <f>E1685+G1685+H1685</f>
        <v>20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18</v>
      </c>
      <c r="K1685" s="3">
        <f>I1685-J1685</f>
        <v>2</v>
      </c>
      <c r="L1685" s="3" t="str">
        <f>IF(K1685&lt;-5,"CRÍTICO",IF(K1685&lt;0,"ATENÇÃO",IF(K1685&lt;=5,"BOM","EXCELENTE")))</f>
        <v>BOM</v>
      </c>
      <c r="M1685">
        <v>17</v>
      </c>
      <c r="N1685">
        <v>98.89</v>
      </c>
      <c r="O1685">
        <v>28.021978021978018</v>
      </c>
    </row>
    <row r="1686" spans="1:15" hidden="1" x14ac:dyDescent="0.25">
      <c r="A1686" s="11">
        <v>46052</v>
      </c>
      <c r="B1686" t="s">
        <v>19</v>
      </c>
      <c r="C1686" t="s">
        <v>16</v>
      </c>
      <c r="D1686">
        <v>9</v>
      </c>
      <c r="E1686">
        <v>8</v>
      </c>
      <c r="F1686">
        <v>43.5</v>
      </c>
      <c r="G1686">
        <v>0</v>
      </c>
      <c r="H1686">
        <v>0</v>
      </c>
      <c r="I1686" s="3">
        <f>E1686+G1686+H1686</f>
        <v>8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8</v>
      </c>
      <c r="K1686" s="3">
        <f>I1686-J1686</f>
        <v>0</v>
      </c>
      <c r="L1686" s="3" t="str">
        <f>IF(K1686&lt;-5,"CRÍTICO",IF(K1686&lt;0,"ATENÇÃO",IF(K1686&lt;=5,"BOM","EXCELENTE")))</f>
        <v>BOM</v>
      </c>
      <c r="M1686">
        <v>7</v>
      </c>
      <c r="N1686">
        <v>100</v>
      </c>
      <c r="O1686">
        <v>33.333333333333329</v>
      </c>
    </row>
    <row r="1687" spans="1:15" hidden="1" x14ac:dyDescent="0.25">
      <c r="A1687" s="11">
        <v>46052</v>
      </c>
      <c r="B1687" t="s">
        <v>43</v>
      </c>
      <c r="C1687" t="s">
        <v>32</v>
      </c>
      <c r="D1687">
        <v>0</v>
      </c>
      <c r="E1687">
        <v>0</v>
      </c>
      <c r="F1687">
        <v>0</v>
      </c>
      <c r="G1687">
        <v>0</v>
      </c>
      <c r="H1687">
        <v>0</v>
      </c>
      <c r="I1687" s="3">
        <v>0</v>
      </c>
      <c r="J1687" s="3">
        <v>0</v>
      </c>
      <c r="K1687" s="3">
        <v>0</v>
      </c>
      <c r="L1687" s="3" t="str">
        <f>IF(K1687&lt;-5,"CRÍTICO",IF(K1687&lt;0,"ATENÇÃO",IF(K1687&lt;=5,"BOM","EXCELENTE")))</f>
        <v>BOM</v>
      </c>
      <c r="M1687">
        <v>0</v>
      </c>
      <c r="N1687">
        <v>100</v>
      </c>
      <c r="O1687">
        <v>27.43362831858407</v>
      </c>
    </row>
    <row r="1688" spans="1:15" hidden="1" x14ac:dyDescent="0.25">
      <c r="A1688" s="11">
        <v>46052</v>
      </c>
      <c r="B1688" t="s">
        <v>44</v>
      </c>
      <c r="C1688" t="s">
        <v>32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 s="3">
        <f>E1688+G1688+H1688</f>
        <v>34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28</v>
      </c>
      <c r="K1688" s="3">
        <f>I1688-J1688</f>
        <v>6</v>
      </c>
      <c r="L1688" s="3" t="str">
        <f>IF(K1688&lt;-5,"CRÍTICO",IF(K1688&lt;0,"ATENÇÃO",IF(K1688&lt;=5,"BOM","EXCELENTE")))</f>
        <v>EXCELENTE</v>
      </c>
      <c r="M1688">
        <v>31</v>
      </c>
      <c r="N1688">
        <v>98.65</v>
      </c>
      <c r="O1688">
        <v>30.978260869565219</v>
      </c>
    </row>
    <row r="1689" spans="1:15" hidden="1" x14ac:dyDescent="0.25">
      <c r="A1689" s="11">
        <v>46052</v>
      </c>
      <c r="B1689" t="s">
        <v>20</v>
      </c>
      <c r="C1689" t="s">
        <v>16</v>
      </c>
      <c r="D1689">
        <v>3</v>
      </c>
      <c r="E1689">
        <v>3</v>
      </c>
      <c r="F1689">
        <v>176.58</v>
      </c>
      <c r="G1689">
        <v>0</v>
      </c>
      <c r="H1689">
        <v>0</v>
      </c>
      <c r="I1689" s="3">
        <f>E1689+G1689+H1689</f>
        <v>3</v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>8</v>
      </c>
      <c r="K1689" s="3">
        <f>I1689-J1689</f>
        <v>-5</v>
      </c>
      <c r="L1689" s="3" t="str">
        <f>IF(K1689&lt;-5,"CRÍTICO",IF(K1689&lt;0,"ATENÇÃO",IF(K1689&lt;=5,"BOM","EXCELENTE")))</f>
        <v>ATENÇÃO</v>
      </c>
      <c r="M1689">
        <v>2</v>
      </c>
      <c r="N1689">
        <v>100</v>
      </c>
      <c r="O1689">
        <v>12</v>
      </c>
    </row>
    <row r="1690" spans="1:15" hidden="1" x14ac:dyDescent="0.25">
      <c r="A1690" s="11">
        <v>46052</v>
      </c>
      <c r="B1690" t="s">
        <v>28</v>
      </c>
      <c r="C1690" t="s">
        <v>26</v>
      </c>
      <c r="D1690">
        <v>0</v>
      </c>
      <c r="E1690">
        <v>0</v>
      </c>
      <c r="F1690">
        <v>0</v>
      </c>
      <c r="G1690">
        <v>0</v>
      </c>
      <c r="H1690">
        <v>0</v>
      </c>
      <c r="I1690" s="3">
        <v>0</v>
      </c>
      <c r="J1690" s="3">
        <v>0</v>
      </c>
      <c r="K1690" s="3">
        <v>0</v>
      </c>
      <c r="L1690" s="3" t="str">
        <f>IF(K1690&lt;-5,"CRÍTICO",IF(K1690&lt;0,"ATENÇÃO",IF(K1690&lt;=5,"BOM","EXCELENTE")))</f>
        <v>BOM</v>
      </c>
      <c r="M1690">
        <v>0</v>
      </c>
      <c r="N1690">
        <v>0</v>
      </c>
      <c r="O1690">
        <v>0</v>
      </c>
    </row>
    <row r="1691" spans="1:15" hidden="1" x14ac:dyDescent="0.25">
      <c r="A1691" s="11">
        <v>46052</v>
      </c>
      <c r="B1691" t="s">
        <v>58</v>
      </c>
      <c r="C1691" t="s">
        <v>48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 s="3">
        <f>E1691+G1691+H1691</f>
        <v>25</v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>22</v>
      </c>
      <c r="K1691" s="3">
        <f>I1691-J1691</f>
        <v>3</v>
      </c>
      <c r="L1691" s="3" t="str">
        <f>IF(K1691&lt;-5,"CRÍTICO",IF(K1691&lt;0,"ATENÇÃO",IF(K1691&lt;=5,"BOM","EXCELENTE")))</f>
        <v>BOM</v>
      </c>
      <c r="M1691">
        <v>25</v>
      </c>
      <c r="N1691">
        <v>97.56</v>
      </c>
      <c r="O1691">
        <v>31.067961165048541</v>
      </c>
    </row>
    <row r="1692" spans="1:15" hidden="1" x14ac:dyDescent="0.25">
      <c r="A1692" s="11">
        <v>46052</v>
      </c>
      <c r="B1692" t="s">
        <v>29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30</v>
      </c>
      <c r="C1693" t="s">
        <v>26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21</v>
      </c>
      <c r="C1694" t="s">
        <v>16</v>
      </c>
      <c r="D1694">
        <v>0</v>
      </c>
      <c r="E1694">
        <v>0</v>
      </c>
      <c r="F1694">
        <v>0</v>
      </c>
      <c r="G1694">
        <v>0</v>
      </c>
      <c r="H1694">
        <v>0</v>
      </c>
      <c r="I1694" s="3">
        <v>0</v>
      </c>
      <c r="J1694" s="3">
        <v>0</v>
      </c>
      <c r="K1694" s="3">
        <v>0</v>
      </c>
      <c r="L1694" s="3" t="str">
        <f>IF(K1694&lt;-5,"CRÍTICO",IF(K1694&lt;0,"ATENÇÃO",IF(K1694&lt;=5,"BOM","EXCELENTE")))</f>
        <v>BOM</v>
      </c>
      <c r="M1694">
        <v>0</v>
      </c>
      <c r="N1694">
        <v>0</v>
      </c>
      <c r="O1694">
        <v>0</v>
      </c>
    </row>
    <row r="1695" spans="1:15" hidden="1" x14ac:dyDescent="0.25">
      <c r="A1695" s="11">
        <v>46052</v>
      </c>
      <c r="B1695" t="s">
        <v>63</v>
      </c>
      <c r="C1695" t="s">
        <v>23</v>
      </c>
      <c r="D1695">
        <v>8</v>
      </c>
      <c r="E1695">
        <v>8</v>
      </c>
      <c r="F1695">
        <v>59.11</v>
      </c>
      <c r="G1695">
        <v>0</v>
      </c>
      <c r="H1695">
        <v>0</v>
      </c>
      <c r="I1695" s="3">
        <f>E1695+G1695+H1695</f>
        <v>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18</v>
      </c>
      <c r="K1695" s="3">
        <f>I1695-J1695</f>
        <v>-10</v>
      </c>
      <c r="L1695" s="3" t="str">
        <f>IF(K1695&lt;-5,"CRÍTICO",IF(K1695&lt;0,"ATENÇÃO",IF(K1695&lt;=5,"BOM","EXCELENTE")))</f>
        <v>CRÍTICO</v>
      </c>
      <c r="M1695">
        <v>5</v>
      </c>
      <c r="N1695">
        <v>100</v>
      </c>
      <c r="O1695">
        <v>53.846153846153847</v>
      </c>
    </row>
    <row r="1696" spans="1:15" hidden="1" x14ac:dyDescent="0.25">
      <c r="A1696" s="11">
        <v>46052</v>
      </c>
      <c r="B1696" t="s">
        <v>45</v>
      </c>
      <c r="C1696" t="s">
        <v>32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 s="3">
        <f>E1696+G1696+H1696</f>
        <v>28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28</v>
      </c>
      <c r="K1696" s="3">
        <f>I1696-J1696</f>
        <v>0</v>
      </c>
      <c r="L1696" s="3" t="str">
        <f>IF(K1696&lt;-5,"CRÍTICO",IF(K1696&lt;0,"ATENÇÃO",IF(K1696&lt;=5,"BOM","EXCELENTE")))</f>
        <v>BOM</v>
      </c>
      <c r="M1696">
        <v>29</v>
      </c>
      <c r="N1696">
        <v>100</v>
      </c>
      <c r="O1696">
        <v>44.05594405594406</v>
      </c>
    </row>
    <row r="1697" spans="1:15" hidden="1" x14ac:dyDescent="0.25">
      <c r="A1697" s="11">
        <v>46052</v>
      </c>
      <c r="B1697" t="s">
        <v>64</v>
      </c>
      <c r="C1697" t="s">
        <v>23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 s="3">
        <f>E1697+G1697+H1697</f>
        <v>14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18</v>
      </c>
      <c r="K1697" s="3">
        <f>I1697-J1697</f>
        <v>-4</v>
      </c>
      <c r="L1697" s="3" t="str">
        <f>IF(K1697&lt;-5,"CRÍTICO",IF(K1697&lt;0,"ATENÇÃO",IF(K1697&lt;=5,"BOM","EXCELENTE")))</f>
        <v>ATENÇÃO</v>
      </c>
      <c r="M1697">
        <v>15</v>
      </c>
      <c r="N1697">
        <v>100</v>
      </c>
      <c r="O1697">
        <v>31.872509960159359</v>
      </c>
    </row>
    <row r="1698" spans="1:15" hidden="1" x14ac:dyDescent="0.25">
      <c r="A1698" s="11">
        <v>46052</v>
      </c>
      <c r="B1698" t="s">
        <v>46</v>
      </c>
      <c r="C1698" t="s">
        <v>32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 s="3">
        <f>E1698+G1698+H1698</f>
        <v>36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28</v>
      </c>
      <c r="K1698" s="3">
        <f>I1698-J1698</f>
        <v>8</v>
      </c>
      <c r="L1698" s="3" t="str">
        <f>IF(K1698&lt;-5,"CRÍTICO",IF(K1698&lt;0,"ATENÇÃO",IF(K1698&lt;=5,"BOM","EXCELENTE")))</f>
        <v>EXCELENTE</v>
      </c>
      <c r="M1698">
        <v>29</v>
      </c>
      <c r="N1698">
        <v>98.41</v>
      </c>
      <c r="O1698">
        <v>29.22465208747515</v>
      </c>
    </row>
    <row r="1699" spans="1:15" hidden="1" x14ac:dyDescent="0.25">
      <c r="A1699" s="11">
        <v>46055</v>
      </c>
      <c r="B1699" t="s">
        <v>47</v>
      </c>
      <c r="C1699" t="s">
        <v>48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>E1699+G1699+H1699</f>
        <v>43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23</v>
      </c>
      <c r="K1699" s="3">
        <f>I1699-J1699</f>
        <v>20</v>
      </c>
      <c r="L1699" s="3" t="str">
        <f>IF(K1699&lt;-5,"CRÍTICO",IF(K1699&lt;0,"ATENÇÃO",IF(K1699&lt;=5,"BOM","EXCELENTE")))</f>
        <v>EXCELENTE</v>
      </c>
      <c r="M1699">
        <v>40</v>
      </c>
      <c r="N1699">
        <v>98.32</v>
      </c>
      <c r="O1699">
        <v>30.303030303030301</v>
      </c>
    </row>
    <row r="1700" spans="1:15" hidden="1" x14ac:dyDescent="0.25">
      <c r="A1700" s="11">
        <v>46055</v>
      </c>
      <c r="B1700" t="s">
        <v>31</v>
      </c>
      <c r="C1700" t="s">
        <v>32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v>0</v>
      </c>
      <c r="J1700" s="3">
        <v>0</v>
      </c>
      <c r="K1700" s="3">
        <v>0</v>
      </c>
      <c r="L1700" s="3" t="str">
        <f>IF(K1700&lt;-5,"CRÍTICO",IF(K1700&lt;0,"ATENÇÃO",IF(K1700&lt;=5,"BOM","EXCELENTE")))</f>
        <v>BOM</v>
      </c>
      <c r="M1700">
        <v>30</v>
      </c>
      <c r="N1700">
        <v>98.68</v>
      </c>
      <c r="O1700">
        <v>26.219512195121951</v>
      </c>
    </row>
    <row r="1701" spans="1:15" hidden="1" x14ac:dyDescent="0.25">
      <c r="A1701" s="11">
        <v>46055</v>
      </c>
      <c r="B1701" t="s">
        <v>59</v>
      </c>
      <c r="C1701" t="s">
        <v>23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>E1701+G1701+H1701</f>
        <v>27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19</v>
      </c>
      <c r="K1701" s="3">
        <f>I1701-J1701</f>
        <v>8</v>
      </c>
      <c r="L1701" s="3" t="str">
        <f>IF(K1701&lt;-5,"CRÍTICO",IF(K1701&lt;0,"ATENÇÃO",IF(K1701&lt;=5,"BOM","EXCELENTE")))</f>
        <v>EXCELENTE</v>
      </c>
      <c r="M1701">
        <v>28</v>
      </c>
      <c r="N1701">
        <v>100</v>
      </c>
      <c r="O1701">
        <v>31.74224343675418</v>
      </c>
    </row>
    <row r="1702" spans="1:15" hidden="1" x14ac:dyDescent="0.25">
      <c r="A1702" s="11">
        <v>46055</v>
      </c>
      <c r="B1702" t="s">
        <v>33</v>
      </c>
      <c r="C1702" t="s">
        <v>32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>E1702+G1702+H1702</f>
        <v>24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29</v>
      </c>
      <c r="K1702" s="3">
        <f>I1702-J1702</f>
        <v>-5</v>
      </c>
      <c r="L1702" s="3" t="str">
        <f>IF(K1702&lt;-5,"CRÍTICO",IF(K1702&lt;0,"ATENÇÃO",IF(K1702&lt;=5,"BOM","EXCELENTE")))</f>
        <v>ATENÇÃO</v>
      </c>
      <c r="M1702">
        <v>23</v>
      </c>
      <c r="N1702">
        <v>98.25</v>
      </c>
      <c r="O1702">
        <v>25.83518930957684</v>
      </c>
    </row>
    <row r="1703" spans="1:15" hidden="1" x14ac:dyDescent="0.25">
      <c r="A1703" s="11">
        <v>46055</v>
      </c>
      <c r="B1703" t="s">
        <v>15</v>
      </c>
      <c r="C1703" t="s">
        <v>16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v>0</v>
      </c>
      <c r="J1703" s="3">
        <v>0</v>
      </c>
      <c r="K1703" s="3">
        <v>0</v>
      </c>
      <c r="L1703" s="3" t="str">
        <f>IF(K1703&lt;-5,"CRÍTICO",IF(K1703&lt;0,"ATENÇÃO",IF(K1703&lt;=5,"BOM","EXCELENTE")))</f>
        <v>BOM</v>
      </c>
      <c r="M1703">
        <v>0</v>
      </c>
      <c r="N1703">
        <v>97.5</v>
      </c>
      <c r="O1703">
        <v>30.075187969924809</v>
      </c>
    </row>
    <row r="1704" spans="1:15" hidden="1" x14ac:dyDescent="0.25">
      <c r="A1704" s="11">
        <v>46055</v>
      </c>
      <c r="B1704" t="s">
        <v>49</v>
      </c>
      <c r="C1704" t="s">
        <v>48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>E1704+G1704+H1704</f>
        <v>30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7</v>
      </c>
      <c r="L1704" s="3" t="str">
        <f>IF(K1704&lt;-5,"CRÍTICO",IF(K1704&lt;0,"ATENÇÃO",IF(K1704&lt;=5,"BOM","EXCELENTE")))</f>
        <v>EXCELENTE</v>
      </c>
      <c r="M1704">
        <v>30</v>
      </c>
      <c r="N1704">
        <v>100</v>
      </c>
      <c r="O1704">
        <v>29.71311475409836</v>
      </c>
    </row>
    <row r="1705" spans="1:15" hidden="1" x14ac:dyDescent="0.25">
      <c r="A1705" s="11">
        <v>46055</v>
      </c>
      <c r="B1705" t="s">
        <v>50</v>
      </c>
      <c r="C1705" t="s">
        <v>48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>E1705+G1705+H1705</f>
        <v>19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23</v>
      </c>
      <c r="K1705" s="3">
        <f>I1705-J1705</f>
        <v>-4</v>
      </c>
      <c r="L1705" s="3" t="str">
        <f>IF(K1705&lt;-5,"CRÍTICO",IF(K1705&lt;0,"ATENÇÃO",IF(K1705&lt;=5,"BOM","EXCELENTE")))</f>
        <v>ATENÇÃO</v>
      </c>
      <c r="M1705">
        <v>18</v>
      </c>
      <c r="N1705">
        <v>99.22</v>
      </c>
      <c r="O1705">
        <v>35.256410256410263</v>
      </c>
    </row>
    <row r="1706" spans="1:15" hidden="1" x14ac:dyDescent="0.25">
      <c r="A1706" s="11">
        <v>46055</v>
      </c>
      <c r="B1706" t="s">
        <v>17</v>
      </c>
      <c r="C1706" t="s">
        <v>16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v>0</v>
      </c>
      <c r="J1706" s="3">
        <v>0</v>
      </c>
      <c r="K1706" s="3">
        <v>0</v>
      </c>
      <c r="L1706" s="3" t="str">
        <f>IF(K1706&lt;-5,"CRÍTICO",IF(K1706&lt;0,"ATENÇÃO",IF(K1706&lt;=5,"BOM","EXCELENTE")))</f>
        <v>BOM</v>
      </c>
      <c r="M1706">
        <v>0</v>
      </c>
      <c r="N1706">
        <v>0</v>
      </c>
      <c r="O1706">
        <v>0</v>
      </c>
    </row>
    <row r="1707" spans="1:15" hidden="1" x14ac:dyDescent="0.25">
      <c r="A1707" s="11">
        <v>46055</v>
      </c>
      <c r="B1707" t="s">
        <v>60</v>
      </c>
      <c r="C1707" t="s">
        <v>23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>E1707+G1707+H1707</f>
        <v>1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19</v>
      </c>
      <c r="K1707" s="3">
        <f>I1707-J1707</f>
        <v>-18</v>
      </c>
      <c r="L1707" s="3" t="str">
        <f>IF(K1707&lt;-5,"CRÍTICO",IF(K1707&lt;0,"ATENÇÃO",IF(K1707&lt;=5,"BOM","EXCELENTE")))</f>
        <v>CRÍTICO</v>
      </c>
      <c r="M1707">
        <v>23</v>
      </c>
      <c r="N1707">
        <v>98.75</v>
      </c>
      <c r="O1707">
        <v>24.32432432432433</v>
      </c>
    </row>
    <row r="1708" spans="1:15" hidden="1" x14ac:dyDescent="0.25">
      <c r="A1708" s="11">
        <v>46055</v>
      </c>
      <c r="B1708" t="s">
        <v>34</v>
      </c>
      <c r="C1708" t="s">
        <v>32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>E1708+G1708+H1708</f>
        <v>42</v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>29</v>
      </c>
      <c r="K1708" s="3">
        <f>I1708-J1708</f>
        <v>13</v>
      </c>
      <c r="L1708" s="3" t="str">
        <f>IF(K1708&lt;-5,"CRÍTICO",IF(K1708&lt;0,"ATENÇÃO",IF(K1708&lt;=5,"BOM","EXCELENTE")))</f>
        <v>EXCELENTE</v>
      </c>
      <c r="M1708">
        <v>35</v>
      </c>
      <c r="N1708">
        <v>93.48</v>
      </c>
      <c r="O1708">
        <v>31.52804642166344</v>
      </c>
    </row>
    <row r="1709" spans="1:15" hidden="1" x14ac:dyDescent="0.25">
      <c r="A1709" s="11">
        <v>46055</v>
      </c>
      <c r="B1709" t="s">
        <v>51</v>
      </c>
      <c r="C1709" t="s">
        <v>48</v>
      </c>
      <c r="D1709">
        <v>40</v>
      </c>
      <c r="E1709">
        <v>34</v>
      </c>
      <c r="F1709">
        <v>15.02</v>
      </c>
      <c r="G1709">
        <v>0</v>
      </c>
      <c r="H1709">
        <v>0</v>
      </c>
      <c r="I1709" s="3">
        <v>0</v>
      </c>
      <c r="J1709" s="3">
        <v>0</v>
      </c>
      <c r="K1709" s="3">
        <v>0</v>
      </c>
      <c r="L1709" s="3" t="str">
        <f>IF(K1709&lt;-5,"CRÍTICO",IF(K1709&lt;0,"ATENÇÃO",IF(K1709&lt;=5,"BOM","EXCELENTE")))</f>
        <v>BOM</v>
      </c>
      <c r="M1709">
        <v>32</v>
      </c>
      <c r="N1709">
        <v>99.16</v>
      </c>
      <c r="O1709">
        <v>26.13908872901678</v>
      </c>
    </row>
    <row r="1710" spans="1:15" hidden="1" x14ac:dyDescent="0.25">
      <c r="A1710" s="11">
        <v>46055</v>
      </c>
      <c r="B1710" t="s">
        <v>61</v>
      </c>
      <c r="C1710" t="s">
        <v>23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>E1710+G1710+H1710</f>
        <v>9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19</v>
      </c>
      <c r="K1710" s="3">
        <f>I1710-J1710</f>
        <v>-10</v>
      </c>
      <c r="L1710" s="3" t="str">
        <f>IF(K1710&lt;-5,"CRÍTICO",IF(K1710&lt;0,"ATENÇÃO",IF(K1710&lt;=5,"BOM","EXCELENTE")))</f>
        <v>CRÍTICO</v>
      </c>
      <c r="M1710">
        <v>22</v>
      </c>
      <c r="N1710">
        <v>100</v>
      </c>
      <c r="O1710">
        <v>31.089743589743591</v>
      </c>
    </row>
    <row r="1711" spans="1:15" hidden="1" x14ac:dyDescent="0.25">
      <c r="A1711" s="11">
        <v>46055</v>
      </c>
      <c r="B1711" t="s">
        <v>35</v>
      </c>
      <c r="C1711" t="s">
        <v>32</v>
      </c>
      <c r="D1711">
        <v>37</v>
      </c>
      <c r="E1711">
        <v>37</v>
      </c>
      <c r="F1711">
        <v>18.57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>
        <v>37</v>
      </c>
      <c r="N1711">
        <v>98.11</v>
      </c>
      <c r="O1711">
        <v>33.033707865168537</v>
      </c>
    </row>
    <row r="1712" spans="1:15" hidden="1" x14ac:dyDescent="0.25">
      <c r="A1712" s="11">
        <v>46055</v>
      </c>
      <c r="B1712" t="s">
        <v>18</v>
      </c>
      <c r="C1712" t="s">
        <v>16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v>0</v>
      </c>
      <c r="J1712" s="3">
        <v>0</v>
      </c>
      <c r="K1712" s="3">
        <v>0</v>
      </c>
      <c r="L1712" s="3" t="str">
        <f>IF(K1712&lt;-5,"CRÍTICO",IF(K1712&lt;0,"ATENÇÃO",IF(K1712&lt;=5,"BOM","EXCELENTE")))</f>
        <v>BOM</v>
      </c>
      <c r="M1712">
        <v>0</v>
      </c>
      <c r="N1712">
        <v>78.95</v>
      </c>
      <c r="O1712">
        <v>38.983050847457633</v>
      </c>
    </row>
    <row r="1713" spans="1:15" hidden="1" x14ac:dyDescent="0.25">
      <c r="A1713" s="11">
        <v>46055</v>
      </c>
      <c r="B1713" t="s">
        <v>52</v>
      </c>
      <c r="C1713" t="s">
        <v>48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>E1713+G1713+H1713</f>
        <v>27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23</v>
      </c>
      <c r="K1713" s="3">
        <f>I1713-J1713</f>
        <v>4</v>
      </c>
      <c r="L1713" s="3" t="str">
        <f>IF(K1713&lt;-5,"CRÍTICO",IF(K1713&lt;0,"ATENÇÃO",IF(K1713&lt;=5,"BOM","EXCELENTE")))</f>
        <v>BOM</v>
      </c>
      <c r="M1713">
        <v>22</v>
      </c>
      <c r="N1713">
        <v>98.45</v>
      </c>
      <c r="O1713">
        <v>29.281767955801101</v>
      </c>
    </row>
    <row r="1714" spans="1:15" hidden="1" x14ac:dyDescent="0.25">
      <c r="A1714" s="11">
        <v>46055</v>
      </c>
      <c r="B1714" t="s">
        <v>36</v>
      </c>
      <c r="C1714" t="s">
        <v>32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>E1714+G1714+H1714</f>
        <v>22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29</v>
      </c>
      <c r="K1714" s="3">
        <f>I1714-J1714</f>
        <v>-7</v>
      </c>
      <c r="L1714" s="3" t="str">
        <f>IF(K1714&lt;-5,"CRÍTICO",IF(K1714&lt;0,"ATENÇÃO",IF(K1714&lt;=5,"BOM","EXCELENTE")))</f>
        <v>CRÍTICO</v>
      </c>
      <c r="M1714">
        <v>21</v>
      </c>
      <c r="N1714">
        <v>97.84</v>
      </c>
      <c r="O1714">
        <v>26.282051282051281</v>
      </c>
    </row>
    <row r="1715" spans="1:15" hidden="1" x14ac:dyDescent="0.25">
      <c r="A1715" s="11">
        <v>46055</v>
      </c>
      <c r="B1715" t="s">
        <v>53</v>
      </c>
      <c r="C1715" t="s">
        <v>48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>E1715+G1715+H1715</f>
        <v>29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23</v>
      </c>
      <c r="K1715" s="3">
        <f>I1715-J1715</f>
        <v>6</v>
      </c>
      <c r="L1715" s="3" t="str">
        <f>IF(K1715&lt;-5,"CRÍTICO",IF(K1715&lt;0,"ATENÇÃO",IF(K1715&lt;=5,"BOM","EXCELENTE")))</f>
        <v>EXCELENTE</v>
      </c>
      <c r="M1715">
        <v>28</v>
      </c>
      <c r="N1715">
        <v>98.5</v>
      </c>
      <c r="O1715">
        <v>23.97769516728625</v>
      </c>
    </row>
    <row r="1716" spans="1:15" hidden="1" x14ac:dyDescent="0.25">
      <c r="A1716" s="11">
        <v>46087</v>
      </c>
      <c r="B1716" t="s">
        <v>22</v>
      </c>
      <c r="C1716" t="s">
        <v>23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v>0</v>
      </c>
      <c r="J1716" s="3">
        <v>0</v>
      </c>
      <c r="K1716" s="3">
        <v>0</v>
      </c>
      <c r="L1716" s="3" t="str">
        <f>IF(K1716&lt;-5,"CRÍTICO",IF(K1716&lt;0,"ATENÇÃO",IF(K1716&lt;=5,"BOM","EXCELENTE")))</f>
        <v>BOM</v>
      </c>
      <c r="M1716">
        <v>37</v>
      </c>
      <c r="N1716">
        <v>99.05</v>
      </c>
      <c r="O1716">
        <v>26.621923937360179</v>
      </c>
    </row>
    <row r="1717" spans="1:15" hidden="1" x14ac:dyDescent="0.25">
      <c r="A1717" s="11">
        <v>46055</v>
      </c>
      <c r="B1717" t="s">
        <v>54</v>
      </c>
      <c r="C1717" t="s">
        <v>48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>E1717+G1717+H1717</f>
        <v>35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23</v>
      </c>
      <c r="K1717" s="3">
        <f>I1717-J1717</f>
        <v>12</v>
      </c>
      <c r="L1717" s="3" t="str">
        <f>IF(K1717&lt;-5,"CRÍTICO",IF(K1717&lt;0,"ATENÇÃO",IF(K1717&lt;=5,"BOM","EXCELENTE")))</f>
        <v>EXCELENTE</v>
      </c>
      <c r="M1717">
        <v>31</v>
      </c>
      <c r="N1717">
        <v>98.53</v>
      </c>
      <c r="O1717">
        <v>31.578947368421051</v>
      </c>
    </row>
    <row r="1718" spans="1:15" hidden="1" x14ac:dyDescent="0.25">
      <c r="A1718" s="11">
        <v>46055</v>
      </c>
      <c r="B1718" t="s">
        <v>37</v>
      </c>
      <c r="C1718" t="s">
        <v>32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>E1718+G1718+H1718</f>
        <v>51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22</v>
      </c>
      <c r="L1718" s="3" t="str">
        <f>IF(K1718&lt;-5,"CRÍTICO",IF(K1718&lt;0,"ATENÇÃO",IF(K1718&lt;=5,"BOM","EXCELENTE")))</f>
        <v>EXCELENTE</v>
      </c>
      <c r="M1718">
        <v>54</v>
      </c>
      <c r="N1718">
        <v>100</v>
      </c>
      <c r="O1718">
        <v>25.72214580467676</v>
      </c>
    </row>
    <row r="1719" spans="1:15" hidden="1" x14ac:dyDescent="0.25">
      <c r="A1719" s="11">
        <v>46055</v>
      </c>
      <c r="B1719" t="s">
        <v>38</v>
      </c>
      <c r="C1719" t="s">
        <v>32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>E1719+G1719+H1719</f>
        <v>16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29</v>
      </c>
      <c r="K1719" s="3">
        <f>I1719-J1719</f>
        <v>-13</v>
      </c>
      <c r="L1719" s="3" t="str">
        <f>IF(K1719&lt;-5,"CRÍTICO",IF(K1719&lt;0,"ATENÇÃO",IF(K1719&lt;=5,"BOM","EXCELENTE")))</f>
        <v>CRÍTICO</v>
      </c>
      <c r="M1719">
        <v>18</v>
      </c>
      <c r="N1719">
        <v>94.64</v>
      </c>
      <c r="O1719">
        <v>27.52941176470588</v>
      </c>
    </row>
    <row r="1720" spans="1:15" hidden="1" x14ac:dyDescent="0.25">
      <c r="A1720" s="11">
        <v>46055</v>
      </c>
      <c r="B1720" t="s">
        <v>55</v>
      </c>
      <c r="C1720" t="s">
        <v>48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>E1720+G1720+H1720</f>
        <v>36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23</v>
      </c>
      <c r="K1720" s="3">
        <f>I1720-J1720</f>
        <v>13</v>
      </c>
      <c r="L1720" s="3" t="str">
        <f>IF(K1720&lt;-5,"CRÍTICO",IF(K1720&lt;0,"ATENÇÃO",IF(K1720&lt;=5,"BOM","EXCELENTE")))</f>
        <v>EXCELENTE</v>
      </c>
      <c r="M1720">
        <v>34</v>
      </c>
      <c r="N1720">
        <v>99.07</v>
      </c>
      <c r="O1720">
        <v>26.376811594202898</v>
      </c>
    </row>
    <row r="1721" spans="1:15" hidden="1" x14ac:dyDescent="0.25">
      <c r="A1721" s="11">
        <v>46055</v>
      </c>
      <c r="B1721" t="s">
        <v>39</v>
      </c>
      <c r="C1721" t="s">
        <v>32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v>0</v>
      </c>
      <c r="J1721" s="3">
        <v>0</v>
      </c>
      <c r="K1721" s="3">
        <v>0</v>
      </c>
      <c r="L1721" s="3" t="str">
        <f>IF(K1721&lt;-5,"CRÍTICO",IF(K1721&lt;0,"ATENÇÃO",IF(K1721&lt;=5,"BOM","EXCELENTE")))</f>
        <v>BOM</v>
      </c>
      <c r="M1721">
        <v>0</v>
      </c>
      <c r="N1721">
        <v>100</v>
      </c>
      <c r="O1721">
        <v>0</v>
      </c>
    </row>
    <row r="1722" spans="1:15" hidden="1" x14ac:dyDescent="0.25">
      <c r="A1722" s="11">
        <v>46055</v>
      </c>
      <c r="B1722" t="s">
        <v>25</v>
      </c>
      <c r="C1722" t="s">
        <v>26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>E1722+G1722+H1722</f>
        <v>15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16</v>
      </c>
      <c r="K1722" s="3">
        <f>I1722-J1722</f>
        <v>-1</v>
      </c>
      <c r="L1722" s="3" t="str">
        <f>IF(K1722&lt;-5,"CRÍTICO",IF(K1722&lt;0,"ATENÇÃO",IF(K1722&lt;=5,"BOM","EXCELENTE")))</f>
        <v>ATENÇÃO</v>
      </c>
      <c r="M1722">
        <v>13</v>
      </c>
      <c r="N1722">
        <v>98.48</v>
      </c>
      <c r="O1722">
        <v>27.853881278538811</v>
      </c>
    </row>
    <row r="1723" spans="1:15" hidden="1" x14ac:dyDescent="0.25">
      <c r="A1723" s="11">
        <v>46055</v>
      </c>
      <c r="B1723" t="s">
        <v>40</v>
      </c>
      <c r="C1723" t="s">
        <v>32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>E1723+G1723+H1723</f>
        <v>30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29</v>
      </c>
      <c r="K1723" s="3">
        <f>I1723-J1723</f>
        <v>1</v>
      </c>
      <c r="L1723" s="3" t="str">
        <f>IF(K1723&lt;-5,"CRÍTICO",IF(K1723&lt;0,"ATENÇÃO",IF(K1723&lt;=5,"BOM","EXCELENTE")))</f>
        <v>BOM</v>
      </c>
      <c r="M1723">
        <v>26</v>
      </c>
      <c r="N1723">
        <v>95.15</v>
      </c>
      <c r="O1723">
        <v>34.131736526946113</v>
      </c>
    </row>
    <row r="1724" spans="1:15" hidden="1" x14ac:dyDescent="0.25">
      <c r="A1724" s="11">
        <v>46055</v>
      </c>
      <c r="B1724" t="s">
        <v>27</v>
      </c>
      <c r="C1724" t="s">
        <v>26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v>0</v>
      </c>
      <c r="J1724" s="3">
        <v>0</v>
      </c>
      <c r="K1724" s="3">
        <v>0</v>
      </c>
      <c r="L1724" s="3" t="str">
        <f>IF(K1724&lt;-5,"CRÍTICO",IF(K1724&lt;0,"ATENÇÃO",IF(K1724&lt;=5,"BOM","EXCELENTE")))</f>
        <v>BOM</v>
      </c>
      <c r="M1724">
        <v>0</v>
      </c>
      <c r="N1724">
        <v>0</v>
      </c>
      <c r="O1724">
        <v>0</v>
      </c>
    </row>
    <row r="1725" spans="1:15" hidden="1" x14ac:dyDescent="0.25">
      <c r="A1725" s="11">
        <v>46055</v>
      </c>
      <c r="B1725" t="s">
        <v>41</v>
      </c>
      <c r="C1725" t="s">
        <v>32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>E1725+G1725+H1725</f>
        <v>32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29</v>
      </c>
      <c r="K1725" s="3">
        <f>I1725-J1725</f>
        <v>3</v>
      </c>
      <c r="L1725" s="3" t="str">
        <f>IF(K1725&lt;-5,"CRÍTICO",IF(K1725&lt;0,"ATENÇÃO",IF(K1725&lt;=5,"BOM","EXCELENTE")))</f>
        <v>BOM</v>
      </c>
      <c r="M1725">
        <v>28</v>
      </c>
      <c r="N1725">
        <v>99.26</v>
      </c>
      <c r="O1725">
        <v>30.84832904884319</v>
      </c>
    </row>
    <row r="1726" spans="1:15" hidden="1" x14ac:dyDescent="0.25">
      <c r="A1726" s="11">
        <v>46055</v>
      </c>
      <c r="B1726" t="s">
        <v>56</v>
      </c>
      <c r="C1726" t="s">
        <v>48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>E1726+G1726+H1726</f>
        <v>27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23</v>
      </c>
      <c r="K1726" s="3">
        <f>I1726-J1726</f>
        <v>4</v>
      </c>
      <c r="L1726" s="3" t="str">
        <f>IF(K1726&lt;-5,"CRÍTICO",IF(K1726&lt;0,"ATENÇÃO",IF(K1726&lt;=5,"BOM","EXCELENTE")))</f>
        <v>BOM</v>
      </c>
      <c r="M1726">
        <v>27</v>
      </c>
      <c r="N1726">
        <v>97.48</v>
      </c>
      <c r="O1726">
        <v>27.764705882352938</v>
      </c>
    </row>
    <row r="1727" spans="1:15" hidden="1" x14ac:dyDescent="0.25">
      <c r="A1727" s="11">
        <v>46055</v>
      </c>
      <c r="B1727" t="s">
        <v>57</v>
      </c>
      <c r="C1727" t="s">
        <v>48</v>
      </c>
      <c r="D1727">
        <v>33</v>
      </c>
      <c r="E1727">
        <v>32</v>
      </c>
      <c r="F1727">
        <v>17.010000000000002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>
        <v>32</v>
      </c>
      <c r="N1727">
        <v>99.34</v>
      </c>
      <c r="O1727">
        <v>30.04291845493562</v>
      </c>
    </row>
    <row r="1728" spans="1:15" hidden="1" x14ac:dyDescent="0.25">
      <c r="A1728" s="11">
        <v>46055</v>
      </c>
      <c r="B1728" t="s">
        <v>42</v>
      </c>
      <c r="C1728" t="s">
        <v>32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v>0</v>
      </c>
      <c r="J1728" s="3">
        <v>0</v>
      </c>
      <c r="K1728" s="3">
        <v>0</v>
      </c>
      <c r="L1728" s="3" t="str">
        <f>IF(K1728&lt;-5,"CRÍTICO",IF(K1728&lt;0,"ATENÇÃO",IF(K1728&lt;=5,"BOM","EXCELENTE")))</f>
        <v>BOM</v>
      </c>
      <c r="M1728">
        <v>0</v>
      </c>
      <c r="N1728">
        <v>96.3</v>
      </c>
      <c r="O1728">
        <v>24.29378531073446</v>
      </c>
    </row>
    <row r="1729" spans="1:15" hidden="1" x14ac:dyDescent="0.25">
      <c r="A1729" s="11">
        <v>46055</v>
      </c>
      <c r="B1729" t="s">
        <v>62</v>
      </c>
      <c r="C1729" t="s">
        <v>23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>E1729+G1729+H1729</f>
        <v>23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19</v>
      </c>
      <c r="K1729" s="3">
        <f>I1729-J1729</f>
        <v>4</v>
      </c>
      <c r="L1729" s="3" t="str">
        <f>IF(K1729&lt;-5,"CRÍTICO",IF(K1729&lt;0,"ATENÇÃO",IF(K1729&lt;=5,"BOM","EXCELENTE")))</f>
        <v>BOM</v>
      </c>
      <c r="M1729">
        <v>22</v>
      </c>
      <c r="N1729">
        <v>100</v>
      </c>
      <c r="O1729">
        <v>26.543209876543209</v>
      </c>
    </row>
    <row r="1730" spans="1:15" hidden="1" x14ac:dyDescent="0.25">
      <c r="A1730" s="11">
        <v>46055</v>
      </c>
      <c r="B1730" t="s">
        <v>19</v>
      </c>
      <c r="C1730" t="s">
        <v>16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>E1730+G1730+H1730</f>
        <v>8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8</v>
      </c>
      <c r="K1730" s="3">
        <f>I1730-J1730</f>
        <v>0</v>
      </c>
      <c r="L1730" s="3" t="str">
        <f>IF(K1730&lt;-5,"CRÍTICO",IF(K1730&lt;0,"ATENÇÃO",IF(K1730&lt;=5,"BOM","EXCELENTE")))</f>
        <v>BOM</v>
      </c>
      <c r="M1730">
        <v>7</v>
      </c>
      <c r="N1730">
        <v>100</v>
      </c>
      <c r="O1730">
        <v>35.483870967741943</v>
      </c>
    </row>
    <row r="1731" spans="1:15" hidden="1" x14ac:dyDescent="0.25">
      <c r="A1731" s="11">
        <v>46055</v>
      </c>
      <c r="B1731" t="s">
        <v>43</v>
      </c>
      <c r="C1731" t="s">
        <v>32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>E1731+G1731+H1731</f>
        <v>35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6</v>
      </c>
      <c r="L1731" s="3" t="str">
        <f>IF(K1731&lt;-5,"CRÍTICO",IF(K1731&lt;0,"ATENÇÃO",IF(K1731&lt;=5,"BOM","EXCELENTE")))</f>
        <v>EXCELENTE</v>
      </c>
      <c r="M1731">
        <v>33</v>
      </c>
      <c r="N1731">
        <v>99.27</v>
      </c>
      <c r="O1731">
        <v>31.163708086785011</v>
      </c>
    </row>
    <row r="1732" spans="1:15" hidden="1" x14ac:dyDescent="0.25">
      <c r="A1732" s="11">
        <v>46055</v>
      </c>
      <c r="B1732" t="s">
        <v>44</v>
      </c>
      <c r="C1732" t="s">
        <v>32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>E1732+G1732+H1732</f>
        <v>37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29</v>
      </c>
      <c r="K1732" s="3">
        <f>I1732-J1732</f>
        <v>8</v>
      </c>
      <c r="L1732" s="3" t="str">
        <f>IF(K1732&lt;-5,"CRÍTICO",IF(K1732&lt;0,"ATENÇÃO",IF(K1732&lt;=5,"BOM","EXCELENTE")))</f>
        <v>EXCELENTE</v>
      </c>
      <c r="M1732">
        <v>38</v>
      </c>
      <c r="N1732">
        <v>94.16</v>
      </c>
      <c r="O1732">
        <v>27.038626609442058</v>
      </c>
    </row>
    <row r="1733" spans="1:15" hidden="1" x14ac:dyDescent="0.25">
      <c r="A1733" s="11">
        <v>46055</v>
      </c>
      <c r="B1733" t="s">
        <v>20</v>
      </c>
      <c r="C1733" t="s">
        <v>16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>E1733+G1733+H1733</f>
        <v>9</v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>8</v>
      </c>
      <c r="K1733" s="3">
        <f>I1733-J1733</f>
        <v>1</v>
      </c>
      <c r="L1733" s="3" t="str">
        <f>IF(K1733&lt;-5,"CRÍTICO",IF(K1733&lt;0,"ATENÇÃO",IF(K1733&lt;=5,"BOM","EXCELENTE")))</f>
        <v>BOM</v>
      </c>
      <c r="M1733">
        <v>1</v>
      </c>
      <c r="N1733">
        <v>93.75</v>
      </c>
      <c r="O1733">
        <v>19.31818181818182</v>
      </c>
    </row>
    <row r="1734" spans="1:15" hidden="1" x14ac:dyDescent="0.25">
      <c r="A1734" s="11">
        <v>46055</v>
      </c>
      <c r="B1734" t="s">
        <v>28</v>
      </c>
      <c r="C1734" t="s">
        <v>26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v>0</v>
      </c>
      <c r="J1734" s="3">
        <v>0</v>
      </c>
      <c r="K1734" s="3">
        <v>0</v>
      </c>
      <c r="L1734" s="3" t="str">
        <f>IF(K1734&lt;-5,"CRÍTICO",IF(K1734&lt;0,"ATENÇÃO",IF(K1734&lt;=5,"BOM","EXCELENTE")))</f>
        <v>BOM</v>
      </c>
      <c r="M1734">
        <v>0</v>
      </c>
      <c r="N1734">
        <v>0</v>
      </c>
      <c r="O1734">
        <v>0</v>
      </c>
    </row>
    <row r="1735" spans="1:15" hidden="1" x14ac:dyDescent="0.25">
      <c r="A1735" s="11">
        <v>46055</v>
      </c>
      <c r="B1735" t="s">
        <v>58</v>
      </c>
      <c r="C1735" t="s">
        <v>48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>E1735+G1735+H1735</f>
        <v>31</v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>23</v>
      </c>
      <c r="K1735" s="3">
        <f>I1735-J1735</f>
        <v>8</v>
      </c>
      <c r="L1735" s="3" t="str">
        <f>IF(K1735&lt;-5,"CRÍTICO",IF(K1735&lt;0,"ATENÇÃO",IF(K1735&lt;=5,"BOM","EXCELENTE")))</f>
        <v>EXCELENTE</v>
      </c>
      <c r="M1735">
        <v>23</v>
      </c>
      <c r="N1735">
        <v>97.92</v>
      </c>
      <c r="O1735">
        <v>32.87671232876712</v>
      </c>
    </row>
    <row r="1736" spans="1:15" hidden="1" x14ac:dyDescent="0.25">
      <c r="A1736" s="11">
        <v>46055</v>
      </c>
      <c r="B1736" t="s">
        <v>29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30</v>
      </c>
      <c r="C1737" t="s">
        <v>26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21</v>
      </c>
      <c r="C1738" t="s">
        <v>16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v>0</v>
      </c>
      <c r="J1738" s="3">
        <v>0</v>
      </c>
      <c r="K1738" s="3">
        <v>0</v>
      </c>
      <c r="L1738" s="3" t="str">
        <f>IF(K1738&lt;-5,"CRÍTICO",IF(K1738&lt;0,"ATENÇÃO",IF(K1738&lt;=5,"BOM","EXCELENTE")))</f>
        <v>BOM</v>
      </c>
      <c r="M1738">
        <v>0</v>
      </c>
      <c r="N1738">
        <v>0</v>
      </c>
      <c r="O1738">
        <v>0</v>
      </c>
    </row>
    <row r="1739" spans="1:15" hidden="1" x14ac:dyDescent="0.25">
      <c r="A1739" s="11">
        <v>46055</v>
      </c>
      <c r="B1739" t="s">
        <v>63</v>
      </c>
      <c r="C1739" t="s">
        <v>23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>E1739+G1739+H1739</f>
        <v>11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19</v>
      </c>
      <c r="K1739" s="3">
        <f>I1739-J1739</f>
        <v>-8</v>
      </c>
      <c r="L1739" s="3" t="str">
        <f>IF(K1739&lt;-5,"CRÍTICO",IF(K1739&lt;0,"ATENÇÃO",IF(K1739&lt;=5,"BOM","EXCELENTE")))</f>
        <v>CRÍTICO</v>
      </c>
      <c r="M1739">
        <v>11</v>
      </c>
      <c r="N1739">
        <v>98.51</v>
      </c>
      <c r="O1739">
        <v>29.710144927536231</v>
      </c>
    </row>
    <row r="1740" spans="1:15" hidden="1" x14ac:dyDescent="0.25">
      <c r="A1740" s="11">
        <v>46055</v>
      </c>
      <c r="B1740" t="s">
        <v>45</v>
      </c>
      <c r="C1740" t="s">
        <v>32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>E1740+G1740+H1740</f>
        <v>40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29</v>
      </c>
      <c r="K1740" s="3">
        <f>I1740-J1740</f>
        <v>11</v>
      </c>
      <c r="L1740" s="3" t="str">
        <f>IF(K1740&lt;-5,"CRÍTICO",IF(K1740&lt;0,"ATENÇÃO",IF(K1740&lt;=5,"BOM","EXCELENTE")))</f>
        <v>EXCELENTE</v>
      </c>
      <c r="M1740">
        <v>40</v>
      </c>
      <c r="N1740">
        <v>98.81</v>
      </c>
      <c r="O1740">
        <v>30.712979890310791</v>
      </c>
    </row>
    <row r="1741" spans="1:15" hidden="1" x14ac:dyDescent="0.25">
      <c r="A1741" s="11">
        <v>46055</v>
      </c>
      <c r="B1741" t="s">
        <v>64</v>
      </c>
      <c r="C1741" t="s">
        <v>23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>E1741+G1741+H1741</f>
        <v>16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19</v>
      </c>
      <c r="K1741" s="3">
        <f>I1741-J1741</f>
        <v>-3</v>
      </c>
      <c r="L1741" s="3" t="str">
        <f>IF(K1741&lt;-5,"CRÍTICO",IF(K1741&lt;0,"ATENÇÃO",IF(K1741&lt;=5,"BOM","EXCELENTE")))</f>
        <v>ATENÇÃO</v>
      </c>
      <c r="M1741">
        <v>16</v>
      </c>
      <c r="N1741">
        <v>98.48</v>
      </c>
      <c r="O1741">
        <v>29.35323383084577</v>
      </c>
    </row>
    <row r="1742" spans="1:15" hidden="1" x14ac:dyDescent="0.25">
      <c r="A1742" s="11">
        <v>46055</v>
      </c>
      <c r="B1742" t="s">
        <v>46</v>
      </c>
      <c r="C1742" t="s">
        <v>32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>E1742+G1742+H1742</f>
        <v>32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29</v>
      </c>
      <c r="K1742" s="3">
        <f>I1742-J1742</f>
        <v>3</v>
      </c>
      <c r="L1742" s="3" t="str">
        <f>IF(K1742&lt;-5,"CRÍTICO",IF(K1742&lt;0,"ATENÇÃO",IF(K1742&lt;=5,"BOM","EXCELENTE")))</f>
        <v>BOM</v>
      </c>
      <c r="M1742">
        <v>29</v>
      </c>
      <c r="N1742">
        <v>98.56</v>
      </c>
      <c r="O1742">
        <v>29.373650107991359</v>
      </c>
    </row>
    <row r="1743" spans="1:15" hidden="1" x14ac:dyDescent="0.25">
      <c r="A1743" s="11">
        <v>46056</v>
      </c>
      <c r="B1743" t="s">
        <v>47</v>
      </c>
      <c r="C1743" t="s">
        <v>48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>E1743+G1743+H1743</f>
        <v>35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25</v>
      </c>
      <c r="K1743" s="3">
        <f>I1743-J1743</f>
        <v>10</v>
      </c>
      <c r="L1743" s="3" t="str">
        <f>IF(K1743&lt;-5,"CRÍTICO",IF(K1743&lt;0,"ATENÇÃO",IF(K1743&lt;=5,"BOM","EXCELENTE")))</f>
        <v>EXCELENTE</v>
      </c>
      <c r="M1743">
        <v>34</v>
      </c>
      <c r="N1743">
        <v>98.32</v>
      </c>
      <c r="O1743">
        <v>30.303030303030301</v>
      </c>
    </row>
    <row r="1744" spans="1:15" hidden="1" x14ac:dyDescent="0.25">
      <c r="A1744" s="11">
        <v>46056</v>
      </c>
      <c r="B1744" t="s">
        <v>31</v>
      </c>
      <c r="C1744" t="s">
        <v>32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v>0</v>
      </c>
      <c r="J1744" s="3">
        <v>0</v>
      </c>
      <c r="K1744" s="3">
        <v>0</v>
      </c>
      <c r="L1744" s="3" t="str">
        <f>IF(K1744&lt;-5,"CRÍTICO",IF(K1744&lt;0,"ATENÇÃO",IF(K1744&lt;=5,"BOM","EXCELENTE")))</f>
        <v>BOM</v>
      </c>
      <c r="M1744">
        <v>29</v>
      </c>
      <c r="N1744">
        <v>98.68</v>
      </c>
      <c r="O1744">
        <v>26.219512195121951</v>
      </c>
    </row>
    <row r="1745" spans="1:15" hidden="1" x14ac:dyDescent="0.25">
      <c r="A1745" s="11">
        <v>46056</v>
      </c>
      <c r="B1745" t="s">
        <v>59</v>
      </c>
      <c r="C1745" t="s">
        <v>23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>E1745+G1745+H1745</f>
        <v>27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21</v>
      </c>
      <c r="K1745" s="3">
        <f>I1745-J1745</f>
        <v>6</v>
      </c>
      <c r="L1745" s="3" t="str">
        <f>IF(K1745&lt;-5,"CRÍTICO",IF(K1745&lt;0,"ATENÇÃO",IF(K1745&lt;=5,"BOM","EXCELENTE")))</f>
        <v>EXCELENTE</v>
      </c>
      <c r="M1745">
        <v>27</v>
      </c>
      <c r="N1745">
        <v>100</v>
      </c>
      <c r="O1745">
        <v>31.74224343675418</v>
      </c>
    </row>
    <row r="1746" spans="1:15" hidden="1" x14ac:dyDescent="0.25">
      <c r="A1746" s="11">
        <v>46056</v>
      </c>
      <c r="B1746" t="s">
        <v>33</v>
      </c>
      <c r="C1746" t="s">
        <v>32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>E1746+G1746+H1746</f>
        <v>39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32</v>
      </c>
      <c r="K1746" s="3">
        <f>I1746-J1746</f>
        <v>7</v>
      </c>
      <c r="L1746" s="3" t="str">
        <f>IF(K1746&lt;-5,"CRÍTICO",IF(K1746&lt;0,"ATENÇÃO",IF(K1746&lt;=5,"BOM","EXCELENTE")))</f>
        <v>EXCELENTE</v>
      </c>
      <c r="M1746">
        <v>37</v>
      </c>
      <c r="N1746">
        <v>98.25</v>
      </c>
      <c r="O1746">
        <v>25.83518930957684</v>
      </c>
    </row>
    <row r="1747" spans="1:15" hidden="1" x14ac:dyDescent="0.25">
      <c r="A1747" s="11">
        <v>46056</v>
      </c>
      <c r="B1747" t="s">
        <v>15</v>
      </c>
      <c r="C1747" t="s">
        <v>16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>E1747+G1747+H1747</f>
        <v>6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9</v>
      </c>
      <c r="K1747" s="3">
        <f>I1747-J1747</f>
        <v>-3</v>
      </c>
      <c r="L1747" s="3" t="str">
        <f>IF(K1747&lt;-5,"CRÍTICO",IF(K1747&lt;0,"ATENÇÃO",IF(K1747&lt;=5,"BOM","EXCELENTE")))</f>
        <v>ATENÇÃO</v>
      </c>
      <c r="M1747">
        <v>6</v>
      </c>
      <c r="N1747">
        <v>97.5</v>
      </c>
      <c r="O1747">
        <v>30.075187969924809</v>
      </c>
    </row>
    <row r="1748" spans="1:15" hidden="1" x14ac:dyDescent="0.25">
      <c r="A1748" s="11">
        <v>46056</v>
      </c>
      <c r="B1748" t="s">
        <v>49</v>
      </c>
      <c r="C1748" t="s">
        <v>48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>E1748+G1748+H1748</f>
        <v>38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13</v>
      </c>
      <c r="L1748" s="3" t="str">
        <f>IF(K1748&lt;-5,"CRÍTICO",IF(K1748&lt;0,"ATENÇÃO",IF(K1748&lt;=5,"BOM","EXCELENTE")))</f>
        <v>EXCELENTE</v>
      </c>
      <c r="M1748">
        <v>36</v>
      </c>
      <c r="N1748">
        <v>100</v>
      </c>
      <c r="O1748">
        <v>29.71311475409836</v>
      </c>
    </row>
    <row r="1749" spans="1:15" hidden="1" x14ac:dyDescent="0.25">
      <c r="A1749" s="11">
        <v>46056</v>
      </c>
      <c r="B1749" t="s">
        <v>50</v>
      </c>
      <c r="C1749" t="s">
        <v>48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>E1749+G1749+H1749</f>
        <v>25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25</v>
      </c>
      <c r="K1749" s="3">
        <f>I1749-J1749</f>
        <v>0</v>
      </c>
      <c r="L1749" s="3" t="str">
        <f>IF(K1749&lt;-5,"CRÍTICO",IF(K1749&lt;0,"ATENÇÃO",IF(K1749&lt;=5,"BOM","EXCELENTE")))</f>
        <v>BOM</v>
      </c>
      <c r="M1749">
        <v>23</v>
      </c>
      <c r="N1749">
        <v>99.22</v>
      </c>
      <c r="O1749">
        <v>35.256410256410263</v>
      </c>
    </row>
    <row r="1750" spans="1:15" hidden="1" x14ac:dyDescent="0.25">
      <c r="A1750" s="11">
        <v>46056</v>
      </c>
      <c r="B1750" t="s">
        <v>17</v>
      </c>
      <c r="C1750" t="s">
        <v>16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v>0</v>
      </c>
      <c r="J1750" s="3">
        <v>0</v>
      </c>
      <c r="K1750" s="3">
        <v>0</v>
      </c>
      <c r="L1750" s="3" t="str">
        <f>IF(K1750&lt;-5,"CRÍTICO",IF(K1750&lt;0,"ATENÇÃO",IF(K1750&lt;=5,"BOM","EXCELENTE")))</f>
        <v>BOM</v>
      </c>
      <c r="M1750">
        <v>0</v>
      </c>
      <c r="N1750">
        <v>0</v>
      </c>
      <c r="O1750">
        <v>0</v>
      </c>
    </row>
    <row r="1751" spans="1:15" hidden="1" x14ac:dyDescent="0.25">
      <c r="A1751" s="11">
        <v>46056</v>
      </c>
      <c r="B1751" t="s">
        <v>60</v>
      </c>
      <c r="C1751" t="s">
        <v>23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>E1751+G1751+H1751</f>
        <v>21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21</v>
      </c>
      <c r="K1751" s="3">
        <f>I1751-J1751</f>
        <v>0</v>
      </c>
      <c r="L1751" s="3" t="str">
        <f>IF(K1751&lt;-5,"CRÍTICO",IF(K1751&lt;0,"ATENÇÃO",IF(K1751&lt;=5,"BOM","EXCELENTE")))</f>
        <v>BOM</v>
      </c>
      <c r="M1751">
        <v>21</v>
      </c>
      <c r="N1751">
        <v>98.75</v>
      </c>
      <c r="O1751">
        <v>24.32432432432433</v>
      </c>
    </row>
    <row r="1752" spans="1:15" hidden="1" x14ac:dyDescent="0.25">
      <c r="A1752" s="11">
        <v>46056</v>
      </c>
      <c r="B1752" t="s">
        <v>34</v>
      </c>
      <c r="C1752" t="s">
        <v>32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>E1752+G1752+H1752</f>
        <v>33</v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>32</v>
      </c>
      <c r="K1752" s="3">
        <f>I1752-J1752</f>
        <v>1</v>
      </c>
      <c r="L1752" s="3" t="str">
        <f>IF(K1752&lt;-5,"CRÍTICO",IF(K1752&lt;0,"ATENÇÃO",IF(K1752&lt;=5,"BOM","EXCELENTE")))</f>
        <v>BOM</v>
      </c>
      <c r="M1752">
        <v>29</v>
      </c>
      <c r="N1752">
        <v>93.48</v>
      </c>
      <c r="O1752">
        <v>31.52804642166344</v>
      </c>
    </row>
    <row r="1753" spans="1:15" hidden="1" x14ac:dyDescent="0.25">
      <c r="A1753" s="11">
        <v>46056</v>
      </c>
      <c r="B1753" t="s">
        <v>51</v>
      </c>
      <c r="C1753" t="s">
        <v>48</v>
      </c>
      <c r="D1753">
        <v>38</v>
      </c>
      <c r="E1753">
        <v>34</v>
      </c>
      <c r="F1753">
        <v>18.52</v>
      </c>
      <c r="G1753">
        <v>0</v>
      </c>
      <c r="H1753">
        <v>0</v>
      </c>
      <c r="I1753" s="3">
        <v>0</v>
      </c>
      <c r="J1753" s="3">
        <v>0</v>
      </c>
      <c r="K1753" s="3">
        <v>0</v>
      </c>
      <c r="L1753" s="3" t="str">
        <f>IF(K1753&lt;-5,"CRÍTICO",IF(K1753&lt;0,"ATENÇÃO",IF(K1753&lt;=5,"BOM","EXCELENTE")))</f>
        <v>BOM</v>
      </c>
      <c r="M1753">
        <v>30</v>
      </c>
      <c r="N1753">
        <v>99.16</v>
      </c>
      <c r="O1753">
        <v>26.13908872901678</v>
      </c>
    </row>
    <row r="1754" spans="1:15" hidden="1" x14ac:dyDescent="0.25">
      <c r="A1754" s="11">
        <v>46056</v>
      </c>
      <c r="B1754" t="s">
        <v>61</v>
      </c>
      <c r="C1754" t="s">
        <v>23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>E1754+G1754+H1754</f>
        <v>30</v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>21</v>
      </c>
      <c r="K1754" s="3">
        <f>I1754-J1754</f>
        <v>9</v>
      </c>
      <c r="L1754" s="3" t="str">
        <f>IF(K1754&lt;-5,"CRÍTICO",IF(K1754&lt;0,"ATENÇÃO",IF(K1754&lt;=5,"BOM","EXCELENTE")))</f>
        <v>EXCELENTE</v>
      </c>
      <c r="M1754">
        <v>32</v>
      </c>
      <c r="N1754">
        <v>100</v>
      </c>
      <c r="O1754">
        <v>31.089743589743591</v>
      </c>
    </row>
    <row r="1755" spans="1:15" hidden="1" x14ac:dyDescent="0.25">
      <c r="A1755" s="11">
        <v>46056</v>
      </c>
      <c r="B1755" t="s">
        <v>35</v>
      </c>
      <c r="C1755" t="s">
        <v>32</v>
      </c>
      <c r="D1755">
        <v>27</v>
      </c>
      <c r="E1755">
        <v>27</v>
      </c>
      <c r="F1755">
        <v>30.21</v>
      </c>
      <c r="G1755">
        <v>0</v>
      </c>
      <c r="H1755">
        <v>0</v>
      </c>
      <c r="I1755" s="3">
        <v>0</v>
      </c>
      <c r="J1755" s="3">
        <v>0</v>
      </c>
      <c r="K1755" s="3">
        <v>0</v>
      </c>
      <c r="L1755" s="3" t="str">
        <f>IF(K1755&lt;-5,"CRÍTICO",IF(K1755&lt;0,"ATENÇÃO",IF(K1755&lt;=5,"BOM","EXCELENTE")))</f>
        <v>BOM</v>
      </c>
      <c r="M1755">
        <v>30</v>
      </c>
      <c r="N1755">
        <v>98.11</v>
      </c>
      <c r="O1755">
        <v>33.033707865168537</v>
      </c>
    </row>
    <row r="1756" spans="1:15" hidden="1" x14ac:dyDescent="0.25">
      <c r="A1756" s="11">
        <v>46056</v>
      </c>
      <c r="B1756" t="s">
        <v>18</v>
      </c>
      <c r="C1756" t="s">
        <v>16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>E1756+G1756+H1756</f>
        <v>5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9</v>
      </c>
      <c r="K1756" s="3">
        <f>I1756-J1756</f>
        <v>-4</v>
      </c>
      <c r="L1756" s="3" t="str">
        <f>IF(K1756&lt;-5,"CRÍTICO",IF(K1756&lt;0,"ATENÇÃO",IF(K1756&lt;=5,"BOM","EXCELENTE")))</f>
        <v>ATENÇÃO</v>
      </c>
      <c r="M1756">
        <v>6</v>
      </c>
      <c r="N1756">
        <v>78.95</v>
      </c>
      <c r="O1756">
        <v>38.983050847457633</v>
      </c>
    </row>
    <row r="1757" spans="1:15" hidden="1" x14ac:dyDescent="0.25">
      <c r="A1757" s="11">
        <v>46056</v>
      </c>
      <c r="B1757" t="s">
        <v>52</v>
      </c>
      <c r="C1757" t="s">
        <v>48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>E1757+G1757+H1757</f>
        <v>32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25</v>
      </c>
      <c r="K1757" s="3">
        <f>I1757-J1757</f>
        <v>7</v>
      </c>
      <c r="L1757" s="3" t="str">
        <f>IF(K1757&lt;-5,"CRÍTICO",IF(K1757&lt;0,"ATENÇÃO",IF(K1757&lt;=5,"BOM","EXCELENTE")))</f>
        <v>EXCELENTE</v>
      </c>
      <c r="M1757">
        <v>31</v>
      </c>
      <c r="N1757">
        <v>98.45</v>
      </c>
      <c r="O1757">
        <v>29.281767955801101</v>
      </c>
    </row>
    <row r="1758" spans="1:15" hidden="1" x14ac:dyDescent="0.25">
      <c r="A1758" s="11">
        <v>46056</v>
      </c>
      <c r="B1758" t="s">
        <v>36</v>
      </c>
      <c r="C1758" t="s">
        <v>32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>E1758+G1758+H1758</f>
        <v>29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32</v>
      </c>
      <c r="K1758" s="3">
        <f>I1758-J1758</f>
        <v>-3</v>
      </c>
      <c r="L1758" s="3" t="str">
        <f>IF(K1758&lt;-5,"CRÍTICO",IF(K1758&lt;0,"ATENÇÃO",IF(K1758&lt;=5,"BOM","EXCELENTE")))</f>
        <v>ATENÇÃO</v>
      </c>
      <c r="M1758">
        <v>30</v>
      </c>
      <c r="N1758">
        <v>97.84</v>
      </c>
      <c r="O1758">
        <v>26.282051282051281</v>
      </c>
    </row>
    <row r="1759" spans="1:15" hidden="1" x14ac:dyDescent="0.25">
      <c r="A1759" s="11">
        <v>46056</v>
      </c>
      <c r="B1759" t="s">
        <v>53</v>
      </c>
      <c r="C1759" t="s">
        <v>48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>E1759+G1759+H1759</f>
        <v>52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25</v>
      </c>
      <c r="K1759" s="3">
        <f>I1759-J1759</f>
        <v>27</v>
      </c>
      <c r="L1759" s="3" t="str">
        <f>IF(K1759&lt;-5,"CRÍTICO",IF(K1759&lt;0,"ATENÇÃO",IF(K1759&lt;=5,"BOM","EXCELENTE")))</f>
        <v>EXCELENTE</v>
      </c>
      <c r="M1759">
        <v>49</v>
      </c>
      <c r="N1759">
        <v>98.5</v>
      </c>
      <c r="O1759">
        <v>23.97769516728625</v>
      </c>
    </row>
    <row r="1760" spans="1:15" hidden="1" x14ac:dyDescent="0.25">
      <c r="A1760" s="11">
        <v>46090</v>
      </c>
      <c r="B1760" t="s">
        <v>22</v>
      </c>
      <c r="C1760" t="s">
        <v>23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>E1760+G1760+H1760</f>
        <v>29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14</v>
      </c>
      <c r="K1760" s="3">
        <f>I1760-J1760</f>
        <v>15</v>
      </c>
      <c r="L1760" s="3" t="str">
        <f>IF(K1760&lt;-5,"CRÍTICO",IF(K1760&lt;0,"ATENÇÃO",IF(K1760&lt;=5,"BOM","EXCELENTE")))</f>
        <v>EXCELENTE</v>
      </c>
      <c r="M1760">
        <v>28</v>
      </c>
      <c r="N1760">
        <v>99.05</v>
      </c>
      <c r="O1760">
        <v>26.621923937360179</v>
      </c>
    </row>
    <row r="1761" spans="1:15" hidden="1" x14ac:dyDescent="0.25">
      <c r="A1761" s="11">
        <v>46056</v>
      </c>
      <c r="B1761" t="s">
        <v>54</v>
      </c>
      <c r="C1761" t="s">
        <v>48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>E1761+G1761+H1761</f>
        <v>30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25</v>
      </c>
      <c r="K1761" s="3">
        <f>I1761-J1761</f>
        <v>5</v>
      </c>
      <c r="L1761" s="3" t="str">
        <f>IF(K1761&lt;-5,"CRÍTICO",IF(K1761&lt;0,"ATENÇÃO",IF(K1761&lt;=5,"BOM","EXCELENTE")))</f>
        <v>BOM</v>
      </c>
      <c r="M1761">
        <v>28</v>
      </c>
      <c r="N1761">
        <v>98.53</v>
      </c>
      <c r="O1761">
        <v>31.578947368421051</v>
      </c>
    </row>
    <row r="1762" spans="1:15" hidden="1" x14ac:dyDescent="0.25">
      <c r="A1762" s="11">
        <v>46056</v>
      </c>
      <c r="B1762" t="s">
        <v>37</v>
      </c>
      <c r="C1762" t="s">
        <v>32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>E1762+G1762+H1762</f>
        <v>45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13</v>
      </c>
      <c r="L1762" s="3" t="str">
        <f>IF(K1762&lt;-5,"CRÍTICO",IF(K1762&lt;0,"ATENÇÃO",IF(K1762&lt;=5,"BOM","EXCELENTE")))</f>
        <v>EXCELENTE</v>
      </c>
      <c r="M1762">
        <v>44</v>
      </c>
      <c r="N1762">
        <v>100</v>
      </c>
      <c r="O1762">
        <v>25.72214580467676</v>
      </c>
    </row>
    <row r="1763" spans="1:15" hidden="1" x14ac:dyDescent="0.25">
      <c r="A1763" s="11">
        <v>46056</v>
      </c>
      <c r="B1763" t="s">
        <v>38</v>
      </c>
      <c r="C1763" t="s">
        <v>32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>E1763+G1763+H1763</f>
        <v>43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32</v>
      </c>
      <c r="K1763" s="3">
        <f>I1763-J1763</f>
        <v>11</v>
      </c>
      <c r="L1763" s="3" t="str">
        <f>IF(K1763&lt;-5,"CRÍTICO",IF(K1763&lt;0,"ATENÇÃO",IF(K1763&lt;=5,"BOM","EXCELENTE")))</f>
        <v>EXCELENTE</v>
      </c>
      <c r="M1763">
        <v>43</v>
      </c>
      <c r="N1763">
        <v>94.64</v>
      </c>
      <c r="O1763">
        <v>27.52941176470588</v>
      </c>
    </row>
    <row r="1764" spans="1:15" hidden="1" x14ac:dyDescent="0.25">
      <c r="A1764" s="11">
        <v>46056</v>
      </c>
      <c r="B1764" t="s">
        <v>55</v>
      </c>
      <c r="C1764" t="s">
        <v>48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>E1764+G1764+H1764</f>
        <v>30</v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>25</v>
      </c>
      <c r="K1764" s="3">
        <f>I1764-J1764</f>
        <v>5</v>
      </c>
      <c r="L1764" s="3" t="str">
        <f>IF(K1764&lt;-5,"CRÍTICO",IF(K1764&lt;0,"ATENÇÃO",IF(K1764&lt;=5,"BOM","EXCELENTE")))</f>
        <v>BOM</v>
      </c>
      <c r="M1764">
        <v>29</v>
      </c>
      <c r="N1764">
        <v>99.07</v>
      </c>
      <c r="O1764">
        <v>26.376811594202898</v>
      </c>
    </row>
    <row r="1765" spans="1:15" hidden="1" x14ac:dyDescent="0.25">
      <c r="A1765" s="11">
        <v>46056</v>
      </c>
      <c r="B1765" t="s">
        <v>39</v>
      </c>
      <c r="C1765" t="s">
        <v>32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v>0</v>
      </c>
      <c r="J1765" s="3">
        <v>0</v>
      </c>
      <c r="K1765" s="3">
        <v>0</v>
      </c>
      <c r="L1765" s="3" t="str">
        <f>IF(K1765&lt;-5,"CRÍTICO",IF(K1765&lt;0,"ATENÇÃO",IF(K1765&lt;=5,"BOM","EXCELENTE")))</f>
        <v>BOM</v>
      </c>
      <c r="M1765">
        <v>0</v>
      </c>
      <c r="N1765">
        <v>100</v>
      </c>
      <c r="O1765">
        <v>0</v>
      </c>
    </row>
    <row r="1766" spans="1:15" hidden="1" x14ac:dyDescent="0.25">
      <c r="A1766" s="11">
        <v>46056</v>
      </c>
      <c r="B1766" t="s">
        <v>25</v>
      </c>
      <c r="C1766" t="s">
        <v>26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>E1766+G1766+H1766</f>
        <v>13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18</v>
      </c>
      <c r="K1766" s="3">
        <f>I1766-J1766</f>
        <v>-5</v>
      </c>
      <c r="L1766" s="3" t="str">
        <f>IF(K1766&lt;-5,"CRÍTICO",IF(K1766&lt;0,"ATENÇÃO",IF(K1766&lt;=5,"BOM","EXCELENTE")))</f>
        <v>ATENÇÃO</v>
      </c>
      <c r="M1766">
        <v>16</v>
      </c>
      <c r="N1766">
        <v>98.48</v>
      </c>
      <c r="O1766">
        <v>27.853881278538811</v>
      </c>
    </row>
    <row r="1767" spans="1:15" hidden="1" x14ac:dyDescent="0.25">
      <c r="A1767" s="11">
        <v>46056</v>
      </c>
      <c r="B1767" t="s">
        <v>40</v>
      </c>
      <c r="C1767" t="s">
        <v>32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>E1767+G1767+H1767</f>
        <v>12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32</v>
      </c>
      <c r="K1767" s="3">
        <f>I1767-J1767</f>
        <v>-20</v>
      </c>
      <c r="L1767" s="3" t="str">
        <f>IF(K1767&lt;-5,"CRÍTICO",IF(K1767&lt;0,"ATENÇÃO",IF(K1767&lt;=5,"BOM","EXCELENTE")))</f>
        <v>CRÍTICO</v>
      </c>
      <c r="M1767">
        <v>11</v>
      </c>
      <c r="N1767">
        <v>95.15</v>
      </c>
      <c r="O1767">
        <v>34.131736526946113</v>
      </c>
    </row>
    <row r="1768" spans="1:15" hidden="1" x14ac:dyDescent="0.25">
      <c r="A1768" s="11">
        <v>46056</v>
      </c>
      <c r="B1768" t="s">
        <v>27</v>
      </c>
      <c r="C1768" t="s">
        <v>26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v>0</v>
      </c>
      <c r="J1768" s="3">
        <v>0</v>
      </c>
      <c r="K1768" s="3">
        <v>0</v>
      </c>
      <c r="L1768" s="3" t="str">
        <f>IF(K1768&lt;-5,"CRÍTICO",IF(K1768&lt;0,"ATENÇÃO",IF(K1768&lt;=5,"BOM","EXCELENTE")))</f>
        <v>BOM</v>
      </c>
      <c r="M1768">
        <v>0</v>
      </c>
      <c r="N1768">
        <v>0</v>
      </c>
      <c r="O1768">
        <v>0</v>
      </c>
    </row>
    <row r="1769" spans="1:15" hidden="1" x14ac:dyDescent="0.25">
      <c r="A1769" s="11">
        <v>46056</v>
      </c>
      <c r="B1769" t="s">
        <v>41</v>
      </c>
      <c r="C1769" t="s">
        <v>32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>E1769+G1769+H1769</f>
        <v>25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32</v>
      </c>
      <c r="K1769" s="3">
        <f>I1769-J1769</f>
        <v>-7</v>
      </c>
      <c r="L1769" s="3" t="str">
        <f>IF(K1769&lt;-5,"CRÍTICO",IF(K1769&lt;0,"ATENÇÃO",IF(K1769&lt;=5,"BOM","EXCELENTE")))</f>
        <v>CRÍTICO</v>
      </c>
      <c r="M1769">
        <v>24</v>
      </c>
      <c r="N1769">
        <v>99.26</v>
      </c>
      <c r="O1769">
        <v>30.84832904884319</v>
      </c>
    </row>
    <row r="1770" spans="1:15" hidden="1" x14ac:dyDescent="0.25">
      <c r="A1770" s="11">
        <v>46056</v>
      </c>
      <c r="B1770" t="s">
        <v>56</v>
      </c>
      <c r="C1770" t="s">
        <v>48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>E1770+G1770+H1770</f>
        <v>37</v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>25</v>
      </c>
      <c r="K1770" s="3">
        <f>I1770-J1770</f>
        <v>12</v>
      </c>
      <c r="L1770" s="3" t="str">
        <f>IF(K1770&lt;-5,"CRÍTICO",IF(K1770&lt;0,"ATENÇÃO",IF(K1770&lt;=5,"BOM","EXCELENTE")))</f>
        <v>EXCELENTE</v>
      </c>
      <c r="M1770">
        <v>26</v>
      </c>
      <c r="N1770">
        <v>97.48</v>
      </c>
      <c r="O1770">
        <v>27.764705882352938</v>
      </c>
    </row>
    <row r="1771" spans="1:15" hidden="1" x14ac:dyDescent="0.25">
      <c r="A1771" s="11">
        <v>46056</v>
      </c>
      <c r="B1771" t="s">
        <v>57</v>
      </c>
      <c r="C1771" t="s">
        <v>48</v>
      </c>
      <c r="D1771">
        <v>33</v>
      </c>
      <c r="E1771">
        <v>32</v>
      </c>
      <c r="F1771">
        <v>19.14</v>
      </c>
      <c r="G1771">
        <v>0</v>
      </c>
      <c r="H1771">
        <v>0</v>
      </c>
      <c r="I1771" s="3">
        <v>0</v>
      </c>
      <c r="J1771" s="3">
        <v>0</v>
      </c>
      <c r="K1771" s="3">
        <v>0</v>
      </c>
      <c r="L1771" s="3" t="str">
        <f>IF(K1771&lt;-5,"CRÍTICO",IF(K1771&lt;0,"ATENÇÃO",IF(K1771&lt;=5,"BOM","EXCELENTE")))</f>
        <v>BOM</v>
      </c>
      <c r="M1771">
        <v>33</v>
      </c>
      <c r="N1771">
        <v>99.34</v>
      </c>
      <c r="O1771">
        <v>30.04291845493562</v>
      </c>
    </row>
    <row r="1772" spans="1:15" hidden="1" x14ac:dyDescent="0.25">
      <c r="A1772" s="11">
        <v>46056</v>
      </c>
      <c r="B1772" t="s">
        <v>42</v>
      </c>
      <c r="C1772" t="s">
        <v>32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>E1772+G1772+H1772</f>
        <v>8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32</v>
      </c>
      <c r="K1772" s="3">
        <f>I1772-J1772</f>
        <v>-24</v>
      </c>
      <c r="L1772" s="3" t="str">
        <f>IF(K1772&lt;-5,"CRÍTICO",IF(K1772&lt;0,"ATENÇÃO",IF(K1772&lt;=5,"BOM","EXCELENTE")))</f>
        <v>CRÍTICO</v>
      </c>
      <c r="M1772">
        <v>8</v>
      </c>
      <c r="N1772">
        <v>96.3</v>
      </c>
      <c r="O1772">
        <v>24.29378531073446</v>
      </c>
    </row>
    <row r="1773" spans="1:15" hidden="1" x14ac:dyDescent="0.25">
      <c r="A1773" s="11">
        <v>46056</v>
      </c>
      <c r="B1773" t="s">
        <v>62</v>
      </c>
      <c r="C1773" t="s">
        <v>23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>E1773+G1773+H1773</f>
        <v>24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21</v>
      </c>
      <c r="K1773" s="3">
        <f>I1773-J1773</f>
        <v>3</v>
      </c>
      <c r="L1773" s="3" t="str">
        <f>IF(K1773&lt;-5,"CRÍTICO",IF(K1773&lt;0,"ATENÇÃO",IF(K1773&lt;=5,"BOM","EXCELENTE")))</f>
        <v>BOM</v>
      </c>
      <c r="M1773">
        <v>24</v>
      </c>
      <c r="N1773">
        <v>100</v>
      </c>
      <c r="O1773">
        <v>26.543209876543209</v>
      </c>
    </row>
    <row r="1774" spans="1:15" hidden="1" x14ac:dyDescent="0.25">
      <c r="A1774" s="11">
        <v>46056</v>
      </c>
      <c r="B1774" t="s">
        <v>19</v>
      </c>
      <c r="C1774" t="s">
        <v>16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>E1774+G1774+H1774</f>
        <v>4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9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>
        <v>5</v>
      </c>
      <c r="N1774">
        <v>100</v>
      </c>
      <c r="O1774">
        <v>35.483870967741943</v>
      </c>
    </row>
    <row r="1775" spans="1:15" hidden="1" x14ac:dyDescent="0.25">
      <c r="A1775" s="11">
        <v>46056</v>
      </c>
      <c r="B1775" t="s">
        <v>43</v>
      </c>
      <c r="C1775" t="s">
        <v>32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>E1775+G1775+H1775</f>
        <v>27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-5</v>
      </c>
      <c r="L1775" s="3" t="str">
        <f>IF(K1775&lt;-5,"CRÍTICO",IF(K1775&lt;0,"ATENÇÃO",IF(K1775&lt;=5,"BOM","EXCELENTE")))</f>
        <v>ATENÇÃO</v>
      </c>
      <c r="M1775">
        <v>24</v>
      </c>
      <c r="N1775">
        <v>99.27</v>
      </c>
      <c r="O1775">
        <v>31.163708086785011</v>
      </c>
    </row>
    <row r="1776" spans="1:15" hidden="1" x14ac:dyDescent="0.25">
      <c r="A1776" s="11">
        <v>46056</v>
      </c>
      <c r="B1776" t="s">
        <v>44</v>
      </c>
      <c r="C1776" t="s">
        <v>32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>E1776+G1776+H1776</f>
        <v>44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32</v>
      </c>
      <c r="K1776" s="3">
        <f>I1776-J1776</f>
        <v>12</v>
      </c>
      <c r="L1776" s="3" t="str">
        <f>IF(K1776&lt;-5,"CRÍTICO",IF(K1776&lt;0,"ATENÇÃO",IF(K1776&lt;=5,"BOM","EXCELENTE")))</f>
        <v>EXCELENTE</v>
      </c>
      <c r="M1776">
        <v>38</v>
      </c>
      <c r="N1776">
        <v>94.16</v>
      </c>
      <c r="O1776">
        <v>27.038626609442058</v>
      </c>
    </row>
    <row r="1777" spans="1:15" hidden="1" x14ac:dyDescent="0.25">
      <c r="A1777" s="11">
        <v>46056</v>
      </c>
      <c r="B1777" t="s">
        <v>20</v>
      </c>
      <c r="C1777" t="s">
        <v>16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>E1777+G1777+H1777</f>
        <v>11</v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>9</v>
      </c>
      <c r="K1777" s="3">
        <f>I1777-J1777</f>
        <v>2</v>
      </c>
      <c r="L1777" s="3" t="str">
        <f>IF(K1777&lt;-5,"CRÍTICO",IF(K1777&lt;0,"ATENÇÃO",IF(K1777&lt;=5,"BOM","EXCELENTE")))</f>
        <v>BOM</v>
      </c>
      <c r="M1777">
        <v>5</v>
      </c>
      <c r="N1777">
        <v>93.75</v>
      </c>
      <c r="O1777">
        <v>19.31818181818182</v>
      </c>
    </row>
    <row r="1778" spans="1:15" hidden="1" x14ac:dyDescent="0.25">
      <c r="A1778" s="11">
        <v>46056</v>
      </c>
      <c r="B1778" t="s">
        <v>28</v>
      </c>
      <c r="C1778" t="s">
        <v>26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v>0</v>
      </c>
      <c r="J1778" s="3">
        <v>0</v>
      </c>
      <c r="K1778" s="3">
        <v>0</v>
      </c>
      <c r="L1778" s="3" t="str">
        <f>IF(K1778&lt;-5,"CRÍTICO",IF(K1778&lt;0,"ATENÇÃO",IF(K1778&lt;=5,"BOM","EXCELENTE")))</f>
        <v>BOM</v>
      </c>
      <c r="M1778">
        <v>0</v>
      </c>
      <c r="N1778">
        <v>0</v>
      </c>
      <c r="O1778">
        <v>0</v>
      </c>
    </row>
    <row r="1779" spans="1:15" hidden="1" x14ac:dyDescent="0.25">
      <c r="A1779" s="11">
        <v>46056</v>
      </c>
      <c r="B1779" t="s">
        <v>58</v>
      </c>
      <c r="C1779" t="s">
        <v>48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>E1779+G1779+H1779</f>
        <v>32</v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>25</v>
      </c>
      <c r="K1779" s="3">
        <f>I1779-J1779</f>
        <v>7</v>
      </c>
      <c r="L1779" s="3" t="str">
        <f>IF(K1779&lt;-5,"CRÍTICO",IF(K1779&lt;0,"ATENÇÃO",IF(K1779&lt;=5,"BOM","EXCELENTE")))</f>
        <v>EXCELENTE</v>
      </c>
      <c r="M1779">
        <v>26</v>
      </c>
      <c r="N1779">
        <v>97.92</v>
      </c>
      <c r="O1779">
        <v>32.87671232876712</v>
      </c>
    </row>
    <row r="1780" spans="1:15" hidden="1" x14ac:dyDescent="0.25">
      <c r="A1780" s="11">
        <v>46056</v>
      </c>
      <c r="B1780" t="s">
        <v>29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30</v>
      </c>
      <c r="C1781" t="s">
        <v>26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21</v>
      </c>
      <c r="C1782" t="s">
        <v>16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v>0</v>
      </c>
      <c r="J1782" s="3">
        <v>0</v>
      </c>
      <c r="K1782" s="3">
        <v>0</v>
      </c>
      <c r="L1782" s="3" t="str">
        <f>IF(K1782&lt;-5,"CRÍTICO",IF(K1782&lt;0,"ATENÇÃO",IF(K1782&lt;=5,"BOM","EXCELENTE")))</f>
        <v>BOM</v>
      </c>
      <c r="M1782">
        <v>0</v>
      </c>
      <c r="N1782">
        <v>0</v>
      </c>
      <c r="O1782">
        <v>0</v>
      </c>
    </row>
    <row r="1783" spans="1:15" hidden="1" x14ac:dyDescent="0.25">
      <c r="A1783" s="11">
        <v>46056</v>
      </c>
      <c r="B1783" t="s">
        <v>63</v>
      </c>
      <c r="C1783" t="s">
        <v>23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>E1783+G1783+H1783</f>
        <v>17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21</v>
      </c>
      <c r="K1783" s="3">
        <f>I1783-J1783</f>
        <v>-4</v>
      </c>
      <c r="L1783" s="3" t="str">
        <f>IF(K1783&lt;-5,"CRÍTICO",IF(K1783&lt;0,"ATENÇÃO",IF(K1783&lt;=5,"BOM","EXCELENTE")))</f>
        <v>ATENÇÃO</v>
      </c>
      <c r="M1783">
        <v>17</v>
      </c>
      <c r="N1783">
        <v>98.51</v>
      </c>
      <c r="O1783">
        <v>29.710144927536231</v>
      </c>
    </row>
    <row r="1784" spans="1:15" hidden="1" x14ac:dyDescent="0.25">
      <c r="A1784" s="11">
        <v>46056</v>
      </c>
      <c r="B1784" t="s">
        <v>45</v>
      </c>
      <c r="C1784" t="s">
        <v>32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>E1784+G1784+H1784</f>
        <v>33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32</v>
      </c>
      <c r="K1784" s="3">
        <f>I1784-J1784</f>
        <v>1</v>
      </c>
      <c r="L1784" s="3" t="str">
        <f>IF(K1784&lt;-5,"CRÍTICO",IF(K1784&lt;0,"ATENÇÃO",IF(K1784&lt;=5,"BOM","EXCELENTE")))</f>
        <v>BOM</v>
      </c>
      <c r="M1784">
        <v>32</v>
      </c>
      <c r="N1784">
        <v>98.81</v>
      </c>
      <c r="O1784">
        <v>30.712979890310791</v>
      </c>
    </row>
    <row r="1785" spans="1:15" hidden="1" x14ac:dyDescent="0.25">
      <c r="A1785" s="11">
        <v>46056</v>
      </c>
      <c r="B1785" t="s">
        <v>64</v>
      </c>
      <c r="C1785" t="s">
        <v>23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>E1785+G1785+H1785</f>
        <v>12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21</v>
      </c>
      <c r="K1785" s="3">
        <f>I1785-J1785</f>
        <v>-9</v>
      </c>
      <c r="L1785" s="3" t="str">
        <f>IF(K1785&lt;-5,"CRÍTICO",IF(K1785&lt;0,"ATENÇÃO",IF(K1785&lt;=5,"BOM","EXCELENTE")))</f>
        <v>CRÍTICO</v>
      </c>
      <c r="M1785">
        <v>12</v>
      </c>
      <c r="N1785">
        <v>98.48</v>
      </c>
      <c r="O1785">
        <v>29.35323383084577</v>
      </c>
    </row>
    <row r="1786" spans="1:15" hidden="1" x14ac:dyDescent="0.25">
      <c r="A1786" s="11">
        <v>46056</v>
      </c>
      <c r="B1786" t="s">
        <v>46</v>
      </c>
      <c r="C1786" t="s">
        <v>32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>E1786+G1786+H1786</f>
        <v>34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32</v>
      </c>
      <c r="K1786" s="3">
        <f>I1786-J1786</f>
        <v>2</v>
      </c>
      <c r="L1786" s="3" t="str">
        <f>IF(K1786&lt;-5,"CRÍTICO",IF(K1786&lt;0,"ATENÇÃO",IF(K1786&lt;=5,"BOM","EXCELENTE")))</f>
        <v>BOM</v>
      </c>
      <c r="M1786">
        <v>32</v>
      </c>
      <c r="N1786">
        <v>98.56</v>
      </c>
      <c r="O1786">
        <v>29.373650107991359</v>
      </c>
    </row>
    <row r="1787" spans="1:15" hidden="1" x14ac:dyDescent="0.25">
      <c r="A1787" s="11">
        <v>46057</v>
      </c>
      <c r="B1787" t="s">
        <v>47</v>
      </c>
      <c r="C1787" t="s">
        <v>48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>E1787+G1787+H1787</f>
        <v>26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26</v>
      </c>
      <c r="K1787" s="3">
        <f>I1787-J1787</f>
        <v>0</v>
      </c>
      <c r="L1787" s="3" t="str">
        <f>IF(K1787&lt;-5,"CRÍTICO",IF(K1787&lt;0,"ATENÇÃO",IF(K1787&lt;=5,"BOM","EXCELENTE")))</f>
        <v>BOM</v>
      </c>
      <c r="M1787">
        <v>24</v>
      </c>
      <c r="N1787">
        <v>98.32</v>
      </c>
      <c r="O1787">
        <v>30.303030303030301</v>
      </c>
    </row>
    <row r="1788" spans="1:15" hidden="1" x14ac:dyDescent="0.25">
      <c r="A1788" s="11">
        <v>46057</v>
      </c>
      <c r="B1788" t="s">
        <v>31</v>
      </c>
      <c r="C1788" t="s">
        <v>32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v>0</v>
      </c>
      <c r="J1788" s="3">
        <v>0</v>
      </c>
      <c r="K1788" s="3">
        <v>0</v>
      </c>
      <c r="L1788" s="3" t="str">
        <f>IF(K1788&lt;-5,"CRÍTICO",IF(K1788&lt;0,"ATENÇÃO",IF(K1788&lt;=5,"BOM","EXCELENTE")))</f>
        <v>BOM</v>
      </c>
      <c r="M1788">
        <v>28</v>
      </c>
      <c r="N1788">
        <v>98.68</v>
      </c>
      <c r="O1788">
        <v>26.219512195121951</v>
      </c>
    </row>
    <row r="1789" spans="1:15" hidden="1" x14ac:dyDescent="0.25">
      <c r="A1789" s="11">
        <v>46057</v>
      </c>
      <c r="B1789" t="s">
        <v>59</v>
      </c>
      <c r="C1789" t="s">
        <v>23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>E1789+G1789+H1789</f>
        <v>24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21</v>
      </c>
      <c r="K1789" s="3">
        <f>I1789-J1789</f>
        <v>3</v>
      </c>
      <c r="L1789" s="3" t="str">
        <f>IF(K1789&lt;-5,"CRÍTICO",IF(K1789&lt;0,"ATENÇÃO",IF(K1789&lt;=5,"BOM","EXCELENTE")))</f>
        <v>BOM</v>
      </c>
      <c r="M1789">
        <v>25</v>
      </c>
      <c r="N1789">
        <v>100</v>
      </c>
      <c r="O1789">
        <v>31.74224343675418</v>
      </c>
    </row>
    <row r="1790" spans="1:15" hidden="1" x14ac:dyDescent="0.25">
      <c r="A1790" s="11">
        <v>46057</v>
      </c>
      <c r="B1790" t="s">
        <v>33</v>
      </c>
      <c r="C1790" t="s">
        <v>32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>E1790+G1790+H1790</f>
        <v>38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32</v>
      </c>
      <c r="K1790" s="3">
        <f>I1790-J1790</f>
        <v>6</v>
      </c>
      <c r="L1790" s="3" t="str">
        <f>IF(K1790&lt;-5,"CRÍTICO",IF(K1790&lt;0,"ATENÇÃO",IF(K1790&lt;=5,"BOM","EXCELENTE")))</f>
        <v>EXCELENTE</v>
      </c>
      <c r="M1790">
        <v>32</v>
      </c>
      <c r="N1790">
        <v>98.25</v>
      </c>
      <c r="O1790">
        <v>25.83518930957684</v>
      </c>
    </row>
    <row r="1791" spans="1:15" hidden="1" x14ac:dyDescent="0.25">
      <c r="A1791" s="11">
        <v>46057</v>
      </c>
      <c r="B1791" t="s">
        <v>15</v>
      </c>
      <c r="C1791" t="s">
        <v>16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>E1791+G1791+H1791</f>
        <v>8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9</v>
      </c>
      <c r="K1791" s="3">
        <f>I1791-J1791</f>
        <v>-1</v>
      </c>
      <c r="L1791" s="3" t="str">
        <f>IF(K1791&lt;-5,"CRÍTICO",IF(K1791&lt;0,"ATENÇÃO",IF(K1791&lt;=5,"BOM","EXCELENTE")))</f>
        <v>ATENÇÃO</v>
      </c>
      <c r="M1791">
        <v>8</v>
      </c>
      <c r="N1791">
        <v>97.5</v>
      </c>
      <c r="O1791">
        <v>30.075187969924809</v>
      </c>
    </row>
    <row r="1792" spans="1:15" hidden="1" x14ac:dyDescent="0.25">
      <c r="A1792" s="11">
        <v>46057</v>
      </c>
      <c r="B1792" t="s">
        <v>49</v>
      </c>
      <c r="C1792" t="s">
        <v>48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>E1792+G1792+H1792</f>
        <v>34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8</v>
      </c>
      <c r="L1792" s="3" t="str">
        <f>IF(K1792&lt;-5,"CRÍTICO",IF(K1792&lt;0,"ATENÇÃO",IF(K1792&lt;=5,"BOM","EXCELENTE")))</f>
        <v>EXCELENTE</v>
      </c>
      <c r="M1792">
        <v>32</v>
      </c>
      <c r="N1792">
        <v>100</v>
      </c>
      <c r="O1792">
        <v>29.71311475409836</v>
      </c>
    </row>
    <row r="1793" spans="1:15" hidden="1" x14ac:dyDescent="0.25">
      <c r="A1793" s="11">
        <v>46057</v>
      </c>
      <c r="B1793" t="s">
        <v>50</v>
      </c>
      <c r="C1793" t="s">
        <v>48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>E1793+G1793+H1793</f>
        <v>31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26</v>
      </c>
      <c r="K1793" s="3">
        <f>I1793-J1793</f>
        <v>5</v>
      </c>
      <c r="L1793" s="3" t="str">
        <f>IF(K1793&lt;-5,"CRÍTICO",IF(K1793&lt;0,"ATENÇÃO",IF(K1793&lt;=5,"BOM","EXCELENTE")))</f>
        <v>BOM</v>
      </c>
      <c r="M1793">
        <v>31</v>
      </c>
      <c r="N1793">
        <v>99.22</v>
      </c>
      <c r="O1793">
        <v>35.256410256410263</v>
      </c>
    </row>
    <row r="1794" spans="1:15" hidden="1" x14ac:dyDescent="0.25">
      <c r="A1794" s="11">
        <v>46057</v>
      </c>
      <c r="B1794" t="s">
        <v>17</v>
      </c>
      <c r="C1794" t="s">
        <v>16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v>0</v>
      </c>
      <c r="J1794" s="3">
        <v>0</v>
      </c>
      <c r="K1794" s="3">
        <v>0</v>
      </c>
      <c r="L1794" s="3" t="str">
        <f>IF(K1794&lt;-5,"CRÍTICO",IF(K1794&lt;0,"ATENÇÃO",IF(K1794&lt;=5,"BOM","EXCELENTE")))</f>
        <v>BOM</v>
      </c>
      <c r="M1794">
        <v>0</v>
      </c>
      <c r="N1794">
        <v>0</v>
      </c>
      <c r="O1794">
        <v>0</v>
      </c>
    </row>
    <row r="1795" spans="1:15" hidden="1" x14ac:dyDescent="0.25">
      <c r="A1795" s="11">
        <v>46057</v>
      </c>
      <c r="B1795" t="s">
        <v>60</v>
      </c>
      <c r="C1795" t="s">
        <v>23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>E1795+G1795+H1795</f>
        <v>16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21</v>
      </c>
      <c r="K1795" s="3">
        <f>I1795-J1795</f>
        <v>-5</v>
      </c>
      <c r="L1795" s="3" t="str">
        <f>IF(K1795&lt;-5,"CRÍTICO",IF(K1795&lt;0,"ATENÇÃO",IF(K1795&lt;=5,"BOM","EXCELENTE")))</f>
        <v>ATENÇÃO</v>
      </c>
      <c r="M1795">
        <v>16</v>
      </c>
      <c r="N1795">
        <v>98.75</v>
      </c>
      <c r="O1795">
        <v>24.32432432432433</v>
      </c>
    </row>
    <row r="1796" spans="1:15" hidden="1" x14ac:dyDescent="0.25">
      <c r="A1796" s="11">
        <v>46057</v>
      </c>
      <c r="B1796" t="s">
        <v>34</v>
      </c>
      <c r="C1796" t="s">
        <v>32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>E1796+G1796+H1796</f>
        <v>48</v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>32</v>
      </c>
      <c r="K1796" s="3">
        <f>I1796-J1796</f>
        <v>16</v>
      </c>
      <c r="L1796" s="3" t="str">
        <f>IF(K1796&lt;-5,"CRÍTICO",IF(K1796&lt;0,"ATENÇÃO",IF(K1796&lt;=5,"BOM","EXCELENTE")))</f>
        <v>EXCELENTE</v>
      </c>
      <c r="M1796">
        <v>43</v>
      </c>
      <c r="N1796">
        <v>93.48</v>
      </c>
      <c r="O1796">
        <v>31.52804642166344</v>
      </c>
    </row>
    <row r="1797" spans="1:15" hidden="1" x14ac:dyDescent="0.25">
      <c r="A1797" s="11">
        <v>46057</v>
      </c>
      <c r="B1797" t="s">
        <v>51</v>
      </c>
      <c r="C1797" t="s">
        <v>48</v>
      </c>
      <c r="D1797">
        <v>46</v>
      </c>
      <c r="E1797">
        <v>41</v>
      </c>
      <c r="F1797">
        <v>15.37</v>
      </c>
      <c r="G1797">
        <v>0</v>
      </c>
      <c r="H1797">
        <v>0</v>
      </c>
      <c r="I1797" s="3">
        <v>0</v>
      </c>
      <c r="J1797" s="3">
        <v>0</v>
      </c>
      <c r="K1797" s="3">
        <v>0</v>
      </c>
      <c r="L1797" s="3" t="str">
        <f>IF(K1797&lt;-5,"CRÍTICO",IF(K1797&lt;0,"ATENÇÃO",IF(K1797&lt;=5,"BOM","EXCELENTE")))</f>
        <v>BOM</v>
      </c>
      <c r="M1797">
        <v>38</v>
      </c>
      <c r="N1797">
        <v>99.16</v>
      </c>
      <c r="O1797">
        <v>26.13908872901678</v>
      </c>
    </row>
    <row r="1798" spans="1:15" hidden="1" x14ac:dyDescent="0.25">
      <c r="A1798" s="11">
        <v>46057</v>
      </c>
      <c r="B1798" t="s">
        <v>61</v>
      </c>
      <c r="C1798" t="s">
        <v>23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>E1798+G1798+H1798</f>
        <v>12</v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>21</v>
      </c>
      <c r="K1798" s="3">
        <f>I1798-J1798</f>
        <v>-9</v>
      </c>
      <c r="L1798" s="3" t="str">
        <f>IF(K1798&lt;-5,"CRÍTICO",IF(K1798&lt;0,"ATENÇÃO",IF(K1798&lt;=5,"BOM","EXCELENTE")))</f>
        <v>CRÍTICO</v>
      </c>
      <c r="M1798">
        <v>18</v>
      </c>
      <c r="N1798">
        <v>100</v>
      </c>
      <c r="O1798">
        <v>31.089743589743591</v>
      </c>
    </row>
    <row r="1799" spans="1:15" hidden="1" x14ac:dyDescent="0.25">
      <c r="A1799" s="11">
        <v>46057</v>
      </c>
      <c r="B1799" t="s">
        <v>35</v>
      </c>
      <c r="C1799" t="s">
        <v>32</v>
      </c>
      <c r="D1799">
        <v>34</v>
      </c>
      <c r="E1799">
        <v>33</v>
      </c>
      <c r="F1799">
        <v>20.39</v>
      </c>
      <c r="G1799">
        <v>0</v>
      </c>
      <c r="H1799">
        <v>0</v>
      </c>
      <c r="I1799" s="3">
        <v>0</v>
      </c>
      <c r="J1799" s="3">
        <v>0</v>
      </c>
      <c r="K1799" s="3">
        <v>0</v>
      </c>
      <c r="L1799" s="3" t="str">
        <f>IF(K1799&lt;-5,"CRÍTICO",IF(K1799&lt;0,"ATENÇÃO",IF(K1799&lt;=5,"BOM","EXCELENTE")))</f>
        <v>BOM</v>
      </c>
      <c r="M1799">
        <v>33</v>
      </c>
      <c r="N1799">
        <v>98.11</v>
      </c>
      <c r="O1799">
        <v>33.033707865168537</v>
      </c>
    </row>
    <row r="1800" spans="1:15" hidden="1" x14ac:dyDescent="0.25">
      <c r="A1800" s="11">
        <v>46057</v>
      </c>
      <c r="B1800" t="s">
        <v>18</v>
      </c>
      <c r="C1800" t="s">
        <v>16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>E1800+G1800+H1800</f>
        <v>5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9</v>
      </c>
      <c r="K1800" s="3">
        <f>I1800-J1800</f>
        <v>-4</v>
      </c>
      <c r="L1800" s="3" t="str">
        <f>IF(K1800&lt;-5,"CRÍTICO",IF(K1800&lt;0,"ATENÇÃO",IF(K1800&lt;=5,"BOM","EXCELENTE")))</f>
        <v>ATENÇÃO</v>
      </c>
      <c r="M1800">
        <v>3</v>
      </c>
      <c r="N1800">
        <v>78.95</v>
      </c>
      <c r="O1800">
        <v>38.983050847457633</v>
      </c>
    </row>
    <row r="1801" spans="1:15" hidden="1" x14ac:dyDescent="0.25">
      <c r="A1801" s="11">
        <v>46057</v>
      </c>
      <c r="B1801" t="s">
        <v>52</v>
      </c>
      <c r="C1801" t="s">
        <v>48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>E1801+G1801+H1801</f>
        <v>23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26</v>
      </c>
      <c r="K1801" s="3">
        <f>I1801-J1801</f>
        <v>-3</v>
      </c>
      <c r="L1801" s="3" t="str">
        <f>IF(K1801&lt;-5,"CRÍTICO",IF(K1801&lt;0,"ATENÇÃO",IF(K1801&lt;=5,"BOM","EXCELENTE")))</f>
        <v>ATENÇÃO</v>
      </c>
      <c r="M1801">
        <v>20</v>
      </c>
      <c r="N1801">
        <v>98.45</v>
      </c>
      <c r="O1801">
        <v>29.281767955801101</v>
      </c>
    </row>
    <row r="1802" spans="1:15" hidden="1" x14ac:dyDescent="0.25">
      <c r="A1802" s="11">
        <v>46057</v>
      </c>
      <c r="B1802" t="s">
        <v>36</v>
      </c>
      <c r="C1802" t="s">
        <v>32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>E1802+G1802+H1802</f>
        <v>27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32</v>
      </c>
      <c r="K1802" s="3">
        <f>I1802-J1802</f>
        <v>-5</v>
      </c>
      <c r="L1802" s="3" t="str">
        <f>IF(K1802&lt;-5,"CRÍTICO",IF(K1802&lt;0,"ATENÇÃO",IF(K1802&lt;=5,"BOM","EXCELENTE")))</f>
        <v>ATENÇÃO</v>
      </c>
      <c r="M1802">
        <v>27</v>
      </c>
      <c r="N1802">
        <v>97.84</v>
      </c>
      <c r="O1802">
        <v>26.282051282051281</v>
      </c>
    </row>
    <row r="1803" spans="1:15" hidden="1" x14ac:dyDescent="0.25">
      <c r="A1803" s="11">
        <v>46057</v>
      </c>
      <c r="B1803" t="s">
        <v>53</v>
      </c>
      <c r="C1803" t="s">
        <v>48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>E1803+G1803+H1803</f>
        <v>48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26</v>
      </c>
      <c r="K1803" s="3">
        <f>I1803-J1803</f>
        <v>22</v>
      </c>
      <c r="L1803" s="3" t="str">
        <f>IF(K1803&lt;-5,"CRÍTICO",IF(K1803&lt;0,"ATENÇÃO",IF(K1803&lt;=5,"BOM","EXCELENTE")))</f>
        <v>EXCELENTE</v>
      </c>
      <c r="M1803">
        <v>47</v>
      </c>
      <c r="N1803">
        <v>98.5</v>
      </c>
      <c r="O1803">
        <v>23.97769516728625</v>
      </c>
    </row>
    <row r="1804" spans="1:15" hidden="1" x14ac:dyDescent="0.25">
      <c r="A1804" s="11">
        <v>46091</v>
      </c>
      <c r="B1804" t="s">
        <v>22</v>
      </c>
      <c r="C1804" t="s">
        <v>23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>E1804+G1804+H1804</f>
        <v>11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14</v>
      </c>
      <c r="K1804" s="3">
        <f>I1804-J1804</f>
        <v>-3</v>
      </c>
      <c r="L1804" s="3" t="str">
        <f>IF(K1804&lt;-5,"CRÍTICO",IF(K1804&lt;0,"ATENÇÃO",IF(K1804&lt;=5,"BOM","EXCELENTE")))</f>
        <v>ATENÇÃO</v>
      </c>
      <c r="M1804">
        <v>15</v>
      </c>
      <c r="N1804">
        <v>99.05</v>
      </c>
      <c r="O1804">
        <v>26.621923937360179</v>
      </c>
    </row>
    <row r="1805" spans="1:15" hidden="1" x14ac:dyDescent="0.25">
      <c r="A1805" s="11">
        <v>46057</v>
      </c>
      <c r="B1805" t="s">
        <v>54</v>
      </c>
      <c r="C1805" t="s">
        <v>48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>E1805+G1805+H1805</f>
        <v>32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26</v>
      </c>
      <c r="K1805" s="3">
        <f>I1805-J1805</f>
        <v>6</v>
      </c>
      <c r="L1805" s="3" t="str">
        <f>IF(K1805&lt;-5,"CRÍTICO",IF(K1805&lt;0,"ATENÇÃO",IF(K1805&lt;=5,"BOM","EXCELENTE")))</f>
        <v>EXCELENTE</v>
      </c>
      <c r="M1805">
        <v>30</v>
      </c>
      <c r="N1805">
        <v>98.53</v>
      </c>
      <c r="O1805">
        <v>31.578947368421051</v>
      </c>
    </row>
    <row r="1806" spans="1:15" hidden="1" x14ac:dyDescent="0.25">
      <c r="A1806" s="11">
        <v>46057</v>
      </c>
      <c r="B1806" t="s">
        <v>37</v>
      </c>
      <c r="C1806" t="s">
        <v>32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>E1806+G1806+H1806</f>
        <v>53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21</v>
      </c>
      <c r="L1806" s="3" t="str">
        <f>IF(K1806&lt;-5,"CRÍTICO",IF(K1806&lt;0,"ATENÇÃO",IF(K1806&lt;=5,"BOM","EXCELENTE")))</f>
        <v>EXCELENTE</v>
      </c>
      <c r="M1806">
        <v>55</v>
      </c>
      <c r="N1806">
        <v>100</v>
      </c>
      <c r="O1806">
        <v>25.72214580467676</v>
      </c>
    </row>
    <row r="1807" spans="1:15" hidden="1" x14ac:dyDescent="0.25">
      <c r="A1807" s="11">
        <v>46057</v>
      </c>
      <c r="B1807" t="s">
        <v>38</v>
      </c>
      <c r="C1807" t="s">
        <v>32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>E1807+G1807+H1807</f>
        <v>46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32</v>
      </c>
      <c r="K1807" s="3">
        <f>I1807-J1807</f>
        <v>14</v>
      </c>
      <c r="L1807" s="3" t="str">
        <f>IF(K1807&lt;-5,"CRÍTICO",IF(K1807&lt;0,"ATENÇÃO",IF(K1807&lt;=5,"BOM","EXCELENTE")))</f>
        <v>EXCELENTE</v>
      </c>
      <c r="M1807">
        <v>41</v>
      </c>
      <c r="N1807">
        <v>94.64</v>
      </c>
      <c r="O1807">
        <v>27.52941176470588</v>
      </c>
    </row>
    <row r="1808" spans="1:15" hidden="1" x14ac:dyDescent="0.25">
      <c r="A1808" s="11">
        <v>46057</v>
      </c>
      <c r="B1808" t="s">
        <v>55</v>
      </c>
      <c r="C1808" t="s">
        <v>48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>E1808+G1808+H1808</f>
        <v>33</v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>26</v>
      </c>
      <c r="K1808" s="3">
        <f>I1808-J1808</f>
        <v>7</v>
      </c>
      <c r="L1808" s="3" t="str">
        <f>IF(K1808&lt;-5,"CRÍTICO",IF(K1808&lt;0,"ATENÇÃO",IF(K1808&lt;=5,"BOM","EXCELENTE")))</f>
        <v>EXCELENTE</v>
      </c>
      <c r="M1808">
        <v>31</v>
      </c>
      <c r="N1808">
        <v>99.07</v>
      </c>
      <c r="O1808">
        <v>26.376811594202898</v>
      </c>
    </row>
    <row r="1809" spans="1:15" hidden="1" x14ac:dyDescent="0.25">
      <c r="A1809" s="11">
        <v>46057</v>
      </c>
      <c r="B1809" t="s">
        <v>39</v>
      </c>
      <c r="C1809" t="s">
        <v>32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v>0</v>
      </c>
      <c r="J1809" s="3">
        <v>0</v>
      </c>
      <c r="K1809" s="3">
        <v>0</v>
      </c>
      <c r="L1809" s="3" t="str">
        <f>IF(K1809&lt;-5,"CRÍTICO",IF(K1809&lt;0,"ATENÇÃO",IF(K1809&lt;=5,"BOM","EXCELENTE")))</f>
        <v>BOM</v>
      </c>
      <c r="M1809">
        <v>0</v>
      </c>
      <c r="N1809">
        <v>100</v>
      </c>
      <c r="O1809">
        <v>0</v>
      </c>
    </row>
    <row r="1810" spans="1:15" hidden="1" x14ac:dyDescent="0.25">
      <c r="A1810" s="11">
        <v>46057</v>
      </c>
      <c r="B1810" t="s">
        <v>25</v>
      </c>
      <c r="C1810" t="s">
        <v>26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>E1810+G1810+H1810</f>
        <v>17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18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>
        <v>15</v>
      </c>
      <c r="N1810">
        <v>98.48</v>
      </c>
      <c r="O1810">
        <v>27.853881278538811</v>
      </c>
    </row>
    <row r="1811" spans="1:15" hidden="1" x14ac:dyDescent="0.25">
      <c r="A1811" s="11">
        <v>46057</v>
      </c>
      <c r="B1811" t="s">
        <v>40</v>
      </c>
      <c r="C1811" t="s">
        <v>32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>E1811+G1811+H1811</f>
        <v>31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32</v>
      </c>
      <c r="K1811" s="3">
        <f>I1811-J1811</f>
        <v>-1</v>
      </c>
      <c r="L1811" s="3" t="str">
        <f>IF(K1811&lt;-5,"CRÍTICO",IF(K1811&lt;0,"ATENÇÃO",IF(K1811&lt;=5,"BOM","EXCELENTE")))</f>
        <v>ATENÇÃO</v>
      </c>
      <c r="M1811">
        <v>30</v>
      </c>
      <c r="N1811">
        <v>95.15</v>
      </c>
      <c r="O1811">
        <v>34.131736526946113</v>
      </c>
    </row>
    <row r="1812" spans="1:15" hidden="1" x14ac:dyDescent="0.25">
      <c r="A1812" s="11">
        <v>46057</v>
      </c>
      <c r="B1812" t="s">
        <v>27</v>
      </c>
      <c r="C1812" t="s">
        <v>26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v>0</v>
      </c>
      <c r="J1812" s="3">
        <v>0</v>
      </c>
      <c r="K1812" s="3">
        <v>0</v>
      </c>
      <c r="L1812" s="3" t="str">
        <f>IF(K1812&lt;-5,"CRÍTICO",IF(K1812&lt;0,"ATENÇÃO",IF(K1812&lt;=5,"BOM","EXCELENTE")))</f>
        <v>BOM</v>
      </c>
      <c r="M1812">
        <v>0</v>
      </c>
      <c r="N1812">
        <v>0</v>
      </c>
      <c r="O1812">
        <v>0</v>
      </c>
    </row>
    <row r="1813" spans="1:15" hidden="1" x14ac:dyDescent="0.25">
      <c r="A1813" s="11">
        <v>46057</v>
      </c>
      <c r="B1813" t="s">
        <v>41</v>
      </c>
      <c r="C1813" t="s">
        <v>32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32</v>
      </c>
      <c r="K1813" s="3">
        <f>I1813-J1813</f>
        <v>-6</v>
      </c>
      <c r="L1813" s="3" t="str">
        <f>IF(K1813&lt;-5,"CRÍTICO",IF(K1813&lt;0,"ATENÇÃO",IF(K1813&lt;=5,"BOM","EXCELENTE")))</f>
        <v>CRÍTICO</v>
      </c>
      <c r="M1813">
        <v>25</v>
      </c>
      <c r="N1813">
        <v>99.26</v>
      </c>
      <c r="O1813">
        <v>30.84832904884319</v>
      </c>
    </row>
    <row r="1814" spans="1:15" hidden="1" x14ac:dyDescent="0.25">
      <c r="A1814" s="11">
        <v>46057</v>
      </c>
      <c r="B1814" t="s">
        <v>56</v>
      </c>
      <c r="C1814" t="s">
        <v>48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>E1814+G1814+H1814</f>
        <v>26</v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>26</v>
      </c>
      <c r="K1814" s="3">
        <f>I1814-J1814</f>
        <v>0</v>
      </c>
      <c r="L1814" s="3" t="str">
        <f>IF(K1814&lt;-5,"CRÍTICO",IF(K1814&lt;0,"ATENÇÃO",IF(K1814&lt;=5,"BOM","EXCELENTE")))</f>
        <v>BOM</v>
      </c>
      <c r="M1814">
        <v>27</v>
      </c>
      <c r="N1814">
        <v>97.48</v>
      </c>
      <c r="O1814">
        <v>27.764705882352938</v>
      </c>
    </row>
    <row r="1815" spans="1:15" hidden="1" x14ac:dyDescent="0.25">
      <c r="A1815" s="11">
        <v>46057</v>
      </c>
      <c r="B1815" t="s">
        <v>57</v>
      </c>
      <c r="C1815" t="s">
        <v>48</v>
      </c>
      <c r="D1815">
        <v>44</v>
      </c>
      <c r="E1815">
        <v>42</v>
      </c>
      <c r="F1815">
        <v>16.54</v>
      </c>
      <c r="G1815">
        <v>0</v>
      </c>
      <c r="H1815">
        <v>0</v>
      </c>
      <c r="I1815" s="3">
        <v>0</v>
      </c>
      <c r="J1815" s="3">
        <v>0</v>
      </c>
      <c r="K1815" s="3">
        <v>0</v>
      </c>
      <c r="L1815" s="3" t="str">
        <f>IF(K1815&lt;-5,"CRÍTICO",IF(K1815&lt;0,"ATENÇÃO",IF(K1815&lt;=5,"BOM","EXCELENTE")))</f>
        <v>BOM</v>
      </c>
      <c r="M1815">
        <v>38</v>
      </c>
      <c r="N1815">
        <v>99.34</v>
      </c>
      <c r="O1815">
        <v>30.04291845493562</v>
      </c>
    </row>
    <row r="1816" spans="1:15" hidden="1" x14ac:dyDescent="0.25">
      <c r="A1816" s="11">
        <v>46057</v>
      </c>
      <c r="B1816" t="s">
        <v>42</v>
      </c>
      <c r="C1816" t="s">
        <v>32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>E1816+G1816+H1816</f>
        <v>34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32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>
        <v>26</v>
      </c>
      <c r="N1816">
        <v>96.3</v>
      </c>
      <c r="O1816">
        <v>24.29378531073446</v>
      </c>
    </row>
    <row r="1817" spans="1:15" hidden="1" x14ac:dyDescent="0.25">
      <c r="A1817" s="11">
        <v>46057</v>
      </c>
      <c r="B1817" t="s">
        <v>62</v>
      </c>
      <c r="C1817" t="s">
        <v>23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>E1817+G1817+H1817</f>
        <v>23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21</v>
      </c>
      <c r="K1817" s="3">
        <f>I1817-J1817</f>
        <v>2</v>
      </c>
      <c r="L1817" s="3" t="str">
        <f>IF(K1817&lt;-5,"CRÍTICO",IF(K1817&lt;0,"ATENÇÃO",IF(K1817&lt;=5,"BOM","EXCELENTE")))</f>
        <v>BOM</v>
      </c>
      <c r="M1817">
        <v>21</v>
      </c>
      <c r="N1817">
        <v>100</v>
      </c>
      <c r="O1817">
        <v>26.543209876543209</v>
      </c>
    </row>
    <row r="1818" spans="1:15" hidden="1" x14ac:dyDescent="0.25">
      <c r="A1818" s="11">
        <v>46057</v>
      </c>
      <c r="B1818" t="s">
        <v>19</v>
      </c>
      <c r="C1818" t="s">
        <v>16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>E1818+G1818+H1818</f>
        <v>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9</v>
      </c>
      <c r="K1818" s="3">
        <f>I1818-J1818</f>
        <v>-1</v>
      </c>
      <c r="L1818" s="3" t="str">
        <f>IF(K1818&lt;-5,"CRÍTICO",IF(K1818&lt;0,"ATENÇÃO",IF(K1818&lt;=5,"BOM","EXCELENTE")))</f>
        <v>ATENÇÃO</v>
      </c>
      <c r="M1818">
        <v>6</v>
      </c>
      <c r="N1818">
        <v>100</v>
      </c>
      <c r="O1818">
        <v>35.483870967741943</v>
      </c>
    </row>
    <row r="1819" spans="1:15" hidden="1" x14ac:dyDescent="0.25">
      <c r="A1819" s="11">
        <v>46057</v>
      </c>
      <c r="B1819" t="s">
        <v>43</v>
      </c>
      <c r="C1819" t="s">
        <v>32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>E1819+G1819+H1819</f>
        <v>38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6</v>
      </c>
      <c r="L1819" s="3" t="str">
        <f>IF(K1819&lt;-5,"CRÍTICO",IF(K1819&lt;0,"ATENÇÃO",IF(K1819&lt;=5,"BOM","EXCELENTE")))</f>
        <v>EXCELENTE</v>
      </c>
      <c r="M1819">
        <v>36</v>
      </c>
      <c r="N1819">
        <v>99.27</v>
      </c>
      <c r="O1819">
        <v>31.163708086785011</v>
      </c>
    </row>
    <row r="1820" spans="1:15" hidden="1" x14ac:dyDescent="0.25">
      <c r="A1820" s="11">
        <v>46057</v>
      </c>
      <c r="B1820" t="s">
        <v>44</v>
      </c>
      <c r="C1820" t="s">
        <v>32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>E1820+G1820+H1820</f>
        <v>31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32</v>
      </c>
      <c r="K1820" s="3">
        <f>I1820-J1820</f>
        <v>-1</v>
      </c>
      <c r="L1820" s="3" t="str">
        <f>IF(K1820&lt;-5,"CRÍTICO",IF(K1820&lt;0,"ATENÇÃO",IF(K1820&lt;=5,"BOM","EXCELENTE")))</f>
        <v>ATENÇÃO</v>
      </c>
      <c r="M1820">
        <v>32</v>
      </c>
      <c r="N1820">
        <v>94.16</v>
      </c>
      <c r="O1820">
        <v>27.038626609442058</v>
      </c>
    </row>
    <row r="1821" spans="1:15" hidden="1" x14ac:dyDescent="0.25">
      <c r="A1821" s="11">
        <v>46057</v>
      </c>
      <c r="B1821" t="s">
        <v>20</v>
      </c>
      <c r="C1821" t="s">
        <v>16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>E1821+G1821+H1821</f>
        <v>15</v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>9</v>
      </c>
      <c r="K1821" s="3">
        <f>I1821-J1821</f>
        <v>6</v>
      </c>
      <c r="L1821" s="3" t="str">
        <f>IF(K1821&lt;-5,"CRÍTICO",IF(K1821&lt;0,"ATENÇÃO",IF(K1821&lt;=5,"BOM","EXCELENTE")))</f>
        <v>EXCELENTE</v>
      </c>
      <c r="M1821">
        <v>6</v>
      </c>
      <c r="N1821">
        <v>93.75</v>
      </c>
      <c r="O1821">
        <v>19.31818181818182</v>
      </c>
    </row>
    <row r="1822" spans="1:15" hidden="1" x14ac:dyDescent="0.25">
      <c r="A1822" s="11">
        <v>46057</v>
      </c>
      <c r="B1822" t="s">
        <v>28</v>
      </c>
      <c r="C1822" t="s">
        <v>26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>
        <v>0</v>
      </c>
      <c r="N1822">
        <v>0</v>
      </c>
      <c r="O1822">
        <v>0</v>
      </c>
    </row>
    <row r="1823" spans="1:15" hidden="1" x14ac:dyDescent="0.25">
      <c r="A1823" s="11">
        <v>46057</v>
      </c>
      <c r="B1823" t="s">
        <v>58</v>
      </c>
      <c r="C1823" t="s">
        <v>48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>
        <v>0</v>
      </c>
      <c r="N1823">
        <v>97.92</v>
      </c>
      <c r="O1823">
        <v>32.87671232876712</v>
      </c>
    </row>
    <row r="1824" spans="1:15" hidden="1" x14ac:dyDescent="0.25">
      <c r="A1824" s="11">
        <v>46057</v>
      </c>
      <c r="B1824" t="s">
        <v>29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30</v>
      </c>
      <c r="C1825" t="s">
        <v>26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21</v>
      </c>
      <c r="C1826" t="s">
        <v>16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v>0</v>
      </c>
      <c r="J1826" s="3">
        <v>0</v>
      </c>
      <c r="K1826" s="3">
        <v>0</v>
      </c>
      <c r="L1826" s="3" t="str">
        <f>IF(K1826&lt;-5,"CRÍTICO",IF(K1826&lt;0,"ATENÇÃO",IF(K1826&lt;=5,"BOM","EXCELENTE")))</f>
        <v>BOM</v>
      </c>
      <c r="M1826">
        <v>0</v>
      </c>
      <c r="N1826">
        <v>0</v>
      </c>
      <c r="O1826">
        <v>0</v>
      </c>
    </row>
    <row r="1827" spans="1:15" hidden="1" x14ac:dyDescent="0.25">
      <c r="A1827" s="11">
        <v>46057</v>
      </c>
      <c r="B1827" t="s">
        <v>63</v>
      </c>
      <c r="C1827" t="s">
        <v>23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>E1827+G1827+H1827</f>
        <v>16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21</v>
      </c>
      <c r="K1827" s="3">
        <f>I1827-J1827</f>
        <v>-5</v>
      </c>
      <c r="L1827" s="3" t="str">
        <f>IF(K1827&lt;-5,"CRÍTICO",IF(K1827&lt;0,"ATENÇÃO",IF(K1827&lt;=5,"BOM","EXCELENTE")))</f>
        <v>ATENÇÃO</v>
      </c>
      <c r="M1827">
        <v>16</v>
      </c>
      <c r="N1827">
        <v>98.51</v>
      </c>
      <c r="O1827">
        <v>29.710144927536231</v>
      </c>
    </row>
    <row r="1828" spans="1:15" hidden="1" x14ac:dyDescent="0.25">
      <c r="A1828" s="11">
        <v>46057</v>
      </c>
      <c r="B1828" t="s">
        <v>45</v>
      </c>
      <c r="C1828" t="s">
        <v>32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>E1828+G1828+H1828</f>
        <v>43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32</v>
      </c>
      <c r="K1828" s="3">
        <f>I1828-J1828</f>
        <v>11</v>
      </c>
      <c r="L1828" s="3" t="str">
        <f>IF(K1828&lt;-5,"CRÍTICO",IF(K1828&lt;0,"ATENÇÃO",IF(K1828&lt;=5,"BOM","EXCELENTE")))</f>
        <v>EXCELENTE</v>
      </c>
      <c r="M1828">
        <v>30</v>
      </c>
      <c r="N1828">
        <v>98.81</v>
      </c>
      <c r="O1828">
        <v>30.712979890310791</v>
      </c>
    </row>
    <row r="1829" spans="1:15" hidden="1" x14ac:dyDescent="0.25">
      <c r="A1829" s="11">
        <v>46057</v>
      </c>
      <c r="B1829" t="s">
        <v>64</v>
      </c>
      <c r="C1829" t="s">
        <v>23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>E1829+G1829+H1829</f>
        <v>17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21</v>
      </c>
      <c r="K1829" s="3">
        <f>I1829-J1829</f>
        <v>-4</v>
      </c>
      <c r="L1829" s="3" t="str">
        <f>IF(K1829&lt;-5,"CRÍTICO",IF(K1829&lt;0,"ATENÇÃO",IF(K1829&lt;=5,"BOM","EXCELENTE")))</f>
        <v>ATENÇÃO</v>
      </c>
      <c r="M1829">
        <v>16</v>
      </c>
      <c r="N1829">
        <v>98.48</v>
      </c>
      <c r="O1829">
        <v>29.35323383084577</v>
      </c>
    </row>
    <row r="1830" spans="1:15" hidden="1" x14ac:dyDescent="0.25">
      <c r="A1830" s="11">
        <v>46057</v>
      </c>
      <c r="B1830" t="s">
        <v>46</v>
      </c>
      <c r="C1830" t="s">
        <v>32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>E1830+G1830+H1830</f>
        <v>37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32</v>
      </c>
      <c r="K1830" s="3">
        <f>I1830-J1830</f>
        <v>5</v>
      </c>
      <c r="L1830" s="3" t="str">
        <f>IF(K1830&lt;-5,"CRÍTICO",IF(K1830&lt;0,"ATENÇÃO",IF(K1830&lt;=5,"BOM","EXCELENTE")))</f>
        <v>BOM</v>
      </c>
      <c r="M1830">
        <v>36</v>
      </c>
      <c r="N1830">
        <v>98.56</v>
      </c>
      <c r="O1830">
        <v>29.373650107991359</v>
      </c>
    </row>
    <row r="1831" spans="1:15" hidden="1" x14ac:dyDescent="0.25">
      <c r="A1831" s="11">
        <v>46058</v>
      </c>
      <c r="B1831" t="s">
        <v>47</v>
      </c>
      <c r="C1831" t="s">
        <v>48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>E1831+G1831+H1831</f>
        <v>34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28</v>
      </c>
      <c r="K1831" s="3">
        <f>I1831-J1831</f>
        <v>6</v>
      </c>
      <c r="L1831" s="3" t="str">
        <f>IF(K1831&lt;-5,"CRÍTICO",IF(K1831&lt;0,"ATENÇÃO",IF(K1831&lt;=5,"BOM","EXCELENTE")))</f>
        <v>EXCELENTE</v>
      </c>
      <c r="M1831">
        <v>33</v>
      </c>
      <c r="N1831">
        <v>98.32</v>
      </c>
      <c r="O1831">
        <v>30.303030303030301</v>
      </c>
    </row>
    <row r="1832" spans="1:15" hidden="1" x14ac:dyDescent="0.25">
      <c r="A1832" s="11">
        <v>46058</v>
      </c>
      <c r="B1832" t="s">
        <v>31</v>
      </c>
      <c r="C1832" t="s">
        <v>32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v>0</v>
      </c>
      <c r="J1832" s="3">
        <v>0</v>
      </c>
      <c r="K1832" s="3">
        <v>0</v>
      </c>
      <c r="L1832" s="3" t="str">
        <f>IF(K1832&lt;-5,"CRÍTICO",IF(K1832&lt;0,"ATENÇÃO",IF(K1832&lt;=5,"BOM","EXCELENTE")))</f>
        <v>BOM</v>
      </c>
      <c r="M1832">
        <v>40</v>
      </c>
      <c r="N1832">
        <v>98.68</v>
      </c>
      <c r="O1832">
        <v>26.219512195121951</v>
      </c>
    </row>
    <row r="1833" spans="1:15" hidden="1" x14ac:dyDescent="0.25">
      <c r="A1833" s="11">
        <v>46058</v>
      </c>
      <c r="B1833" t="s">
        <v>59</v>
      </c>
      <c r="C1833" t="s">
        <v>23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23</v>
      </c>
      <c r="K1833" s="3">
        <f>I1833-J1833</f>
        <v>17</v>
      </c>
      <c r="L1833" s="3" t="str">
        <f>IF(K1833&lt;-5,"CRÍTICO",IF(K1833&lt;0,"ATENÇÃO",IF(K1833&lt;=5,"BOM","EXCELENTE")))</f>
        <v>EXCELENTE</v>
      </c>
      <c r="M1833">
        <v>38</v>
      </c>
      <c r="N1833">
        <v>100</v>
      </c>
      <c r="O1833">
        <v>31.74224343675418</v>
      </c>
    </row>
    <row r="1834" spans="1:15" hidden="1" x14ac:dyDescent="0.25">
      <c r="A1834" s="11">
        <v>46058</v>
      </c>
      <c r="B1834" t="s">
        <v>33</v>
      </c>
      <c r="C1834" t="s">
        <v>32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>E1834+G1834+H1834</f>
        <v>40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35</v>
      </c>
      <c r="K1834" s="3">
        <f>I1834-J1834</f>
        <v>5</v>
      </c>
      <c r="L1834" s="3" t="str">
        <f>IF(K1834&lt;-5,"CRÍTICO",IF(K1834&lt;0,"ATENÇÃO",IF(K1834&lt;=5,"BOM","EXCELENTE")))</f>
        <v>BOM</v>
      </c>
      <c r="M1834">
        <v>39</v>
      </c>
      <c r="N1834">
        <v>98.25</v>
      </c>
      <c r="O1834">
        <v>25.83518930957684</v>
      </c>
    </row>
    <row r="1835" spans="1:15" hidden="1" x14ac:dyDescent="0.25">
      <c r="A1835" s="11">
        <v>46058</v>
      </c>
      <c r="B1835" t="s">
        <v>15</v>
      </c>
      <c r="C1835" t="s">
        <v>16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v>0</v>
      </c>
      <c r="J1835" s="3">
        <v>0</v>
      </c>
      <c r="K1835" s="3">
        <v>0</v>
      </c>
      <c r="L1835" s="3" t="str">
        <f>IF(K1835&lt;-5,"CRÍTICO",IF(K1835&lt;0,"ATENÇÃO",IF(K1835&lt;=5,"BOM","EXCELENTE")))</f>
        <v>BOM</v>
      </c>
      <c r="M1835">
        <v>0</v>
      </c>
      <c r="N1835">
        <v>97.5</v>
      </c>
      <c r="O1835">
        <v>30.075187969924809</v>
      </c>
    </row>
    <row r="1836" spans="1:15" hidden="1" x14ac:dyDescent="0.25">
      <c r="A1836" s="11">
        <v>46058</v>
      </c>
      <c r="B1836" t="s">
        <v>49</v>
      </c>
      <c r="C1836" t="s">
        <v>48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>E1836+G1836+H1836</f>
        <v>30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2</v>
      </c>
      <c r="L1836" s="3" t="str">
        <f>IF(K1836&lt;-5,"CRÍTICO",IF(K1836&lt;0,"ATENÇÃO",IF(K1836&lt;=5,"BOM","EXCELENTE")))</f>
        <v>BOM</v>
      </c>
      <c r="M1836">
        <v>30</v>
      </c>
      <c r="N1836">
        <v>100</v>
      </c>
      <c r="O1836">
        <v>29.71311475409836</v>
      </c>
    </row>
    <row r="1837" spans="1:15" hidden="1" x14ac:dyDescent="0.25">
      <c r="A1837" s="11">
        <v>46058</v>
      </c>
      <c r="B1837" t="s">
        <v>50</v>
      </c>
      <c r="C1837" t="s">
        <v>48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>E1837+G1837+H1837</f>
        <v>16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28</v>
      </c>
      <c r="K1837" s="3">
        <f>I1837-J1837</f>
        <v>-12</v>
      </c>
      <c r="L1837" s="3" t="str">
        <f>IF(K1837&lt;-5,"CRÍTICO",IF(K1837&lt;0,"ATENÇÃO",IF(K1837&lt;=5,"BOM","EXCELENTE")))</f>
        <v>CRÍTICO</v>
      </c>
      <c r="M1837">
        <v>17</v>
      </c>
      <c r="N1837">
        <v>99.22</v>
      </c>
      <c r="O1837">
        <v>35.256410256410263</v>
      </c>
    </row>
    <row r="1838" spans="1:15" hidden="1" x14ac:dyDescent="0.25">
      <c r="A1838" s="11">
        <v>46058</v>
      </c>
      <c r="B1838" t="s">
        <v>17</v>
      </c>
      <c r="C1838" t="s">
        <v>16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v>0</v>
      </c>
      <c r="J1838" s="3">
        <v>0</v>
      </c>
      <c r="K1838" s="3">
        <v>0</v>
      </c>
      <c r="L1838" s="3" t="str">
        <f>IF(K1838&lt;-5,"CRÍTICO",IF(K1838&lt;0,"ATENÇÃO",IF(K1838&lt;=5,"BOM","EXCELENTE")))</f>
        <v>BOM</v>
      </c>
      <c r="M1838">
        <v>0</v>
      </c>
      <c r="N1838">
        <v>0</v>
      </c>
      <c r="O1838">
        <v>0</v>
      </c>
    </row>
    <row r="1839" spans="1:15" hidden="1" x14ac:dyDescent="0.25">
      <c r="A1839" s="11">
        <v>46058</v>
      </c>
      <c r="B1839" t="s">
        <v>60</v>
      </c>
      <c r="C1839" t="s">
        <v>23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>E1839+G1839+H1839</f>
        <v>14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23</v>
      </c>
      <c r="K1839" s="3">
        <f>I1839-J1839</f>
        <v>-9</v>
      </c>
      <c r="L1839" s="3" t="str">
        <f>IF(K1839&lt;-5,"CRÍTICO",IF(K1839&lt;0,"ATENÇÃO",IF(K1839&lt;=5,"BOM","EXCELENTE")))</f>
        <v>CRÍTICO</v>
      </c>
      <c r="M1839">
        <v>22</v>
      </c>
      <c r="N1839">
        <v>98.75</v>
      </c>
      <c r="O1839">
        <v>24.32432432432433</v>
      </c>
    </row>
    <row r="1840" spans="1:15" hidden="1" x14ac:dyDescent="0.25">
      <c r="A1840" s="11">
        <v>46058</v>
      </c>
      <c r="B1840" t="s">
        <v>34</v>
      </c>
      <c r="C1840" t="s">
        <v>32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>E1840+G1840+H1840</f>
        <v>28</v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>35</v>
      </c>
      <c r="K1840" s="3">
        <f>I1840-J1840</f>
        <v>-7</v>
      </c>
      <c r="L1840" s="3" t="str">
        <f>IF(K1840&lt;-5,"CRÍTICO",IF(K1840&lt;0,"ATENÇÃO",IF(K1840&lt;=5,"BOM","EXCELENTE")))</f>
        <v>CRÍTICO</v>
      </c>
      <c r="M1840">
        <v>25</v>
      </c>
      <c r="N1840">
        <v>93.48</v>
      </c>
      <c r="O1840">
        <v>31.52804642166344</v>
      </c>
    </row>
    <row r="1841" spans="1:15" hidden="1" x14ac:dyDescent="0.25">
      <c r="A1841" s="11">
        <v>46058</v>
      </c>
      <c r="B1841" t="s">
        <v>51</v>
      </c>
      <c r="C1841" t="s">
        <v>48</v>
      </c>
      <c r="D1841">
        <v>40</v>
      </c>
      <c r="E1841">
        <v>33</v>
      </c>
      <c r="F1841">
        <v>15.5</v>
      </c>
      <c r="G1841">
        <v>0</v>
      </c>
      <c r="H1841">
        <v>0</v>
      </c>
      <c r="I1841" s="3">
        <v>0</v>
      </c>
      <c r="J1841" s="3">
        <v>0</v>
      </c>
      <c r="K1841" s="3">
        <v>0</v>
      </c>
      <c r="L1841" s="3" t="str">
        <f>IF(K1841&lt;-5,"CRÍTICO",IF(K1841&lt;0,"ATENÇÃO",IF(K1841&lt;=5,"BOM","EXCELENTE")))</f>
        <v>BOM</v>
      </c>
      <c r="M1841">
        <v>37</v>
      </c>
      <c r="N1841">
        <v>99.16</v>
      </c>
      <c r="O1841">
        <v>26.13908872901678</v>
      </c>
    </row>
    <row r="1842" spans="1:15" hidden="1" x14ac:dyDescent="0.25">
      <c r="A1842" s="11">
        <v>46058</v>
      </c>
      <c r="B1842" t="s">
        <v>61</v>
      </c>
      <c r="C1842" t="s">
        <v>23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>E1842+G1842+H1842</f>
        <v>20</v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>23</v>
      </c>
      <c r="K1842" s="3">
        <f>I1842-J1842</f>
        <v>-3</v>
      </c>
      <c r="L1842" s="3" t="str">
        <f>IF(K1842&lt;-5,"CRÍTICO",IF(K1842&lt;0,"ATENÇÃO",IF(K1842&lt;=5,"BOM","EXCELENTE")))</f>
        <v>ATENÇÃO</v>
      </c>
      <c r="M1842">
        <v>29</v>
      </c>
      <c r="N1842">
        <v>100</v>
      </c>
      <c r="O1842">
        <v>31.089743589743591</v>
      </c>
    </row>
    <row r="1843" spans="1:15" hidden="1" x14ac:dyDescent="0.25">
      <c r="A1843" s="11">
        <v>46058</v>
      </c>
      <c r="B1843" t="s">
        <v>35</v>
      </c>
      <c r="C1843" t="s">
        <v>32</v>
      </c>
      <c r="D1843">
        <v>37</v>
      </c>
      <c r="E1843">
        <v>36</v>
      </c>
      <c r="F1843">
        <v>20.3</v>
      </c>
      <c r="G1843">
        <v>0</v>
      </c>
      <c r="H1843">
        <v>0</v>
      </c>
      <c r="I1843" s="3">
        <v>0</v>
      </c>
      <c r="J1843" s="3">
        <v>0</v>
      </c>
      <c r="K1843" s="3">
        <v>0</v>
      </c>
      <c r="L1843" s="3" t="str">
        <f>IF(K1843&lt;-5,"CRÍTICO",IF(K1843&lt;0,"ATENÇÃO",IF(K1843&lt;=5,"BOM","EXCELENTE")))</f>
        <v>BOM</v>
      </c>
      <c r="M1843">
        <v>35</v>
      </c>
      <c r="N1843">
        <v>98.11</v>
      </c>
      <c r="O1843">
        <v>33.033707865168537</v>
      </c>
    </row>
    <row r="1844" spans="1:15" hidden="1" x14ac:dyDescent="0.25">
      <c r="A1844" s="11">
        <v>46058</v>
      </c>
      <c r="B1844" t="s">
        <v>18</v>
      </c>
      <c r="C1844" t="s">
        <v>16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>E1844+G1844+H1844</f>
        <v>28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10</v>
      </c>
      <c r="K1844" s="3">
        <f>I1844-J1844</f>
        <v>18</v>
      </c>
      <c r="L1844" s="3" t="str">
        <f>IF(K1844&lt;-5,"CRÍTICO",IF(K1844&lt;0,"ATENÇÃO",IF(K1844&lt;=5,"BOM","EXCELENTE")))</f>
        <v>EXCELENTE</v>
      </c>
      <c r="M1844">
        <v>2</v>
      </c>
      <c r="N1844">
        <v>78.95</v>
      </c>
      <c r="O1844">
        <v>38.983050847457633</v>
      </c>
    </row>
    <row r="1845" spans="1:15" hidden="1" x14ac:dyDescent="0.25">
      <c r="A1845" s="11">
        <v>46058</v>
      </c>
      <c r="B1845" t="s">
        <v>52</v>
      </c>
      <c r="C1845" t="s">
        <v>48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28</v>
      </c>
      <c r="K1845" s="3">
        <f>I1845-J1845</f>
        <v>7</v>
      </c>
      <c r="L1845" s="3" t="str">
        <f>IF(K1845&lt;-5,"CRÍTICO",IF(K1845&lt;0,"ATENÇÃO",IF(K1845&lt;=5,"BOM","EXCELENTE")))</f>
        <v>EXCELENTE</v>
      </c>
      <c r="M1845">
        <v>30</v>
      </c>
      <c r="N1845">
        <v>98.45</v>
      </c>
      <c r="O1845">
        <v>29.281767955801101</v>
      </c>
    </row>
    <row r="1846" spans="1:15" hidden="1" x14ac:dyDescent="0.25">
      <c r="A1846" s="11">
        <v>46058</v>
      </c>
      <c r="B1846" t="s">
        <v>36</v>
      </c>
      <c r="C1846" t="s">
        <v>32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>E1846+G1846+H1846</f>
        <v>35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35</v>
      </c>
      <c r="K1846" s="3">
        <f>I1846-J1846</f>
        <v>0</v>
      </c>
      <c r="L1846" s="3" t="str">
        <f>IF(K1846&lt;-5,"CRÍTICO",IF(K1846&lt;0,"ATENÇÃO",IF(K1846&lt;=5,"BOM","EXCELENTE")))</f>
        <v>BOM</v>
      </c>
      <c r="M1846">
        <v>35</v>
      </c>
      <c r="N1846">
        <v>97.84</v>
      </c>
      <c r="O1846">
        <v>26.282051282051281</v>
      </c>
    </row>
    <row r="1847" spans="1:15" hidden="1" x14ac:dyDescent="0.25">
      <c r="A1847" s="11">
        <v>46058</v>
      </c>
      <c r="B1847" t="s">
        <v>53</v>
      </c>
      <c r="C1847" t="s">
        <v>48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>E1847+G1847+H1847</f>
        <v>44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28</v>
      </c>
      <c r="K1847" s="3">
        <f>I1847-J1847</f>
        <v>16</v>
      </c>
      <c r="L1847" s="3" t="str">
        <f>IF(K1847&lt;-5,"CRÍTICO",IF(K1847&lt;0,"ATENÇÃO",IF(K1847&lt;=5,"BOM","EXCELENTE")))</f>
        <v>EXCELENTE</v>
      </c>
      <c r="M1847">
        <v>42</v>
      </c>
      <c r="N1847">
        <v>98.5</v>
      </c>
      <c r="O1847">
        <v>23.97769516728625</v>
      </c>
    </row>
    <row r="1848" spans="1:15" hidden="1" x14ac:dyDescent="0.25">
      <c r="A1848" s="11">
        <v>46092</v>
      </c>
      <c r="B1848" t="s">
        <v>22</v>
      </c>
      <c r="C1848" t="s">
        <v>23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>E1848+G1848+H1848</f>
        <v>3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16</v>
      </c>
      <c r="K1848" s="3">
        <f>I1848-J1848</f>
        <v>-13</v>
      </c>
      <c r="L1848" s="3" t="str">
        <f>IF(K1848&lt;-5,"CRÍTICO",IF(K1848&lt;0,"ATENÇÃO",IF(K1848&lt;=5,"BOM","EXCELENTE")))</f>
        <v>CRÍTICO</v>
      </c>
      <c r="M1848">
        <v>10</v>
      </c>
      <c r="N1848">
        <v>99.05</v>
      </c>
      <c r="O1848">
        <v>26.621923937360179</v>
      </c>
    </row>
    <row r="1849" spans="1:15" hidden="1" x14ac:dyDescent="0.25">
      <c r="A1849" s="11">
        <v>46058</v>
      </c>
      <c r="B1849" t="s">
        <v>54</v>
      </c>
      <c r="C1849" t="s">
        <v>48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>E1849+G1849+H1849</f>
        <v>37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28</v>
      </c>
      <c r="K1849" s="3">
        <f>I1849-J1849</f>
        <v>9</v>
      </c>
      <c r="L1849" s="3" t="str">
        <f>IF(K1849&lt;-5,"CRÍTICO",IF(K1849&lt;0,"ATENÇÃO",IF(K1849&lt;=5,"BOM","EXCELENTE")))</f>
        <v>EXCELENTE</v>
      </c>
      <c r="M1849">
        <v>34</v>
      </c>
      <c r="N1849">
        <v>98.53</v>
      </c>
      <c r="O1849">
        <v>31.578947368421051</v>
      </c>
    </row>
    <row r="1850" spans="1:15" hidden="1" x14ac:dyDescent="0.25">
      <c r="A1850" s="11">
        <v>46058</v>
      </c>
      <c r="B1850" t="s">
        <v>37</v>
      </c>
      <c r="C1850" t="s">
        <v>32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>E1850+G1850+H1850</f>
        <v>43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8</v>
      </c>
      <c r="L1850" s="3" t="str">
        <f>IF(K1850&lt;-5,"CRÍTICO",IF(K1850&lt;0,"ATENÇÃO",IF(K1850&lt;=5,"BOM","EXCELENTE")))</f>
        <v>EXCELENTE</v>
      </c>
      <c r="M1850">
        <v>46</v>
      </c>
      <c r="N1850">
        <v>100</v>
      </c>
      <c r="O1850">
        <v>25.72214580467676</v>
      </c>
    </row>
    <row r="1851" spans="1:15" hidden="1" x14ac:dyDescent="0.25">
      <c r="A1851" s="11">
        <v>46058</v>
      </c>
      <c r="B1851" t="s">
        <v>38</v>
      </c>
      <c r="C1851" t="s">
        <v>32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>E1851+G1851+H1851</f>
        <v>44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35</v>
      </c>
      <c r="K1851" s="3">
        <f>I1851-J1851</f>
        <v>9</v>
      </c>
      <c r="L1851" s="3" t="str">
        <f>IF(K1851&lt;-5,"CRÍTICO",IF(K1851&lt;0,"ATENÇÃO",IF(K1851&lt;=5,"BOM","EXCELENTE")))</f>
        <v>EXCELENTE</v>
      </c>
      <c r="M1851">
        <v>41</v>
      </c>
      <c r="N1851">
        <v>94.64</v>
      </c>
      <c r="O1851">
        <v>27.52941176470588</v>
      </c>
    </row>
    <row r="1852" spans="1:15" hidden="1" x14ac:dyDescent="0.25">
      <c r="A1852" s="11">
        <v>46058</v>
      </c>
      <c r="B1852" t="s">
        <v>55</v>
      </c>
      <c r="C1852" t="s">
        <v>48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>E1852+G1852+H1852</f>
        <v>38</v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>28</v>
      </c>
      <c r="K1852" s="3">
        <f>I1852-J1852</f>
        <v>10</v>
      </c>
      <c r="L1852" s="3" t="str">
        <f>IF(K1852&lt;-5,"CRÍTICO",IF(K1852&lt;0,"ATENÇÃO",IF(K1852&lt;=5,"BOM","EXCELENTE")))</f>
        <v>EXCELENTE</v>
      </c>
      <c r="M1852">
        <v>32</v>
      </c>
      <c r="N1852">
        <v>99.07</v>
      </c>
      <c r="O1852">
        <v>26.376811594202898</v>
      </c>
    </row>
    <row r="1853" spans="1:15" hidden="1" x14ac:dyDescent="0.25">
      <c r="A1853" s="11">
        <v>46058</v>
      </c>
      <c r="B1853" t="s">
        <v>39</v>
      </c>
      <c r="C1853" t="s">
        <v>32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v>0</v>
      </c>
      <c r="J1853" s="3">
        <v>0</v>
      </c>
      <c r="K1853" s="3">
        <v>0</v>
      </c>
      <c r="L1853" s="3" t="str">
        <f>IF(K1853&lt;-5,"CRÍTICO",IF(K1853&lt;0,"ATENÇÃO",IF(K1853&lt;=5,"BOM","EXCELENTE")))</f>
        <v>BOM</v>
      </c>
      <c r="M1853">
        <v>0</v>
      </c>
      <c r="N1853">
        <v>100</v>
      </c>
      <c r="O1853">
        <v>0</v>
      </c>
    </row>
    <row r="1854" spans="1:15" hidden="1" x14ac:dyDescent="0.25">
      <c r="A1854" s="11">
        <v>46058</v>
      </c>
      <c r="B1854" t="s">
        <v>25</v>
      </c>
      <c r="C1854" t="s">
        <v>26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>E1854+G1854+H1854</f>
        <v>19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20</v>
      </c>
      <c r="K1854" s="3">
        <f>I1854-J1854</f>
        <v>-1</v>
      </c>
      <c r="L1854" s="3" t="str">
        <f>IF(K1854&lt;-5,"CRÍTICO",IF(K1854&lt;0,"ATENÇÃO",IF(K1854&lt;=5,"BOM","EXCELENTE")))</f>
        <v>ATENÇÃO</v>
      </c>
      <c r="M1854">
        <v>19</v>
      </c>
      <c r="N1854">
        <v>98.48</v>
      </c>
      <c r="O1854">
        <v>27.853881278538811</v>
      </c>
    </row>
    <row r="1855" spans="1:15" hidden="1" x14ac:dyDescent="0.25">
      <c r="A1855" s="11">
        <v>46058</v>
      </c>
      <c r="B1855" t="s">
        <v>40</v>
      </c>
      <c r="C1855" t="s">
        <v>32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>E1855+G1855+H1855</f>
        <v>7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35</v>
      </c>
      <c r="K1855" s="3">
        <f>I1855-J1855</f>
        <v>-28</v>
      </c>
      <c r="L1855" s="3" t="str">
        <f>IF(K1855&lt;-5,"CRÍTICO",IF(K1855&lt;0,"ATENÇÃO",IF(K1855&lt;=5,"BOM","EXCELENTE")))</f>
        <v>CRÍTICO</v>
      </c>
      <c r="M1855">
        <v>29</v>
      </c>
      <c r="N1855">
        <v>95.15</v>
      </c>
      <c r="O1855">
        <v>34.131736526946113</v>
      </c>
    </row>
    <row r="1856" spans="1:15" hidden="1" x14ac:dyDescent="0.25">
      <c r="A1856" s="11">
        <v>46058</v>
      </c>
      <c r="B1856" t="s">
        <v>27</v>
      </c>
      <c r="C1856" t="s">
        <v>26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v>0</v>
      </c>
      <c r="J1856" s="3">
        <v>0</v>
      </c>
      <c r="K1856" s="3">
        <v>0</v>
      </c>
      <c r="L1856" s="3" t="str">
        <f>IF(K1856&lt;-5,"CRÍTICO",IF(K1856&lt;0,"ATENÇÃO",IF(K1856&lt;=5,"BOM","EXCELENTE")))</f>
        <v>BOM</v>
      </c>
      <c r="M1856">
        <v>0</v>
      </c>
      <c r="N1856">
        <v>0</v>
      </c>
      <c r="O1856">
        <v>0</v>
      </c>
    </row>
    <row r="1857" spans="1:15" hidden="1" x14ac:dyDescent="0.25">
      <c r="A1857" s="11">
        <v>46058</v>
      </c>
      <c r="B1857" t="s">
        <v>41</v>
      </c>
      <c r="C1857" t="s">
        <v>32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>E1857+G1857+H1857</f>
        <v>22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35</v>
      </c>
      <c r="K1857" s="3">
        <f>I1857-J1857</f>
        <v>-13</v>
      </c>
      <c r="L1857" s="3" t="str">
        <f>IF(K1857&lt;-5,"CRÍTICO",IF(K1857&lt;0,"ATENÇÃO",IF(K1857&lt;=5,"BOM","EXCELENTE")))</f>
        <v>CRÍTICO</v>
      </c>
      <c r="M1857">
        <v>24</v>
      </c>
      <c r="N1857">
        <v>99.26</v>
      </c>
      <c r="O1857">
        <v>30.84832904884319</v>
      </c>
    </row>
    <row r="1858" spans="1:15" hidden="1" x14ac:dyDescent="0.25">
      <c r="A1858" s="11">
        <v>46058</v>
      </c>
      <c r="B1858" t="s">
        <v>56</v>
      </c>
      <c r="C1858" t="s">
        <v>48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>E1858+G1858+H1858</f>
        <v>34</v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>28</v>
      </c>
      <c r="K1858" s="3">
        <f>I1858-J1858</f>
        <v>6</v>
      </c>
      <c r="L1858" s="3" t="str">
        <f>IF(K1858&lt;-5,"CRÍTICO",IF(K1858&lt;0,"ATENÇÃO",IF(K1858&lt;=5,"BOM","EXCELENTE")))</f>
        <v>EXCELENTE</v>
      </c>
      <c r="M1858">
        <v>28</v>
      </c>
      <c r="N1858">
        <v>97.48</v>
      </c>
      <c r="O1858">
        <v>27.764705882352938</v>
      </c>
    </row>
    <row r="1859" spans="1:15" hidden="1" x14ac:dyDescent="0.25">
      <c r="A1859" s="11">
        <v>46058</v>
      </c>
      <c r="B1859" t="s">
        <v>57</v>
      </c>
      <c r="C1859" t="s">
        <v>48</v>
      </c>
      <c r="D1859">
        <v>36</v>
      </c>
      <c r="E1859">
        <v>36</v>
      </c>
      <c r="F1859">
        <v>19.18</v>
      </c>
      <c r="G1859">
        <v>0</v>
      </c>
      <c r="H1859">
        <v>0</v>
      </c>
      <c r="I1859" s="3">
        <v>0</v>
      </c>
      <c r="J1859" s="3">
        <v>0</v>
      </c>
      <c r="K1859" s="3">
        <v>0</v>
      </c>
      <c r="L1859" s="3" t="str">
        <f>IF(K1859&lt;-5,"CRÍTICO",IF(K1859&lt;0,"ATENÇÃO",IF(K1859&lt;=5,"BOM","EXCELENTE")))</f>
        <v>BOM</v>
      </c>
      <c r="M1859">
        <v>36</v>
      </c>
      <c r="N1859">
        <v>99.34</v>
      </c>
      <c r="O1859">
        <v>30.04291845493562</v>
      </c>
    </row>
    <row r="1860" spans="1:15" hidden="1" x14ac:dyDescent="0.25">
      <c r="A1860" s="11">
        <v>46058</v>
      </c>
      <c r="B1860" t="s">
        <v>42</v>
      </c>
      <c r="C1860" t="s">
        <v>32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>E1860+G1860+H1860</f>
        <v>36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35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>
        <v>27</v>
      </c>
      <c r="N1860">
        <v>96.3</v>
      </c>
      <c r="O1860">
        <v>24.29378531073446</v>
      </c>
    </row>
    <row r="1861" spans="1:15" hidden="1" x14ac:dyDescent="0.25">
      <c r="A1861" s="11">
        <v>46058</v>
      </c>
      <c r="B1861" t="s">
        <v>62</v>
      </c>
      <c r="C1861" t="s">
        <v>23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>E1861+G1861+H1861</f>
        <v>24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23</v>
      </c>
      <c r="K1861" s="3">
        <f>I1861-J1861</f>
        <v>1</v>
      </c>
      <c r="L1861" s="3" t="str">
        <f>IF(K1861&lt;-5,"CRÍTICO",IF(K1861&lt;0,"ATENÇÃO",IF(K1861&lt;=5,"BOM","EXCELENTE")))</f>
        <v>BOM</v>
      </c>
      <c r="M1861">
        <v>21</v>
      </c>
      <c r="N1861">
        <v>100</v>
      </c>
      <c r="O1861">
        <v>26.543209876543209</v>
      </c>
    </row>
    <row r="1862" spans="1:15" hidden="1" x14ac:dyDescent="0.25">
      <c r="A1862" s="11">
        <v>46058</v>
      </c>
      <c r="B1862" t="s">
        <v>19</v>
      </c>
      <c r="C1862" t="s">
        <v>16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>E1862+G1862+H1862</f>
        <v>39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10</v>
      </c>
      <c r="K1862" s="3">
        <f>I1862-J1862</f>
        <v>29</v>
      </c>
      <c r="L1862" s="3" t="str">
        <f>IF(K1862&lt;-5,"CRÍTICO",IF(K1862&lt;0,"ATENÇÃO",IF(K1862&lt;=5,"BOM","EXCELENTE")))</f>
        <v>EXCELENTE</v>
      </c>
      <c r="M1862">
        <v>0</v>
      </c>
      <c r="N1862">
        <v>100</v>
      </c>
      <c r="O1862">
        <v>35.483870967741943</v>
      </c>
    </row>
    <row r="1863" spans="1:15" hidden="1" x14ac:dyDescent="0.25">
      <c r="A1863" s="11">
        <v>46058</v>
      </c>
      <c r="B1863" t="s">
        <v>43</v>
      </c>
      <c r="C1863" t="s">
        <v>32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>E1863+G1863+H1863</f>
        <v>40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5</v>
      </c>
      <c r="L1863" s="3" t="str">
        <f>IF(K1863&lt;-5,"CRÍTICO",IF(K1863&lt;0,"ATENÇÃO",IF(K1863&lt;=5,"BOM","EXCELENTE")))</f>
        <v>BOM</v>
      </c>
      <c r="M1863">
        <v>40</v>
      </c>
      <c r="N1863">
        <v>99.27</v>
      </c>
      <c r="O1863">
        <v>31.163708086785011</v>
      </c>
    </row>
    <row r="1864" spans="1:15" hidden="1" x14ac:dyDescent="0.25">
      <c r="A1864" s="11">
        <v>46058</v>
      </c>
      <c r="B1864" t="s">
        <v>44</v>
      </c>
      <c r="C1864" t="s">
        <v>32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>E1864+G1864+H1864</f>
        <v>32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35</v>
      </c>
      <c r="K1864" s="3">
        <f>I1864-J1864</f>
        <v>-3</v>
      </c>
      <c r="L1864" s="3" t="str">
        <f>IF(K1864&lt;-5,"CRÍTICO",IF(K1864&lt;0,"ATENÇÃO",IF(K1864&lt;=5,"BOM","EXCELENTE")))</f>
        <v>ATENÇÃO</v>
      </c>
      <c r="M1864">
        <v>33</v>
      </c>
      <c r="N1864">
        <v>94.16</v>
      </c>
      <c r="O1864">
        <v>27.038626609442058</v>
      </c>
    </row>
    <row r="1865" spans="1:15" hidden="1" x14ac:dyDescent="0.25">
      <c r="A1865" s="11">
        <v>46058</v>
      </c>
      <c r="B1865" t="s">
        <v>20</v>
      </c>
      <c r="C1865" t="s">
        <v>16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>E1865+G1865+H1865</f>
        <v>16</v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>10</v>
      </c>
      <c r="K1865" s="3">
        <f>I1865-J1865</f>
        <v>6</v>
      </c>
      <c r="L1865" s="3" t="str">
        <f>IF(K1865&lt;-5,"CRÍTICO",IF(K1865&lt;0,"ATENÇÃO",IF(K1865&lt;=5,"BOM","EXCELENTE")))</f>
        <v>EXCELENTE</v>
      </c>
      <c r="M1865">
        <v>13</v>
      </c>
      <c r="N1865">
        <v>93.75</v>
      </c>
      <c r="O1865">
        <v>19.31818181818182</v>
      </c>
    </row>
    <row r="1866" spans="1:15" hidden="1" x14ac:dyDescent="0.25">
      <c r="A1866" s="11">
        <v>46058</v>
      </c>
      <c r="B1866" t="s">
        <v>28</v>
      </c>
      <c r="C1866" t="s">
        <v>26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v>0</v>
      </c>
      <c r="J1866" s="3">
        <v>0</v>
      </c>
      <c r="K1866" s="3">
        <v>0</v>
      </c>
      <c r="L1866" s="3" t="str">
        <f>IF(K1866&lt;-5,"CRÍTICO",IF(K1866&lt;0,"ATENÇÃO",IF(K1866&lt;=5,"BOM","EXCELENTE")))</f>
        <v>BOM</v>
      </c>
      <c r="M1866">
        <v>0</v>
      </c>
      <c r="N1866">
        <v>0</v>
      </c>
      <c r="O1866">
        <v>0</v>
      </c>
    </row>
    <row r="1867" spans="1:15" hidden="1" x14ac:dyDescent="0.25">
      <c r="A1867" s="11">
        <v>46058</v>
      </c>
      <c r="B1867" t="s">
        <v>58</v>
      </c>
      <c r="C1867" t="s">
        <v>48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>E1867+G1867+H1867</f>
        <v>27</v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>28</v>
      </c>
      <c r="K1867" s="3">
        <f>I1867-J1867</f>
        <v>-1</v>
      </c>
      <c r="L1867" s="3" t="str">
        <f>IF(K1867&lt;-5,"CRÍTICO",IF(K1867&lt;0,"ATENÇÃO",IF(K1867&lt;=5,"BOM","EXCELENTE")))</f>
        <v>ATENÇÃO</v>
      </c>
      <c r="M1867">
        <v>24</v>
      </c>
      <c r="N1867">
        <v>97.92</v>
      </c>
      <c r="O1867">
        <v>32.87671232876712</v>
      </c>
    </row>
    <row r="1868" spans="1:15" hidden="1" x14ac:dyDescent="0.25">
      <c r="A1868" s="11">
        <v>46058</v>
      </c>
      <c r="B1868" t="s">
        <v>29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30</v>
      </c>
      <c r="C1869" t="s">
        <v>26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21</v>
      </c>
      <c r="C1870" t="s">
        <v>16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v>0</v>
      </c>
      <c r="J1870" s="3">
        <v>0</v>
      </c>
      <c r="K1870" s="3">
        <v>0</v>
      </c>
      <c r="L1870" s="3" t="str">
        <f>IF(K1870&lt;-5,"CRÍTICO",IF(K1870&lt;0,"ATENÇÃO",IF(K1870&lt;=5,"BOM","EXCELENTE")))</f>
        <v>BOM</v>
      </c>
      <c r="M1870">
        <v>0</v>
      </c>
      <c r="N1870">
        <v>0</v>
      </c>
      <c r="O1870">
        <v>0</v>
      </c>
    </row>
    <row r="1871" spans="1:15" hidden="1" x14ac:dyDescent="0.25">
      <c r="A1871" s="11">
        <v>46058</v>
      </c>
      <c r="B1871" t="s">
        <v>63</v>
      </c>
      <c r="C1871" t="s">
        <v>23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>E1871+G1871+H1871</f>
        <v>23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23</v>
      </c>
      <c r="K1871" s="3">
        <f>I1871-J1871</f>
        <v>0</v>
      </c>
      <c r="L1871" s="3" t="str">
        <f>IF(K1871&lt;-5,"CRÍTICO",IF(K1871&lt;0,"ATENÇÃO",IF(K1871&lt;=5,"BOM","EXCELENTE")))</f>
        <v>BOM</v>
      </c>
      <c r="M1871">
        <v>22</v>
      </c>
      <c r="N1871">
        <v>98.51</v>
      </c>
      <c r="O1871">
        <v>29.710144927536231</v>
      </c>
    </row>
    <row r="1872" spans="1:15" hidden="1" x14ac:dyDescent="0.25">
      <c r="A1872" s="11">
        <v>46058</v>
      </c>
      <c r="B1872" t="s">
        <v>45</v>
      </c>
      <c r="C1872" t="s">
        <v>32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>E1872+G1872+H1872</f>
        <v>27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35</v>
      </c>
      <c r="K1872" s="3">
        <f>I1872-J1872</f>
        <v>-8</v>
      </c>
      <c r="L1872" s="3" t="str">
        <f>IF(K1872&lt;-5,"CRÍTICO",IF(K1872&lt;0,"ATENÇÃO",IF(K1872&lt;=5,"BOM","EXCELENTE")))</f>
        <v>CRÍTICO</v>
      </c>
      <c r="M1872">
        <v>28</v>
      </c>
      <c r="N1872">
        <v>98.81</v>
      </c>
      <c r="O1872">
        <v>30.712979890310791</v>
      </c>
    </row>
    <row r="1873" spans="1:15" hidden="1" x14ac:dyDescent="0.25">
      <c r="A1873" s="11">
        <v>46058</v>
      </c>
      <c r="B1873" t="s">
        <v>64</v>
      </c>
      <c r="C1873" t="s">
        <v>23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>E1873+G1873+H1873</f>
        <v>18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23</v>
      </c>
      <c r="K1873" s="3">
        <f>I1873-J1873</f>
        <v>-5</v>
      </c>
      <c r="L1873" s="3" t="str">
        <f>IF(K1873&lt;-5,"CRÍTICO",IF(K1873&lt;0,"ATENÇÃO",IF(K1873&lt;=5,"BOM","EXCELENTE")))</f>
        <v>ATENÇÃO</v>
      </c>
      <c r="M1873">
        <v>18</v>
      </c>
      <c r="N1873">
        <v>98.48</v>
      </c>
      <c r="O1873">
        <v>29.35323383084577</v>
      </c>
    </row>
    <row r="1874" spans="1:15" hidden="1" x14ac:dyDescent="0.25">
      <c r="A1874" s="11">
        <v>46058</v>
      </c>
      <c r="B1874" t="s">
        <v>46</v>
      </c>
      <c r="C1874" t="s">
        <v>32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>E1874+G1874+H1874</f>
        <v>38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35</v>
      </c>
      <c r="K1874" s="3">
        <f>I1874-J1874</f>
        <v>3</v>
      </c>
      <c r="L1874" s="3" t="str">
        <f>IF(K1874&lt;-5,"CRÍTICO",IF(K1874&lt;0,"ATENÇÃO",IF(K1874&lt;=5,"BOM","EXCELENTE")))</f>
        <v>BOM</v>
      </c>
      <c r="M1874">
        <v>34</v>
      </c>
      <c r="N1874">
        <v>98.56</v>
      </c>
      <c r="O1874">
        <v>29.373650107991359</v>
      </c>
    </row>
    <row r="1875" spans="1:15" hidden="1" x14ac:dyDescent="0.25">
      <c r="A1875" s="11">
        <v>46059</v>
      </c>
      <c r="B1875" t="s">
        <v>47</v>
      </c>
      <c r="C1875" t="s">
        <v>48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>E1875+G1875+H1875</f>
        <v>18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27</v>
      </c>
      <c r="K1875" s="3">
        <f>I1875-J1875</f>
        <v>-9</v>
      </c>
      <c r="L1875" s="3" t="str">
        <f>IF(K1875&lt;-5,"CRÍTICO",IF(K1875&lt;0,"ATENÇÃO",IF(K1875&lt;=5,"BOM","EXCELENTE")))</f>
        <v>CRÍTICO</v>
      </c>
      <c r="M1875">
        <v>16</v>
      </c>
      <c r="N1875">
        <v>98.32</v>
      </c>
      <c r="O1875">
        <v>30.303030303030301</v>
      </c>
    </row>
    <row r="1876" spans="1:15" hidden="1" x14ac:dyDescent="0.25">
      <c r="A1876" s="11">
        <v>46059</v>
      </c>
      <c r="B1876" t="s">
        <v>31</v>
      </c>
      <c r="C1876" t="s">
        <v>32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v>0</v>
      </c>
      <c r="J1876" s="3">
        <v>0</v>
      </c>
      <c r="K1876" s="3">
        <v>0</v>
      </c>
      <c r="L1876" s="3" t="str">
        <f>IF(K1876&lt;-5,"CRÍTICO",IF(K1876&lt;0,"ATENÇÃO",IF(K1876&lt;=5,"BOM","EXCELENTE")))</f>
        <v>BOM</v>
      </c>
      <c r="M1876">
        <v>24</v>
      </c>
      <c r="N1876">
        <v>98.68</v>
      </c>
      <c r="O1876">
        <v>26.219512195121951</v>
      </c>
    </row>
    <row r="1877" spans="1:15" hidden="1" x14ac:dyDescent="0.25">
      <c r="A1877" s="11">
        <v>46059</v>
      </c>
      <c r="B1877" t="s">
        <v>59</v>
      </c>
      <c r="C1877" t="s">
        <v>23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>E1877+G1877+H1877</f>
        <v>26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22</v>
      </c>
      <c r="K1877" s="3">
        <f>I1877-J1877</f>
        <v>4</v>
      </c>
      <c r="L1877" s="3" t="str">
        <f>IF(K1877&lt;-5,"CRÍTICO",IF(K1877&lt;0,"ATENÇÃO",IF(K1877&lt;=5,"BOM","EXCELENTE")))</f>
        <v>BOM</v>
      </c>
      <c r="M1877">
        <v>22</v>
      </c>
      <c r="N1877">
        <v>100</v>
      </c>
      <c r="O1877">
        <v>31.74224343675418</v>
      </c>
    </row>
    <row r="1878" spans="1:15" hidden="1" x14ac:dyDescent="0.25">
      <c r="A1878" s="11">
        <v>46059</v>
      </c>
      <c r="B1878" t="s">
        <v>33</v>
      </c>
      <c r="C1878" t="s">
        <v>32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>E1878+G1878+H1878</f>
        <v>30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33</v>
      </c>
      <c r="K1878" s="3">
        <f>I1878-J1878</f>
        <v>-3</v>
      </c>
      <c r="L1878" s="3" t="str">
        <f>IF(K1878&lt;-5,"CRÍTICO",IF(K1878&lt;0,"ATENÇÃO",IF(K1878&lt;=5,"BOM","EXCELENTE")))</f>
        <v>ATENÇÃO</v>
      </c>
      <c r="M1878">
        <v>26</v>
      </c>
      <c r="N1878">
        <v>98.25</v>
      </c>
      <c r="O1878">
        <v>25.83518930957684</v>
      </c>
    </row>
    <row r="1879" spans="1:15" hidden="1" x14ac:dyDescent="0.25">
      <c r="A1879" s="11">
        <v>46059</v>
      </c>
      <c r="B1879" t="s">
        <v>15</v>
      </c>
      <c r="C1879" t="s">
        <v>16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>E1879+G1879+H1879</f>
        <v>11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10</v>
      </c>
      <c r="K1879" s="3">
        <f>I1879-J1879</f>
        <v>1</v>
      </c>
      <c r="L1879" s="3" t="str">
        <f>IF(K1879&lt;-5,"CRÍTICO",IF(K1879&lt;0,"ATENÇÃO",IF(K1879&lt;=5,"BOM","EXCELENTE")))</f>
        <v>BOM</v>
      </c>
      <c r="M1879">
        <v>9</v>
      </c>
      <c r="N1879">
        <v>97.5</v>
      </c>
      <c r="O1879">
        <v>30.075187969924809</v>
      </c>
    </row>
    <row r="1880" spans="1:15" hidden="1" x14ac:dyDescent="0.25">
      <c r="A1880" s="11">
        <v>46059</v>
      </c>
      <c r="B1880" t="s">
        <v>49</v>
      </c>
      <c r="C1880" t="s">
        <v>48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>E1880+G1880+H1880</f>
        <v>35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8</v>
      </c>
      <c r="L1880" s="3" t="str">
        <f>IF(K1880&lt;-5,"CRÍTICO",IF(K1880&lt;0,"ATENÇÃO",IF(K1880&lt;=5,"BOM","EXCELENTE")))</f>
        <v>EXCELENTE</v>
      </c>
      <c r="M1880">
        <v>36</v>
      </c>
      <c r="N1880">
        <v>100</v>
      </c>
      <c r="O1880">
        <v>29.71311475409836</v>
      </c>
    </row>
    <row r="1881" spans="1:15" hidden="1" x14ac:dyDescent="0.25">
      <c r="A1881" s="11">
        <v>46059</v>
      </c>
      <c r="B1881" t="s">
        <v>50</v>
      </c>
      <c r="C1881" t="s">
        <v>48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>E1881+G1881+H1881</f>
        <v>22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27</v>
      </c>
      <c r="K1881" s="3">
        <f>I1881-J1881</f>
        <v>-5</v>
      </c>
      <c r="L1881" s="3" t="str">
        <f>IF(K1881&lt;-5,"CRÍTICO",IF(K1881&lt;0,"ATENÇÃO",IF(K1881&lt;=5,"BOM","EXCELENTE")))</f>
        <v>ATENÇÃO</v>
      </c>
      <c r="M1881">
        <v>23</v>
      </c>
      <c r="N1881">
        <v>99.22</v>
      </c>
      <c r="O1881">
        <v>35.256410256410263</v>
      </c>
    </row>
    <row r="1882" spans="1:15" hidden="1" x14ac:dyDescent="0.25">
      <c r="A1882" s="11">
        <v>46059</v>
      </c>
      <c r="B1882" t="s">
        <v>17</v>
      </c>
      <c r="C1882" t="s">
        <v>16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v>0</v>
      </c>
      <c r="J1882" s="3">
        <v>0</v>
      </c>
      <c r="K1882" s="3">
        <v>0</v>
      </c>
      <c r="L1882" s="3" t="str">
        <f>IF(K1882&lt;-5,"CRÍTICO",IF(K1882&lt;0,"ATENÇÃO",IF(K1882&lt;=5,"BOM","EXCELENTE")))</f>
        <v>BOM</v>
      </c>
      <c r="M1882">
        <v>0</v>
      </c>
      <c r="N1882">
        <v>0</v>
      </c>
      <c r="O1882">
        <v>0</v>
      </c>
    </row>
    <row r="1883" spans="1:15" hidden="1" x14ac:dyDescent="0.25">
      <c r="A1883" s="11">
        <v>46059</v>
      </c>
      <c r="B1883" t="s">
        <v>60</v>
      </c>
      <c r="C1883" t="s">
        <v>23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>E1883+G1883+H1883</f>
        <v>5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22</v>
      </c>
      <c r="K1883" s="3">
        <f>I1883-J1883</f>
        <v>-17</v>
      </c>
      <c r="L1883" s="3" t="str">
        <f>IF(K1883&lt;-5,"CRÍTICO",IF(K1883&lt;0,"ATENÇÃO",IF(K1883&lt;=5,"BOM","EXCELENTE")))</f>
        <v>CRÍTICO</v>
      </c>
      <c r="M1883">
        <v>20</v>
      </c>
      <c r="N1883">
        <v>98.75</v>
      </c>
      <c r="O1883">
        <v>24.32432432432433</v>
      </c>
    </row>
    <row r="1884" spans="1:15" hidden="1" x14ac:dyDescent="0.25">
      <c r="A1884" s="11">
        <v>46059</v>
      </c>
      <c r="B1884" t="s">
        <v>34</v>
      </c>
      <c r="C1884" t="s">
        <v>32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>E1884+G1884+H1884</f>
        <v>42</v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>33</v>
      </c>
      <c r="K1884" s="3">
        <f>I1884-J1884</f>
        <v>9</v>
      </c>
      <c r="L1884" s="3" t="str">
        <f>IF(K1884&lt;-5,"CRÍTICO",IF(K1884&lt;0,"ATENÇÃO",IF(K1884&lt;=5,"BOM","EXCELENTE")))</f>
        <v>EXCELENTE</v>
      </c>
      <c r="M1884">
        <v>41</v>
      </c>
      <c r="N1884">
        <v>93.48</v>
      </c>
      <c r="O1884">
        <v>31.52804642166344</v>
      </c>
    </row>
    <row r="1885" spans="1:15" hidden="1" x14ac:dyDescent="0.25">
      <c r="A1885" s="11">
        <v>46059</v>
      </c>
      <c r="B1885" t="s">
        <v>51</v>
      </c>
      <c r="C1885" t="s">
        <v>48</v>
      </c>
      <c r="D1885">
        <v>35</v>
      </c>
      <c r="E1885">
        <v>32</v>
      </c>
      <c r="F1885">
        <v>18.350000000000001</v>
      </c>
      <c r="G1885">
        <v>0</v>
      </c>
      <c r="H1885">
        <v>0</v>
      </c>
      <c r="I1885" s="3">
        <v>0</v>
      </c>
      <c r="J1885" s="3">
        <v>0</v>
      </c>
      <c r="K1885" s="3">
        <v>0</v>
      </c>
      <c r="L1885" s="3" t="str">
        <f>IF(K1885&lt;-5,"CRÍTICO",IF(K1885&lt;0,"ATENÇÃO",IF(K1885&lt;=5,"BOM","EXCELENTE")))</f>
        <v>BOM</v>
      </c>
      <c r="M1885">
        <v>28</v>
      </c>
      <c r="N1885">
        <v>99.16</v>
      </c>
      <c r="O1885">
        <v>26.13908872901678</v>
      </c>
    </row>
    <row r="1886" spans="1:15" hidden="1" x14ac:dyDescent="0.25">
      <c r="A1886" s="11">
        <v>46059</v>
      </c>
      <c r="B1886" t="s">
        <v>61</v>
      </c>
      <c r="C1886" t="s">
        <v>23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>E1886+G1886+H1886</f>
        <v>21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22</v>
      </c>
      <c r="K1886" s="3">
        <f>I1886-J1886</f>
        <v>-1</v>
      </c>
      <c r="L1886" s="3" t="str">
        <f>IF(K1886&lt;-5,"CRÍTICO",IF(K1886&lt;0,"ATENÇÃO",IF(K1886&lt;=5,"BOM","EXCELENTE")))</f>
        <v>ATENÇÃO</v>
      </c>
      <c r="M1886">
        <v>27</v>
      </c>
      <c r="N1886">
        <v>100</v>
      </c>
      <c r="O1886">
        <v>31.089743589743591</v>
      </c>
    </row>
    <row r="1887" spans="1:15" hidden="1" x14ac:dyDescent="0.25">
      <c r="A1887" s="11">
        <v>46059</v>
      </c>
      <c r="B1887" t="s">
        <v>35</v>
      </c>
      <c r="C1887" t="s">
        <v>32</v>
      </c>
      <c r="D1887">
        <v>38</v>
      </c>
      <c r="E1887">
        <v>38</v>
      </c>
      <c r="F1887">
        <v>19.14</v>
      </c>
      <c r="G1887">
        <v>0</v>
      </c>
      <c r="H1887">
        <v>0</v>
      </c>
      <c r="I1887" s="3">
        <v>0</v>
      </c>
      <c r="J1887" s="3">
        <v>0</v>
      </c>
      <c r="K1887" s="3">
        <v>0</v>
      </c>
      <c r="L1887" s="3" t="str">
        <f>IF(K1887&lt;-5,"CRÍTICO",IF(K1887&lt;0,"ATENÇÃO",IF(K1887&lt;=5,"BOM","EXCELENTE")))</f>
        <v>BOM</v>
      </c>
      <c r="M1887">
        <v>38</v>
      </c>
      <c r="N1887">
        <v>98.11</v>
      </c>
      <c r="O1887">
        <v>33.033707865168537</v>
      </c>
    </row>
    <row r="1888" spans="1:15" hidden="1" x14ac:dyDescent="0.25">
      <c r="A1888" s="11">
        <v>46059</v>
      </c>
      <c r="B1888" t="s">
        <v>18</v>
      </c>
      <c r="C1888" t="s">
        <v>16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>E1888+G1888+H1888</f>
        <v>43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10</v>
      </c>
      <c r="K1888" s="3">
        <f>I1888-J1888</f>
        <v>33</v>
      </c>
      <c r="L1888" s="3" t="str">
        <f>IF(K1888&lt;-5,"CRÍTICO",IF(K1888&lt;0,"ATENÇÃO",IF(K1888&lt;=5,"BOM","EXCELENTE")))</f>
        <v>EXCELENTE</v>
      </c>
      <c r="M1888">
        <v>3</v>
      </c>
      <c r="N1888">
        <v>78.95</v>
      </c>
      <c r="O1888">
        <v>38.983050847457633</v>
      </c>
    </row>
    <row r="1889" spans="1:15" hidden="1" x14ac:dyDescent="0.25">
      <c r="A1889" s="11">
        <v>46059</v>
      </c>
      <c r="B1889" t="s">
        <v>52</v>
      </c>
      <c r="C1889" t="s">
        <v>48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>E1889+G1889+H1889</f>
        <v>31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27</v>
      </c>
      <c r="K1889" s="3">
        <f>I1889-J1889</f>
        <v>4</v>
      </c>
      <c r="L1889" s="3" t="str">
        <f>IF(K1889&lt;-5,"CRÍTICO",IF(K1889&lt;0,"ATENÇÃO",IF(K1889&lt;=5,"BOM","EXCELENTE")))</f>
        <v>BOM</v>
      </c>
      <c r="M1889">
        <v>29</v>
      </c>
      <c r="N1889">
        <v>98.45</v>
      </c>
      <c r="O1889">
        <v>29.281767955801101</v>
      </c>
    </row>
    <row r="1890" spans="1:15" hidden="1" x14ac:dyDescent="0.25">
      <c r="A1890" s="11">
        <v>46059</v>
      </c>
      <c r="B1890" t="s">
        <v>36</v>
      </c>
      <c r="C1890" t="s">
        <v>32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>E1890+G1890+H1890</f>
        <v>33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33</v>
      </c>
      <c r="K1890" s="3">
        <f>I1890-J1890</f>
        <v>0</v>
      </c>
      <c r="L1890" s="3" t="str">
        <f>IF(K1890&lt;-5,"CRÍTICO",IF(K1890&lt;0,"ATENÇÃO",IF(K1890&lt;=5,"BOM","EXCELENTE")))</f>
        <v>BOM</v>
      </c>
      <c r="M1890">
        <v>33</v>
      </c>
      <c r="N1890">
        <v>97.84</v>
      </c>
      <c r="O1890">
        <v>26.282051282051281</v>
      </c>
    </row>
    <row r="1891" spans="1:15" hidden="1" x14ac:dyDescent="0.25">
      <c r="A1891" s="11">
        <v>46059</v>
      </c>
      <c r="B1891" t="s">
        <v>53</v>
      </c>
      <c r="C1891" t="s">
        <v>48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>E1891+G1891+H1891</f>
        <v>29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27</v>
      </c>
      <c r="K1891" s="3">
        <f>I1891-J1891</f>
        <v>2</v>
      </c>
      <c r="L1891" s="3" t="str">
        <f>IF(K1891&lt;-5,"CRÍTICO",IF(K1891&lt;0,"ATENÇÃO",IF(K1891&lt;=5,"BOM","EXCELENTE")))</f>
        <v>BOM</v>
      </c>
      <c r="M1891">
        <v>26</v>
      </c>
      <c r="N1891">
        <v>98.5</v>
      </c>
      <c r="O1891">
        <v>23.97769516728625</v>
      </c>
    </row>
    <row r="1892" spans="1:15" hidden="1" x14ac:dyDescent="0.25">
      <c r="A1892" s="11">
        <v>46093</v>
      </c>
      <c r="B1892" t="s">
        <v>22</v>
      </c>
      <c r="C1892" t="s">
        <v>23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v>0</v>
      </c>
      <c r="J1892" s="3">
        <v>0</v>
      </c>
      <c r="K1892" s="3">
        <v>0</v>
      </c>
      <c r="L1892" s="3" t="str">
        <f>IF(K1892&lt;-5,"CRÍTICO",IF(K1892&lt;0,"ATENÇÃO",IF(K1892&lt;=5,"BOM","EXCELENTE")))</f>
        <v>BOM</v>
      </c>
      <c r="M1892">
        <v>14</v>
      </c>
      <c r="N1892">
        <v>99.05</v>
      </c>
      <c r="O1892">
        <v>26.621923937360179</v>
      </c>
    </row>
    <row r="1893" spans="1:15" hidden="1" x14ac:dyDescent="0.25">
      <c r="A1893" s="11">
        <v>46059</v>
      </c>
      <c r="B1893" t="s">
        <v>54</v>
      </c>
      <c r="C1893" t="s">
        <v>48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>E1893+G1893+H1893</f>
        <v>26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27</v>
      </c>
      <c r="K1893" s="3">
        <f>I1893-J1893</f>
        <v>-1</v>
      </c>
      <c r="L1893" s="3" t="str">
        <f>IF(K1893&lt;-5,"CRÍTICO",IF(K1893&lt;0,"ATENÇÃO",IF(K1893&lt;=5,"BOM","EXCELENTE")))</f>
        <v>ATENÇÃO</v>
      </c>
      <c r="M1893">
        <v>25</v>
      </c>
      <c r="N1893">
        <v>98.53</v>
      </c>
      <c r="O1893">
        <v>31.578947368421051</v>
      </c>
    </row>
    <row r="1894" spans="1:15" hidden="1" x14ac:dyDescent="0.25">
      <c r="A1894" s="11">
        <v>46059</v>
      </c>
      <c r="B1894" t="s">
        <v>37</v>
      </c>
      <c r="C1894" t="s">
        <v>32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>E1894+G1894+H1894</f>
        <v>56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23</v>
      </c>
      <c r="L1894" s="3" t="str">
        <f>IF(K1894&lt;-5,"CRÍTICO",IF(K1894&lt;0,"ATENÇÃO",IF(K1894&lt;=5,"BOM","EXCELENTE")))</f>
        <v>EXCELENTE</v>
      </c>
      <c r="M1894">
        <v>54</v>
      </c>
      <c r="N1894">
        <v>100</v>
      </c>
      <c r="O1894">
        <v>25.72214580467676</v>
      </c>
    </row>
    <row r="1895" spans="1:15" hidden="1" x14ac:dyDescent="0.25">
      <c r="A1895" s="11">
        <v>46059</v>
      </c>
      <c r="B1895" t="s">
        <v>38</v>
      </c>
      <c r="C1895" t="s">
        <v>32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>E1895+G1895+H1895</f>
        <v>29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33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>
        <v>27</v>
      </c>
      <c r="N1895">
        <v>94.64</v>
      </c>
      <c r="O1895">
        <v>27.52941176470588</v>
      </c>
    </row>
    <row r="1896" spans="1:15" hidden="1" x14ac:dyDescent="0.25">
      <c r="A1896" s="11">
        <v>46059</v>
      </c>
      <c r="B1896" t="s">
        <v>55</v>
      </c>
      <c r="C1896" t="s">
        <v>48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>E1896+G1896+H1896</f>
        <v>23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27</v>
      </c>
      <c r="K1896" s="3">
        <f>I1896-J1896</f>
        <v>-4</v>
      </c>
      <c r="L1896" s="3" t="str">
        <f>IF(K1896&lt;-5,"CRÍTICO",IF(K1896&lt;0,"ATENÇÃO",IF(K1896&lt;=5,"BOM","EXCELENTE")))</f>
        <v>ATENÇÃO</v>
      </c>
      <c r="M1896">
        <v>21</v>
      </c>
      <c r="N1896">
        <v>99.07</v>
      </c>
      <c r="O1896">
        <v>26.376811594202898</v>
      </c>
    </row>
    <row r="1897" spans="1:15" hidden="1" x14ac:dyDescent="0.25">
      <c r="A1897" s="11">
        <v>46059</v>
      </c>
      <c r="B1897" t="s">
        <v>39</v>
      </c>
      <c r="C1897" t="s">
        <v>32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v>0</v>
      </c>
      <c r="J1897" s="3">
        <v>0</v>
      </c>
      <c r="K1897" s="3">
        <v>0</v>
      </c>
      <c r="L1897" s="3" t="str">
        <f>IF(K1897&lt;-5,"CRÍTICO",IF(K1897&lt;0,"ATENÇÃO",IF(K1897&lt;=5,"BOM","EXCELENTE")))</f>
        <v>BOM</v>
      </c>
      <c r="M1897">
        <v>0</v>
      </c>
      <c r="N1897">
        <v>100</v>
      </c>
      <c r="O1897">
        <v>0</v>
      </c>
    </row>
    <row r="1898" spans="1:15" hidden="1" x14ac:dyDescent="0.25">
      <c r="A1898" s="11">
        <v>46059</v>
      </c>
      <c r="B1898" t="s">
        <v>25</v>
      </c>
      <c r="C1898" t="s">
        <v>26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>E1898+G1898+H1898</f>
        <v>15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19</v>
      </c>
      <c r="K1898" s="3">
        <f>I1898-J1898</f>
        <v>-4</v>
      </c>
      <c r="L1898" s="3" t="str">
        <f>IF(K1898&lt;-5,"CRÍTICO",IF(K1898&lt;0,"ATENÇÃO",IF(K1898&lt;=5,"BOM","EXCELENTE")))</f>
        <v>ATENÇÃO</v>
      </c>
      <c r="M1898">
        <v>15</v>
      </c>
      <c r="N1898">
        <v>98.48</v>
      </c>
      <c r="O1898">
        <v>27.853881278538811</v>
      </c>
    </row>
    <row r="1899" spans="1:15" hidden="1" x14ac:dyDescent="0.25">
      <c r="A1899" s="11">
        <v>46059</v>
      </c>
      <c r="B1899" t="s">
        <v>40</v>
      </c>
      <c r="C1899" t="s">
        <v>32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>E1899+G1899+H1899</f>
        <v>3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33</v>
      </c>
      <c r="K1899" s="3">
        <f>I1899-J1899</f>
        <v>-30</v>
      </c>
      <c r="L1899" s="3" t="str">
        <f>IF(K1899&lt;-5,"CRÍTICO",IF(K1899&lt;0,"ATENÇÃO",IF(K1899&lt;=5,"BOM","EXCELENTE")))</f>
        <v>CRÍTICO</v>
      </c>
      <c r="M1899">
        <v>27</v>
      </c>
      <c r="N1899">
        <v>95.15</v>
      </c>
      <c r="O1899">
        <v>34.131736526946113</v>
      </c>
    </row>
    <row r="1900" spans="1:15" hidden="1" x14ac:dyDescent="0.25">
      <c r="A1900" s="11">
        <v>46059</v>
      </c>
      <c r="B1900" t="s">
        <v>27</v>
      </c>
      <c r="C1900" t="s">
        <v>26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v>0</v>
      </c>
      <c r="J1900" s="3">
        <v>0</v>
      </c>
      <c r="K1900" s="3">
        <v>0</v>
      </c>
      <c r="L1900" s="3" t="str">
        <f>IF(K1900&lt;-5,"CRÍTICO",IF(K1900&lt;0,"ATENÇÃO",IF(K1900&lt;=5,"BOM","EXCELENTE")))</f>
        <v>BOM</v>
      </c>
      <c r="M1900">
        <v>0</v>
      </c>
      <c r="N1900">
        <v>0</v>
      </c>
      <c r="O1900">
        <v>0</v>
      </c>
    </row>
    <row r="1901" spans="1:15" hidden="1" x14ac:dyDescent="0.25">
      <c r="A1901" s="11">
        <v>46059</v>
      </c>
      <c r="B1901" t="s">
        <v>41</v>
      </c>
      <c r="C1901" t="s">
        <v>32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>E1901+G1901+H1901</f>
        <v>24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33</v>
      </c>
      <c r="K1901" s="3">
        <f>I1901-J1901</f>
        <v>-9</v>
      </c>
      <c r="L1901" s="3" t="str">
        <f>IF(K1901&lt;-5,"CRÍTICO",IF(K1901&lt;0,"ATENÇÃO",IF(K1901&lt;=5,"BOM","EXCELENTE")))</f>
        <v>CRÍTICO</v>
      </c>
      <c r="M1901">
        <v>22</v>
      </c>
      <c r="N1901">
        <v>99.26</v>
      </c>
      <c r="O1901">
        <v>30.84832904884319</v>
      </c>
    </row>
    <row r="1902" spans="1:15" hidden="1" x14ac:dyDescent="0.25">
      <c r="A1902" s="11">
        <v>46059</v>
      </c>
      <c r="B1902" t="s">
        <v>56</v>
      </c>
      <c r="C1902" t="s">
        <v>48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>E1902+G1902+H1902</f>
        <v>29</v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>27</v>
      </c>
      <c r="K1902" s="3">
        <f>I1902-J1902</f>
        <v>2</v>
      </c>
      <c r="L1902" s="3" t="str">
        <f>IF(K1902&lt;-5,"CRÍTICO",IF(K1902&lt;0,"ATENÇÃO",IF(K1902&lt;=5,"BOM","EXCELENTE")))</f>
        <v>BOM</v>
      </c>
      <c r="M1902">
        <v>20</v>
      </c>
      <c r="N1902">
        <v>97.48</v>
      </c>
      <c r="O1902">
        <v>27.764705882352938</v>
      </c>
    </row>
    <row r="1903" spans="1:15" hidden="1" x14ac:dyDescent="0.25">
      <c r="A1903" s="11">
        <v>46059</v>
      </c>
      <c r="B1903" t="s">
        <v>57</v>
      </c>
      <c r="C1903" t="s">
        <v>48</v>
      </c>
      <c r="D1903">
        <v>41</v>
      </c>
      <c r="E1903">
        <v>38</v>
      </c>
      <c r="F1903">
        <v>15.12</v>
      </c>
      <c r="G1903">
        <v>0</v>
      </c>
      <c r="H1903">
        <v>0</v>
      </c>
      <c r="I1903" s="3">
        <v>0</v>
      </c>
      <c r="J1903" s="3">
        <v>0</v>
      </c>
      <c r="K1903" s="3">
        <v>0</v>
      </c>
      <c r="L1903" s="3" t="str">
        <f>IF(K1903&lt;-5,"CRÍTICO",IF(K1903&lt;0,"ATENÇÃO",IF(K1903&lt;=5,"BOM","EXCELENTE")))</f>
        <v>BOM</v>
      </c>
      <c r="M1903">
        <v>33</v>
      </c>
      <c r="N1903">
        <v>99.34</v>
      </c>
      <c r="O1903">
        <v>30.04291845493562</v>
      </c>
    </row>
    <row r="1904" spans="1:15" hidden="1" x14ac:dyDescent="0.25">
      <c r="A1904" s="11">
        <v>46059</v>
      </c>
      <c r="B1904" t="s">
        <v>42</v>
      </c>
      <c r="C1904" t="s">
        <v>32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>E1904+G1904+H1904</f>
        <v>27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33</v>
      </c>
      <c r="K1904" s="3">
        <f>I1904-J1904</f>
        <v>-6</v>
      </c>
      <c r="L1904" s="3" t="str">
        <f>IF(K1904&lt;-5,"CRÍTICO",IF(K1904&lt;0,"ATENÇÃO",IF(K1904&lt;=5,"BOM","EXCELENTE")))</f>
        <v>CRÍTICO</v>
      </c>
      <c r="M1904">
        <v>19</v>
      </c>
      <c r="N1904">
        <v>96.3</v>
      </c>
      <c r="O1904">
        <v>24.29378531073446</v>
      </c>
    </row>
    <row r="1905" spans="1:15" hidden="1" x14ac:dyDescent="0.25">
      <c r="A1905" s="11">
        <v>46059</v>
      </c>
      <c r="B1905" t="s">
        <v>62</v>
      </c>
      <c r="C1905" t="s">
        <v>23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>E1905+G1905+H1905</f>
        <v>32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22</v>
      </c>
      <c r="K1905" s="3">
        <f>I1905-J1905</f>
        <v>10</v>
      </c>
      <c r="L1905" s="3" t="str">
        <f>IF(K1905&lt;-5,"CRÍTICO",IF(K1905&lt;0,"ATENÇÃO",IF(K1905&lt;=5,"BOM","EXCELENTE")))</f>
        <v>EXCELENTE</v>
      </c>
      <c r="M1905">
        <v>32</v>
      </c>
      <c r="N1905">
        <v>100</v>
      </c>
      <c r="O1905">
        <v>26.543209876543209</v>
      </c>
    </row>
    <row r="1906" spans="1:15" hidden="1" x14ac:dyDescent="0.25">
      <c r="A1906" s="11">
        <v>46059</v>
      </c>
      <c r="B1906" t="s">
        <v>19</v>
      </c>
      <c r="C1906" t="s">
        <v>16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>E1906+G1906+H1906</f>
        <v>33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10</v>
      </c>
      <c r="K1906" s="3">
        <f>I1906-J1906</f>
        <v>23</v>
      </c>
      <c r="L1906" s="3" t="str">
        <f>IF(K1906&lt;-5,"CRÍTICO",IF(K1906&lt;0,"ATENÇÃO",IF(K1906&lt;=5,"BOM","EXCELENTE")))</f>
        <v>EXCELENTE</v>
      </c>
      <c r="M1906">
        <v>0</v>
      </c>
      <c r="N1906">
        <v>100</v>
      </c>
      <c r="O1906">
        <v>35.483870967741943</v>
      </c>
    </row>
    <row r="1907" spans="1:15" hidden="1" x14ac:dyDescent="0.25">
      <c r="A1907" s="11">
        <v>46059</v>
      </c>
      <c r="B1907" t="s">
        <v>43</v>
      </c>
      <c r="C1907" t="s">
        <v>32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>E1907+G1907+H1907</f>
        <v>40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7</v>
      </c>
      <c r="L1907" s="3" t="str">
        <f>IF(K1907&lt;-5,"CRÍTICO",IF(K1907&lt;0,"ATENÇÃO",IF(K1907&lt;=5,"BOM","EXCELENTE")))</f>
        <v>EXCELENTE</v>
      </c>
      <c r="M1907">
        <v>38</v>
      </c>
      <c r="N1907">
        <v>99.27</v>
      </c>
      <c r="O1907">
        <v>31.163708086785011</v>
      </c>
    </row>
    <row r="1908" spans="1:15" hidden="1" x14ac:dyDescent="0.25">
      <c r="A1908" s="11">
        <v>46059</v>
      </c>
      <c r="B1908" t="s">
        <v>44</v>
      </c>
      <c r="C1908" t="s">
        <v>32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>E1908+G1908+H1908</f>
        <v>25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33</v>
      </c>
      <c r="K1908" s="3">
        <f>I1908-J1908</f>
        <v>-8</v>
      </c>
      <c r="L1908" s="3" t="str">
        <f>IF(K1908&lt;-5,"CRÍTICO",IF(K1908&lt;0,"ATENÇÃO",IF(K1908&lt;=5,"BOM","EXCELENTE")))</f>
        <v>CRÍTICO</v>
      </c>
      <c r="M1908">
        <v>22</v>
      </c>
      <c r="N1908">
        <v>94.16</v>
      </c>
      <c r="O1908">
        <v>27.038626609442058</v>
      </c>
    </row>
    <row r="1909" spans="1:15" hidden="1" x14ac:dyDescent="0.25">
      <c r="A1909" s="11">
        <v>46059</v>
      </c>
      <c r="B1909" t="s">
        <v>20</v>
      </c>
      <c r="C1909" t="s">
        <v>16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>E1909+G1909+H1909</f>
        <v>11</v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>10</v>
      </c>
      <c r="K1909" s="3">
        <f>I1909-J1909</f>
        <v>1</v>
      </c>
      <c r="L1909" s="3" t="str">
        <f>IF(K1909&lt;-5,"CRÍTICO",IF(K1909&lt;0,"ATENÇÃO",IF(K1909&lt;=5,"BOM","EXCELENTE")))</f>
        <v>BOM</v>
      </c>
      <c r="M1909">
        <v>5</v>
      </c>
      <c r="N1909">
        <v>93.75</v>
      </c>
      <c r="O1909">
        <v>19.31818181818182</v>
      </c>
    </row>
    <row r="1910" spans="1:15" hidden="1" x14ac:dyDescent="0.25">
      <c r="A1910" s="11">
        <v>46059</v>
      </c>
      <c r="B1910" t="s">
        <v>28</v>
      </c>
      <c r="C1910" t="s">
        <v>26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>
        <v>0</v>
      </c>
      <c r="N1910">
        <v>0</v>
      </c>
      <c r="O1910">
        <v>0</v>
      </c>
    </row>
    <row r="1911" spans="1:15" hidden="1" x14ac:dyDescent="0.25">
      <c r="A1911" s="11">
        <v>46059</v>
      </c>
      <c r="B1911" t="s">
        <v>58</v>
      </c>
      <c r="C1911" t="s">
        <v>48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>
        <v>0</v>
      </c>
      <c r="N1911">
        <v>97.92</v>
      </c>
      <c r="O1911">
        <v>32.87671232876712</v>
      </c>
    </row>
    <row r="1912" spans="1:15" hidden="1" x14ac:dyDescent="0.25">
      <c r="A1912" s="11">
        <v>46059</v>
      </c>
      <c r="B1912" t="s">
        <v>29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30</v>
      </c>
      <c r="C1913" t="s">
        <v>26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21</v>
      </c>
      <c r="C1914" t="s">
        <v>16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v>0</v>
      </c>
      <c r="J1914" s="3">
        <v>0</v>
      </c>
      <c r="K1914" s="3">
        <v>0</v>
      </c>
      <c r="L1914" s="3" t="str">
        <f>IF(K1914&lt;-5,"CRÍTICO",IF(K1914&lt;0,"ATENÇÃO",IF(K1914&lt;=5,"BOM","EXCELENTE")))</f>
        <v>BOM</v>
      </c>
      <c r="M1914">
        <v>0</v>
      </c>
      <c r="N1914">
        <v>0</v>
      </c>
      <c r="O1914">
        <v>0</v>
      </c>
    </row>
    <row r="1915" spans="1:15" hidden="1" x14ac:dyDescent="0.25">
      <c r="A1915" s="11">
        <v>46059</v>
      </c>
      <c r="B1915" t="s">
        <v>63</v>
      </c>
      <c r="C1915" t="s">
        <v>23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>E1915+G1915+H1915</f>
        <v>13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22</v>
      </c>
      <c r="K1915" s="3">
        <f>I1915-J1915</f>
        <v>-9</v>
      </c>
      <c r="L1915" s="3" t="str">
        <f>IF(K1915&lt;-5,"CRÍTICO",IF(K1915&lt;0,"ATENÇÃO",IF(K1915&lt;=5,"BOM","EXCELENTE")))</f>
        <v>CRÍTICO</v>
      </c>
      <c r="M1915">
        <v>12</v>
      </c>
      <c r="N1915">
        <v>98.51</v>
      </c>
      <c r="O1915">
        <v>29.710144927536231</v>
      </c>
    </row>
    <row r="1916" spans="1:15" hidden="1" x14ac:dyDescent="0.25">
      <c r="A1916" s="11">
        <v>46059</v>
      </c>
      <c r="B1916" t="s">
        <v>45</v>
      </c>
      <c r="C1916" t="s">
        <v>32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>E1916+G1916+H1916</f>
        <v>27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33</v>
      </c>
      <c r="K1916" s="3">
        <f>I1916-J1916</f>
        <v>-6</v>
      </c>
      <c r="L1916" s="3" t="str">
        <f>IF(K1916&lt;-5,"CRÍTICO",IF(K1916&lt;0,"ATENÇÃO",IF(K1916&lt;=5,"BOM","EXCELENTE")))</f>
        <v>CRÍTICO</v>
      </c>
      <c r="M1916">
        <v>21</v>
      </c>
      <c r="N1916">
        <v>98.81</v>
      </c>
      <c r="O1916">
        <v>30.712979890310791</v>
      </c>
    </row>
    <row r="1917" spans="1:15" hidden="1" x14ac:dyDescent="0.25">
      <c r="A1917" s="11">
        <v>46059</v>
      </c>
      <c r="B1917" t="s">
        <v>64</v>
      </c>
      <c r="C1917" t="s">
        <v>23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>E1917+G1917+H1917</f>
        <v>17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22</v>
      </c>
      <c r="K1917" s="3">
        <f>I1917-J1917</f>
        <v>-5</v>
      </c>
      <c r="L1917" s="3" t="str">
        <f>IF(K1917&lt;-5,"CRÍTICO",IF(K1917&lt;0,"ATENÇÃO",IF(K1917&lt;=5,"BOM","EXCELENTE")))</f>
        <v>ATENÇÃO</v>
      </c>
      <c r="M1917">
        <v>15</v>
      </c>
      <c r="N1917">
        <v>98.48</v>
      </c>
      <c r="O1917">
        <v>29.35323383084577</v>
      </c>
    </row>
    <row r="1918" spans="1:15" hidden="1" x14ac:dyDescent="0.25">
      <c r="A1918" s="11">
        <v>46059</v>
      </c>
      <c r="B1918" t="s">
        <v>46</v>
      </c>
      <c r="C1918" t="s">
        <v>32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>E1918+G1918+H1918</f>
        <v>40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33</v>
      </c>
      <c r="K1918" s="3">
        <f>I1918-J1918</f>
        <v>7</v>
      </c>
      <c r="L1918" s="3" t="str">
        <f>IF(K1918&lt;-5,"CRÍTICO",IF(K1918&lt;0,"ATENÇÃO",IF(K1918&lt;=5,"BOM","EXCELENTE")))</f>
        <v>EXCELENTE</v>
      </c>
      <c r="M1918">
        <v>37</v>
      </c>
      <c r="N1918">
        <v>98.56</v>
      </c>
      <c r="O1918">
        <v>29.373650107991359</v>
      </c>
    </row>
    <row r="1919" spans="1:15" hidden="1" x14ac:dyDescent="0.25">
      <c r="A1919" s="11">
        <v>46062</v>
      </c>
      <c r="B1919" t="s">
        <v>47</v>
      </c>
      <c r="C1919" t="s">
        <v>48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>E1919+G1919+H1919</f>
        <v>28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22</v>
      </c>
      <c r="K1919" s="3">
        <f>I1919-J1919</f>
        <v>6</v>
      </c>
      <c r="L1919" s="3" t="str">
        <f>IF(K1919&lt;-5,"CRÍTICO",IF(K1919&lt;0,"ATENÇÃO",IF(K1919&lt;=5,"BOM","EXCELENTE")))</f>
        <v>EXCELENTE</v>
      </c>
      <c r="M1919">
        <v>26</v>
      </c>
      <c r="N1919">
        <v>98.32</v>
      </c>
      <c r="O1919">
        <v>30.303030303030301</v>
      </c>
    </row>
    <row r="1920" spans="1:15" hidden="1" x14ac:dyDescent="0.25">
      <c r="A1920" s="11">
        <v>46062</v>
      </c>
      <c r="B1920" t="s">
        <v>31</v>
      </c>
      <c r="C1920" t="s">
        <v>32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v>0</v>
      </c>
      <c r="J1920" s="3">
        <v>0</v>
      </c>
      <c r="K1920" s="3">
        <v>0</v>
      </c>
      <c r="L1920" s="3" t="str">
        <f>IF(K1920&lt;-5,"CRÍTICO",IF(K1920&lt;0,"ATENÇÃO",IF(K1920&lt;=5,"BOM","EXCELENTE")))</f>
        <v>BOM</v>
      </c>
      <c r="M1920">
        <v>29</v>
      </c>
      <c r="N1920">
        <v>98.68</v>
      </c>
      <c r="O1920">
        <v>26.219512195121951</v>
      </c>
    </row>
    <row r="1921" spans="1:15" hidden="1" x14ac:dyDescent="0.25">
      <c r="A1921" s="11">
        <v>46062</v>
      </c>
      <c r="B1921" t="s">
        <v>59</v>
      </c>
      <c r="C1921" t="s">
        <v>23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>E1921+G1921+H1921</f>
        <v>29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18</v>
      </c>
      <c r="K1921" s="3">
        <f>I1921-J1921</f>
        <v>11</v>
      </c>
      <c r="L1921" s="3" t="str">
        <f>IF(K1921&lt;-5,"CRÍTICO",IF(K1921&lt;0,"ATENÇÃO",IF(K1921&lt;=5,"BOM","EXCELENTE")))</f>
        <v>EXCELENTE</v>
      </c>
      <c r="M1921">
        <v>30</v>
      </c>
      <c r="N1921">
        <v>100</v>
      </c>
      <c r="O1921">
        <v>31.74224343675418</v>
      </c>
    </row>
    <row r="1922" spans="1:15" hidden="1" x14ac:dyDescent="0.25">
      <c r="A1922" s="11">
        <v>46062</v>
      </c>
      <c r="B1922" t="s">
        <v>33</v>
      </c>
      <c r="C1922" t="s">
        <v>32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>E1922+G1922+H1922</f>
        <v>23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27</v>
      </c>
      <c r="K1922" s="3">
        <f>I1922-J1922</f>
        <v>-4</v>
      </c>
      <c r="L1922" s="3" t="str">
        <f>IF(K1922&lt;-5,"CRÍTICO",IF(K1922&lt;0,"ATENÇÃO",IF(K1922&lt;=5,"BOM","EXCELENTE")))</f>
        <v>ATENÇÃO</v>
      </c>
      <c r="M1922">
        <v>24</v>
      </c>
      <c r="N1922">
        <v>98.25</v>
      </c>
      <c r="O1922">
        <v>25.83518930957684</v>
      </c>
    </row>
    <row r="1923" spans="1:15" hidden="1" x14ac:dyDescent="0.25">
      <c r="A1923" s="11">
        <v>46062</v>
      </c>
      <c r="B1923" t="s">
        <v>15</v>
      </c>
      <c r="C1923" t="s">
        <v>16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>E1923+G1923+H1923</f>
        <v>9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8</v>
      </c>
      <c r="K1923" s="3">
        <f>I1923-J1923</f>
        <v>1</v>
      </c>
      <c r="L1923" s="3" t="str">
        <f>IF(K1923&lt;-5,"CRÍTICO",IF(K1923&lt;0,"ATENÇÃO",IF(K1923&lt;=5,"BOM","EXCELENTE")))</f>
        <v>BOM</v>
      </c>
      <c r="M1923">
        <v>5</v>
      </c>
      <c r="N1923">
        <v>97.5</v>
      </c>
      <c r="O1923">
        <v>30.075187969924809</v>
      </c>
    </row>
    <row r="1924" spans="1:15" hidden="1" x14ac:dyDescent="0.25">
      <c r="A1924" s="11">
        <v>46062</v>
      </c>
      <c r="B1924" t="s">
        <v>49</v>
      </c>
      <c r="C1924" t="s">
        <v>48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>E1924+G1924+H1924</f>
        <v>24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2</v>
      </c>
      <c r="L1924" s="3" t="str">
        <f>IF(K1924&lt;-5,"CRÍTICO",IF(K1924&lt;0,"ATENÇÃO",IF(K1924&lt;=5,"BOM","EXCELENTE")))</f>
        <v>BOM</v>
      </c>
      <c r="M1924">
        <v>26</v>
      </c>
      <c r="N1924">
        <v>100</v>
      </c>
      <c r="O1924">
        <v>29.71311475409836</v>
      </c>
    </row>
    <row r="1925" spans="1:15" hidden="1" x14ac:dyDescent="0.25">
      <c r="A1925" s="11">
        <v>46062</v>
      </c>
      <c r="B1925" t="s">
        <v>50</v>
      </c>
      <c r="C1925" t="s">
        <v>48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>E1925+G1925+H1925</f>
        <v>21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22</v>
      </c>
      <c r="K1925" s="3">
        <f>I1925-J1925</f>
        <v>-1</v>
      </c>
      <c r="L1925" s="3" t="str">
        <f>IF(K1925&lt;-5,"CRÍTICO",IF(K1925&lt;0,"ATENÇÃO",IF(K1925&lt;=5,"BOM","EXCELENTE")))</f>
        <v>ATENÇÃO</v>
      </c>
      <c r="M1925">
        <v>22</v>
      </c>
      <c r="N1925">
        <v>99.22</v>
      </c>
      <c r="O1925">
        <v>35.256410256410263</v>
      </c>
    </row>
    <row r="1926" spans="1:15" hidden="1" x14ac:dyDescent="0.25">
      <c r="A1926" s="11">
        <v>46062</v>
      </c>
      <c r="B1926" t="s">
        <v>17</v>
      </c>
      <c r="C1926" t="s">
        <v>16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v>0</v>
      </c>
      <c r="J1926" s="3">
        <v>0</v>
      </c>
      <c r="K1926" s="3">
        <v>0</v>
      </c>
      <c r="L1926" s="3" t="str">
        <f>IF(K1926&lt;-5,"CRÍTICO",IF(K1926&lt;0,"ATENÇÃO",IF(K1926&lt;=5,"BOM","EXCELENTE")))</f>
        <v>BOM</v>
      </c>
      <c r="M1926">
        <v>0</v>
      </c>
      <c r="N1926">
        <v>0</v>
      </c>
      <c r="O1926">
        <v>0</v>
      </c>
    </row>
    <row r="1927" spans="1:15" hidden="1" x14ac:dyDescent="0.25">
      <c r="A1927" s="11">
        <v>46062</v>
      </c>
      <c r="B1927" t="s">
        <v>60</v>
      </c>
      <c r="C1927" t="s">
        <v>23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>E1927+G1927+H1927</f>
        <v>17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18</v>
      </c>
      <c r="K1927" s="3">
        <f>I1927-J1927</f>
        <v>-1</v>
      </c>
      <c r="L1927" s="3" t="str">
        <f>IF(K1927&lt;-5,"CRÍTICO",IF(K1927&lt;0,"ATENÇÃO",IF(K1927&lt;=5,"BOM","EXCELENTE")))</f>
        <v>ATENÇÃO</v>
      </c>
      <c r="M1927">
        <v>19</v>
      </c>
      <c r="N1927">
        <v>98.75</v>
      </c>
      <c r="O1927">
        <v>24.32432432432433</v>
      </c>
    </row>
    <row r="1928" spans="1:15" hidden="1" x14ac:dyDescent="0.25">
      <c r="A1928" s="11">
        <v>46062</v>
      </c>
      <c r="B1928" t="s">
        <v>34</v>
      </c>
      <c r="C1928" t="s">
        <v>32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>E1928+G1928+H1928</f>
        <v>37</v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>27</v>
      </c>
      <c r="K1928" s="3">
        <f>I1928-J1928</f>
        <v>10</v>
      </c>
      <c r="L1928" s="3" t="str">
        <f>IF(K1928&lt;-5,"CRÍTICO",IF(K1928&lt;0,"ATENÇÃO",IF(K1928&lt;=5,"BOM","EXCELENTE")))</f>
        <v>EXCELENTE</v>
      </c>
      <c r="M1928">
        <v>35</v>
      </c>
      <c r="N1928">
        <v>93.48</v>
      </c>
      <c r="O1928">
        <v>31.52804642166344</v>
      </c>
    </row>
    <row r="1929" spans="1:15" hidden="1" x14ac:dyDescent="0.25">
      <c r="A1929" s="11">
        <v>46062</v>
      </c>
      <c r="B1929" t="s">
        <v>51</v>
      </c>
      <c r="C1929" t="s">
        <v>48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v>0</v>
      </c>
      <c r="J1929" s="3">
        <v>0</v>
      </c>
      <c r="K1929" s="3">
        <v>0</v>
      </c>
      <c r="L1929" s="3" t="str">
        <f>IF(K1929&lt;-5,"CRÍTICO",IF(K1929&lt;0,"ATENÇÃO",IF(K1929&lt;=5,"BOM","EXCELENTE")))</f>
        <v>BOM</v>
      </c>
      <c r="M1929">
        <v>1</v>
      </c>
      <c r="N1929">
        <v>99.16</v>
      </c>
      <c r="O1929">
        <v>26.13908872901678</v>
      </c>
    </row>
    <row r="1930" spans="1:15" hidden="1" x14ac:dyDescent="0.25">
      <c r="A1930" s="11">
        <v>46062</v>
      </c>
      <c r="B1930" t="s">
        <v>61</v>
      </c>
      <c r="C1930" t="s">
        <v>23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>E1930+G1930+H1930</f>
        <v>18</v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>18</v>
      </c>
      <c r="K1930" s="3">
        <f>I1930-J1930</f>
        <v>0</v>
      </c>
      <c r="L1930" s="3" t="str">
        <f>IF(K1930&lt;-5,"CRÍTICO",IF(K1930&lt;0,"ATENÇÃO",IF(K1930&lt;=5,"BOM","EXCELENTE")))</f>
        <v>BOM</v>
      </c>
      <c r="M1930">
        <v>25</v>
      </c>
      <c r="N1930">
        <v>100</v>
      </c>
      <c r="O1930">
        <v>31.089743589743591</v>
      </c>
    </row>
    <row r="1931" spans="1:15" hidden="1" x14ac:dyDescent="0.25">
      <c r="A1931" s="11">
        <v>46062</v>
      </c>
      <c r="B1931" t="s">
        <v>35</v>
      </c>
      <c r="C1931" t="s">
        <v>32</v>
      </c>
      <c r="D1931">
        <v>26</v>
      </c>
      <c r="E1931">
        <v>25</v>
      </c>
      <c r="F1931">
        <v>28.5</v>
      </c>
      <c r="G1931">
        <v>0</v>
      </c>
      <c r="H1931">
        <v>0</v>
      </c>
      <c r="I1931" s="3">
        <v>0</v>
      </c>
      <c r="J1931" s="3">
        <v>0</v>
      </c>
      <c r="K1931" s="3">
        <v>0</v>
      </c>
      <c r="L1931" s="3" t="str">
        <f>IF(K1931&lt;-5,"CRÍTICO",IF(K1931&lt;0,"ATENÇÃO",IF(K1931&lt;=5,"BOM","EXCELENTE")))</f>
        <v>BOM</v>
      </c>
      <c r="M1931">
        <v>24</v>
      </c>
      <c r="N1931">
        <v>98.11</v>
      </c>
      <c r="O1931">
        <v>33.033707865168537</v>
      </c>
    </row>
    <row r="1932" spans="1:15" hidden="1" x14ac:dyDescent="0.25">
      <c r="A1932" s="11">
        <v>46062</v>
      </c>
      <c r="B1932" t="s">
        <v>18</v>
      </c>
      <c r="C1932" t="s">
        <v>16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>E1932+G1932+H1932</f>
        <v>13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8</v>
      </c>
      <c r="K1932" s="3">
        <f>I1932-J1932</f>
        <v>5</v>
      </c>
      <c r="L1932" s="3" t="str">
        <f>IF(K1932&lt;-5,"CRÍTICO",IF(K1932&lt;0,"ATENÇÃO",IF(K1932&lt;=5,"BOM","EXCELENTE")))</f>
        <v>BOM</v>
      </c>
      <c r="M1932">
        <v>3</v>
      </c>
      <c r="N1932">
        <v>78.95</v>
      </c>
      <c r="O1932">
        <v>38.983050847457633</v>
      </c>
    </row>
    <row r="1933" spans="1:15" hidden="1" x14ac:dyDescent="0.25">
      <c r="A1933" s="11">
        <v>46062</v>
      </c>
      <c r="B1933" t="s">
        <v>52</v>
      </c>
      <c r="C1933" t="s">
        <v>48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>E1933+G1933+H1933</f>
        <v>33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22</v>
      </c>
      <c r="K1933" s="3">
        <f>I1933-J1933</f>
        <v>11</v>
      </c>
      <c r="L1933" s="3" t="str">
        <f>IF(K1933&lt;-5,"CRÍTICO",IF(K1933&lt;0,"ATENÇÃO",IF(K1933&lt;=5,"BOM","EXCELENTE")))</f>
        <v>EXCELENTE</v>
      </c>
      <c r="M1933">
        <v>29</v>
      </c>
      <c r="N1933">
        <v>98.45</v>
      </c>
      <c r="O1933">
        <v>29.281767955801101</v>
      </c>
    </row>
    <row r="1934" spans="1:15" hidden="1" x14ac:dyDescent="0.25">
      <c r="A1934" s="11">
        <v>46062</v>
      </c>
      <c r="B1934" t="s">
        <v>36</v>
      </c>
      <c r="C1934" t="s">
        <v>32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>E1934+G1934+H1934</f>
        <v>27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27</v>
      </c>
      <c r="K1934" s="3">
        <f>I1934-J1934</f>
        <v>0</v>
      </c>
      <c r="L1934" s="3" t="str">
        <f>IF(K1934&lt;-5,"CRÍTICO",IF(K1934&lt;0,"ATENÇÃO",IF(K1934&lt;=5,"BOM","EXCELENTE")))</f>
        <v>BOM</v>
      </c>
      <c r="M1934">
        <v>28</v>
      </c>
      <c r="N1934">
        <v>97.84</v>
      </c>
      <c r="O1934">
        <v>26.282051282051281</v>
      </c>
    </row>
    <row r="1935" spans="1:15" hidden="1" x14ac:dyDescent="0.25">
      <c r="A1935" s="11">
        <v>46062</v>
      </c>
      <c r="B1935" t="s">
        <v>53</v>
      </c>
      <c r="C1935" t="s">
        <v>48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>E1935+G1935+H1935</f>
        <v>46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22</v>
      </c>
      <c r="K1935" s="3">
        <f>I1935-J1935</f>
        <v>24</v>
      </c>
      <c r="L1935" s="3" t="str">
        <f>IF(K1935&lt;-5,"CRÍTICO",IF(K1935&lt;0,"ATENÇÃO",IF(K1935&lt;=5,"BOM","EXCELENTE")))</f>
        <v>EXCELENTE</v>
      </c>
      <c r="M1935">
        <v>40</v>
      </c>
      <c r="N1935">
        <v>98.5</v>
      </c>
      <c r="O1935">
        <v>23.97769516728625</v>
      </c>
    </row>
    <row r="1936" spans="1:15" hidden="1" x14ac:dyDescent="0.25">
      <c r="A1936" s="11">
        <v>46094</v>
      </c>
      <c r="B1936" t="s">
        <v>22</v>
      </c>
      <c r="C1936" t="s">
        <v>23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>E1936+G1936+H1936</f>
        <v>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13</v>
      </c>
      <c r="K1936" s="3">
        <f>I1936-J1936</f>
        <v>-4</v>
      </c>
      <c r="L1936" s="3" t="str">
        <f>IF(K1936&lt;-5,"CRÍTICO",IF(K1936&lt;0,"ATENÇÃO",IF(K1936&lt;=5,"BOM","EXCELENTE")))</f>
        <v>ATENÇÃO</v>
      </c>
      <c r="M1936">
        <v>11</v>
      </c>
      <c r="N1936">
        <v>99.05</v>
      </c>
      <c r="O1936">
        <v>26.621923937360179</v>
      </c>
    </row>
    <row r="1937" spans="1:15" hidden="1" x14ac:dyDescent="0.25">
      <c r="A1937" s="11">
        <v>46062</v>
      </c>
      <c r="B1937" t="s">
        <v>54</v>
      </c>
      <c r="C1937" t="s">
        <v>48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>E1937+G1937+H1937</f>
        <v>19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22</v>
      </c>
      <c r="K1937" s="3">
        <f>I1937-J1937</f>
        <v>-3</v>
      </c>
      <c r="L1937" s="3" t="str">
        <f>IF(K1937&lt;-5,"CRÍTICO",IF(K1937&lt;0,"ATENÇÃO",IF(K1937&lt;=5,"BOM","EXCELENTE")))</f>
        <v>ATENÇÃO</v>
      </c>
      <c r="M1937">
        <v>15</v>
      </c>
      <c r="N1937">
        <v>98.53</v>
      </c>
      <c r="O1937">
        <v>31.578947368421051</v>
      </c>
    </row>
    <row r="1938" spans="1:15" hidden="1" x14ac:dyDescent="0.25">
      <c r="A1938" s="11">
        <v>46062</v>
      </c>
      <c r="B1938" t="s">
        <v>37</v>
      </c>
      <c r="C1938" t="s">
        <v>32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>E1938+G1938+H1938</f>
        <v>40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13</v>
      </c>
      <c r="L1938" s="3" t="str">
        <f>IF(K1938&lt;-5,"CRÍTICO",IF(K1938&lt;0,"ATENÇÃO",IF(K1938&lt;=5,"BOM","EXCELENTE")))</f>
        <v>EXCELENTE</v>
      </c>
      <c r="M1938">
        <v>39</v>
      </c>
      <c r="N1938">
        <v>100</v>
      </c>
      <c r="O1938">
        <v>25.72214580467676</v>
      </c>
    </row>
    <row r="1939" spans="1:15" hidden="1" x14ac:dyDescent="0.25">
      <c r="A1939" s="11">
        <v>46062</v>
      </c>
      <c r="B1939" t="s">
        <v>38</v>
      </c>
      <c r="C1939" t="s">
        <v>32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>E1939+G1939+H1939</f>
        <v>20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27</v>
      </c>
      <c r="K1939" s="3">
        <f>I1939-J1939</f>
        <v>-7</v>
      </c>
      <c r="L1939" s="3" t="str">
        <f>IF(K1939&lt;-5,"CRÍTICO",IF(K1939&lt;0,"ATENÇÃO",IF(K1939&lt;=5,"BOM","EXCELENTE")))</f>
        <v>CRÍTICO</v>
      </c>
      <c r="M1939">
        <v>18</v>
      </c>
      <c r="N1939">
        <v>94.64</v>
      </c>
      <c r="O1939">
        <v>27.52941176470588</v>
      </c>
    </row>
    <row r="1940" spans="1:15" hidden="1" x14ac:dyDescent="0.25">
      <c r="A1940" s="11">
        <v>46062</v>
      </c>
      <c r="B1940" t="s">
        <v>55</v>
      </c>
      <c r="C1940" t="s">
        <v>48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>E1940+G1940+H1940</f>
        <v>22</v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>22</v>
      </c>
      <c r="K1940" s="3">
        <f>I1940-J1940</f>
        <v>0</v>
      </c>
      <c r="L1940" s="3" t="str">
        <f>IF(K1940&lt;-5,"CRÍTICO",IF(K1940&lt;0,"ATENÇÃO",IF(K1940&lt;=5,"BOM","EXCELENTE")))</f>
        <v>BOM</v>
      </c>
      <c r="M1940">
        <v>20</v>
      </c>
      <c r="N1940">
        <v>99.07</v>
      </c>
      <c r="O1940">
        <v>26.376811594202898</v>
      </c>
    </row>
    <row r="1941" spans="1:15" hidden="1" x14ac:dyDescent="0.25">
      <c r="A1941" s="11">
        <v>46062</v>
      </c>
      <c r="B1941" t="s">
        <v>39</v>
      </c>
      <c r="C1941" t="s">
        <v>32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v>0</v>
      </c>
      <c r="J1941" s="3">
        <v>0</v>
      </c>
      <c r="K1941" s="3">
        <v>0</v>
      </c>
      <c r="L1941" s="3" t="str">
        <f>IF(K1941&lt;-5,"CRÍTICO",IF(K1941&lt;0,"ATENÇÃO",IF(K1941&lt;=5,"BOM","EXCELENTE")))</f>
        <v>BOM</v>
      </c>
      <c r="M1941">
        <v>0</v>
      </c>
      <c r="N1941">
        <v>100</v>
      </c>
      <c r="O1941">
        <v>0</v>
      </c>
    </row>
    <row r="1942" spans="1:15" hidden="1" x14ac:dyDescent="0.25">
      <c r="A1942" s="11">
        <v>46062</v>
      </c>
      <c r="B1942" t="s">
        <v>25</v>
      </c>
      <c r="C1942" t="s">
        <v>26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>E1942+G1942+H1942</f>
        <v>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16</v>
      </c>
      <c r="K1942" s="3">
        <f>I1942-J1942</f>
        <v>-10</v>
      </c>
      <c r="L1942" s="3" t="str">
        <f>IF(K1942&lt;-5,"CRÍTICO",IF(K1942&lt;0,"ATENÇÃO",IF(K1942&lt;=5,"BOM","EXCELENTE")))</f>
        <v>CRÍTICO</v>
      </c>
      <c r="M1942">
        <v>7</v>
      </c>
      <c r="N1942">
        <v>98.48</v>
      </c>
      <c r="O1942">
        <v>27.853881278538811</v>
      </c>
    </row>
    <row r="1943" spans="1:15" hidden="1" x14ac:dyDescent="0.25">
      <c r="A1943" s="11">
        <v>46062</v>
      </c>
      <c r="B1943" t="s">
        <v>40</v>
      </c>
      <c r="C1943" t="s">
        <v>32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>E1943+G1943+H1943</f>
        <v>16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27</v>
      </c>
      <c r="K1943" s="3">
        <f>I1943-J1943</f>
        <v>-11</v>
      </c>
      <c r="L1943" s="3" t="str">
        <f>IF(K1943&lt;-5,"CRÍTICO",IF(K1943&lt;0,"ATENÇÃO",IF(K1943&lt;=5,"BOM","EXCELENTE")))</f>
        <v>CRÍTICO</v>
      </c>
      <c r="M1943">
        <v>5</v>
      </c>
      <c r="N1943">
        <v>95.15</v>
      </c>
      <c r="O1943">
        <v>34.131736526946113</v>
      </c>
    </row>
    <row r="1944" spans="1:15" hidden="1" x14ac:dyDescent="0.25">
      <c r="A1944" s="11">
        <v>46062</v>
      </c>
      <c r="B1944" t="s">
        <v>27</v>
      </c>
      <c r="C1944" t="s">
        <v>26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v>0</v>
      </c>
      <c r="J1944" s="3">
        <v>0</v>
      </c>
      <c r="K1944" s="3">
        <v>0</v>
      </c>
      <c r="L1944" s="3" t="str">
        <f>IF(K1944&lt;-5,"CRÍTICO",IF(K1944&lt;0,"ATENÇÃO",IF(K1944&lt;=5,"BOM","EXCELENTE")))</f>
        <v>BOM</v>
      </c>
      <c r="M1944">
        <v>0</v>
      </c>
      <c r="N1944">
        <v>0</v>
      </c>
      <c r="O1944">
        <v>0</v>
      </c>
    </row>
    <row r="1945" spans="1:15" hidden="1" x14ac:dyDescent="0.25">
      <c r="A1945" s="11">
        <v>46062</v>
      </c>
      <c r="B1945" t="s">
        <v>41</v>
      </c>
      <c r="C1945" t="s">
        <v>32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>E1945+G1945+H1945</f>
        <v>16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27</v>
      </c>
      <c r="K1945" s="3">
        <f>I1945-J1945</f>
        <v>-11</v>
      </c>
      <c r="L1945" s="3" t="str">
        <f>IF(K1945&lt;-5,"CRÍTICO",IF(K1945&lt;0,"ATENÇÃO",IF(K1945&lt;=5,"BOM","EXCELENTE")))</f>
        <v>CRÍTICO</v>
      </c>
      <c r="M1945">
        <v>14</v>
      </c>
      <c r="N1945">
        <v>99.26</v>
      </c>
      <c r="O1945">
        <v>30.84832904884319</v>
      </c>
    </row>
    <row r="1946" spans="1:15" hidden="1" x14ac:dyDescent="0.25">
      <c r="A1946" s="11">
        <v>46062</v>
      </c>
      <c r="B1946" t="s">
        <v>56</v>
      </c>
      <c r="C1946" t="s">
        <v>48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>E1946+G1946+H1946</f>
        <v>26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22</v>
      </c>
      <c r="K1946" s="3">
        <f>I1946-J1946</f>
        <v>4</v>
      </c>
      <c r="L1946" s="3" t="str">
        <f>IF(K1946&lt;-5,"CRÍTICO",IF(K1946&lt;0,"ATENÇÃO",IF(K1946&lt;=5,"BOM","EXCELENTE")))</f>
        <v>BOM</v>
      </c>
      <c r="M1946">
        <v>9</v>
      </c>
      <c r="N1946">
        <v>97.48</v>
      </c>
      <c r="O1946">
        <v>27.764705882352938</v>
      </c>
    </row>
    <row r="1947" spans="1:15" hidden="1" x14ac:dyDescent="0.25">
      <c r="A1947" s="11">
        <v>46062</v>
      </c>
      <c r="B1947" t="s">
        <v>57</v>
      </c>
      <c r="C1947" t="s">
        <v>48</v>
      </c>
      <c r="D1947">
        <v>37</v>
      </c>
      <c r="E1947">
        <v>34</v>
      </c>
      <c r="F1947">
        <v>18.41</v>
      </c>
      <c r="G1947">
        <v>0</v>
      </c>
      <c r="H1947">
        <v>0</v>
      </c>
      <c r="I1947" s="3">
        <v>0</v>
      </c>
      <c r="J1947" s="3">
        <v>0</v>
      </c>
      <c r="K1947" s="3">
        <v>0</v>
      </c>
      <c r="L1947" s="3" t="str">
        <f>IF(K1947&lt;-5,"CRÍTICO",IF(K1947&lt;0,"ATENÇÃO",IF(K1947&lt;=5,"BOM","EXCELENTE")))</f>
        <v>BOM</v>
      </c>
      <c r="M1947">
        <v>29</v>
      </c>
      <c r="N1947">
        <v>99.34</v>
      </c>
      <c r="O1947">
        <v>30.04291845493562</v>
      </c>
    </row>
    <row r="1948" spans="1:15" hidden="1" x14ac:dyDescent="0.25">
      <c r="A1948" s="11">
        <v>46062</v>
      </c>
      <c r="B1948" t="s">
        <v>42</v>
      </c>
      <c r="C1948" t="s">
        <v>32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>E1948+G1948+H1948</f>
        <v>35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27</v>
      </c>
      <c r="K1948" s="3">
        <f>I1948-J1948</f>
        <v>8</v>
      </c>
      <c r="L1948" s="3" t="str">
        <f>IF(K1948&lt;-5,"CRÍTICO",IF(K1948&lt;0,"ATENÇÃO",IF(K1948&lt;=5,"BOM","EXCELENTE")))</f>
        <v>EXCELENTE</v>
      </c>
      <c r="M1948">
        <v>18</v>
      </c>
      <c r="N1948">
        <v>96.3</v>
      </c>
      <c r="O1948">
        <v>24.29378531073446</v>
      </c>
    </row>
    <row r="1949" spans="1:15" hidden="1" x14ac:dyDescent="0.25">
      <c r="A1949" s="11">
        <v>46062</v>
      </c>
      <c r="B1949" t="s">
        <v>62</v>
      </c>
      <c r="C1949" t="s">
        <v>23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>E1949+G1949+H1949</f>
        <v>19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18</v>
      </c>
      <c r="K1949" s="3">
        <f>I1949-J1949</f>
        <v>1</v>
      </c>
      <c r="L1949" s="3" t="str">
        <f>IF(K1949&lt;-5,"CRÍTICO",IF(K1949&lt;0,"ATENÇÃO",IF(K1949&lt;=5,"BOM","EXCELENTE")))</f>
        <v>BOM</v>
      </c>
      <c r="M1949">
        <v>20</v>
      </c>
      <c r="N1949">
        <v>100</v>
      </c>
      <c r="O1949">
        <v>26.543209876543209</v>
      </c>
    </row>
    <row r="1950" spans="1:15" hidden="1" x14ac:dyDescent="0.25">
      <c r="A1950" s="11">
        <v>46062</v>
      </c>
      <c r="B1950" t="s">
        <v>19</v>
      </c>
      <c r="C1950" t="s">
        <v>16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v>0</v>
      </c>
      <c r="J1950" s="3">
        <v>0</v>
      </c>
      <c r="K1950" s="3">
        <v>0</v>
      </c>
      <c r="L1950" s="3" t="str">
        <f>IF(K1950&lt;-5,"CRÍTICO",IF(K1950&lt;0,"ATENÇÃO",IF(K1950&lt;=5,"BOM","EXCELENTE")))</f>
        <v>BOM</v>
      </c>
      <c r="M1950">
        <v>0</v>
      </c>
      <c r="N1950">
        <v>100</v>
      </c>
      <c r="O1950">
        <v>35.483870967741943</v>
      </c>
    </row>
    <row r="1951" spans="1:15" hidden="1" x14ac:dyDescent="0.25">
      <c r="A1951" s="11">
        <v>46062</v>
      </c>
      <c r="B1951" t="s">
        <v>43</v>
      </c>
      <c r="C1951" t="s">
        <v>32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>E1951+G1951+H1951</f>
        <v>24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-3</v>
      </c>
      <c r="L1951" s="3" t="str">
        <f>IF(K1951&lt;-5,"CRÍTICO",IF(K1951&lt;0,"ATENÇÃO",IF(K1951&lt;=5,"BOM","EXCELENTE")))</f>
        <v>ATENÇÃO</v>
      </c>
      <c r="M1951">
        <v>26</v>
      </c>
      <c r="N1951">
        <v>99.27</v>
      </c>
      <c r="O1951">
        <v>31.163708086785011</v>
      </c>
    </row>
    <row r="1952" spans="1:15" hidden="1" x14ac:dyDescent="0.25">
      <c r="A1952" s="11">
        <v>46062</v>
      </c>
      <c r="B1952" t="s">
        <v>44</v>
      </c>
      <c r="C1952" t="s">
        <v>32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>E1952+G1952+H1952</f>
        <v>25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27</v>
      </c>
      <c r="K1952" s="3">
        <f>I1952-J1952</f>
        <v>-2</v>
      </c>
      <c r="L1952" s="3" t="str">
        <f>IF(K1952&lt;-5,"CRÍTICO",IF(K1952&lt;0,"ATENÇÃO",IF(K1952&lt;=5,"BOM","EXCELENTE")))</f>
        <v>ATENÇÃO</v>
      </c>
      <c r="M1952">
        <v>20</v>
      </c>
      <c r="N1952">
        <v>94.16</v>
      </c>
      <c r="O1952">
        <v>27.038626609442058</v>
      </c>
    </row>
    <row r="1953" spans="1:15" hidden="1" x14ac:dyDescent="0.25">
      <c r="A1953" s="11">
        <v>46062</v>
      </c>
      <c r="B1953" t="s">
        <v>20</v>
      </c>
      <c r="C1953" t="s">
        <v>16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>E1953+G1953+H1953</f>
        <v>9</v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>8</v>
      </c>
      <c r="K1953" s="3">
        <f>I1953-J1953</f>
        <v>1</v>
      </c>
      <c r="L1953" s="3" t="str">
        <f>IF(K1953&lt;-5,"CRÍTICO",IF(K1953&lt;0,"ATENÇÃO",IF(K1953&lt;=5,"BOM","EXCELENTE")))</f>
        <v>BOM</v>
      </c>
      <c r="M1953">
        <v>6</v>
      </c>
      <c r="N1953">
        <v>93.75</v>
      </c>
      <c r="O1953">
        <v>19.31818181818182</v>
      </c>
    </row>
    <row r="1954" spans="1:15" hidden="1" x14ac:dyDescent="0.25">
      <c r="A1954" s="11">
        <v>46062</v>
      </c>
      <c r="B1954" t="s">
        <v>28</v>
      </c>
      <c r="C1954" t="s">
        <v>26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>
        <v>0</v>
      </c>
      <c r="N1954">
        <v>0</v>
      </c>
      <c r="O1954">
        <v>0</v>
      </c>
    </row>
    <row r="1955" spans="1:15" hidden="1" x14ac:dyDescent="0.25">
      <c r="A1955" s="11">
        <v>46062</v>
      </c>
      <c r="B1955" t="s">
        <v>58</v>
      </c>
      <c r="C1955" t="s">
        <v>48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>
        <v>0</v>
      </c>
      <c r="N1955">
        <v>97.92</v>
      </c>
      <c r="O1955">
        <v>32.87671232876712</v>
      </c>
    </row>
    <row r="1956" spans="1:15" hidden="1" x14ac:dyDescent="0.25">
      <c r="A1956" s="11">
        <v>46062</v>
      </c>
      <c r="B1956" t="s">
        <v>29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30</v>
      </c>
      <c r="C1957" t="s">
        <v>26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21</v>
      </c>
      <c r="C1958" t="s">
        <v>16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v>0</v>
      </c>
      <c r="J1958" s="3">
        <v>0</v>
      </c>
      <c r="K1958" s="3">
        <v>0</v>
      </c>
      <c r="L1958" s="3" t="str">
        <f>IF(K1958&lt;-5,"CRÍTICO",IF(K1958&lt;0,"ATENÇÃO",IF(K1958&lt;=5,"BOM","EXCELENTE")))</f>
        <v>BOM</v>
      </c>
      <c r="M1958">
        <v>0</v>
      </c>
      <c r="N1958">
        <v>0</v>
      </c>
      <c r="O1958">
        <v>0</v>
      </c>
    </row>
    <row r="1959" spans="1:15" hidden="1" x14ac:dyDescent="0.25">
      <c r="A1959" s="11">
        <v>46062</v>
      </c>
      <c r="B1959" t="s">
        <v>63</v>
      </c>
      <c r="C1959" t="s">
        <v>23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>E1959+G1959+H1959</f>
        <v>23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18</v>
      </c>
      <c r="K1959" s="3">
        <f>I1959-J1959</f>
        <v>5</v>
      </c>
      <c r="L1959" s="3" t="str">
        <f>IF(K1959&lt;-5,"CRÍTICO",IF(K1959&lt;0,"ATENÇÃO",IF(K1959&lt;=5,"BOM","EXCELENTE")))</f>
        <v>BOM</v>
      </c>
      <c r="M1959">
        <v>19</v>
      </c>
      <c r="N1959">
        <v>98.51</v>
      </c>
      <c r="O1959">
        <v>29.710144927536231</v>
      </c>
    </row>
    <row r="1960" spans="1:15" hidden="1" x14ac:dyDescent="0.25">
      <c r="A1960" s="11">
        <v>46062</v>
      </c>
      <c r="B1960" t="s">
        <v>45</v>
      </c>
      <c r="C1960" t="s">
        <v>32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>E1960+G1960+H1960</f>
        <v>44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27</v>
      </c>
      <c r="K1960" s="3">
        <f>I1960-J1960</f>
        <v>17</v>
      </c>
      <c r="L1960" s="3" t="str">
        <f>IF(K1960&lt;-5,"CRÍTICO",IF(K1960&lt;0,"ATENÇÃO",IF(K1960&lt;=5,"BOM","EXCELENTE")))</f>
        <v>EXCELENTE</v>
      </c>
      <c r="M1960">
        <v>39</v>
      </c>
      <c r="N1960">
        <v>98.81</v>
      </c>
      <c r="O1960">
        <v>30.712979890310791</v>
      </c>
    </row>
    <row r="1961" spans="1:15" hidden="1" x14ac:dyDescent="0.25">
      <c r="A1961" s="11">
        <v>46062</v>
      </c>
      <c r="B1961" t="s">
        <v>64</v>
      </c>
      <c r="C1961" t="s">
        <v>23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>E1961+G1961+H1961</f>
        <v>10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18</v>
      </c>
      <c r="K1961" s="3">
        <f>I1961-J1961</f>
        <v>-8</v>
      </c>
      <c r="L1961" s="3" t="str">
        <f>IF(K1961&lt;-5,"CRÍTICO",IF(K1961&lt;0,"ATENÇÃO",IF(K1961&lt;=5,"BOM","EXCELENTE")))</f>
        <v>CRÍTICO</v>
      </c>
      <c r="M1961">
        <v>8</v>
      </c>
      <c r="N1961">
        <v>98.48</v>
      </c>
      <c r="O1961">
        <v>29.35323383084577</v>
      </c>
    </row>
    <row r="1962" spans="1:15" hidden="1" x14ac:dyDescent="0.25">
      <c r="A1962" s="11">
        <v>46062</v>
      </c>
      <c r="B1962" t="s">
        <v>46</v>
      </c>
      <c r="C1962" t="s">
        <v>32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>E1962+G1962+H1962</f>
        <v>28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27</v>
      </c>
      <c r="K1962" s="3">
        <f>I1962-J1962</f>
        <v>1</v>
      </c>
      <c r="L1962" s="3" t="str">
        <f>IF(K1962&lt;-5,"CRÍTICO",IF(K1962&lt;0,"ATENÇÃO",IF(K1962&lt;=5,"BOM","EXCELENTE")))</f>
        <v>BOM</v>
      </c>
      <c r="M1962">
        <v>25</v>
      </c>
      <c r="N1962">
        <v>98.56</v>
      </c>
      <c r="O1962">
        <v>29.373650107991359</v>
      </c>
    </row>
    <row r="1963" spans="1:15" hidden="1" x14ac:dyDescent="0.25">
      <c r="A1963" s="11">
        <v>46063</v>
      </c>
      <c r="B1963" t="s">
        <v>47</v>
      </c>
      <c r="C1963" t="s">
        <v>48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>E1963+G1963+H1963</f>
        <v>27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24</v>
      </c>
      <c r="K1963" s="3">
        <f>I1963-J1963</f>
        <v>3</v>
      </c>
      <c r="L1963" s="3" t="str">
        <f>IF(K1963&lt;-5,"CRÍTICO",IF(K1963&lt;0,"ATENÇÃO",IF(K1963&lt;=5,"BOM","EXCELENTE")))</f>
        <v>BOM</v>
      </c>
      <c r="M1963">
        <v>23</v>
      </c>
      <c r="N1963">
        <v>98.32</v>
      </c>
      <c r="O1963">
        <v>30.303030303030301</v>
      </c>
    </row>
    <row r="1964" spans="1:15" hidden="1" x14ac:dyDescent="0.25">
      <c r="A1964" s="11">
        <v>46063</v>
      </c>
      <c r="B1964" t="s">
        <v>31</v>
      </c>
      <c r="C1964" t="s">
        <v>32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v>0</v>
      </c>
      <c r="J1964" s="3">
        <v>0</v>
      </c>
      <c r="K1964" s="3">
        <v>0</v>
      </c>
      <c r="L1964" s="3" t="str">
        <f>IF(K1964&lt;-5,"CRÍTICO",IF(K1964&lt;0,"ATENÇÃO",IF(K1964&lt;=5,"BOM","EXCELENTE")))</f>
        <v>BOM</v>
      </c>
      <c r="M1964">
        <v>36</v>
      </c>
      <c r="N1964">
        <v>98.68</v>
      </c>
      <c r="O1964">
        <v>26.219512195121951</v>
      </c>
    </row>
    <row r="1965" spans="1:15" hidden="1" x14ac:dyDescent="0.25">
      <c r="A1965" s="11">
        <v>46063</v>
      </c>
      <c r="B1965" t="s">
        <v>59</v>
      </c>
      <c r="C1965" t="s">
        <v>23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>E1965+G1965+H1965</f>
        <v>23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20</v>
      </c>
      <c r="K1965" s="3">
        <f>I1965-J1965</f>
        <v>3</v>
      </c>
      <c r="L1965" s="3" t="str">
        <f>IF(K1965&lt;-5,"CRÍTICO",IF(K1965&lt;0,"ATENÇÃO",IF(K1965&lt;=5,"BOM","EXCELENTE")))</f>
        <v>BOM</v>
      </c>
      <c r="M1965">
        <v>22</v>
      </c>
      <c r="N1965">
        <v>100</v>
      </c>
      <c r="O1965">
        <v>31.74224343675418</v>
      </c>
    </row>
    <row r="1966" spans="1:15" hidden="1" x14ac:dyDescent="0.25">
      <c r="A1966" s="11">
        <v>46063</v>
      </c>
      <c r="B1966" t="s">
        <v>33</v>
      </c>
      <c r="C1966" t="s">
        <v>32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>E1966+G1966+H1966</f>
        <v>37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30</v>
      </c>
      <c r="K1966" s="3">
        <f>I1966-J1966</f>
        <v>7</v>
      </c>
      <c r="L1966" s="3" t="str">
        <f>IF(K1966&lt;-5,"CRÍTICO",IF(K1966&lt;0,"ATENÇÃO",IF(K1966&lt;=5,"BOM","EXCELENTE")))</f>
        <v>EXCELENTE</v>
      </c>
      <c r="M1966">
        <v>33</v>
      </c>
      <c r="N1966">
        <v>98.25</v>
      </c>
      <c r="O1966">
        <v>25.83518930957684</v>
      </c>
    </row>
    <row r="1967" spans="1:15" hidden="1" x14ac:dyDescent="0.25">
      <c r="A1967" s="11">
        <v>46063</v>
      </c>
      <c r="B1967" t="s">
        <v>15</v>
      </c>
      <c r="C1967" t="s">
        <v>16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>E1967+G1967+H1967</f>
        <v>9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9</v>
      </c>
      <c r="K1967" s="3">
        <f>I1967-J1967</f>
        <v>0</v>
      </c>
      <c r="L1967" s="3" t="str">
        <f>IF(K1967&lt;-5,"CRÍTICO",IF(K1967&lt;0,"ATENÇÃO",IF(K1967&lt;=5,"BOM","EXCELENTE")))</f>
        <v>BOM</v>
      </c>
      <c r="M1967">
        <v>7</v>
      </c>
      <c r="N1967">
        <v>97.5</v>
      </c>
      <c r="O1967">
        <v>30.075187969924809</v>
      </c>
    </row>
    <row r="1968" spans="1:15" hidden="1" x14ac:dyDescent="0.25">
      <c r="A1968" s="11">
        <v>46063</v>
      </c>
      <c r="B1968" t="s">
        <v>49</v>
      </c>
      <c r="C1968" t="s">
        <v>48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>E1968+G1968+H1968</f>
        <v>32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8</v>
      </c>
      <c r="L1968" s="3" t="str">
        <f>IF(K1968&lt;-5,"CRÍTICO",IF(K1968&lt;0,"ATENÇÃO",IF(K1968&lt;=5,"BOM","EXCELENTE")))</f>
        <v>EXCELENTE</v>
      </c>
      <c r="M1968">
        <v>32</v>
      </c>
      <c r="N1968">
        <v>100</v>
      </c>
      <c r="O1968">
        <v>29.71311475409836</v>
      </c>
    </row>
    <row r="1969" spans="1:15" hidden="1" x14ac:dyDescent="0.25">
      <c r="A1969" s="11">
        <v>46063</v>
      </c>
      <c r="B1969" t="s">
        <v>50</v>
      </c>
      <c r="C1969" t="s">
        <v>48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>E1969+G1969+H1969</f>
        <v>26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24</v>
      </c>
      <c r="K1969" s="3">
        <f>I1969-J1969</f>
        <v>2</v>
      </c>
      <c r="L1969" s="3" t="str">
        <f>IF(K1969&lt;-5,"CRÍTICO",IF(K1969&lt;0,"ATENÇÃO",IF(K1969&lt;=5,"BOM","EXCELENTE")))</f>
        <v>BOM</v>
      </c>
      <c r="M1969">
        <v>26</v>
      </c>
      <c r="N1969">
        <v>99.22</v>
      </c>
      <c r="O1969">
        <v>35.256410256410263</v>
      </c>
    </row>
    <row r="1970" spans="1:15" hidden="1" x14ac:dyDescent="0.25">
      <c r="A1970" s="11">
        <v>46063</v>
      </c>
      <c r="B1970" t="s">
        <v>17</v>
      </c>
      <c r="C1970" t="s">
        <v>16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v>0</v>
      </c>
      <c r="J1970" s="3">
        <v>0</v>
      </c>
      <c r="K1970" s="3">
        <v>0</v>
      </c>
      <c r="L1970" s="3" t="str">
        <f>IF(K1970&lt;-5,"CRÍTICO",IF(K1970&lt;0,"ATENÇÃO",IF(K1970&lt;=5,"BOM","EXCELENTE")))</f>
        <v>BOM</v>
      </c>
      <c r="M1970">
        <v>0</v>
      </c>
      <c r="N1970">
        <v>0</v>
      </c>
      <c r="O1970">
        <v>0</v>
      </c>
    </row>
    <row r="1971" spans="1:15" hidden="1" x14ac:dyDescent="0.25">
      <c r="A1971" s="11">
        <v>46063</v>
      </c>
      <c r="B1971" t="s">
        <v>60</v>
      </c>
      <c r="C1971" t="s">
        <v>23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>E1971+G1971+H1971</f>
        <v>12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20</v>
      </c>
      <c r="K1971" s="3">
        <f>I1971-J1971</f>
        <v>-8</v>
      </c>
      <c r="L1971" s="3" t="str">
        <f>IF(K1971&lt;-5,"CRÍTICO",IF(K1971&lt;0,"ATENÇÃO",IF(K1971&lt;=5,"BOM","EXCELENTE")))</f>
        <v>CRÍTICO</v>
      </c>
      <c r="M1971">
        <v>14</v>
      </c>
      <c r="N1971">
        <v>98.75</v>
      </c>
      <c r="O1971">
        <v>24.32432432432433</v>
      </c>
    </row>
    <row r="1972" spans="1:15" hidden="1" x14ac:dyDescent="0.25">
      <c r="A1972" s="11">
        <v>46063</v>
      </c>
      <c r="B1972" t="s">
        <v>34</v>
      </c>
      <c r="C1972" t="s">
        <v>32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>E1972+G1972+H1972</f>
        <v>37</v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>30</v>
      </c>
      <c r="K1972" s="3">
        <f>I1972-J1972</f>
        <v>7</v>
      </c>
      <c r="L1972" s="3" t="str">
        <f>IF(K1972&lt;-5,"CRÍTICO",IF(K1972&lt;0,"ATENÇÃO",IF(K1972&lt;=5,"BOM","EXCELENTE")))</f>
        <v>EXCELENTE</v>
      </c>
      <c r="M1972">
        <v>33</v>
      </c>
      <c r="N1972">
        <v>93.48</v>
      </c>
      <c r="O1972">
        <v>31.52804642166344</v>
      </c>
    </row>
    <row r="1973" spans="1:15" hidden="1" x14ac:dyDescent="0.25">
      <c r="A1973" s="11">
        <v>46063</v>
      </c>
      <c r="B1973" t="s">
        <v>51</v>
      </c>
      <c r="C1973" t="s">
        <v>48</v>
      </c>
      <c r="D1973">
        <v>31</v>
      </c>
      <c r="E1973">
        <v>27</v>
      </c>
      <c r="F1973">
        <v>21.59</v>
      </c>
      <c r="G1973">
        <v>0</v>
      </c>
      <c r="H1973">
        <v>0</v>
      </c>
      <c r="I1973" s="3">
        <v>0</v>
      </c>
      <c r="J1973" s="3">
        <v>0</v>
      </c>
      <c r="K1973" s="3">
        <v>0</v>
      </c>
      <c r="L1973" s="3" t="str">
        <f>IF(K1973&lt;-5,"CRÍTICO",IF(K1973&lt;0,"ATENÇÃO",IF(K1973&lt;=5,"BOM","EXCELENTE")))</f>
        <v>BOM</v>
      </c>
      <c r="M1973">
        <v>24</v>
      </c>
      <c r="N1973">
        <v>99.16</v>
      </c>
      <c r="O1973">
        <v>26.13908872901678</v>
      </c>
    </row>
    <row r="1974" spans="1:15" hidden="1" x14ac:dyDescent="0.25">
      <c r="A1974" s="11">
        <v>46063</v>
      </c>
      <c r="B1974" t="s">
        <v>61</v>
      </c>
      <c r="C1974" t="s">
        <v>23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>E1974+G1974+H1974</f>
        <v>26</v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>20</v>
      </c>
      <c r="K1974" s="3">
        <f>I1974-J1974</f>
        <v>6</v>
      </c>
      <c r="L1974" s="3" t="str">
        <f>IF(K1974&lt;-5,"CRÍTICO",IF(K1974&lt;0,"ATENÇÃO",IF(K1974&lt;=5,"BOM","EXCELENTE")))</f>
        <v>EXCELENTE</v>
      </c>
      <c r="M1974">
        <v>28</v>
      </c>
      <c r="N1974">
        <v>100</v>
      </c>
      <c r="O1974">
        <v>31.089743589743591</v>
      </c>
    </row>
    <row r="1975" spans="1:15" hidden="1" x14ac:dyDescent="0.25">
      <c r="A1975" s="11">
        <v>46063</v>
      </c>
      <c r="B1975" t="s">
        <v>35</v>
      </c>
      <c r="C1975" t="s">
        <v>32</v>
      </c>
      <c r="D1975">
        <v>30</v>
      </c>
      <c r="E1975">
        <v>29</v>
      </c>
      <c r="F1975">
        <v>25.58</v>
      </c>
      <c r="G1975">
        <v>0</v>
      </c>
      <c r="H1975">
        <v>0</v>
      </c>
      <c r="I1975" s="3">
        <v>0</v>
      </c>
      <c r="J1975" s="3">
        <v>0</v>
      </c>
      <c r="K1975" s="3">
        <v>0</v>
      </c>
      <c r="L1975" s="3" t="str">
        <f>IF(K1975&lt;-5,"CRÍTICO",IF(K1975&lt;0,"ATENÇÃO",IF(K1975&lt;=5,"BOM","EXCELENTE")))</f>
        <v>BOM</v>
      </c>
      <c r="M1975">
        <v>30</v>
      </c>
      <c r="N1975">
        <v>98.11</v>
      </c>
      <c r="O1975">
        <v>33.033707865168537</v>
      </c>
    </row>
    <row r="1976" spans="1:15" hidden="1" x14ac:dyDescent="0.25">
      <c r="A1976" s="11">
        <v>46063</v>
      </c>
      <c r="B1976" t="s">
        <v>18</v>
      </c>
      <c r="C1976" t="s">
        <v>16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>E1976+G1976+H1976</f>
        <v>18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9</v>
      </c>
      <c r="K1976" s="3">
        <f>I1976-J1976</f>
        <v>9</v>
      </c>
      <c r="L1976" s="3" t="str">
        <f>IF(K1976&lt;-5,"CRÍTICO",IF(K1976&lt;0,"ATENÇÃO",IF(K1976&lt;=5,"BOM","EXCELENTE")))</f>
        <v>EXCELENTE</v>
      </c>
      <c r="M1976">
        <v>1</v>
      </c>
      <c r="N1976">
        <v>78.95</v>
      </c>
      <c r="O1976">
        <v>38.983050847457633</v>
      </c>
    </row>
    <row r="1977" spans="1:15" hidden="1" x14ac:dyDescent="0.25">
      <c r="A1977" s="11">
        <v>46063</v>
      </c>
      <c r="B1977" t="s">
        <v>52</v>
      </c>
      <c r="C1977" t="s">
        <v>48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>E1977+G1977+H1977</f>
        <v>14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24</v>
      </c>
      <c r="K1977" s="3">
        <f>I1977-J1977</f>
        <v>-10</v>
      </c>
      <c r="L1977" s="3" t="str">
        <f>IF(K1977&lt;-5,"CRÍTICO",IF(K1977&lt;0,"ATENÇÃO",IF(K1977&lt;=5,"BOM","EXCELENTE")))</f>
        <v>CRÍTICO</v>
      </c>
      <c r="M1977">
        <v>12</v>
      </c>
      <c r="N1977">
        <v>98.45</v>
      </c>
      <c r="O1977">
        <v>29.281767955801101</v>
      </c>
    </row>
    <row r="1978" spans="1:15" hidden="1" x14ac:dyDescent="0.25">
      <c r="A1978" s="11">
        <v>46063</v>
      </c>
      <c r="B1978" t="s">
        <v>36</v>
      </c>
      <c r="C1978" t="s">
        <v>32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30</v>
      </c>
      <c r="K1978" s="3">
        <f>I1978-J1978</f>
        <v>0</v>
      </c>
      <c r="L1978" s="3" t="str">
        <f>IF(K1978&lt;-5,"CRÍTICO",IF(K1978&lt;0,"ATENÇÃO",IF(K1978&lt;=5,"BOM","EXCELENTE")))</f>
        <v>BOM</v>
      </c>
      <c r="M1978">
        <v>28</v>
      </c>
      <c r="N1978">
        <v>97.84</v>
      </c>
      <c r="O1978">
        <v>26.282051282051281</v>
      </c>
    </row>
    <row r="1979" spans="1:15" hidden="1" x14ac:dyDescent="0.25">
      <c r="A1979" s="11">
        <v>46063</v>
      </c>
      <c r="B1979" t="s">
        <v>53</v>
      </c>
      <c r="C1979" t="s">
        <v>48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>E1979+G1979+H1979</f>
        <v>30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24</v>
      </c>
      <c r="K1979" s="3">
        <f>I1979-J1979</f>
        <v>6</v>
      </c>
      <c r="L1979" s="3" t="str">
        <f>IF(K1979&lt;-5,"CRÍTICO",IF(K1979&lt;0,"ATENÇÃO",IF(K1979&lt;=5,"BOM","EXCELENTE")))</f>
        <v>EXCELENTE</v>
      </c>
      <c r="M1979">
        <v>33</v>
      </c>
      <c r="N1979">
        <v>98.5</v>
      </c>
      <c r="O1979">
        <v>23.97769516728625</v>
      </c>
    </row>
    <row r="1980" spans="1:15" hidden="1" x14ac:dyDescent="0.25">
      <c r="A1980" s="11">
        <v>46097</v>
      </c>
      <c r="B1980" t="s">
        <v>22</v>
      </c>
      <c r="C1980" t="s">
        <v>23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>E1980+G1980+H1980</f>
        <v>22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15</v>
      </c>
      <c r="K1980" s="3">
        <f>I1980-J1980</f>
        <v>7</v>
      </c>
      <c r="L1980" s="3" t="str">
        <f>IF(K1980&lt;-5,"CRÍTICO",IF(K1980&lt;0,"ATENÇÃO",IF(K1980&lt;=5,"BOM","EXCELENTE")))</f>
        <v>EXCELENTE</v>
      </c>
      <c r="M1980">
        <v>21</v>
      </c>
      <c r="N1980">
        <v>99.05</v>
      </c>
      <c r="O1980">
        <v>26.621923937360179</v>
      </c>
    </row>
    <row r="1981" spans="1:15" hidden="1" x14ac:dyDescent="0.25">
      <c r="A1981" s="11">
        <v>46063</v>
      </c>
      <c r="B1981" t="s">
        <v>54</v>
      </c>
      <c r="C1981" t="s">
        <v>48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>E1981+G1981+H1981</f>
        <v>29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24</v>
      </c>
      <c r="K1981" s="3">
        <f>I1981-J1981</f>
        <v>5</v>
      </c>
      <c r="L1981" s="3" t="str">
        <f>IF(K1981&lt;-5,"CRÍTICO",IF(K1981&lt;0,"ATENÇÃO",IF(K1981&lt;=5,"BOM","EXCELENTE")))</f>
        <v>BOM</v>
      </c>
      <c r="M1981">
        <v>25</v>
      </c>
      <c r="N1981">
        <v>98.53</v>
      </c>
      <c r="O1981">
        <v>31.578947368421051</v>
      </c>
    </row>
    <row r="1982" spans="1:15" hidden="1" x14ac:dyDescent="0.25">
      <c r="A1982" s="11">
        <v>46063</v>
      </c>
      <c r="B1982" t="s">
        <v>37</v>
      </c>
      <c r="C1982" t="s">
        <v>32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>E1982+G1982+H1982</f>
        <v>46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16</v>
      </c>
      <c r="L1982" s="3" t="str">
        <f>IF(K1982&lt;-5,"CRÍTICO",IF(K1982&lt;0,"ATENÇÃO",IF(K1982&lt;=5,"BOM","EXCELENTE")))</f>
        <v>EXCELENTE</v>
      </c>
      <c r="M1982">
        <v>42</v>
      </c>
      <c r="N1982">
        <v>100</v>
      </c>
      <c r="O1982">
        <v>25.72214580467676</v>
      </c>
    </row>
    <row r="1983" spans="1:15" hidden="1" x14ac:dyDescent="0.25">
      <c r="A1983" s="11">
        <v>46063</v>
      </c>
      <c r="B1983" t="s">
        <v>38</v>
      </c>
      <c r="C1983" t="s">
        <v>32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>E1983+G1983+H1983</f>
        <v>34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30</v>
      </c>
      <c r="K1983" s="3">
        <f>I1983-J1983</f>
        <v>4</v>
      </c>
      <c r="L1983" s="3" t="str">
        <f>IF(K1983&lt;-5,"CRÍTICO",IF(K1983&lt;0,"ATENÇÃO",IF(K1983&lt;=5,"BOM","EXCELENTE")))</f>
        <v>BOM</v>
      </c>
      <c r="M1983">
        <v>32</v>
      </c>
      <c r="N1983">
        <v>94.64</v>
      </c>
      <c r="O1983">
        <v>27.52941176470588</v>
      </c>
    </row>
    <row r="1984" spans="1:15" hidden="1" x14ac:dyDescent="0.25">
      <c r="A1984" s="11">
        <v>46063</v>
      </c>
      <c r="B1984" t="s">
        <v>55</v>
      </c>
      <c r="C1984" t="s">
        <v>48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>E1984+G1984+H1984</f>
        <v>21</v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>24</v>
      </c>
      <c r="K1984" s="3">
        <f>I1984-J1984</f>
        <v>-3</v>
      </c>
      <c r="L1984" s="3" t="str">
        <f>IF(K1984&lt;-5,"CRÍTICO",IF(K1984&lt;0,"ATENÇÃO",IF(K1984&lt;=5,"BOM","EXCELENTE")))</f>
        <v>ATENÇÃO</v>
      </c>
      <c r="M1984">
        <v>16</v>
      </c>
      <c r="N1984">
        <v>99.07</v>
      </c>
      <c r="O1984">
        <v>26.376811594202898</v>
      </c>
    </row>
    <row r="1985" spans="1:15" hidden="1" x14ac:dyDescent="0.25">
      <c r="A1985" s="11">
        <v>46063</v>
      </c>
      <c r="B1985" t="s">
        <v>39</v>
      </c>
      <c r="C1985" t="s">
        <v>32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v>0</v>
      </c>
      <c r="J1985" s="3">
        <v>0</v>
      </c>
      <c r="K1985" s="3">
        <v>0</v>
      </c>
      <c r="L1985" s="3" t="str">
        <f>IF(K1985&lt;-5,"CRÍTICO",IF(K1985&lt;0,"ATENÇÃO",IF(K1985&lt;=5,"BOM","EXCELENTE")))</f>
        <v>BOM</v>
      </c>
      <c r="M1985">
        <v>0</v>
      </c>
      <c r="N1985">
        <v>100</v>
      </c>
      <c r="O1985">
        <v>0</v>
      </c>
    </row>
    <row r="1986" spans="1:15" hidden="1" x14ac:dyDescent="0.25">
      <c r="A1986" s="11">
        <v>46063</v>
      </c>
      <c r="B1986" t="s">
        <v>25</v>
      </c>
      <c r="C1986" t="s">
        <v>26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>E1986+G1986+H1986</f>
        <v>13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17</v>
      </c>
      <c r="K1986" s="3">
        <f>I1986-J1986</f>
        <v>-4</v>
      </c>
      <c r="L1986" s="3" t="str">
        <f>IF(K1986&lt;-5,"CRÍTICO",IF(K1986&lt;0,"ATENÇÃO",IF(K1986&lt;=5,"BOM","EXCELENTE")))</f>
        <v>ATENÇÃO</v>
      </c>
      <c r="M1986">
        <v>14</v>
      </c>
      <c r="N1986">
        <v>98.48</v>
      </c>
      <c r="O1986">
        <v>27.853881278538811</v>
      </c>
    </row>
    <row r="1987" spans="1:15" hidden="1" x14ac:dyDescent="0.25">
      <c r="A1987" s="11">
        <v>46063</v>
      </c>
      <c r="B1987" t="s">
        <v>40</v>
      </c>
      <c r="C1987" t="s">
        <v>32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>E1987+G1987+H1987</f>
        <v>4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30</v>
      </c>
      <c r="K1987" s="3">
        <f>I1987-J1987</f>
        <v>-26</v>
      </c>
      <c r="L1987" s="3" t="str">
        <f>IF(K1987&lt;-5,"CRÍTICO",IF(K1987&lt;0,"ATENÇÃO",IF(K1987&lt;=5,"BOM","EXCELENTE")))</f>
        <v>CRÍTICO</v>
      </c>
      <c r="M1987">
        <v>2</v>
      </c>
      <c r="N1987">
        <v>95.15</v>
      </c>
      <c r="O1987">
        <v>34.131736526946113</v>
      </c>
    </row>
    <row r="1988" spans="1:15" hidden="1" x14ac:dyDescent="0.25">
      <c r="A1988" s="11">
        <v>46063</v>
      </c>
      <c r="B1988" t="s">
        <v>27</v>
      </c>
      <c r="C1988" t="s">
        <v>26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v>0</v>
      </c>
      <c r="J1988" s="3">
        <v>0</v>
      </c>
      <c r="K1988" s="3">
        <v>0</v>
      </c>
      <c r="L1988" s="3" t="str">
        <f>IF(K1988&lt;-5,"CRÍTICO",IF(K1988&lt;0,"ATENÇÃO",IF(K1988&lt;=5,"BOM","EXCELENTE")))</f>
        <v>BOM</v>
      </c>
      <c r="M1988">
        <v>0</v>
      </c>
      <c r="N1988">
        <v>0</v>
      </c>
      <c r="O1988">
        <v>0</v>
      </c>
    </row>
    <row r="1989" spans="1:15" hidden="1" x14ac:dyDescent="0.25">
      <c r="A1989" s="11">
        <v>46063</v>
      </c>
      <c r="B1989" t="s">
        <v>41</v>
      </c>
      <c r="C1989" t="s">
        <v>32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>E1989+G1989+H1989</f>
        <v>25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30</v>
      </c>
      <c r="K1989" s="3">
        <f>I1989-J1989</f>
        <v>-5</v>
      </c>
      <c r="L1989" s="3" t="str">
        <f>IF(K1989&lt;-5,"CRÍTICO",IF(K1989&lt;0,"ATENÇÃO",IF(K1989&lt;=5,"BOM","EXCELENTE")))</f>
        <v>ATENÇÃO</v>
      </c>
      <c r="M1989">
        <v>23</v>
      </c>
      <c r="N1989">
        <v>99.26</v>
      </c>
      <c r="O1989">
        <v>30.84832904884319</v>
      </c>
    </row>
    <row r="1990" spans="1:15" hidden="1" x14ac:dyDescent="0.25">
      <c r="A1990" s="11">
        <v>46063</v>
      </c>
      <c r="B1990" t="s">
        <v>56</v>
      </c>
      <c r="C1990" t="s">
        <v>48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>E1990+G1990+H1990</f>
        <v>30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24</v>
      </c>
      <c r="K1990" s="3">
        <f>I1990-J1990</f>
        <v>6</v>
      </c>
      <c r="L1990" s="3" t="str">
        <f>IF(K1990&lt;-5,"CRÍTICO",IF(K1990&lt;0,"ATENÇÃO",IF(K1990&lt;=5,"BOM","EXCELENTE")))</f>
        <v>EXCELENTE</v>
      </c>
      <c r="M1990">
        <v>21</v>
      </c>
      <c r="N1990">
        <v>97.48</v>
      </c>
      <c r="O1990">
        <v>27.764705882352938</v>
      </c>
    </row>
    <row r="1991" spans="1:15" hidden="1" x14ac:dyDescent="0.25">
      <c r="A1991" s="11">
        <v>46063</v>
      </c>
      <c r="B1991" t="s">
        <v>57</v>
      </c>
      <c r="C1991" t="s">
        <v>48</v>
      </c>
      <c r="D1991">
        <v>38</v>
      </c>
      <c r="E1991">
        <v>37</v>
      </c>
      <c r="F1991">
        <v>16.55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>
        <v>34</v>
      </c>
      <c r="N1991">
        <v>99.34</v>
      </c>
      <c r="O1991">
        <v>30.04291845493562</v>
      </c>
    </row>
    <row r="1992" spans="1:15" hidden="1" x14ac:dyDescent="0.25">
      <c r="A1992" s="11">
        <v>46063</v>
      </c>
      <c r="B1992" t="s">
        <v>42</v>
      </c>
      <c r="C1992" t="s">
        <v>32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v>0</v>
      </c>
      <c r="J1992" s="3">
        <v>0</v>
      </c>
      <c r="K1992" s="3">
        <v>0</v>
      </c>
      <c r="L1992" s="3" t="str">
        <f>IF(K1992&lt;-5,"CRÍTICO",IF(K1992&lt;0,"ATENÇÃO",IF(K1992&lt;=5,"BOM","EXCELENTE")))</f>
        <v>BOM</v>
      </c>
      <c r="M1992">
        <v>0</v>
      </c>
      <c r="N1992">
        <v>96.3</v>
      </c>
      <c r="O1992">
        <v>24.29378531073446</v>
      </c>
    </row>
    <row r="1993" spans="1:15" hidden="1" x14ac:dyDescent="0.25">
      <c r="A1993" s="11">
        <v>46063</v>
      </c>
      <c r="B1993" t="s">
        <v>62</v>
      </c>
      <c r="C1993" t="s">
        <v>23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>E1993+G1993+H1993</f>
        <v>22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20</v>
      </c>
      <c r="K1993" s="3">
        <f>I1993-J1993</f>
        <v>2</v>
      </c>
      <c r="L1993" s="3" t="str">
        <f>IF(K1993&lt;-5,"CRÍTICO",IF(K1993&lt;0,"ATENÇÃO",IF(K1993&lt;=5,"BOM","EXCELENTE")))</f>
        <v>BOM</v>
      </c>
      <c r="M1993">
        <v>22</v>
      </c>
      <c r="N1993">
        <v>100</v>
      </c>
      <c r="O1993">
        <v>26.543209876543209</v>
      </c>
    </row>
    <row r="1994" spans="1:15" hidden="1" x14ac:dyDescent="0.25">
      <c r="A1994" s="11">
        <v>46063</v>
      </c>
      <c r="B1994" t="s">
        <v>19</v>
      </c>
      <c r="C1994" t="s">
        <v>16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v>0</v>
      </c>
      <c r="J1994" s="3">
        <v>0</v>
      </c>
      <c r="K1994" s="3">
        <v>0</v>
      </c>
      <c r="L1994" s="3" t="str">
        <f>IF(K1994&lt;-5,"CRÍTICO",IF(K1994&lt;0,"ATENÇÃO",IF(K1994&lt;=5,"BOM","EXCELENTE")))</f>
        <v>BOM</v>
      </c>
      <c r="M1994">
        <v>0</v>
      </c>
      <c r="N1994">
        <v>100</v>
      </c>
      <c r="O1994">
        <v>35.483870967741943</v>
      </c>
    </row>
    <row r="1995" spans="1:15" hidden="1" x14ac:dyDescent="0.25">
      <c r="A1995" s="11">
        <v>46063</v>
      </c>
      <c r="B1995" t="s">
        <v>43</v>
      </c>
      <c r="C1995" t="s">
        <v>32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>E1995+G1995+H1995</f>
        <v>23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-7</v>
      </c>
      <c r="L1995" s="3" t="str">
        <f>IF(K1995&lt;-5,"CRÍTICO",IF(K1995&lt;0,"ATENÇÃO",IF(K1995&lt;=5,"BOM","EXCELENTE")))</f>
        <v>CRÍTICO</v>
      </c>
      <c r="M1995">
        <v>34</v>
      </c>
      <c r="N1995">
        <v>99.27</v>
      </c>
      <c r="O1995">
        <v>31.163708086785011</v>
      </c>
    </row>
    <row r="1996" spans="1:15" hidden="1" x14ac:dyDescent="0.25">
      <c r="A1996" s="11">
        <v>46063</v>
      </c>
      <c r="B1996" t="s">
        <v>44</v>
      </c>
      <c r="C1996" t="s">
        <v>32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>E1996+G1996+H1996</f>
        <v>40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30</v>
      </c>
      <c r="K1996" s="3">
        <f>I1996-J1996</f>
        <v>10</v>
      </c>
      <c r="L1996" s="3" t="str">
        <f>IF(K1996&lt;-5,"CRÍTICO",IF(K1996&lt;0,"ATENÇÃO",IF(K1996&lt;=5,"BOM","EXCELENTE")))</f>
        <v>EXCELENTE</v>
      </c>
      <c r="M1996">
        <v>33</v>
      </c>
      <c r="N1996">
        <v>94.16</v>
      </c>
      <c r="O1996">
        <v>27.038626609442058</v>
      </c>
    </row>
    <row r="1997" spans="1:15" hidden="1" x14ac:dyDescent="0.25">
      <c r="A1997" s="11">
        <v>46063</v>
      </c>
      <c r="B1997" t="s">
        <v>20</v>
      </c>
      <c r="C1997" t="s">
        <v>16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>E1997+G1997+H1997</f>
        <v>15</v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>9</v>
      </c>
      <c r="K1997" s="3">
        <f>I1997-J1997</f>
        <v>6</v>
      </c>
      <c r="L1997" s="3" t="str">
        <f>IF(K1997&lt;-5,"CRÍTICO",IF(K1997&lt;0,"ATENÇÃO",IF(K1997&lt;=5,"BOM","EXCELENTE")))</f>
        <v>EXCELENTE</v>
      </c>
      <c r="M1997">
        <v>5</v>
      </c>
      <c r="N1997">
        <v>93.75</v>
      </c>
      <c r="O1997">
        <v>19.31818181818182</v>
      </c>
    </row>
    <row r="1998" spans="1:15" hidden="1" x14ac:dyDescent="0.25">
      <c r="A1998" s="11">
        <v>46063</v>
      </c>
      <c r="B1998" t="s">
        <v>28</v>
      </c>
      <c r="C1998" t="s">
        <v>26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>
        <v>0</v>
      </c>
      <c r="N1998">
        <v>0</v>
      </c>
      <c r="O1998">
        <v>0</v>
      </c>
    </row>
    <row r="1999" spans="1:15" hidden="1" x14ac:dyDescent="0.25">
      <c r="A1999" s="11">
        <v>46063</v>
      </c>
      <c r="B1999" t="s">
        <v>58</v>
      </c>
      <c r="C1999" t="s">
        <v>48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>
        <v>0</v>
      </c>
      <c r="N1999">
        <v>97.92</v>
      </c>
      <c r="O1999">
        <v>32.87671232876712</v>
      </c>
    </row>
    <row r="2000" spans="1:15" hidden="1" x14ac:dyDescent="0.25">
      <c r="A2000" s="11">
        <v>46063</v>
      </c>
      <c r="B2000" t="s">
        <v>29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30</v>
      </c>
      <c r="C2001" t="s">
        <v>26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21</v>
      </c>
      <c r="C2002" t="s">
        <v>16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v>0</v>
      </c>
      <c r="J2002" s="3">
        <v>0</v>
      </c>
      <c r="K2002" s="3">
        <v>0</v>
      </c>
      <c r="L2002" s="3" t="str">
        <f>IF(K2002&lt;-5,"CRÍTICO",IF(K2002&lt;0,"ATENÇÃO",IF(K2002&lt;=5,"BOM","EXCELENTE")))</f>
        <v>BOM</v>
      </c>
      <c r="M2002">
        <v>0</v>
      </c>
      <c r="N2002">
        <v>0</v>
      </c>
      <c r="O2002">
        <v>0</v>
      </c>
    </row>
    <row r="2003" spans="1:15" hidden="1" x14ac:dyDescent="0.25">
      <c r="A2003" s="11">
        <v>46063</v>
      </c>
      <c r="B2003" t="s">
        <v>63</v>
      </c>
      <c r="C2003" t="s">
        <v>23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>E2003+G2003+H2003</f>
        <v>13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20</v>
      </c>
      <c r="K2003" s="3">
        <f>I2003-J2003</f>
        <v>-7</v>
      </c>
      <c r="L2003" s="3" t="str">
        <f>IF(K2003&lt;-5,"CRÍTICO",IF(K2003&lt;0,"ATENÇÃO",IF(K2003&lt;=5,"BOM","EXCELENTE")))</f>
        <v>CRÍTICO</v>
      </c>
      <c r="M2003">
        <v>11</v>
      </c>
      <c r="N2003">
        <v>98.51</v>
      </c>
      <c r="O2003">
        <v>29.710144927536231</v>
      </c>
    </row>
    <row r="2004" spans="1:15" hidden="1" x14ac:dyDescent="0.25">
      <c r="A2004" s="11">
        <v>46063</v>
      </c>
      <c r="B2004" t="s">
        <v>45</v>
      </c>
      <c r="C2004" t="s">
        <v>32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>E2004+G2004+H2004</f>
        <v>38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30</v>
      </c>
      <c r="K2004" s="3">
        <f>I2004-J2004</f>
        <v>8</v>
      </c>
      <c r="L2004" s="3" t="str">
        <f>IF(K2004&lt;-5,"CRÍTICO",IF(K2004&lt;0,"ATENÇÃO",IF(K2004&lt;=5,"BOM","EXCELENTE")))</f>
        <v>EXCELENTE</v>
      </c>
      <c r="M2004">
        <v>31</v>
      </c>
      <c r="N2004">
        <v>98.81</v>
      </c>
      <c r="O2004">
        <v>30.712979890310791</v>
      </c>
    </row>
    <row r="2005" spans="1:15" hidden="1" x14ac:dyDescent="0.25">
      <c r="A2005" s="11">
        <v>46063</v>
      </c>
      <c r="B2005" t="s">
        <v>64</v>
      </c>
      <c r="C2005" t="s">
        <v>23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>E2005+G2005+H2005</f>
        <v>13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20</v>
      </c>
      <c r="K2005" s="3">
        <f>I2005-J2005</f>
        <v>-7</v>
      </c>
      <c r="L2005" s="3" t="str">
        <f>IF(K2005&lt;-5,"CRÍTICO",IF(K2005&lt;0,"ATENÇÃO",IF(K2005&lt;=5,"BOM","EXCELENTE")))</f>
        <v>CRÍTICO</v>
      </c>
      <c r="M2005">
        <v>12</v>
      </c>
      <c r="N2005">
        <v>98.48</v>
      </c>
      <c r="O2005">
        <v>29.35323383084577</v>
      </c>
    </row>
    <row r="2006" spans="1:15" hidden="1" x14ac:dyDescent="0.25">
      <c r="A2006" s="11">
        <v>46063</v>
      </c>
      <c r="B2006" t="s">
        <v>46</v>
      </c>
      <c r="C2006" t="s">
        <v>32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>E2006+G2006+H2006</f>
        <v>27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30</v>
      </c>
      <c r="K2006" s="3">
        <f>I2006-J2006</f>
        <v>-3</v>
      </c>
      <c r="L2006" s="3" t="str">
        <f>IF(K2006&lt;-5,"CRÍTICO",IF(K2006&lt;0,"ATENÇÃO",IF(K2006&lt;=5,"BOM","EXCELENTE")))</f>
        <v>ATENÇÃO</v>
      </c>
      <c r="M2006">
        <v>25</v>
      </c>
      <c r="N2006">
        <v>98.56</v>
      </c>
      <c r="O2006">
        <v>29.373650107991359</v>
      </c>
    </row>
    <row r="2007" spans="1:15" hidden="1" x14ac:dyDescent="0.25">
      <c r="A2007" s="11">
        <v>46064</v>
      </c>
      <c r="B2007" t="s">
        <v>47</v>
      </c>
      <c r="C2007" t="s">
        <v>48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>E2007+G2007+H2007</f>
        <v>33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23</v>
      </c>
      <c r="K2007" s="3">
        <f>I2007-J2007</f>
        <v>10</v>
      </c>
      <c r="L2007" s="3" t="str">
        <f>IF(K2007&lt;-5,"CRÍTICO",IF(K2007&lt;0,"ATENÇÃO",IF(K2007&lt;=5,"BOM","EXCELENTE")))</f>
        <v>EXCELENTE</v>
      </c>
      <c r="M2007">
        <v>31</v>
      </c>
      <c r="N2007">
        <v>98.32</v>
      </c>
      <c r="O2007">
        <v>30.303030303030301</v>
      </c>
    </row>
    <row r="2008" spans="1:15" hidden="1" x14ac:dyDescent="0.25">
      <c r="A2008" s="11">
        <v>46064</v>
      </c>
      <c r="B2008" t="s">
        <v>31</v>
      </c>
      <c r="C2008" t="s">
        <v>32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v>0</v>
      </c>
      <c r="J2008" s="3">
        <v>0</v>
      </c>
      <c r="K2008" s="3">
        <v>0</v>
      </c>
      <c r="L2008" s="3" t="str">
        <f>IF(K2008&lt;-5,"CRÍTICO",IF(K2008&lt;0,"ATENÇÃO",IF(K2008&lt;=5,"BOM","EXCELENTE")))</f>
        <v>BOM</v>
      </c>
      <c r="M2008">
        <v>25</v>
      </c>
      <c r="N2008">
        <v>98.68</v>
      </c>
      <c r="O2008">
        <v>26.219512195121951</v>
      </c>
    </row>
    <row r="2009" spans="1:15" hidden="1" x14ac:dyDescent="0.25">
      <c r="A2009" s="11">
        <v>46064</v>
      </c>
      <c r="B2009" t="s">
        <v>59</v>
      </c>
      <c r="C2009" t="s">
        <v>23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>E2009+G2009+H2009</f>
        <v>26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19</v>
      </c>
      <c r="K2009" s="3">
        <f>I2009-J2009</f>
        <v>7</v>
      </c>
      <c r="L2009" s="3" t="str">
        <f>IF(K2009&lt;-5,"CRÍTICO",IF(K2009&lt;0,"ATENÇÃO",IF(K2009&lt;=5,"BOM","EXCELENTE")))</f>
        <v>EXCELENTE</v>
      </c>
      <c r="M2009">
        <v>23</v>
      </c>
      <c r="N2009">
        <v>100</v>
      </c>
      <c r="O2009">
        <v>31.74224343675418</v>
      </c>
    </row>
    <row r="2010" spans="1:15" hidden="1" x14ac:dyDescent="0.25">
      <c r="A2010" s="11">
        <v>46064</v>
      </c>
      <c r="B2010" t="s">
        <v>33</v>
      </c>
      <c r="C2010" t="s">
        <v>32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>E2010+G2010+H2010</f>
        <v>24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28</v>
      </c>
      <c r="K2010" s="3">
        <f>I2010-J2010</f>
        <v>-4</v>
      </c>
      <c r="L2010" s="3" t="str">
        <f>IF(K2010&lt;-5,"CRÍTICO",IF(K2010&lt;0,"ATENÇÃO",IF(K2010&lt;=5,"BOM","EXCELENTE")))</f>
        <v>ATENÇÃO</v>
      </c>
      <c r="M2010">
        <v>23</v>
      </c>
      <c r="N2010">
        <v>98.25</v>
      </c>
      <c r="O2010">
        <v>25.83518930957684</v>
      </c>
    </row>
    <row r="2011" spans="1:15" hidden="1" x14ac:dyDescent="0.25">
      <c r="A2011" s="11">
        <v>46064</v>
      </c>
      <c r="B2011" t="s">
        <v>15</v>
      </c>
      <c r="C2011" t="s">
        <v>16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>E2011+G2011+H2011</f>
        <v>8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8</v>
      </c>
      <c r="K2011" s="3">
        <f>I2011-J2011</f>
        <v>0</v>
      </c>
      <c r="L2011" s="3" t="str">
        <f>IF(K2011&lt;-5,"CRÍTICO",IF(K2011&lt;0,"ATENÇÃO",IF(K2011&lt;=5,"BOM","EXCELENTE")))</f>
        <v>BOM</v>
      </c>
      <c r="M2011">
        <v>7</v>
      </c>
      <c r="N2011">
        <v>97.5</v>
      </c>
      <c r="O2011">
        <v>30.075187969924809</v>
      </c>
    </row>
    <row r="2012" spans="1:15" hidden="1" x14ac:dyDescent="0.25">
      <c r="A2012" s="11">
        <v>46064</v>
      </c>
      <c r="B2012" t="s">
        <v>49</v>
      </c>
      <c r="C2012" t="s">
        <v>48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>E2012+G2012+H2012</f>
        <v>22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-1</v>
      </c>
      <c r="L2012" s="3" t="str">
        <f>IF(K2012&lt;-5,"CRÍTICO",IF(K2012&lt;0,"ATENÇÃO",IF(K2012&lt;=5,"BOM","EXCELENTE")))</f>
        <v>ATENÇÃO</v>
      </c>
      <c r="M2012">
        <v>18</v>
      </c>
      <c r="N2012">
        <v>100</v>
      </c>
      <c r="O2012">
        <v>29.71311475409836</v>
      </c>
    </row>
    <row r="2013" spans="1:15" hidden="1" x14ac:dyDescent="0.25">
      <c r="A2013" s="11">
        <v>46064</v>
      </c>
      <c r="B2013" t="s">
        <v>50</v>
      </c>
      <c r="C2013" t="s">
        <v>48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>E2013+G2013+H2013</f>
        <v>19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23</v>
      </c>
      <c r="K2013" s="3">
        <f>I2013-J2013</f>
        <v>-4</v>
      </c>
      <c r="L2013" s="3" t="str">
        <f>IF(K2013&lt;-5,"CRÍTICO",IF(K2013&lt;0,"ATENÇÃO",IF(K2013&lt;=5,"BOM","EXCELENTE")))</f>
        <v>ATENÇÃO</v>
      </c>
      <c r="M2013">
        <v>22</v>
      </c>
      <c r="N2013">
        <v>99.22</v>
      </c>
      <c r="O2013">
        <v>35.256410256410263</v>
      </c>
    </row>
    <row r="2014" spans="1:15" hidden="1" x14ac:dyDescent="0.25">
      <c r="A2014" s="11">
        <v>46064</v>
      </c>
      <c r="B2014" t="s">
        <v>17</v>
      </c>
      <c r="C2014" t="s">
        <v>16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v>0</v>
      </c>
      <c r="J2014" s="3">
        <v>0</v>
      </c>
      <c r="K2014" s="3">
        <v>0</v>
      </c>
      <c r="L2014" s="3" t="str">
        <f>IF(K2014&lt;-5,"CRÍTICO",IF(K2014&lt;0,"ATENÇÃO",IF(K2014&lt;=5,"BOM","EXCELENTE")))</f>
        <v>BOM</v>
      </c>
      <c r="M2014">
        <v>0</v>
      </c>
      <c r="N2014">
        <v>0</v>
      </c>
      <c r="O2014">
        <v>0</v>
      </c>
    </row>
    <row r="2015" spans="1:15" hidden="1" x14ac:dyDescent="0.25">
      <c r="A2015" s="11">
        <v>46064</v>
      </c>
      <c r="B2015" t="s">
        <v>60</v>
      </c>
      <c r="C2015" t="s">
        <v>23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>E2015+G2015+H2015</f>
        <v>4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19</v>
      </c>
      <c r="K2015" s="3">
        <f>I2015-J2015</f>
        <v>-15</v>
      </c>
      <c r="L2015" s="3" t="str">
        <f>IF(K2015&lt;-5,"CRÍTICO",IF(K2015&lt;0,"ATENÇÃO",IF(K2015&lt;=5,"BOM","EXCELENTE")))</f>
        <v>CRÍTICO</v>
      </c>
      <c r="M2015">
        <v>15</v>
      </c>
      <c r="N2015">
        <v>98.75</v>
      </c>
      <c r="O2015">
        <v>24.32432432432433</v>
      </c>
    </row>
    <row r="2016" spans="1:15" hidden="1" x14ac:dyDescent="0.25">
      <c r="A2016" s="11">
        <v>46064</v>
      </c>
      <c r="B2016" t="s">
        <v>34</v>
      </c>
      <c r="C2016" t="s">
        <v>32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>E2016+G2016+H2016</f>
        <v>35</v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>28</v>
      </c>
      <c r="K2016" s="3">
        <f>I2016-J2016</f>
        <v>7</v>
      </c>
      <c r="L2016" s="3" t="str">
        <f>IF(K2016&lt;-5,"CRÍTICO",IF(K2016&lt;0,"ATENÇÃO",IF(K2016&lt;=5,"BOM","EXCELENTE")))</f>
        <v>EXCELENTE</v>
      </c>
      <c r="M2016">
        <v>32</v>
      </c>
      <c r="N2016">
        <v>93.48</v>
      </c>
      <c r="O2016">
        <v>31.52804642166344</v>
      </c>
    </row>
    <row r="2017" spans="1:15" hidden="1" x14ac:dyDescent="0.25">
      <c r="A2017" s="11">
        <v>46064</v>
      </c>
      <c r="B2017" t="s">
        <v>51</v>
      </c>
      <c r="C2017" t="s">
        <v>48</v>
      </c>
      <c r="D2017">
        <v>21</v>
      </c>
      <c r="E2017">
        <v>19</v>
      </c>
      <c r="F2017">
        <v>25.11</v>
      </c>
      <c r="G2017">
        <v>0</v>
      </c>
      <c r="H2017">
        <v>0</v>
      </c>
      <c r="I2017" s="3">
        <v>0</v>
      </c>
      <c r="J2017" s="3">
        <v>0</v>
      </c>
      <c r="K2017" s="3">
        <v>0</v>
      </c>
      <c r="L2017" s="3" t="str">
        <f>IF(K2017&lt;-5,"CRÍTICO",IF(K2017&lt;0,"ATENÇÃO",IF(K2017&lt;=5,"BOM","EXCELENTE")))</f>
        <v>BOM</v>
      </c>
      <c r="M2017">
        <v>18</v>
      </c>
      <c r="N2017">
        <v>99.16</v>
      </c>
      <c r="O2017">
        <v>26.13908872901678</v>
      </c>
    </row>
    <row r="2018" spans="1:15" hidden="1" x14ac:dyDescent="0.25">
      <c r="A2018" s="11">
        <v>46064</v>
      </c>
      <c r="B2018" t="s">
        <v>61</v>
      </c>
      <c r="C2018" t="s">
        <v>23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>E2018+G2018+H2018</f>
        <v>16</v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>19</v>
      </c>
      <c r="K2018" s="3">
        <f>I2018-J2018</f>
        <v>-3</v>
      </c>
      <c r="L2018" s="3" t="str">
        <f>IF(K2018&lt;-5,"CRÍTICO",IF(K2018&lt;0,"ATENÇÃO",IF(K2018&lt;=5,"BOM","EXCELENTE")))</f>
        <v>ATENÇÃO</v>
      </c>
      <c r="M2018">
        <v>14</v>
      </c>
      <c r="N2018">
        <v>100</v>
      </c>
      <c r="O2018">
        <v>31.089743589743591</v>
      </c>
    </row>
    <row r="2019" spans="1:15" hidden="1" x14ac:dyDescent="0.25">
      <c r="A2019" s="11">
        <v>46064</v>
      </c>
      <c r="B2019" t="s">
        <v>35</v>
      </c>
      <c r="C2019" t="s">
        <v>32</v>
      </c>
      <c r="D2019">
        <v>30</v>
      </c>
      <c r="E2019">
        <v>29</v>
      </c>
      <c r="F2019">
        <v>23.51</v>
      </c>
      <c r="G2019">
        <v>0</v>
      </c>
      <c r="H2019">
        <v>0</v>
      </c>
      <c r="I2019" s="3">
        <v>0</v>
      </c>
      <c r="J2019" s="3">
        <v>0</v>
      </c>
      <c r="K2019" s="3">
        <v>0</v>
      </c>
      <c r="L2019" s="3" t="str">
        <f>IF(K2019&lt;-5,"CRÍTICO",IF(K2019&lt;0,"ATENÇÃO",IF(K2019&lt;=5,"BOM","EXCELENTE")))</f>
        <v>BOM</v>
      </c>
      <c r="M2019">
        <v>30</v>
      </c>
      <c r="N2019">
        <v>98.11</v>
      </c>
      <c r="O2019">
        <v>33.033707865168537</v>
      </c>
    </row>
    <row r="2020" spans="1:15" hidden="1" x14ac:dyDescent="0.25">
      <c r="A2020" s="11">
        <v>46064</v>
      </c>
      <c r="B2020" t="s">
        <v>18</v>
      </c>
      <c r="C2020" t="s">
        <v>16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>E2020+G2020+H2020</f>
        <v>42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8</v>
      </c>
      <c r="K2020" s="3">
        <f>I2020-J2020</f>
        <v>34</v>
      </c>
      <c r="L2020" s="3" t="str">
        <f>IF(K2020&lt;-5,"CRÍTICO",IF(K2020&lt;0,"ATENÇÃO",IF(K2020&lt;=5,"BOM","EXCELENTE")))</f>
        <v>EXCELENTE</v>
      </c>
      <c r="M2020">
        <v>2</v>
      </c>
      <c r="N2020">
        <v>78.95</v>
      </c>
      <c r="O2020">
        <v>38.983050847457633</v>
      </c>
    </row>
    <row r="2021" spans="1:15" hidden="1" x14ac:dyDescent="0.25">
      <c r="A2021" s="11">
        <v>46064</v>
      </c>
      <c r="B2021" t="s">
        <v>52</v>
      </c>
      <c r="C2021" t="s">
        <v>48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>E2021+G2021+H2021</f>
        <v>23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23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>
        <v>21</v>
      </c>
      <c r="N2021">
        <v>98.45</v>
      </c>
      <c r="O2021">
        <v>29.281767955801101</v>
      </c>
    </row>
    <row r="2022" spans="1:15" hidden="1" x14ac:dyDescent="0.25">
      <c r="A2022" s="11">
        <v>46064</v>
      </c>
      <c r="B2022" t="s">
        <v>36</v>
      </c>
      <c r="C2022" t="s">
        <v>32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>E2022+G2022+H2022</f>
        <v>28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28</v>
      </c>
      <c r="K2022" s="3">
        <f>I2022-J2022</f>
        <v>0</v>
      </c>
      <c r="L2022" s="3" t="str">
        <f>IF(K2022&lt;-5,"CRÍTICO",IF(K2022&lt;0,"ATENÇÃO",IF(K2022&lt;=5,"BOM","EXCELENTE")))</f>
        <v>BOM</v>
      </c>
      <c r="M2022">
        <v>28</v>
      </c>
      <c r="N2022">
        <v>97.84</v>
      </c>
      <c r="O2022">
        <v>26.282051282051281</v>
      </c>
    </row>
    <row r="2023" spans="1:15" hidden="1" x14ac:dyDescent="0.25">
      <c r="A2023" s="11">
        <v>46064</v>
      </c>
      <c r="B2023" t="s">
        <v>53</v>
      </c>
      <c r="C2023" t="s">
        <v>48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>E2023+G2023+H2023</f>
        <v>21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23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>
        <v>24</v>
      </c>
      <c r="N2023">
        <v>98.5</v>
      </c>
      <c r="O2023">
        <v>23.97769516728625</v>
      </c>
    </row>
    <row r="2024" spans="1:15" hidden="1" x14ac:dyDescent="0.25">
      <c r="A2024" s="11">
        <v>46098</v>
      </c>
      <c r="B2024" t="s">
        <v>22</v>
      </c>
      <c r="C2024" t="s">
        <v>23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>E2024+G2024+H2024</f>
        <v>13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15</v>
      </c>
      <c r="K2024" s="3">
        <f>I2024-J2024</f>
        <v>-2</v>
      </c>
      <c r="L2024" s="3" t="str">
        <f>IF(K2024&lt;-5,"CRÍTICO",IF(K2024&lt;0,"ATENÇÃO",IF(K2024&lt;=5,"BOM","EXCELENTE")))</f>
        <v>ATENÇÃO</v>
      </c>
      <c r="M2024">
        <v>13</v>
      </c>
      <c r="N2024">
        <v>99.05</v>
      </c>
      <c r="O2024">
        <v>26.621923937360179</v>
      </c>
    </row>
    <row r="2025" spans="1:15" hidden="1" x14ac:dyDescent="0.25">
      <c r="A2025" s="11">
        <v>46064</v>
      </c>
      <c r="B2025" t="s">
        <v>54</v>
      </c>
      <c r="C2025" t="s">
        <v>48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>E2025+G2025+H2025</f>
        <v>26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23</v>
      </c>
      <c r="K2025" s="3">
        <f>I2025-J2025</f>
        <v>3</v>
      </c>
      <c r="L2025" s="3" t="str">
        <f>IF(K2025&lt;-5,"CRÍTICO",IF(K2025&lt;0,"ATENÇÃO",IF(K2025&lt;=5,"BOM","EXCELENTE")))</f>
        <v>BOM</v>
      </c>
      <c r="M2025">
        <v>26</v>
      </c>
      <c r="N2025">
        <v>98.53</v>
      </c>
      <c r="O2025">
        <v>31.578947368421051</v>
      </c>
    </row>
    <row r="2026" spans="1:15" hidden="1" x14ac:dyDescent="0.25">
      <c r="A2026" s="11">
        <v>46064</v>
      </c>
      <c r="B2026" t="s">
        <v>37</v>
      </c>
      <c r="C2026" t="s">
        <v>32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>E2026+G2026+H2026</f>
        <v>49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21</v>
      </c>
      <c r="L2026" s="3" t="str">
        <f>IF(K2026&lt;-5,"CRÍTICO",IF(K2026&lt;0,"ATENÇÃO",IF(K2026&lt;=5,"BOM","EXCELENTE")))</f>
        <v>EXCELENTE</v>
      </c>
      <c r="M2026">
        <v>51</v>
      </c>
      <c r="N2026">
        <v>100</v>
      </c>
      <c r="O2026">
        <v>25.72214580467676</v>
      </c>
    </row>
    <row r="2027" spans="1:15" hidden="1" x14ac:dyDescent="0.25">
      <c r="A2027" s="11">
        <v>46064</v>
      </c>
      <c r="B2027" t="s">
        <v>38</v>
      </c>
      <c r="C2027" t="s">
        <v>32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>E2027+G2027+H2027</f>
        <v>38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28</v>
      </c>
      <c r="K2027" s="3">
        <f>I2027-J2027</f>
        <v>10</v>
      </c>
      <c r="L2027" s="3" t="str">
        <f>IF(K2027&lt;-5,"CRÍTICO",IF(K2027&lt;0,"ATENÇÃO",IF(K2027&lt;=5,"BOM","EXCELENTE")))</f>
        <v>EXCELENTE</v>
      </c>
      <c r="M2027">
        <v>34</v>
      </c>
      <c r="N2027">
        <v>94.64</v>
      </c>
      <c r="O2027">
        <v>27.52941176470588</v>
      </c>
    </row>
    <row r="2028" spans="1:15" hidden="1" x14ac:dyDescent="0.25">
      <c r="A2028" s="11">
        <v>46064</v>
      </c>
      <c r="B2028" t="s">
        <v>55</v>
      </c>
      <c r="C2028" t="s">
        <v>48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>E2028+G2028+H2028</f>
        <v>26</v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>23</v>
      </c>
      <c r="K2028" s="3">
        <f>I2028-J2028</f>
        <v>3</v>
      </c>
      <c r="L2028" s="3" t="str">
        <f>IF(K2028&lt;-5,"CRÍTICO",IF(K2028&lt;0,"ATENÇÃO",IF(K2028&lt;=5,"BOM","EXCELENTE")))</f>
        <v>BOM</v>
      </c>
      <c r="M2028">
        <v>23</v>
      </c>
      <c r="N2028">
        <v>99.07</v>
      </c>
      <c r="O2028">
        <v>26.376811594202898</v>
      </c>
    </row>
    <row r="2029" spans="1:15" hidden="1" x14ac:dyDescent="0.25">
      <c r="A2029" s="11">
        <v>46064</v>
      </c>
      <c r="B2029" t="s">
        <v>39</v>
      </c>
      <c r="C2029" t="s">
        <v>32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v>0</v>
      </c>
      <c r="J2029" s="3">
        <v>0</v>
      </c>
      <c r="K2029" s="3">
        <v>0</v>
      </c>
      <c r="L2029" s="3" t="str">
        <f>IF(K2029&lt;-5,"CRÍTICO",IF(K2029&lt;0,"ATENÇÃO",IF(K2029&lt;=5,"BOM","EXCELENTE")))</f>
        <v>BOM</v>
      </c>
      <c r="M2029">
        <v>0</v>
      </c>
      <c r="N2029">
        <v>100</v>
      </c>
      <c r="O2029">
        <v>0</v>
      </c>
    </row>
    <row r="2030" spans="1:15" hidden="1" x14ac:dyDescent="0.25">
      <c r="A2030" s="11">
        <v>46064</v>
      </c>
      <c r="B2030" t="s">
        <v>25</v>
      </c>
      <c r="C2030" t="s">
        <v>26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>E2030+G2030+H2030</f>
        <v>12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16</v>
      </c>
      <c r="K2030" s="3">
        <f>I2030-J2030</f>
        <v>-4</v>
      </c>
      <c r="L2030" s="3" t="str">
        <f>IF(K2030&lt;-5,"CRÍTICO",IF(K2030&lt;0,"ATENÇÃO",IF(K2030&lt;=5,"BOM","EXCELENTE")))</f>
        <v>ATENÇÃO</v>
      </c>
      <c r="M2030">
        <v>10</v>
      </c>
      <c r="N2030">
        <v>98.48</v>
      </c>
      <c r="O2030">
        <v>27.853881278538811</v>
      </c>
    </row>
    <row r="2031" spans="1:15" hidden="1" x14ac:dyDescent="0.25">
      <c r="A2031" s="11">
        <v>46064</v>
      </c>
      <c r="B2031" t="s">
        <v>40</v>
      </c>
      <c r="C2031" t="s">
        <v>32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>E2031+G2031+H2031</f>
        <v>2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28</v>
      </c>
      <c r="K2031" s="3">
        <f>I2031-J2031</f>
        <v>-26</v>
      </c>
      <c r="L2031" s="3" t="str">
        <f>IF(K2031&lt;-5,"CRÍTICO",IF(K2031&lt;0,"ATENÇÃO",IF(K2031&lt;=5,"BOM","EXCELENTE")))</f>
        <v>CRÍTICO</v>
      </c>
      <c r="M2031">
        <v>4</v>
      </c>
      <c r="N2031">
        <v>95.15</v>
      </c>
      <c r="O2031">
        <v>34.131736526946113</v>
      </c>
    </row>
    <row r="2032" spans="1:15" hidden="1" x14ac:dyDescent="0.25">
      <c r="A2032" s="11">
        <v>46064</v>
      </c>
      <c r="B2032" t="s">
        <v>27</v>
      </c>
      <c r="C2032" t="s">
        <v>26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v>0</v>
      </c>
      <c r="J2032" s="3">
        <v>0</v>
      </c>
      <c r="K2032" s="3">
        <v>0</v>
      </c>
      <c r="L2032" s="3" t="str">
        <f>IF(K2032&lt;-5,"CRÍTICO",IF(K2032&lt;0,"ATENÇÃO",IF(K2032&lt;=5,"BOM","EXCELENTE")))</f>
        <v>BOM</v>
      </c>
      <c r="M2032">
        <v>0</v>
      </c>
      <c r="N2032">
        <v>0</v>
      </c>
      <c r="O2032">
        <v>0</v>
      </c>
    </row>
    <row r="2033" spans="1:15" hidden="1" x14ac:dyDescent="0.25">
      <c r="A2033" s="11">
        <v>46064</v>
      </c>
      <c r="B2033" t="s">
        <v>41</v>
      </c>
      <c r="C2033" t="s">
        <v>32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>E2033+G2033+H2033</f>
        <v>26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28</v>
      </c>
      <c r="K2033" s="3">
        <f>I2033-J2033</f>
        <v>-2</v>
      </c>
      <c r="L2033" s="3" t="str">
        <f>IF(K2033&lt;-5,"CRÍTICO",IF(K2033&lt;0,"ATENÇÃO",IF(K2033&lt;=5,"BOM","EXCELENTE")))</f>
        <v>ATENÇÃO</v>
      </c>
      <c r="M2033">
        <v>28</v>
      </c>
      <c r="N2033">
        <v>99.26</v>
      </c>
      <c r="O2033">
        <v>30.84832904884319</v>
      </c>
    </row>
    <row r="2034" spans="1:15" hidden="1" x14ac:dyDescent="0.25">
      <c r="A2034" s="11">
        <v>46064</v>
      </c>
      <c r="B2034" t="s">
        <v>56</v>
      </c>
      <c r="C2034" t="s">
        <v>48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>E2034+G2034+H2034</f>
        <v>18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23</v>
      </c>
      <c r="K2034" s="3">
        <f>I2034-J2034</f>
        <v>-5</v>
      </c>
      <c r="L2034" s="3" t="str">
        <f>IF(K2034&lt;-5,"CRÍTICO",IF(K2034&lt;0,"ATENÇÃO",IF(K2034&lt;=5,"BOM","EXCELENTE")))</f>
        <v>ATENÇÃO</v>
      </c>
      <c r="M2034">
        <v>18</v>
      </c>
      <c r="N2034">
        <v>97.48</v>
      </c>
      <c r="O2034">
        <v>27.764705882352938</v>
      </c>
    </row>
    <row r="2035" spans="1:15" hidden="1" x14ac:dyDescent="0.25">
      <c r="A2035" s="11">
        <v>46064</v>
      </c>
      <c r="B2035" t="s">
        <v>57</v>
      </c>
      <c r="C2035" t="s">
        <v>48</v>
      </c>
      <c r="D2035">
        <v>33</v>
      </c>
      <c r="E2035">
        <v>30</v>
      </c>
      <c r="F2035">
        <v>19.010000000000002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>
        <v>23</v>
      </c>
      <c r="N2035">
        <v>99.34</v>
      </c>
      <c r="O2035">
        <v>30.04291845493562</v>
      </c>
    </row>
    <row r="2036" spans="1:15" hidden="1" x14ac:dyDescent="0.25">
      <c r="A2036" s="11">
        <v>46064</v>
      </c>
      <c r="B2036" t="s">
        <v>42</v>
      </c>
      <c r="C2036" t="s">
        <v>32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v>0</v>
      </c>
      <c r="J2036" s="3">
        <v>0</v>
      </c>
      <c r="K2036" s="3">
        <v>0</v>
      </c>
      <c r="L2036" s="3" t="str">
        <f>IF(K2036&lt;-5,"CRÍTICO",IF(K2036&lt;0,"ATENÇÃO",IF(K2036&lt;=5,"BOM","EXCELENTE")))</f>
        <v>BOM</v>
      </c>
      <c r="M2036">
        <v>0</v>
      </c>
      <c r="N2036">
        <v>96.3</v>
      </c>
      <c r="O2036">
        <v>24.29378531073446</v>
      </c>
    </row>
    <row r="2037" spans="1:15" hidden="1" x14ac:dyDescent="0.25">
      <c r="A2037" s="11">
        <v>46064</v>
      </c>
      <c r="B2037" t="s">
        <v>62</v>
      </c>
      <c r="C2037" t="s">
        <v>23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>E2037+G2037+H2037</f>
        <v>19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19</v>
      </c>
      <c r="K2037" s="3">
        <f>I2037-J2037</f>
        <v>0</v>
      </c>
      <c r="L2037" s="3" t="str">
        <f>IF(K2037&lt;-5,"CRÍTICO",IF(K2037&lt;0,"ATENÇÃO",IF(K2037&lt;=5,"BOM","EXCELENTE")))</f>
        <v>BOM</v>
      </c>
      <c r="M2037">
        <v>18</v>
      </c>
      <c r="N2037">
        <v>100</v>
      </c>
      <c r="O2037">
        <v>26.543209876543209</v>
      </c>
    </row>
    <row r="2038" spans="1:15" hidden="1" x14ac:dyDescent="0.25">
      <c r="A2038" s="11">
        <v>46064</v>
      </c>
      <c r="B2038" t="s">
        <v>19</v>
      </c>
      <c r="C2038" t="s">
        <v>16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>E2038+G2038+H2038</f>
        <v>26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18</v>
      </c>
      <c r="L2038" s="3" t="str">
        <f>IF(K2038&lt;-5,"CRÍTICO",IF(K2038&lt;0,"ATENÇÃO",IF(K2038&lt;=5,"BOM","EXCELENTE")))</f>
        <v>EXCELENTE</v>
      </c>
      <c r="M2038">
        <v>0</v>
      </c>
      <c r="N2038">
        <v>100</v>
      </c>
      <c r="O2038">
        <v>35.483870967741943</v>
      </c>
    </row>
    <row r="2039" spans="1:15" hidden="1" x14ac:dyDescent="0.25">
      <c r="A2039" s="11">
        <v>46064</v>
      </c>
      <c r="B2039" t="s">
        <v>43</v>
      </c>
      <c r="C2039" t="s">
        <v>32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>E2039+G2039+H2039</f>
        <v>15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-13</v>
      </c>
      <c r="L2039" s="3" t="str">
        <f>IF(K2039&lt;-5,"CRÍTICO",IF(K2039&lt;0,"ATENÇÃO",IF(K2039&lt;=5,"BOM","EXCELENTE")))</f>
        <v>CRÍTICO</v>
      </c>
      <c r="M2039">
        <v>33</v>
      </c>
      <c r="N2039">
        <v>99.27</v>
      </c>
      <c r="O2039">
        <v>31.163708086785011</v>
      </c>
    </row>
    <row r="2040" spans="1:15" hidden="1" x14ac:dyDescent="0.25">
      <c r="A2040" s="11">
        <v>46064</v>
      </c>
      <c r="B2040" t="s">
        <v>44</v>
      </c>
      <c r="C2040" t="s">
        <v>32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>E2040+G2040+H2040</f>
        <v>17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28</v>
      </c>
      <c r="K2040" s="3">
        <f>I2040-J2040</f>
        <v>-11</v>
      </c>
      <c r="L2040" s="3" t="str">
        <f>IF(K2040&lt;-5,"CRÍTICO",IF(K2040&lt;0,"ATENÇÃO",IF(K2040&lt;=5,"BOM","EXCELENTE")))</f>
        <v>CRÍTICO</v>
      </c>
      <c r="M2040">
        <v>15</v>
      </c>
      <c r="N2040">
        <v>94.16</v>
      </c>
      <c r="O2040">
        <v>27.038626609442058</v>
      </c>
    </row>
    <row r="2041" spans="1:15" hidden="1" x14ac:dyDescent="0.25">
      <c r="A2041" s="11">
        <v>46064</v>
      </c>
      <c r="B2041" t="s">
        <v>20</v>
      </c>
      <c r="C2041" t="s">
        <v>16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>E2041+G2041+H2041</f>
        <v>10</v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>8</v>
      </c>
      <c r="K2041" s="3">
        <f>I2041-J2041</f>
        <v>2</v>
      </c>
      <c r="L2041" s="3" t="str">
        <f>IF(K2041&lt;-5,"CRÍTICO",IF(K2041&lt;0,"ATENÇÃO",IF(K2041&lt;=5,"BOM","EXCELENTE")))</f>
        <v>BOM</v>
      </c>
      <c r="M2041">
        <v>4</v>
      </c>
      <c r="N2041">
        <v>93.75</v>
      </c>
      <c r="O2041">
        <v>19.31818181818182</v>
      </c>
    </row>
    <row r="2042" spans="1:15" hidden="1" x14ac:dyDescent="0.25">
      <c r="A2042" s="11">
        <v>46064</v>
      </c>
      <c r="B2042" t="s">
        <v>28</v>
      </c>
      <c r="C2042" t="s">
        <v>26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>
        <v>0</v>
      </c>
      <c r="N2042">
        <v>0</v>
      </c>
      <c r="O2042">
        <v>0</v>
      </c>
    </row>
    <row r="2043" spans="1:15" hidden="1" x14ac:dyDescent="0.25">
      <c r="A2043" s="11">
        <v>46064</v>
      </c>
      <c r="B2043" t="s">
        <v>58</v>
      </c>
      <c r="C2043" t="s">
        <v>48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>
        <v>0</v>
      </c>
      <c r="N2043">
        <v>97.92</v>
      </c>
      <c r="O2043">
        <v>32.87671232876712</v>
      </c>
    </row>
    <row r="2044" spans="1:15" hidden="1" x14ac:dyDescent="0.25">
      <c r="A2044" s="11">
        <v>46064</v>
      </c>
      <c r="B2044" t="s">
        <v>29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30</v>
      </c>
      <c r="C2045" t="s">
        <v>26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21</v>
      </c>
      <c r="C2046" t="s">
        <v>16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v>0</v>
      </c>
      <c r="J2046" s="3">
        <v>0</v>
      </c>
      <c r="K2046" s="3">
        <v>0</v>
      </c>
      <c r="L2046" s="3" t="str">
        <f>IF(K2046&lt;-5,"CRÍTICO",IF(K2046&lt;0,"ATENÇÃO",IF(K2046&lt;=5,"BOM","EXCELENTE")))</f>
        <v>BOM</v>
      </c>
      <c r="M2046">
        <v>0</v>
      </c>
      <c r="N2046">
        <v>0</v>
      </c>
      <c r="O2046">
        <v>0</v>
      </c>
    </row>
    <row r="2047" spans="1:15" hidden="1" x14ac:dyDescent="0.25">
      <c r="A2047" s="11">
        <v>46064</v>
      </c>
      <c r="B2047" t="s">
        <v>63</v>
      </c>
      <c r="C2047" t="s">
        <v>23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>E2047+G2047+H2047</f>
        <v>24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19</v>
      </c>
      <c r="K2047" s="3">
        <f>I2047-J2047</f>
        <v>5</v>
      </c>
      <c r="L2047" s="3" t="str">
        <f>IF(K2047&lt;-5,"CRÍTICO",IF(K2047&lt;0,"ATENÇÃO",IF(K2047&lt;=5,"BOM","EXCELENTE")))</f>
        <v>BOM</v>
      </c>
      <c r="M2047">
        <v>17</v>
      </c>
      <c r="N2047">
        <v>98.51</v>
      </c>
      <c r="O2047">
        <v>29.710144927536231</v>
      </c>
    </row>
    <row r="2048" spans="1:15" hidden="1" x14ac:dyDescent="0.25">
      <c r="A2048" s="11">
        <v>46064</v>
      </c>
      <c r="B2048" t="s">
        <v>45</v>
      </c>
      <c r="C2048" t="s">
        <v>32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>E2048+G2048+H2048</f>
        <v>35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28</v>
      </c>
      <c r="K2048" s="3">
        <f>I2048-J2048</f>
        <v>7</v>
      </c>
      <c r="L2048" s="3" t="str">
        <f>IF(K2048&lt;-5,"CRÍTICO",IF(K2048&lt;0,"ATENÇÃO",IF(K2048&lt;=5,"BOM","EXCELENTE")))</f>
        <v>EXCELENTE</v>
      </c>
      <c r="M2048">
        <v>38</v>
      </c>
      <c r="N2048">
        <v>98.81</v>
      </c>
      <c r="O2048">
        <v>30.712979890310791</v>
      </c>
    </row>
    <row r="2049" spans="1:15" hidden="1" x14ac:dyDescent="0.25">
      <c r="A2049" s="11">
        <v>46064</v>
      </c>
      <c r="B2049" t="s">
        <v>64</v>
      </c>
      <c r="C2049" t="s">
        <v>23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>E2049+G2049+H2049</f>
        <v>11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19</v>
      </c>
      <c r="K2049" s="3">
        <f>I2049-J2049</f>
        <v>-8</v>
      </c>
      <c r="L2049" s="3" t="str">
        <f>IF(K2049&lt;-5,"CRÍTICO",IF(K2049&lt;0,"ATENÇÃO",IF(K2049&lt;=5,"BOM","EXCELENTE")))</f>
        <v>CRÍTICO</v>
      </c>
      <c r="M2049">
        <v>12</v>
      </c>
      <c r="N2049">
        <v>98.48</v>
      </c>
      <c r="O2049">
        <v>29.35323383084577</v>
      </c>
    </row>
    <row r="2050" spans="1:15" hidden="1" x14ac:dyDescent="0.25">
      <c r="A2050" s="11">
        <v>46064</v>
      </c>
      <c r="B2050" t="s">
        <v>46</v>
      </c>
      <c r="C2050" t="s">
        <v>32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>E2050+G2050+H2050</f>
        <v>32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28</v>
      </c>
      <c r="K2050" s="3">
        <f>I2050-J2050</f>
        <v>4</v>
      </c>
      <c r="L2050" s="3" t="str">
        <f>IF(K2050&lt;-5,"CRÍTICO",IF(K2050&lt;0,"ATENÇÃO",IF(K2050&lt;=5,"BOM","EXCELENTE")))</f>
        <v>BOM</v>
      </c>
      <c r="M2050">
        <v>27</v>
      </c>
      <c r="N2050">
        <v>98.56</v>
      </c>
      <c r="O2050">
        <v>29.373650107991359</v>
      </c>
    </row>
    <row r="2051" spans="1:15" hidden="1" x14ac:dyDescent="0.25">
      <c r="A2051" s="11">
        <v>46065</v>
      </c>
      <c r="B2051" t="s">
        <v>47</v>
      </c>
      <c r="C2051" t="s">
        <v>48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>E2051+G2051+H2051</f>
        <v>0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21</v>
      </c>
      <c r="K2051" s="3">
        <f>I2051-J2051</f>
        <v>-21</v>
      </c>
      <c r="L2051" s="3" t="str">
        <f>IF(K2051&lt;-5,"CRÍTICO",IF(K2051&lt;0,"ATENÇÃO",IF(K2051&lt;=5,"BOM","EXCELENTE")))</f>
        <v>CRÍTICO</v>
      </c>
      <c r="M2051">
        <v>0</v>
      </c>
      <c r="N2051">
        <v>98.32</v>
      </c>
      <c r="O2051">
        <v>30.303030303030301</v>
      </c>
    </row>
    <row r="2052" spans="1:15" hidden="1" x14ac:dyDescent="0.25">
      <c r="A2052" s="11">
        <v>46065</v>
      </c>
      <c r="B2052" t="s">
        <v>31</v>
      </c>
      <c r="C2052" t="s">
        <v>32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v>0</v>
      </c>
      <c r="J2052" s="3">
        <v>0</v>
      </c>
      <c r="K2052" s="3">
        <v>0</v>
      </c>
      <c r="L2052" s="3" t="str">
        <f>IF(K2052&lt;-5,"CRÍTICO",IF(K2052&lt;0,"ATENÇÃO",IF(K2052&lt;=5,"BOM","EXCELENTE")))</f>
        <v>BOM</v>
      </c>
      <c r="M2052">
        <v>33</v>
      </c>
      <c r="N2052">
        <v>98.68</v>
      </c>
      <c r="O2052">
        <v>26.219512195121951</v>
      </c>
    </row>
    <row r="2053" spans="1:15" hidden="1" x14ac:dyDescent="0.25">
      <c r="A2053" s="11">
        <v>46065</v>
      </c>
      <c r="B2053" t="s">
        <v>59</v>
      </c>
      <c r="C2053" t="s">
        <v>23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>E2053+G2053+H2053</f>
        <v>24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17</v>
      </c>
      <c r="K2053" s="3">
        <f>I2053-J2053</f>
        <v>7</v>
      </c>
      <c r="L2053" s="3" t="str">
        <f>IF(K2053&lt;-5,"CRÍTICO",IF(K2053&lt;0,"ATENÇÃO",IF(K2053&lt;=5,"BOM","EXCELENTE")))</f>
        <v>EXCELENTE</v>
      </c>
      <c r="M2053">
        <v>20</v>
      </c>
      <c r="N2053">
        <v>100</v>
      </c>
      <c r="O2053">
        <v>31.74224343675418</v>
      </c>
    </row>
    <row r="2054" spans="1:15" hidden="1" x14ac:dyDescent="0.25">
      <c r="A2054" s="11">
        <v>46065</v>
      </c>
      <c r="B2054" t="s">
        <v>33</v>
      </c>
      <c r="C2054" t="s">
        <v>32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>E2054+G2054+H2054</f>
        <v>26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27</v>
      </c>
      <c r="K2054" s="3">
        <f>I2054-J2054</f>
        <v>-1</v>
      </c>
      <c r="L2054" s="3" t="str">
        <f>IF(K2054&lt;-5,"CRÍTICO",IF(K2054&lt;0,"ATENÇÃO",IF(K2054&lt;=5,"BOM","EXCELENTE")))</f>
        <v>ATENÇÃO</v>
      </c>
      <c r="M2054">
        <v>25</v>
      </c>
      <c r="N2054">
        <v>98.25</v>
      </c>
      <c r="O2054">
        <v>25.83518930957684</v>
      </c>
    </row>
    <row r="2055" spans="1:15" hidden="1" x14ac:dyDescent="0.25">
      <c r="A2055" s="11">
        <v>46065</v>
      </c>
      <c r="B2055" t="s">
        <v>15</v>
      </c>
      <c r="C2055" t="s">
        <v>16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>E2055+G2055+H2055</f>
        <v>9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8</v>
      </c>
      <c r="K2055" s="3">
        <f>I2055-J2055</f>
        <v>1</v>
      </c>
      <c r="L2055" s="3" t="str">
        <f>IF(K2055&lt;-5,"CRÍTICO",IF(K2055&lt;0,"ATENÇÃO",IF(K2055&lt;=5,"BOM","EXCELENTE")))</f>
        <v>BOM</v>
      </c>
      <c r="M2055">
        <v>9</v>
      </c>
      <c r="N2055">
        <v>97.5</v>
      </c>
      <c r="O2055">
        <v>30.075187969924809</v>
      </c>
    </row>
    <row r="2056" spans="1:15" hidden="1" x14ac:dyDescent="0.25">
      <c r="A2056" s="11">
        <v>46065</v>
      </c>
      <c r="B2056" t="s">
        <v>49</v>
      </c>
      <c r="C2056" t="s">
        <v>48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>E2056+G2056+H2056</f>
        <v>17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-4</v>
      </c>
      <c r="L2056" s="3" t="str">
        <f>IF(K2056&lt;-5,"CRÍTICO",IF(K2056&lt;0,"ATENÇÃO",IF(K2056&lt;=5,"BOM","EXCELENTE")))</f>
        <v>ATENÇÃO</v>
      </c>
      <c r="M2056">
        <v>17</v>
      </c>
      <c r="N2056">
        <v>100</v>
      </c>
      <c r="O2056">
        <v>29.71311475409836</v>
      </c>
    </row>
    <row r="2057" spans="1:15" hidden="1" x14ac:dyDescent="0.25">
      <c r="A2057" s="11">
        <v>46065</v>
      </c>
      <c r="B2057" t="s">
        <v>50</v>
      </c>
      <c r="C2057" t="s">
        <v>48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>E2057+G2057+H2057</f>
        <v>13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21</v>
      </c>
      <c r="K2057" s="3">
        <f>I2057-J2057</f>
        <v>-8</v>
      </c>
      <c r="L2057" s="3" t="str">
        <f>IF(K2057&lt;-5,"CRÍTICO",IF(K2057&lt;0,"ATENÇÃO",IF(K2057&lt;=5,"BOM","EXCELENTE")))</f>
        <v>CRÍTICO</v>
      </c>
      <c r="M2057">
        <v>14</v>
      </c>
      <c r="N2057">
        <v>99.22</v>
      </c>
      <c r="O2057">
        <v>35.256410256410263</v>
      </c>
    </row>
    <row r="2058" spans="1:15" hidden="1" x14ac:dyDescent="0.25">
      <c r="A2058" s="11">
        <v>46065</v>
      </c>
      <c r="B2058" t="s">
        <v>17</v>
      </c>
      <c r="C2058" t="s">
        <v>16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v>0</v>
      </c>
      <c r="J2058" s="3">
        <v>0</v>
      </c>
      <c r="K2058" s="3">
        <v>0</v>
      </c>
      <c r="L2058" s="3" t="str">
        <f>IF(K2058&lt;-5,"CRÍTICO",IF(K2058&lt;0,"ATENÇÃO",IF(K2058&lt;=5,"BOM","EXCELENTE")))</f>
        <v>BOM</v>
      </c>
      <c r="M2058">
        <v>0</v>
      </c>
      <c r="N2058">
        <v>0</v>
      </c>
      <c r="O2058">
        <v>0</v>
      </c>
    </row>
    <row r="2059" spans="1:15" hidden="1" x14ac:dyDescent="0.25">
      <c r="A2059" s="11">
        <v>46065</v>
      </c>
      <c r="B2059" t="s">
        <v>60</v>
      </c>
      <c r="C2059" t="s">
        <v>23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>E2059+G2059+H2059</f>
        <v>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17</v>
      </c>
      <c r="K2059" s="3">
        <f>I2059-J2059</f>
        <v>-11</v>
      </c>
      <c r="L2059" s="3" t="str">
        <f>IF(K2059&lt;-5,"CRÍTICO",IF(K2059&lt;0,"ATENÇÃO",IF(K2059&lt;=5,"BOM","EXCELENTE")))</f>
        <v>CRÍTICO</v>
      </c>
      <c r="M2059">
        <v>9</v>
      </c>
      <c r="N2059">
        <v>98.75</v>
      </c>
      <c r="O2059">
        <v>24.32432432432433</v>
      </c>
    </row>
    <row r="2060" spans="1:15" hidden="1" x14ac:dyDescent="0.25">
      <c r="A2060" s="11">
        <v>46065</v>
      </c>
      <c r="B2060" t="s">
        <v>34</v>
      </c>
      <c r="C2060" t="s">
        <v>32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>E2060+G2060+H2060</f>
        <v>36</v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>27</v>
      </c>
      <c r="K2060" s="3">
        <f>I2060-J2060</f>
        <v>9</v>
      </c>
      <c r="L2060" s="3" t="str">
        <f>IF(K2060&lt;-5,"CRÍTICO",IF(K2060&lt;0,"ATENÇÃO",IF(K2060&lt;=5,"BOM","EXCELENTE")))</f>
        <v>EXCELENTE</v>
      </c>
      <c r="M2060">
        <v>35</v>
      </c>
      <c r="N2060">
        <v>93.48</v>
      </c>
      <c r="O2060">
        <v>31.52804642166344</v>
      </c>
    </row>
    <row r="2061" spans="1:15" hidden="1" x14ac:dyDescent="0.25">
      <c r="A2061" s="11">
        <v>46065</v>
      </c>
      <c r="B2061" t="s">
        <v>51</v>
      </c>
      <c r="C2061" t="s">
        <v>48</v>
      </c>
      <c r="D2061">
        <v>38</v>
      </c>
      <c r="E2061">
        <v>36</v>
      </c>
      <c r="F2061">
        <v>15.56</v>
      </c>
      <c r="G2061">
        <v>0</v>
      </c>
      <c r="H2061">
        <v>0</v>
      </c>
      <c r="I2061" s="3">
        <v>0</v>
      </c>
      <c r="J2061" s="3">
        <v>0</v>
      </c>
      <c r="K2061" s="3">
        <v>0</v>
      </c>
      <c r="L2061" s="3" t="str">
        <f>IF(K2061&lt;-5,"CRÍTICO",IF(K2061&lt;0,"ATENÇÃO",IF(K2061&lt;=5,"BOM","EXCELENTE")))</f>
        <v>BOM</v>
      </c>
      <c r="M2061">
        <v>36</v>
      </c>
      <c r="N2061">
        <v>99.16</v>
      </c>
      <c r="O2061">
        <v>26.13908872901678</v>
      </c>
    </row>
    <row r="2062" spans="1:15" hidden="1" x14ac:dyDescent="0.25">
      <c r="A2062" s="11">
        <v>46065</v>
      </c>
      <c r="B2062" t="s">
        <v>61</v>
      </c>
      <c r="C2062" t="s">
        <v>23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>E2062+G2062+H2062</f>
        <v>15</v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>17</v>
      </c>
      <c r="K2062" s="3">
        <f>I2062-J2062</f>
        <v>-2</v>
      </c>
      <c r="L2062" s="3" t="str">
        <f>IF(K2062&lt;-5,"CRÍTICO",IF(K2062&lt;0,"ATENÇÃO",IF(K2062&lt;=5,"BOM","EXCELENTE")))</f>
        <v>ATENÇÃO</v>
      </c>
      <c r="M2062">
        <v>13</v>
      </c>
      <c r="N2062">
        <v>100</v>
      </c>
      <c r="O2062">
        <v>31.089743589743591</v>
      </c>
    </row>
    <row r="2063" spans="1:15" hidden="1" x14ac:dyDescent="0.25">
      <c r="A2063" s="11">
        <v>46065</v>
      </c>
      <c r="B2063" t="s">
        <v>35</v>
      </c>
      <c r="C2063" t="s">
        <v>32</v>
      </c>
      <c r="D2063">
        <v>26</v>
      </c>
      <c r="E2063">
        <v>26</v>
      </c>
      <c r="F2063">
        <v>27.22</v>
      </c>
      <c r="G2063">
        <v>0</v>
      </c>
      <c r="H2063">
        <v>0</v>
      </c>
      <c r="I2063" s="3">
        <v>0</v>
      </c>
      <c r="J2063" s="3">
        <v>0</v>
      </c>
      <c r="K2063" s="3">
        <v>0</v>
      </c>
      <c r="L2063" s="3" t="str">
        <f>IF(K2063&lt;-5,"CRÍTICO",IF(K2063&lt;0,"ATENÇÃO",IF(K2063&lt;=5,"BOM","EXCELENTE")))</f>
        <v>BOM</v>
      </c>
      <c r="M2063">
        <v>25</v>
      </c>
      <c r="N2063">
        <v>98.11</v>
      </c>
      <c r="O2063">
        <v>33.033707865168537</v>
      </c>
    </row>
    <row r="2064" spans="1:15" hidden="1" x14ac:dyDescent="0.25">
      <c r="A2064" s="11">
        <v>46065</v>
      </c>
      <c r="B2064" t="s">
        <v>18</v>
      </c>
      <c r="C2064" t="s">
        <v>16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>E2064+G2064+H2064</f>
        <v>13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8</v>
      </c>
      <c r="K2064" s="3">
        <f>I2064-J2064</f>
        <v>5</v>
      </c>
      <c r="L2064" s="3" t="str">
        <f>IF(K2064&lt;-5,"CRÍTICO",IF(K2064&lt;0,"ATENÇÃO",IF(K2064&lt;=5,"BOM","EXCELENTE")))</f>
        <v>BOM</v>
      </c>
      <c r="M2064">
        <v>2</v>
      </c>
      <c r="N2064">
        <v>78.95</v>
      </c>
      <c r="O2064">
        <v>38.983050847457633</v>
      </c>
    </row>
    <row r="2065" spans="1:15" hidden="1" x14ac:dyDescent="0.25">
      <c r="A2065" s="11">
        <v>46065</v>
      </c>
      <c r="B2065" t="s">
        <v>52</v>
      </c>
      <c r="C2065" t="s">
        <v>48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>E2065+G2065+H2065</f>
        <v>20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21</v>
      </c>
      <c r="K2065" s="3">
        <f>I2065-J2065</f>
        <v>-1</v>
      </c>
      <c r="L2065" s="3" t="str">
        <f>IF(K2065&lt;-5,"CRÍTICO",IF(K2065&lt;0,"ATENÇÃO",IF(K2065&lt;=5,"BOM","EXCELENTE")))</f>
        <v>ATENÇÃO</v>
      </c>
      <c r="M2065">
        <v>17</v>
      </c>
      <c r="N2065">
        <v>98.45</v>
      </c>
      <c r="O2065">
        <v>29.281767955801101</v>
      </c>
    </row>
    <row r="2066" spans="1:15" hidden="1" x14ac:dyDescent="0.25">
      <c r="A2066" s="11">
        <v>46065</v>
      </c>
      <c r="B2066" t="s">
        <v>36</v>
      </c>
      <c r="C2066" t="s">
        <v>32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27</v>
      </c>
      <c r="K2066" s="3">
        <f>I2066-J2066</f>
        <v>2</v>
      </c>
      <c r="L2066" s="3" t="str">
        <f>IF(K2066&lt;-5,"CRÍTICO",IF(K2066&lt;0,"ATENÇÃO",IF(K2066&lt;=5,"BOM","EXCELENTE")))</f>
        <v>BOM</v>
      </c>
      <c r="M2066">
        <v>29</v>
      </c>
      <c r="N2066">
        <v>97.84</v>
      </c>
      <c r="O2066">
        <v>26.282051282051281</v>
      </c>
    </row>
    <row r="2067" spans="1:15" hidden="1" x14ac:dyDescent="0.25">
      <c r="A2067" s="11">
        <v>46065</v>
      </c>
      <c r="B2067" t="s">
        <v>53</v>
      </c>
      <c r="C2067" t="s">
        <v>48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>E2067+G2067+H2067</f>
        <v>29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21</v>
      </c>
      <c r="K2067" s="3">
        <f>I2067-J2067</f>
        <v>8</v>
      </c>
      <c r="L2067" s="3" t="str">
        <f>IF(K2067&lt;-5,"CRÍTICO",IF(K2067&lt;0,"ATENÇÃO",IF(K2067&lt;=5,"BOM","EXCELENTE")))</f>
        <v>EXCELENTE</v>
      </c>
      <c r="M2067">
        <v>29</v>
      </c>
      <c r="N2067">
        <v>98.5</v>
      </c>
      <c r="O2067">
        <v>23.97769516728625</v>
      </c>
    </row>
    <row r="2068" spans="1:15" hidden="1" x14ac:dyDescent="0.25">
      <c r="A2068" s="11">
        <v>46099</v>
      </c>
      <c r="B2068" t="s">
        <v>22</v>
      </c>
      <c r="C2068" t="s">
        <v>23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>E2068+G2068+H2068</f>
        <v>25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14</v>
      </c>
      <c r="K2068" s="3">
        <f>I2068-J2068</f>
        <v>11</v>
      </c>
      <c r="L2068" s="3" t="str">
        <f>IF(K2068&lt;-5,"CRÍTICO",IF(K2068&lt;0,"ATENÇÃO",IF(K2068&lt;=5,"BOM","EXCELENTE")))</f>
        <v>EXCELENTE</v>
      </c>
      <c r="M2068">
        <v>24</v>
      </c>
      <c r="N2068">
        <v>99.05</v>
      </c>
      <c r="O2068">
        <v>26.621923937360179</v>
      </c>
    </row>
    <row r="2069" spans="1:15" hidden="1" x14ac:dyDescent="0.25">
      <c r="A2069" s="11">
        <v>46065</v>
      </c>
      <c r="B2069" t="s">
        <v>54</v>
      </c>
      <c r="C2069" t="s">
        <v>48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>E2069+G2069+H2069</f>
        <v>33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21</v>
      </c>
      <c r="K2069" s="3">
        <f>I2069-J2069</f>
        <v>12</v>
      </c>
      <c r="L2069" s="3" t="str">
        <f>IF(K2069&lt;-5,"CRÍTICO",IF(K2069&lt;0,"ATENÇÃO",IF(K2069&lt;=5,"BOM","EXCELENTE")))</f>
        <v>EXCELENTE</v>
      </c>
      <c r="M2069">
        <v>29</v>
      </c>
      <c r="N2069">
        <v>98.53</v>
      </c>
      <c r="O2069">
        <v>31.578947368421051</v>
      </c>
    </row>
    <row r="2070" spans="1:15" hidden="1" x14ac:dyDescent="0.25">
      <c r="A2070" s="11">
        <v>46065</v>
      </c>
      <c r="B2070" t="s">
        <v>37</v>
      </c>
      <c r="C2070" t="s">
        <v>32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>E2070+G2070+H2070</f>
        <v>37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10</v>
      </c>
      <c r="L2070" s="3" t="str">
        <f>IF(K2070&lt;-5,"CRÍTICO",IF(K2070&lt;0,"ATENÇÃO",IF(K2070&lt;=5,"BOM","EXCELENTE")))</f>
        <v>EXCELENTE</v>
      </c>
      <c r="M2070">
        <v>37</v>
      </c>
      <c r="N2070">
        <v>100</v>
      </c>
      <c r="O2070">
        <v>25.72214580467676</v>
      </c>
    </row>
    <row r="2071" spans="1:15" hidden="1" x14ac:dyDescent="0.25">
      <c r="A2071" s="11">
        <v>46065</v>
      </c>
      <c r="B2071" t="s">
        <v>38</v>
      </c>
      <c r="C2071" t="s">
        <v>32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>E2071+G2071+H2071</f>
        <v>20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27</v>
      </c>
      <c r="K2071" s="3">
        <f>I2071-J2071</f>
        <v>-7</v>
      </c>
      <c r="L2071" s="3" t="str">
        <f>IF(K2071&lt;-5,"CRÍTICO",IF(K2071&lt;0,"ATENÇÃO",IF(K2071&lt;=5,"BOM","EXCELENTE")))</f>
        <v>CRÍTICO</v>
      </c>
      <c r="M2071">
        <v>17</v>
      </c>
      <c r="N2071">
        <v>94.64</v>
      </c>
      <c r="O2071">
        <v>27.52941176470588</v>
      </c>
    </row>
    <row r="2072" spans="1:15" hidden="1" x14ac:dyDescent="0.25">
      <c r="A2072" s="11">
        <v>46065</v>
      </c>
      <c r="B2072" t="s">
        <v>55</v>
      </c>
      <c r="C2072" t="s">
        <v>48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>E2072+G2072+H2072</f>
        <v>17</v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>21</v>
      </c>
      <c r="K2072" s="3">
        <f>I2072-J2072</f>
        <v>-4</v>
      </c>
      <c r="L2072" s="3" t="str">
        <f>IF(K2072&lt;-5,"CRÍTICO",IF(K2072&lt;0,"ATENÇÃO",IF(K2072&lt;=5,"BOM","EXCELENTE")))</f>
        <v>ATENÇÃO</v>
      </c>
      <c r="M2072">
        <v>16</v>
      </c>
      <c r="N2072">
        <v>99.07</v>
      </c>
      <c r="O2072">
        <v>26.376811594202898</v>
      </c>
    </row>
    <row r="2073" spans="1:15" hidden="1" x14ac:dyDescent="0.25">
      <c r="A2073" s="11">
        <v>46065</v>
      </c>
      <c r="B2073" t="s">
        <v>39</v>
      </c>
      <c r="C2073" t="s">
        <v>32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v>0</v>
      </c>
      <c r="J2073" s="3">
        <v>0</v>
      </c>
      <c r="K2073" s="3">
        <v>0</v>
      </c>
      <c r="L2073" s="3" t="str">
        <f>IF(K2073&lt;-5,"CRÍTICO",IF(K2073&lt;0,"ATENÇÃO",IF(K2073&lt;=5,"BOM","EXCELENTE")))</f>
        <v>BOM</v>
      </c>
      <c r="M2073">
        <v>0</v>
      </c>
      <c r="N2073">
        <v>100</v>
      </c>
      <c r="O2073">
        <v>0</v>
      </c>
    </row>
    <row r="2074" spans="1:15" hidden="1" x14ac:dyDescent="0.25">
      <c r="A2074" s="11">
        <v>46065</v>
      </c>
      <c r="B2074" t="s">
        <v>25</v>
      </c>
      <c r="C2074" t="s">
        <v>26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>E2074+G2074+H2074</f>
        <v>7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15</v>
      </c>
      <c r="K2074" s="3">
        <f>I2074-J2074</f>
        <v>-8</v>
      </c>
      <c r="L2074" s="3" t="str">
        <f>IF(K2074&lt;-5,"CRÍTICO",IF(K2074&lt;0,"ATENÇÃO",IF(K2074&lt;=5,"BOM","EXCELENTE")))</f>
        <v>CRÍTICO</v>
      </c>
      <c r="M2074">
        <v>7</v>
      </c>
      <c r="N2074">
        <v>98.48</v>
      </c>
      <c r="O2074">
        <v>27.853881278538811</v>
      </c>
    </row>
    <row r="2075" spans="1:15" hidden="1" x14ac:dyDescent="0.25">
      <c r="A2075" s="11">
        <v>46065</v>
      </c>
      <c r="B2075" t="s">
        <v>40</v>
      </c>
      <c r="C2075" t="s">
        <v>32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>E2075+G2075+H2075</f>
        <v>9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27</v>
      </c>
      <c r="K2075" s="3">
        <f>I2075-J2075</f>
        <v>-18</v>
      </c>
      <c r="L2075" s="3" t="str">
        <f>IF(K2075&lt;-5,"CRÍTICO",IF(K2075&lt;0,"ATENÇÃO",IF(K2075&lt;=5,"BOM","EXCELENTE")))</f>
        <v>CRÍTICO</v>
      </c>
      <c r="M2075">
        <v>21</v>
      </c>
      <c r="N2075">
        <v>95.15</v>
      </c>
      <c r="O2075">
        <v>34.131736526946113</v>
      </c>
    </row>
    <row r="2076" spans="1:15" hidden="1" x14ac:dyDescent="0.25">
      <c r="A2076" s="11">
        <v>46065</v>
      </c>
      <c r="B2076" t="s">
        <v>27</v>
      </c>
      <c r="C2076" t="s">
        <v>26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v>0</v>
      </c>
      <c r="J2076" s="3">
        <v>0</v>
      </c>
      <c r="K2076" s="3">
        <v>0</v>
      </c>
      <c r="L2076" s="3" t="str">
        <f>IF(K2076&lt;-5,"CRÍTICO",IF(K2076&lt;0,"ATENÇÃO",IF(K2076&lt;=5,"BOM","EXCELENTE")))</f>
        <v>BOM</v>
      </c>
      <c r="M2076">
        <v>0</v>
      </c>
      <c r="N2076">
        <v>0</v>
      </c>
      <c r="O2076">
        <v>0</v>
      </c>
    </row>
    <row r="2077" spans="1:15" hidden="1" x14ac:dyDescent="0.25">
      <c r="A2077" s="11">
        <v>46065</v>
      </c>
      <c r="B2077" t="s">
        <v>41</v>
      </c>
      <c r="C2077" t="s">
        <v>32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>E2077+G2077+H2077</f>
        <v>29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27</v>
      </c>
      <c r="K2077" s="3">
        <f>I2077-J2077</f>
        <v>2</v>
      </c>
      <c r="L2077" s="3" t="str">
        <f>IF(K2077&lt;-5,"CRÍTICO",IF(K2077&lt;0,"ATENÇÃO",IF(K2077&lt;=5,"BOM","EXCELENTE")))</f>
        <v>BOM</v>
      </c>
      <c r="M2077">
        <v>26</v>
      </c>
      <c r="N2077">
        <v>99.26</v>
      </c>
      <c r="O2077">
        <v>30.84832904884319</v>
      </c>
    </row>
    <row r="2078" spans="1:15" hidden="1" x14ac:dyDescent="0.25">
      <c r="A2078" s="11">
        <v>46065</v>
      </c>
      <c r="B2078" t="s">
        <v>56</v>
      </c>
      <c r="C2078" t="s">
        <v>48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>E2078+G2078+H2078</f>
        <v>36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21</v>
      </c>
      <c r="K2078" s="3">
        <f>I2078-J2078</f>
        <v>15</v>
      </c>
      <c r="L2078" s="3" t="str">
        <f>IF(K2078&lt;-5,"CRÍTICO",IF(K2078&lt;0,"ATENÇÃO",IF(K2078&lt;=5,"BOM","EXCELENTE")))</f>
        <v>EXCELENTE</v>
      </c>
      <c r="M2078">
        <v>23</v>
      </c>
      <c r="N2078">
        <v>97.48</v>
      </c>
      <c r="O2078">
        <v>27.764705882352938</v>
      </c>
    </row>
    <row r="2079" spans="1:15" hidden="1" x14ac:dyDescent="0.25">
      <c r="A2079" s="11">
        <v>46065</v>
      </c>
      <c r="B2079" t="s">
        <v>57</v>
      </c>
      <c r="C2079" t="s">
        <v>48</v>
      </c>
      <c r="D2079">
        <v>25</v>
      </c>
      <c r="E2079">
        <v>23</v>
      </c>
      <c r="F2079">
        <v>20.41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>
        <v>19</v>
      </c>
      <c r="N2079">
        <v>99.34</v>
      </c>
      <c r="O2079">
        <v>30.04291845493562</v>
      </c>
    </row>
    <row r="2080" spans="1:15" hidden="1" x14ac:dyDescent="0.25">
      <c r="A2080" s="11">
        <v>46065</v>
      </c>
      <c r="B2080" t="s">
        <v>42</v>
      </c>
      <c r="C2080" t="s">
        <v>32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v>0</v>
      </c>
      <c r="J2080" s="3">
        <v>0</v>
      </c>
      <c r="K2080" s="3">
        <v>0</v>
      </c>
      <c r="L2080" s="3" t="str">
        <f>IF(K2080&lt;-5,"CRÍTICO",IF(K2080&lt;0,"ATENÇÃO",IF(K2080&lt;=5,"BOM","EXCELENTE")))</f>
        <v>BOM</v>
      </c>
      <c r="M2080">
        <v>0</v>
      </c>
      <c r="N2080">
        <v>96.3</v>
      </c>
      <c r="O2080">
        <v>24.29378531073446</v>
      </c>
    </row>
    <row r="2081" spans="1:15" hidden="1" x14ac:dyDescent="0.25">
      <c r="A2081" s="11">
        <v>46065</v>
      </c>
      <c r="B2081" t="s">
        <v>62</v>
      </c>
      <c r="C2081" t="s">
        <v>23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>E2081+G2081+H2081</f>
        <v>28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17</v>
      </c>
      <c r="K2081" s="3">
        <f>I2081-J2081</f>
        <v>11</v>
      </c>
      <c r="L2081" s="3" t="str">
        <f>IF(K2081&lt;-5,"CRÍTICO",IF(K2081&lt;0,"ATENÇÃO",IF(K2081&lt;=5,"BOM","EXCELENTE")))</f>
        <v>EXCELENTE</v>
      </c>
      <c r="M2081">
        <v>23</v>
      </c>
      <c r="N2081">
        <v>100</v>
      </c>
      <c r="O2081">
        <v>26.543209876543209</v>
      </c>
    </row>
    <row r="2082" spans="1:15" hidden="1" x14ac:dyDescent="0.25">
      <c r="A2082" s="11">
        <v>46065</v>
      </c>
      <c r="B2082" t="s">
        <v>19</v>
      </c>
      <c r="C2082" t="s">
        <v>16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>E2082+G2082+H2082</f>
        <v>16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8</v>
      </c>
      <c r="K2082" s="3">
        <f>I2082-J2082</f>
        <v>8</v>
      </c>
      <c r="L2082" s="3" t="str">
        <f>IF(K2082&lt;-5,"CRÍTICO",IF(K2082&lt;0,"ATENÇÃO",IF(K2082&lt;=5,"BOM","EXCELENTE")))</f>
        <v>EXCELENTE</v>
      </c>
      <c r="M2082">
        <v>1</v>
      </c>
      <c r="N2082">
        <v>100</v>
      </c>
      <c r="O2082">
        <v>35.483870967741943</v>
      </c>
    </row>
    <row r="2083" spans="1:15" hidden="1" x14ac:dyDescent="0.25">
      <c r="A2083" s="11">
        <v>46065</v>
      </c>
      <c r="B2083" t="s">
        <v>43</v>
      </c>
      <c r="C2083" t="s">
        <v>32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>E2083+G2083+H2083</f>
        <v>34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7</v>
      </c>
      <c r="L2083" s="3" t="str">
        <f>IF(K2083&lt;-5,"CRÍTICO",IF(K2083&lt;0,"ATENÇÃO",IF(K2083&lt;=5,"BOM","EXCELENTE")))</f>
        <v>EXCELENTE</v>
      </c>
      <c r="M2083">
        <v>31</v>
      </c>
      <c r="N2083">
        <v>99.27</v>
      </c>
      <c r="O2083">
        <v>31.163708086785011</v>
      </c>
    </row>
    <row r="2084" spans="1:15" hidden="1" x14ac:dyDescent="0.25">
      <c r="A2084" s="11">
        <v>46065</v>
      </c>
      <c r="B2084" t="s">
        <v>44</v>
      </c>
      <c r="C2084" t="s">
        <v>32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>E2084+G2084+H2084</f>
        <v>17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27</v>
      </c>
      <c r="K2084" s="3">
        <f>I2084-J2084</f>
        <v>-10</v>
      </c>
      <c r="L2084" s="3" t="str">
        <f>IF(K2084&lt;-5,"CRÍTICO",IF(K2084&lt;0,"ATENÇÃO",IF(K2084&lt;=5,"BOM","EXCELENTE")))</f>
        <v>CRÍTICO</v>
      </c>
      <c r="M2084">
        <v>16</v>
      </c>
      <c r="N2084">
        <v>94.16</v>
      </c>
      <c r="O2084">
        <v>27.038626609442058</v>
      </c>
    </row>
    <row r="2085" spans="1:15" hidden="1" x14ac:dyDescent="0.25">
      <c r="A2085" s="11">
        <v>46065</v>
      </c>
      <c r="B2085" t="s">
        <v>20</v>
      </c>
      <c r="C2085" t="s">
        <v>16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>E2085+G2085+H2085</f>
        <v>13</v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>8</v>
      </c>
      <c r="K2085" s="3">
        <f>I2085-J2085</f>
        <v>5</v>
      </c>
      <c r="L2085" s="3" t="str">
        <f>IF(K2085&lt;-5,"CRÍTICO",IF(K2085&lt;0,"ATENÇÃO",IF(K2085&lt;=5,"BOM","EXCELENTE")))</f>
        <v>BOM</v>
      </c>
      <c r="M2085">
        <v>4</v>
      </c>
      <c r="N2085">
        <v>93.75</v>
      </c>
      <c r="O2085">
        <v>19.31818181818182</v>
      </c>
    </row>
    <row r="2086" spans="1:15" hidden="1" x14ac:dyDescent="0.25">
      <c r="A2086" s="11">
        <v>46065</v>
      </c>
      <c r="B2086" t="s">
        <v>28</v>
      </c>
      <c r="C2086" t="s">
        <v>26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>
        <v>0</v>
      </c>
      <c r="N2086">
        <v>0</v>
      </c>
      <c r="O2086">
        <v>0</v>
      </c>
    </row>
    <row r="2087" spans="1:15" hidden="1" x14ac:dyDescent="0.25">
      <c r="A2087" s="11">
        <v>46065</v>
      </c>
      <c r="B2087" t="s">
        <v>58</v>
      </c>
      <c r="C2087" t="s">
        <v>48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>
        <v>0</v>
      </c>
      <c r="N2087">
        <v>97.92</v>
      </c>
      <c r="O2087">
        <v>32.87671232876712</v>
      </c>
    </row>
    <row r="2088" spans="1:15" hidden="1" x14ac:dyDescent="0.25">
      <c r="A2088" s="11">
        <v>46065</v>
      </c>
      <c r="B2088" t="s">
        <v>29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30</v>
      </c>
      <c r="C2089" t="s">
        <v>26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21</v>
      </c>
      <c r="C2090" t="s">
        <v>16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v>0</v>
      </c>
      <c r="J2090" s="3">
        <v>0</v>
      </c>
      <c r="K2090" s="3">
        <v>0</v>
      </c>
      <c r="L2090" s="3" t="str">
        <f>IF(K2090&lt;-5,"CRÍTICO",IF(K2090&lt;0,"ATENÇÃO",IF(K2090&lt;=5,"BOM","EXCELENTE")))</f>
        <v>BOM</v>
      </c>
      <c r="M2090">
        <v>0</v>
      </c>
      <c r="N2090">
        <v>0</v>
      </c>
      <c r="O2090">
        <v>0</v>
      </c>
    </row>
    <row r="2091" spans="1:15" hidden="1" x14ac:dyDescent="0.25">
      <c r="A2091" s="11">
        <v>46065</v>
      </c>
      <c r="B2091" t="s">
        <v>63</v>
      </c>
      <c r="C2091" t="s">
        <v>23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>E2091+G2091+H2091</f>
        <v>24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17</v>
      </c>
      <c r="K2091" s="3">
        <f>I2091-J2091</f>
        <v>7</v>
      </c>
      <c r="L2091" s="3" t="str">
        <f>IF(K2091&lt;-5,"CRÍTICO",IF(K2091&lt;0,"ATENÇÃO",IF(K2091&lt;=5,"BOM","EXCELENTE")))</f>
        <v>EXCELENTE</v>
      </c>
      <c r="M2091">
        <v>20</v>
      </c>
      <c r="N2091">
        <v>98.51</v>
      </c>
      <c r="O2091">
        <v>29.710144927536231</v>
      </c>
    </row>
    <row r="2092" spans="1:15" hidden="1" x14ac:dyDescent="0.25">
      <c r="A2092" s="11">
        <v>46065</v>
      </c>
      <c r="B2092" t="s">
        <v>45</v>
      </c>
      <c r="C2092" t="s">
        <v>32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>E2092+G2092+H2092</f>
        <v>46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27</v>
      </c>
      <c r="K2092" s="3">
        <f>I2092-J2092</f>
        <v>19</v>
      </c>
      <c r="L2092" s="3" t="str">
        <f>IF(K2092&lt;-5,"CRÍTICO",IF(K2092&lt;0,"ATENÇÃO",IF(K2092&lt;=5,"BOM","EXCELENTE")))</f>
        <v>EXCELENTE</v>
      </c>
      <c r="M2092">
        <v>43</v>
      </c>
      <c r="N2092">
        <v>98.81</v>
      </c>
      <c r="O2092">
        <v>30.712979890310791</v>
      </c>
    </row>
    <row r="2093" spans="1:15" hidden="1" x14ac:dyDescent="0.25">
      <c r="A2093" s="11">
        <v>46065</v>
      </c>
      <c r="B2093" t="s">
        <v>64</v>
      </c>
      <c r="C2093" t="s">
        <v>23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>E2093+G2093+H2093</f>
        <v>11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17</v>
      </c>
      <c r="K2093" s="3">
        <f>I2093-J2093</f>
        <v>-6</v>
      </c>
      <c r="L2093" s="3" t="str">
        <f>IF(K2093&lt;-5,"CRÍTICO",IF(K2093&lt;0,"ATENÇÃO",IF(K2093&lt;=5,"BOM","EXCELENTE")))</f>
        <v>CRÍTICO</v>
      </c>
      <c r="M2093">
        <v>7</v>
      </c>
      <c r="N2093">
        <v>98.48</v>
      </c>
      <c r="O2093">
        <v>29.35323383084577</v>
      </c>
    </row>
    <row r="2094" spans="1:15" hidden="1" x14ac:dyDescent="0.25">
      <c r="A2094" s="11">
        <v>46065</v>
      </c>
      <c r="B2094" t="s">
        <v>46</v>
      </c>
      <c r="C2094" t="s">
        <v>32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>E2094+G2094+H2094</f>
        <v>29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27</v>
      </c>
      <c r="K2094" s="3">
        <f>I2094-J2094</f>
        <v>2</v>
      </c>
      <c r="L2094" s="3" t="str">
        <f>IF(K2094&lt;-5,"CRÍTICO",IF(K2094&lt;0,"ATENÇÃO",IF(K2094&lt;=5,"BOM","EXCELENTE")))</f>
        <v>BOM</v>
      </c>
      <c r="M2094">
        <v>26</v>
      </c>
      <c r="N2094">
        <v>98.56</v>
      </c>
      <c r="O2094">
        <v>29.373650107991359</v>
      </c>
    </row>
    <row r="2095" spans="1:15" hidden="1" x14ac:dyDescent="0.25">
      <c r="A2095" s="11">
        <v>46066</v>
      </c>
      <c r="B2095" t="s">
        <v>47</v>
      </c>
      <c r="C2095" t="s">
        <v>48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>E2095+G2095+H2095</f>
        <v>31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22</v>
      </c>
      <c r="K2095" s="3">
        <f>I2095-J2095</f>
        <v>9</v>
      </c>
      <c r="L2095" s="3" t="str">
        <f>IF(K2095&lt;-5,"CRÍTICO",IF(K2095&lt;0,"ATENÇÃO",IF(K2095&lt;=5,"BOM","EXCELENTE")))</f>
        <v>EXCELENTE</v>
      </c>
      <c r="M2095">
        <v>27</v>
      </c>
      <c r="N2095">
        <v>98.32</v>
      </c>
      <c r="O2095">
        <v>30.303030303030301</v>
      </c>
    </row>
    <row r="2096" spans="1:15" hidden="1" x14ac:dyDescent="0.25">
      <c r="A2096" s="11">
        <v>46066</v>
      </c>
      <c r="B2096" t="s">
        <v>31</v>
      </c>
      <c r="C2096" t="s">
        <v>32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v>0</v>
      </c>
      <c r="J2096" s="3">
        <v>0</v>
      </c>
      <c r="K2096" s="3">
        <v>0</v>
      </c>
      <c r="L2096" s="3" t="str">
        <f>IF(K2096&lt;-5,"CRÍTICO",IF(K2096&lt;0,"ATENÇÃO",IF(K2096&lt;=5,"BOM","EXCELENTE")))</f>
        <v>BOM</v>
      </c>
      <c r="M2096">
        <v>28</v>
      </c>
      <c r="N2096">
        <v>98.68</v>
      </c>
      <c r="O2096">
        <v>26.219512195121951</v>
      </c>
    </row>
    <row r="2097" spans="1:15" hidden="1" x14ac:dyDescent="0.25">
      <c r="A2097" s="11">
        <v>46066</v>
      </c>
      <c r="B2097" t="s">
        <v>59</v>
      </c>
      <c r="C2097" t="s">
        <v>23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>E2097+G2097+H2097</f>
        <v>16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18</v>
      </c>
      <c r="K2097" s="3">
        <f>I2097-J2097</f>
        <v>-2</v>
      </c>
      <c r="L2097" s="3" t="str">
        <f>IF(K2097&lt;-5,"CRÍTICO",IF(K2097&lt;0,"ATENÇÃO",IF(K2097&lt;=5,"BOM","EXCELENTE")))</f>
        <v>ATENÇÃO</v>
      </c>
      <c r="M2097">
        <v>16</v>
      </c>
      <c r="N2097">
        <v>100</v>
      </c>
      <c r="O2097">
        <v>31.74224343675418</v>
      </c>
    </row>
    <row r="2098" spans="1:15" hidden="1" x14ac:dyDescent="0.25">
      <c r="A2098" s="11">
        <v>46066</v>
      </c>
      <c r="B2098" t="s">
        <v>33</v>
      </c>
      <c r="C2098" t="s">
        <v>32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>E2098+G2098+H2098</f>
        <v>17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27</v>
      </c>
      <c r="K2098" s="3">
        <f>I2098-J2098</f>
        <v>-10</v>
      </c>
      <c r="L2098" s="3" t="str">
        <f>IF(K2098&lt;-5,"CRÍTICO",IF(K2098&lt;0,"ATENÇÃO",IF(K2098&lt;=5,"BOM","EXCELENTE")))</f>
        <v>CRÍTICO</v>
      </c>
      <c r="M2098">
        <v>17</v>
      </c>
      <c r="N2098">
        <v>98.25</v>
      </c>
      <c r="O2098">
        <v>25.83518930957684</v>
      </c>
    </row>
    <row r="2099" spans="1:15" hidden="1" x14ac:dyDescent="0.25">
      <c r="A2099" s="11">
        <v>46066</v>
      </c>
      <c r="B2099" t="s">
        <v>15</v>
      </c>
      <c r="C2099" t="s">
        <v>16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>E2099+G2099+H2099</f>
        <v>8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8</v>
      </c>
      <c r="K2099" s="3">
        <f>I2099-J2099</f>
        <v>0</v>
      </c>
      <c r="L2099" s="3" t="str">
        <f>IF(K2099&lt;-5,"CRÍTICO",IF(K2099&lt;0,"ATENÇÃO",IF(K2099&lt;=5,"BOM","EXCELENTE")))</f>
        <v>BOM</v>
      </c>
      <c r="M2099">
        <v>7</v>
      </c>
      <c r="N2099">
        <v>97.5</v>
      </c>
      <c r="O2099">
        <v>30.075187969924809</v>
      </c>
    </row>
    <row r="2100" spans="1:15" hidden="1" x14ac:dyDescent="0.25">
      <c r="A2100" s="11">
        <v>46066</v>
      </c>
      <c r="B2100" t="s">
        <v>49</v>
      </c>
      <c r="C2100" t="s">
        <v>48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>E2100+G2100+H2100</f>
        <v>30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8</v>
      </c>
      <c r="L2100" s="3" t="str">
        <f>IF(K2100&lt;-5,"CRÍTICO",IF(K2100&lt;0,"ATENÇÃO",IF(K2100&lt;=5,"BOM","EXCELENTE")))</f>
        <v>EXCELENTE</v>
      </c>
      <c r="M2100">
        <v>31</v>
      </c>
      <c r="N2100">
        <v>100</v>
      </c>
      <c r="O2100">
        <v>29.71311475409836</v>
      </c>
    </row>
    <row r="2101" spans="1:15" hidden="1" x14ac:dyDescent="0.25">
      <c r="A2101" s="11">
        <v>46066</v>
      </c>
      <c r="B2101" t="s">
        <v>50</v>
      </c>
      <c r="C2101" t="s">
        <v>48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>E2101+G2101+H2101</f>
        <v>16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22</v>
      </c>
      <c r="K2101" s="3">
        <f>I2101-J2101</f>
        <v>-6</v>
      </c>
      <c r="L2101" s="3" t="str">
        <f>IF(K2101&lt;-5,"CRÍTICO",IF(K2101&lt;0,"ATENÇÃO",IF(K2101&lt;=5,"BOM","EXCELENTE")))</f>
        <v>CRÍTICO</v>
      </c>
      <c r="M2101">
        <v>18</v>
      </c>
      <c r="N2101">
        <v>99.22</v>
      </c>
      <c r="O2101">
        <v>35.256410256410263</v>
      </c>
    </row>
    <row r="2102" spans="1:15" hidden="1" x14ac:dyDescent="0.25">
      <c r="A2102" s="11">
        <v>46066</v>
      </c>
      <c r="B2102" t="s">
        <v>17</v>
      </c>
      <c r="C2102" t="s">
        <v>16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v>0</v>
      </c>
      <c r="J2102" s="3">
        <v>0</v>
      </c>
      <c r="K2102" s="3">
        <v>0</v>
      </c>
      <c r="L2102" s="3" t="str">
        <f>IF(K2102&lt;-5,"CRÍTICO",IF(K2102&lt;0,"ATENÇÃO",IF(K2102&lt;=5,"BOM","EXCELENTE")))</f>
        <v>BOM</v>
      </c>
      <c r="M2102">
        <v>0</v>
      </c>
      <c r="N2102">
        <v>0</v>
      </c>
      <c r="O2102">
        <v>0</v>
      </c>
    </row>
    <row r="2103" spans="1:15" hidden="1" x14ac:dyDescent="0.25">
      <c r="A2103" s="11">
        <v>46066</v>
      </c>
      <c r="B2103" t="s">
        <v>60</v>
      </c>
      <c r="C2103" t="s">
        <v>23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>E2103+G2103+H2103</f>
        <v>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18</v>
      </c>
      <c r="K2103" s="3">
        <f>I2103-J2103</f>
        <v>-10</v>
      </c>
      <c r="L2103" s="3" t="str">
        <f>IF(K2103&lt;-5,"CRÍTICO",IF(K2103&lt;0,"ATENÇÃO",IF(K2103&lt;=5,"BOM","EXCELENTE")))</f>
        <v>CRÍTICO</v>
      </c>
      <c r="M2103">
        <v>17</v>
      </c>
      <c r="N2103">
        <v>98.75</v>
      </c>
      <c r="O2103">
        <v>24.32432432432433</v>
      </c>
    </row>
    <row r="2104" spans="1:15" hidden="1" x14ac:dyDescent="0.25">
      <c r="A2104" s="11">
        <v>46066</v>
      </c>
      <c r="B2104" t="s">
        <v>34</v>
      </c>
      <c r="C2104" t="s">
        <v>32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>E2104+G2104+H2104</f>
        <v>38</v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>27</v>
      </c>
      <c r="K2104" s="3">
        <f>I2104-J2104</f>
        <v>11</v>
      </c>
      <c r="L2104" s="3" t="str">
        <f>IF(K2104&lt;-5,"CRÍTICO",IF(K2104&lt;0,"ATENÇÃO",IF(K2104&lt;=5,"BOM","EXCELENTE")))</f>
        <v>EXCELENTE</v>
      </c>
      <c r="M2104">
        <v>42</v>
      </c>
      <c r="N2104">
        <v>93.48</v>
      </c>
      <c r="O2104">
        <v>31.52804642166344</v>
      </c>
    </row>
    <row r="2105" spans="1:15" hidden="1" x14ac:dyDescent="0.25">
      <c r="A2105" s="11">
        <v>46066</v>
      </c>
      <c r="B2105" t="s">
        <v>51</v>
      </c>
      <c r="C2105" t="s">
        <v>48</v>
      </c>
      <c r="D2105">
        <v>21</v>
      </c>
      <c r="E2105">
        <v>18</v>
      </c>
      <c r="F2105">
        <v>35.57</v>
      </c>
      <c r="G2105">
        <v>0</v>
      </c>
      <c r="H2105">
        <v>0</v>
      </c>
      <c r="I2105" s="3">
        <v>0</v>
      </c>
      <c r="J2105" s="3">
        <v>0</v>
      </c>
      <c r="K2105" s="3">
        <v>0</v>
      </c>
      <c r="L2105" s="3" t="str">
        <f>IF(K2105&lt;-5,"CRÍTICO",IF(K2105&lt;0,"ATENÇÃO",IF(K2105&lt;=5,"BOM","EXCELENTE")))</f>
        <v>BOM</v>
      </c>
      <c r="M2105">
        <v>21</v>
      </c>
      <c r="N2105">
        <v>99.16</v>
      </c>
      <c r="O2105">
        <v>26.13908872901678</v>
      </c>
    </row>
    <row r="2106" spans="1:15" hidden="1" x14ac:dyDescent="0.25">
      <c r="A2106" s="11">
        <v>46066</v>
      </c>
      <c r="B2106" t="s">
        <v>61</v>
      </c>
      <c r="C2106" t="s">
        <v>23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>E2106+G2106+H2106</f>
        <v>12</v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>18</v>
      </c>
      <c r="K2106" s="3">
        <f>I2106-J2106</f>
        <v>-6</v>
      </c>
      <c r="L2106" s="3" t="str">
        <f>IF(K2106&lt;-5,"CRÍTICO",IF(K2106&lt;0,"ATENÇÃO",IF(K2106&lt;=5,"BOM","EXCELENTE")))</f>
        <v>CRÍTICO</v>
      </c>
      <c r="M2106">
        <v>9</v>
      </c>
      <c r="N2106">
        <v>100</v>
      </c>
      <c r="O2106">
        <v>31.089743589743591</v>
      </c>
    </row>
    <row r="2107" spans="1:15" hidden="1" x14ac:dyDescent="0.25">
      <c r="A2107" s="11">
        <v>46066</v>
      </c>
      <c r="B2107" t="s">
        <v>35</v>
      </c>
      <c r="C2107" t="s">
        <v>32</v>
      </c>
      <c r="D2107">
        <v>29</v>
      </c>
      <c r="E2107">
        <v>28</v>
      </c>
      <c r="F2107">
        <v>27.38</v>
      </c>
      <c r="G2107">
        <v>0</v>
      </c>
      <c r="H2107">
        <v>0</v>
      </c>
      <c r="I2107" s="3">
        <v>0</v>
      </c>
      <c r="J2107" s="3">
        <v>0</v>
      </c>
      <c r="K2107" s="3">
        <v>0</v>
      </c>
      <c r="L2107" s="3" t="str">
        <f>IF(K2107&lt;-5,"CRÍTICO",IF(K2107&lt;0,"ATENÇÃO",IF(K2107&lt;=5,"BOM","EXCELENTE")))</f>
        <v>BOM</v>
      </c>
      <c r="M2107">
        <v>28</v>
      </c>
      <c r="N2107">
        <v>98.11</v>
      </c>
      <c r="O2107">
        <v>33.033707865168537</v>
      </c>
    </row>
    <row r="2108" spans="1:15" hidden="1" x14ac:dyDescent="0.25">
      <c r="A2108" s="11">
        <v>46066</v>
      </c>
      <c r="B2108" t="s">
        <v>18</v>
      </c>
      <c r="C2108" t="s">
        <v>16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>E2108+G2108+H2108</f>
        <v>33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8</v>
      </c>
      <c r="K2108" s="3">
        <f>I2108-J2108</f>
        <v>25</v>
      </c>
      <c r="L2108" s="3" t="str">
        <f>IF(K2108&lt;-5,"CRÍTICO",IF(K2108&lt;0,"ATENÇÃO",IF(K2108&lt;=5,"BOM","EXCELENTE")))</f>
        <v>EXCELENTE</v>
      </c>
      <c r="M2108">
        <v>2</v>
      </c>
      <c r="N2108">
        <v>78.95</v>
      </c>
      <c r="O2108">
        <v>38.983050847457633</v>
      </c>
    </row>
    <row r="2109" spans="1:15" hidden="1" x14ac:dyDescent="0.25">
      <c r="A2109" s="11">
        <v>46066</v>
      </c>
      <c r="B2109" t="s">
        <v>52</v>
      </c>
      <c r="C2109" t="s">
        <v>48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>E2109+G2109+H2109</f>
        <v>16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22</v>
      </c>
      <c r="K2109" s="3">
        <f>I2109-J2109</f>
        <v>-6</v>
      </c>
      <c r="L2109" s="3" t="str">
        <f>IF(K2109&lt;-5,"CRÍTICO",IF(K2109&lt;0,"ATENÇÃO",IF(K2109&lt;=5,"BOM","EXCELENTE")))</f>
        <v>CRÍTICO</v>
      </c>
      <c r="M2109">
        <v>17</v>
      </c>
      <c r="N2109">
        <v>98.45</v>
      </c>
      <c r="O2109">
        <v>29.281767955801101</v>
      </c>
    </row>
    <row r="2110" spans="1:15" hidden="1" x14ac:dyDescent="0.25">
      <c r="A2110" s="11">
        <v>46066</v>
      </c>
      <c r="B2110" t="s">
        <v>36</v>
      </c>
      <c r="C2110" t="s">
        <v>32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>E2110+G2110+H2110</f>
        <v>25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27</v>
      </c>
      <c r="K2110" s="3">
        <f>I2110-J2110</f>
        <v>-2</v>
      </c>
      <c r="L2110" s="3" t="str">
        <f>IF(K2110&lt;-5,"CRÍTICO",IF(K2110&lt;0,"ATENÇÃO",IF(K2110&lt;=5,"BOM","EXCELENTE")))</f>
        <v>ATENÇÃO</v>
      </c>
      <c r="M2110">
        <v>26</v>
      </c>
      <c r="N2110">
        <v>97.84</v>
      </c>
      <c r="O2110">
        <v>26.282051282051281</v>
      </c>
    </row>
    <row r="2111" spans="1:15" hidden="1" x14ac:dyDescent="0.25">
      <c r="A2111" s="11">
        <v>46066</v>
      </c>
      <c r="B2111" t="s">
        <v>53</v>
      </c>
      <c r="C2111" t="s">
        <v>48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>E2111+G2111+H2111</f>
        <v>36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22</v>
      </c>
      <c r="K2111" s="3">
        <f>I2111-J2111</f>
        <v>14</v>
      </c>
      <c r="L2111" s="3" t="str">
        <f>IF(K2111&lt;-5,"CRÍTICO",IF(K2111&lt;0,"ATENÇÃO",IF(K2111&lt;=5,"BOM","EXCELENTE")))</f>
        <v>EXCELENTE</v>
      </c>
      <c r="M2111">
        <v>34</v>
      </c>
      <c r="N2111">
        <v>98.5</v>
      </c>
      <c r="O2111">
        <v>23.97769516728625</v>
      </c>
    </row>
    <row r="2112" spans="1:15" hidden="1" x14ac:dyDescent="0.25">
      <c r="A2112" s="11">
        <v>46100</v>
      </c>
      <c r="B2112" t="s">
        <v>22</v>
      </c>
      <c r="C2112" t="s">
        <v>23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>E2112+G2112+H2112</f>
        <v>12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14</v>
      </c>
      <c r="K2112" s="3">
        <f>I2112-J2112</f>
        <v>-2</v>
      </c>
      <c r="L2112" s="3" t="str">
        <f>IF(K2112&lt;-5,"CRÍTICO",IF(K2112&lt;0,"ATENÇÃO",IF(K2112&lt;=5,"BOM","EXCELENTE")))</f>
        <v>ATENÇÃO</v>
      </c>
      <c r="M2112">
        <v>11</v>
      </c>
      <c r="N2112">
        <v>99.05</v>
      </c>
      <c r="O2112">
        <v>26.621923937360179</v>
      </c>
    </row>
    <row r="2113" spans="1:15" hidden="1" x14ac:dyDescent="0.25">
      <c r="A2113" s="11">
        <v>46066</v>
      </c>
      <c r="B2113" t="s">
        <v>54</v>
      </c>
      <c r="C2113" t="s">
        <v>48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>E2113+G2113+H2113</f>
        <v>24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22</v>
      </c>
      <c r="K2113" s="3">
        <f>I2113-J2113</f>
        <v>2</v>
      </c>
      <c r="L2113" s="3" t="str">
        <f>IF(K2113&lt;-5,"CRÍTICO",IF(K2113&lt;0,"ATENÇÃO",IF(K2113&lt;=5,"BOM","EXCELENTE")))</f>
        <v>BOM</v>
      </c>
      <c r="M2113">
        <v>22</v>
      </c>
      <c r="N2113">
        <v>98.53</v>
      </c>
      <c r="O2113">
        <v>31.578947368421051</v>
      </c>
    </row>
    <row r="2114" spans="1:15" hidden="1" x14ac:dyDescent="0.25">
      <c r="A2114" s="11">
        <v>46066</v>
      </c>
      <c r="B2114" t="s">
        <v>37</v>
      </c>
      <c r="C2114" t="s">
        <v>32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>E2114+G2114+H2114</f>
        <v>44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17</v>
      </c>
      <c r="L2114" s="3" t="str">
        <f>IF(K2114&lt;-5,"CRÍTICO",IF(K2114&lt;0,"ATENÇÃO",IF(K2114&lt;=5,"BOM","EXCELENTE")))</f>
        <v>EXCELENTE</v>
      </c>
      <c r="M2114">
        <v>40</v>
      </c>
      <c r="N2114">
        <v>100</v>
      </c>
      <c r="O2114">
        <v>25.72214580467676</v>
      </c>
    </row>
    <row r="2115" spans="1:15" hidden="1" x14ac:dyDescent="0.25">
      <c r="A2115" s="11">
        <v>46066</v>
      </c>
      <c r="B2115" t="s">
        <v>38</v>
      </c>
      <c r="C2115" t="s">
        <v>32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>E2115+G2115+H2115</f>
        <v>33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27</v>
      </c>
      <c r="K2115" s="3">
        <f>I2115-J2115</f>
        <v>6</v>
      </c>
      <c r="L2115" s="3" t="str">
        <f>IF(K2115&lt;-5,"CRÍTICO",IF(K2115&lt;0,"ATENÇÃO",IF(K2115&lt;=5,"BOM","EXCELENTE")))</f>
        <v>EXCELENTE</v>
      </c>
      <c r="M2115">
        <v>33</v>
      </c>
      <c r="N2115">
        <v>94.64</v>
      </c>
      <c r="O2115">
        <v>27.52941176470588</v>
      </c>
    </row>
    <row r="2116" spans="1:15" hidden="1" x14ac:dyDescent="0.25">
      <c r="A2116" s="11">
        <v>46066</v>
      </c>
      <c r="B2116" t="s">
        <v>55</v>
      </c>
      <c r="C2116" t="s">
        <v>48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>E2116+G2116+H2116</f>
        <v>30</v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>22</v>
      </c>
      <c r="K2116" s="3">
        <f>I2116-J2116</f>
        <v>8</v>
      </c>
      <c r="L2116" s="3" t="str">
        <f>IF(K2116&lt;-5,"CRÍTICO",IF(K2116&lt;0,"ATENÇÃO",IF(K2116&lt;=5,"BOM","EXCELENTE")))</f>
        <v>EXCELENTE</v>
      </c>
      <c r="M2116">
        <v>24</v>
      </c>
      <c r="N2116">
        <v>99.07</v>
      </c>
      <c r="O2116">
        <v>26.376811594202898</v>
      </c>
    </row>
    <row r="2117" spans="1:15" hidden="1" x14ac:dyDescent="0.25">
      <c r="A2117" s="11">
        <v>46066</v>
      </c>
      <c r="B2117" t="s">
        <v>39</v>
      </c>
      <c r="C2117" t="s">
        <v>32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v>0</v>
      </c>
      <c r="J2117" s="3">
        <v>0</v>
      </c>
      <c r="K2117" s="3">
        <v>0</v>
      </c>
      <c r="L2117" s="3" t="str">
        <f>IF(K2117&lt;-5,"CRÍTICO",IF(K2117&lt;0,"ATENÇÃO",IF(K2117&lt;=5,"BOM","EXCELENTE")))</f>
        <v>BOM</v>
      </c>
      <c r="M2117">
        <v>0</v>
      </c>
      <c r="N2117">
        <v>100</v>
      </c>
      <c r="O2117">
        <v>0</v>
      </c>
    </row>
    <row r="2118" spans="1:15" hidden="1" x14ac:dyDescent="0.25">
      <c r="A2118" s="11">
        <v>46066</v>
      </c>
      <c r="B2118" t="s">
        <v>25</v>
      </c>
      <c r="C2118" t="s">
        <v>26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>E2118+G2118+H2118</f>
        <v>8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15</v>
      </c>
      <c r="K2118" s="3">
        <f>I2118-J2118</f>
        <v>-7</v>
      </c>
      <c r="L2118" s="3" t="str">
        <f>IF(K2118&lt;-5,"CRÍTICO",IF(K2118&lt;0,"ATENÇÃO",IF(K2118&lt;=5,"BOM","EXCELENTE")))</f>
        <v>CRÍTICO</v>
      </c>
      <c r="M2118">
        <v>8</v>
      </c>
      <c r="N2118">
        <v>98.48</v>
      </c>
      <c r="O2118">
        <v>27.853881278538811</v>
      </c>
    </row>
    <row r="2119" spans="1:15" hidden="1" x14ac:dyDescent="0.25">
      <c r="A2119" s="11">
        <v>46066</v>
      </c>
      <c r="B2119" t="s">
        <v>40</v>
      </c>
      <c r="C2119" t="s">
        <v>32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>E2119+G2119+H2119</f>
        <v>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27</v>
      </c>
      <c r="K2119" s="3">
        <f>I2119-J2119</f>
        <v>-25</v>
      </c>
      <c r="L2119" s="3" t="str">
        <f>IF(K2119&lt;-5,"CRÍTICO",IF(K2119&lt;0,"ATENÇÃO",IF(K2119&lt;=5,"BOM","EXCELENTE")))</f>
        <v>CRÍTICO</v>
      </c>
      <c r="M2119">
        <v>5</v>
      </c>
      <c r="N2119">
        <v>95.15</v>
      </c>
      <c r="O2119">
        <v>34.131736526946113</v>
      </c>
    </row>
    <row r="2120" spans="1:15" hidden="1" x14ac:dyDescent="0.25">
      <c r="A2120" s="11">
        <v>46066</v>
      </c>
      <c r="B2120" t="s">
        <v>27</v>
      </c>
      <c r="C2120" t="s">
        <v>26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v>0</v>
      </c>
      <c r="J2120" s="3">
        <v>0</v>
      </c>
      <c r="K2120" s="3">
        <v>0</v>
      </c>
      <c r="L2120" s="3" t="str">
        <f>IF(K2120&lt;-5,"CRÍTICO",IF(K2120&lt;0,"ATENÇÃO",IF(K2120&lt;=5,"BOM","EXCELENTE")))</f>
        <v>BOM</v>
      </c>
      <c r="M2120">
        <v>0</v>
      </c>
      <c r="N2120">
        <v>0</v>
      </c>
      <c r="O2120">
        <v>0</v>
      </c>
    </row>
    <row r="2121" spans="1:15" hidden="1" x14ac:dyDescent="0.25">
      <c r="A2121" s="11">
        <v>46066</v>
      </c>
      <c r="B2121" t="s">
        <v>41</v>
      </c>
      <c r="C2121" t="s">
        <v>32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27</v>
      </c>
      <c r="K2121" s="3">
        <f>I2121-J2121</f>
        <v>-5</v>
      </c>
      <c r="L2121" s="3" t="str">
        <f>IF(K2121&lt;-5,"CRÍTICO",IF(K2121&lt;0,"ATENÇÃO",IF(K2121&lt;=5,"BOM","EXCELENTE")))</f>
        <v>ATENÇÃO</v>
      </c>
      <c r="M2121">
        <v>24</v>
      </c>
      <c r="N2121">
        <v>99.26</v>
      </c>
      <c r="O2121">
        <v>30.84832904884319</v>
      </c>
    </row>
    <row r="2122" spans="1:15" hidden="1" x14ac:dyDescent="0.25">
      <c r="A2122" s="11">
        <v>46066</v>
      </c>
      <c r="B2122" t="s">
        <v>56</v>
      </c>
      <c r="C2122" t="s">
        <v>48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>E2122+G2122+H2122</f>
        <v>22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22</v>
      </c>
      <c r="K2122" s="3">
        <f>I2122-J2122</f>
        <v>0</v>
      </c>
      <c r="L2122" s="3" t="str">
        <f>IF(K2122&lt;-5,"CRÍTICO",IF(K2122&lt;0,"ATENÇÃO",IF(K2122&lt;=5,"BOM","EXCELENTE")))</f>
        <v>BOM</v>
      </c>
      <c r="M2122">
        <v>8</v>
      </c>
      <c r="N2122">
        <v>97.48</v>
      </c>
      <c r="O2122">
        <v>27.764705882352938</v>
      </c>
    </row>
    <row r="2123" spans="1:15" hidden="1" x14ac:dyDescent="0.25">
      <c r="A2123" s="11">
        <v>46066</v>
      </c>
      <c r="B2123" t="s">
        <v>57</v>
      </c>
      <c r="C2123" t="s">
        <v>48</v>
      </c>
      <c r="D2123">
        <v>32</v>
      </c>
      <c r="E2123">
        <v>28</v>
      </c>
      <c r="F2123">
        <v>22.28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>
        <v>25</v>
      </c>
      <c r="N2123">
        <v>99.34</v>
      </c>
      <c r="O2123">
        <v>30.04291845493562</v>
      </c>
    </row>
    <row r="2124" spans="1:15" hidden="1" x14ac:dyDescent="0.25">
      <c r="A2124" s="11">
        <v>46066</v>
      </c>
      <c r="B2124" t="s">
        <v>42</v>
      </c>
      <c r="C2124" t="s">
        <v>32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v>0</v>
      </c>
      <c r="J2124" s="3">
        <v>0</v>
      </c>
      <c r="K2124" s="3">
        <v>0</v>
      </c>
      <c r="L2124" s="3" t="str">
        <f>IF(K2124&lt;-5,"CRÍTICO",IF(K2124&lt;0,"ATENÇÃO",IF(K2124&lt;=5,"BOM","EXCELENTE")))</f>
        <v>BOM</v>
      </c>
      <c r="M2124">
        <v>0</v>
      </c>
      <c r="N2124">
        <v>96.3</v>
      </c>
      <c r="O2124">
        <v>24.29378531073446</v>
      </c>
    </row>
    <row r="2125" spans="1:15" hidden="1" x14ac:dyDescent="0.25">
      <c r="A2125" s="11">
        <v>46066</v>
      </c>
      <c r="B2125" t="s">
        <v>62</v>
      </c>
      <c r="C2125" t="s">
        <v>23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>E2125+G2125+H2125</f>
        <v>16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18</v>
      </c>
      <c r="K2125" s="3">
        <f>I2125-J2125</f>
        <v>-2</v>
      </c>
      <c r="L2125" s="3" t="str">
        <f>IF(K2125&lt;-5,"CRÍTICO",IF(K2125&lt;0,"ATENÇÃO",IF(K2125&lt;=5,"BOM","EXCELENTE")))</f>
        <v>ATENÇÃO</v>
      </c>
      <c r="M2125">
        <v>16</v>
      </c>
      <c r="N2125">
        <v>100</v>
      </c>
      <c r="O2125">
        <v>26.543209876543209</v>
      </c>
    </row>
    <row r="2126" spans="1:15" hidden="1" x14ac:dyDescent="0.25">
      <c r="A2126" s="11">
        <v>46066</v>
      </c>
      <c r="B2126" t="s">
        <v>19</v>
      </c>
      <c r="C2126" t="s">
        <v>16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8</v>
      </c>
      <c r="K2126" s="3">
        <f>I2126-J2126</f>
        <v>17</v>
      </c>
      <c r="L2126" s="3" t="str">
        <f>IF(K2126&lt;-5,"CRÍTICO",IF(K2126&lt;0,"ATENÇÃO",IF(K2126&lt;=5,"BOM","EXCELENTE")))</f>
        <v>EXCELENTE</v>
      </c>
      <c r="M2126">
        <v>2</v>
      </c>
      <c r="N2126">
        <v>100</v>
      </c>
      <c r="O2126">
        <v>35.483870967741943</v>
      </c>
    </row>
    <row r="2127" spans="1:15" hidden="1" x14ac:dyDescent="0.25">
      <c r="A2127" s="11">
        <v>46066</v>
      </c>
      <c r="B2127" t="s">
        <v>43</v>
      </c>
      <c r="C2127" t="s">
        <v>32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>E2127+G2127+H2127</f>
        <v>25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-2</v>
      </c>
      <c r="L2127" s="3" t="str">
        <f>IF(K2127&lt;-5,"CRÍTICO",IF(K2127&lt;0,"ATENÇÃO",IF(K2127&lt;=5,"BOM","EXCELENTE")))</f>
        <v>ATENÇÃO</v>
      </c>
      <c r="M2127">
        <v>23</v>
      </c>
      <c r="N2127">
        <v>99.27</v>
      </c>
      <c r="O2127">
        <v>31.163708086785011</v>
      </c>
    </row>
    <row r="2128" spans="1:15" hidden="1" x14ac:dyDescent="0.25">
      <c r="A2128" s="11">
        <v>46066</v>
      </c>
      <c r="B2128" t="s">
        <v>44</v>
      </c>
      <c r="C2128" t="s">
        <v>32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>E2128+G2128+H2128</f>
        <v>33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27</v>
      </c>
      <c r="K2128" s="3">
        <f>I2128-J2128</f>
        <v>6</v>
      </c>
      <c r="L2128" s="3" t="str">
        <f>IF(K2128&lt;-5,"CRÍTICO",IF(K2128&lt;0,"ATENÇÃO",IF(K2128&lt;=5,"BOM","EXCELENTE")))</f>
        <v>EXCELENTE</v>
      </c>
      <c r="M2128">
        <v>27</v>
      </c>
      <c r="N2128">
        <v>94.16</v>
      </c>
      <c r="O2128">
        <v>27.038626609442058</v>
      </c>
    </row>
    <row r="2129" spans="1:15" hidden="1" x14ac:dyDescent="0.25">
      <c r="A2129" s="11">
        <v>46066</v>
      </c>
      <c r="B2129" t="s">
        <v>20</v>
      </c>
      <c r="C2129" t="s">
        <v>16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>E2129+G2129+H2129</f>
        <v>11</v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>8</v>
      </c>
      <c r="K2129" s="3">
        <f>I2129-J2129</f>
        <v>3</v>
      </c>
      <c r="L2129" s="3" t="str">
        <f>IF(K2129&lt;-5,"CRÍTICO",IF(K2129&lt;0,"ATENÇÃO",IF(K2129&lt;=5,"BOM","EXCELENTE")))</f>
        <v>BOM</v>
      </c>
      <c r="M2129">
        <v>5</v>
      </c>
      <c r="N2129">
        <v>93.75</v>
      </c>
      <c r="O2129">
        <v>19.31818181818182</v>
      </c>
    </row>
    <row r="2130" spans="1:15" hidden="1" x14ac:dyDescent="0.25">
      <c r="A2130" s="11">
        <v>46066</v>
      </c>
      <c r="B2130" t="s">
        <v>28</v>
      </c>
      <c r="C2130" t="s">
        <v>26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>
        <v>0</v>
      </c>
      <c r="N2130">
        <v>0</v>
      </c>
      <c r="O2130">
        <v>0</v>
      </c>
    </row>
    <row r="2131" spans="1:15" hidden="1" x14ac:dyDescent="0.25">
      <c r="A2131" s="11">
        <v>46066</v>
      </c>
      <c r="B2131" t="s">
        <v>58</v>
      </c>
      <c r="C2131" t="s">
        <v>48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>
        <v>0</v>
      </c>
      <c r="N2131">
        <v>97.92</v>
      </c>
      <c r="O2131">
        <v>32.87671232876712</v>
      </c>
    </row>
    <row r="2132" spans="1:15" hidden="1" x14ac:dyDescent="0.25">
      <c r="A2132" s="11">
        <v>46066</v>
      </c>
      <c r="B2132" t="s">
        <v>29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30</v>
      </c>
      <c r="C2133" t="s">
        <v>26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21</v>
      </c>
      <c r="C2134" t="s">
        <v>16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v>0</v>
      </c>
      <c r="J2134" s="3">
        <v>0</v>
      </c>
      <c r="K2134" s="3">
        <v>0</v>
      </c>
      <c r="L2134" s="3" t="str">
        <f>IF(K2134&lt;-5,"CRÍTICO",IF(K2134&lt;0,"ATENÇÃO",IF(K2134&lt;=5,"BOM","EXCELENTE")))</f>
        <v>BOM</v>
      </c>
      <c r="M2134">
        <v>0</v>
      </c>
      <c r="N2134">
        <v>0</v>
      </c>
      <c r="O2134">
        <v>0</v>
      </c>
    </row>
    <row r="2135" spans="1:15" hidden="1" x14ac:dyDescent="0.25">
      <c r="A2135" s="11">
        <v>46066</v>
      </c>
      <c r="B2135" t="s">
        <v>63</v>
      </c>
      <c r="C2135" t="s">
        <v>23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>E2135+G2135+H2135</f>
        <v>16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18</v>
      </c>
      <c r="K2135" s="3">
        <f>I2135-J2135</f>
        <v>-2</v>
      </c>
      <c r="L2135" s="3" t="str">
        <f>IF(K2135&lt;-5,"CRÍTICO",IF(K2135&lt;0,"ATENÇÃO",IF(K2135&lt;=5,"BOM","EXCELENTE")))</f>
        <v>ATENÇÃO</v>
      </c>
      <c r="M2135">
        <v>12</v>
      </c>
      <c r="N2135">
        <v>98.51</v>
      </c>
      <c r="O2135">
        <v>29.710144927536231</v>
      </c>
    </row>
    <row r="2136" spans="1:15" hidden="1" x14ac:dyDescent="0.25">
      <c r="A2136" s="11">
        <v>46066</v>
      </c>
      <c r="B2136" t="s">
        <v>45</v>
      </c>
      <c r="C2136" t="s">
        <v>32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>E2136+G2136+H2136</f>
        <v>32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27</v>
      </c>
      <c r="K2136" s="3">
        <f>I2136-J2136</f>
        <v>5</v>
      </c>
      <c r="L2136" s="3" t="str">
        <f>IF(K2136&lt;-5,"CRÍTICO",IF(K2136&lt;0,"ATENÇÃO",IF(K2136&lt;=5,"BOM","EXCELENTE")))</f>
        <v>BOM</v>
      </c>
      <c r="M2136">
        <v>30</v>
      </c>
      <c r="N2136">
        <v>98.81</v>
      </c>
      <c r="O2136">
        <v>30.712979890310791</v>
      </c>
    </row>
    <row r="2137" spans="1:15" hidden="1" x14ac:dyDescent="0.25">
      <c r="A2137" s="11">
        <v>46066</v>
      </c>
      <c r="B2137" t="s">
        <v>64</v>
      </c>
      <c r="C2137" t="s">
        <v>23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>E2137+G2137+H2137</f>
        <v>9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18</v>
      </c>
      <c r="K2137" s="3">
        <f>I2137-J2137</f>
        <v>-9</v>
      </c>
      <c r="L2137" s="3" t="str">
        <f>IF(K2137&lt;-5,"CRÍTICO",IF(K2137&lt;0,"ATENÇÃO",IF(K2137&lt;=5,"BOM","EXCELENTE")))</f>
        <v>CRÍTICO</v>
      </c>
      <c r="M2137">
        <v>11</v>
      </c>
      <c r="N2137">
        <v>98.48</v>
      </c>
      <c r="O2137">
        <v>29.35323383084577</v>
      </c>
    </row>
    <row r="2138" spans="1:15" hidden="1" x14ac:dyDescent="0.25">
      <c r="A2138" s="11">
        <v>46066</v>
      </c>
      <c r="B2138" t="s">
        <v>46</v>
      </c>
      <c r="C2138" t="s">
        <v>32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>E2138+G2138+H2138</f>
        <v>30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27</v>
      </c>
      <c r="K2138" s="3">
        <f>I2138-J2138</f>
        <v>3</v>
      </c>
      <c r="L2138" s="3" t="str">
        <f>IF(K2138&lt;-5,"CRÍTICO",IF(K2138&lt;0,"ATENÇÃO",IF(K2138&lt;=5,"BOM","EXCELENTE")))</f>
        <v>BOM</v>
      </c>
      <c r="M2138">
        <v>30</v>
      </c>
      <c r="N2138">
        <v>98.56</v>
      </c>
      <c r="O2138">
        <v>29.373650107991359</v>
      </c>
    </row>
    <row r="2139" spans="1:15" hidden="1" x14ac:dyDescent="0.25">
      <c r="A2139" s="11">
        <v>46069</v>
      </c>
      <c r="B2139" t="s">
        <v>47</v>
      </c>
      <c r="C2139" t="s">
        <v>48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6</v>
      </c>
      <c r="K2139" s="3">
        <f>I2139-J2139</f>
        <v>2</v>
      </c>
      <c r="L2139" s="3" t="str">
        <f>IF(K2139&lt;-5,"CRÍTICO",IF(K2139&lt;0,"ATENÇÃO",IF(K2139&lt;=5,"BOM","EXCELENTE")))</f>
        <v>BOM</v>
      </c>
      <c r="M2139">
        <v>4</v>
      </c>
      <c r="N2139">
        <v>98.32</v>
      </c>
      <c r="O2139">
        <v>30.303030303030301</v>
      </c>
    </row>
    <row r="2140" spans="1:15" hidden="1" x14ac:dyDescent="0.25">
      <c r="A2140" s="11">
        <v>46069</v>
      </c>
      <c r="B2140" t="s">
        <v>31</v>
      </c>
      <c r="C2140" t="s">
        <v>32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v>0</v>
      </c>
      <c r="J2140" s="3">
        <v>0</v>
      </c>
      <c r="K2140" s="3">
        <v>0</v>
      </c>
      <c r="L2140" s="3" t="str">
        <f>IF(K2140&lt;-5,"CRÍTICO",IF(K2140&lt;0,"ATENÇÃO",IF(K2140&lt;=5,"BOM","EXCELENTE")))</f>
        <v>BOM</v>
      </c>
      <c r="M2140">
        <v>6</v>
      </c>
      <c r="N2140">
        <v>98.68</v>
      </c>
      <c r="O2140">
        <v>26.219512195121951</v>
      </c>
    </row>
    <row r="2141" spans="1:15" hidden="1" x14ac:dyDescent="0.25">
      <c r="A2141" s="11">
        <v>46069</v>
      </c>
      <c r="B2141" t="s">
        <v>59</v>
      </c>
      <c r="C2141" t="s">
        <v>23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5</v>
      </c>
      <c r="K2141" s="3">
        <f>I2141-J2141</f>
        <v>3</v>
      </c>
      <c r="L2141" s="3" t="str">
        <f>IF(K2141&lt;-5,"CRÍTICO",IF(K2141&lt;0,"ATENÇÃO",IF(K2141&lt;=5,"BOM","EXCELENTE")))</f>
        <v>BOM</v>
      </c>
      <c r="M2141">
        <v>7</v>
      </c>
      <c r="N2141">
        <v>100</v>
      </c>
      <c r="O2141">
        <v>31.74224343675418</v>
      </c>
    </row>
    <row r="2142" spans="1:15" hidden="1" x14ac:dyDescent="0.25">
      <c r="A2142" s="11">
        <v>46069</v>
      </c>
      <c r="B2142" t="s">
        <v>33</v>
      </c>
      <c r="C2142" t="s">
        <v>32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>E2142+G2142+H2142</f>
        <v>8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7</v>
      </c>
      <c r="K2142" s="3">
        <f>I2142-J2142</f>
        <v>1</v>
      </c>
      <c r="L2142" s="3" t="str">
        <f>IF(K2142&lt;-5,"CRÍTICO",IF(K2142&lt;0,"ATENÇÃO",IF(K2142&lt;=5,"BOM","EXCELENTE")))</f>
        <v>BOM</v>
      </c>
      <c r="M2142">
        <v>5</v>
      </c>
      <c r="N2142">
        <v>98.25</v>
      </c>
      <c r="O2142">
        <v>25.83518930957684</v>
      </c>
    </row>
    <row r="2143" spans="1:15" hidden="1" x14ac:dyDescent="0.25">
      <c r="A2143" s="11">
        <v>46069</v>
      </c>
      <c r="B2143" t="s">
        <v>15</v>
      </c>
      <c r="C2143" t="s">
        <v>16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>E2143+G2143+H2143</f>
        <v>2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2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>
        <v>3</v>
      </c>
      <c r="N2143">
        <v>97.5</v>
      </c>
      <c r="O2143">
        <v>30.075187969924809</v>
      </c>
    </row>
    <row r="2144" spans="1:15" hidden="1" x14ac:dyDescent="0.25">
      <c r="A2144" s="11">
        <v>46069</v>
      </c>
      <c r="B2144" t="s">
        <v>49</v>
      </c>
      <c r="C2144" t="s">
        <v>48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0</v>
      </c>
      <c r="L2144" s="3" t="str">
        <f>IF(K2144&lt;-5,"CRÍTICO",IF(K2144&lt;0,"ATENÇÃO",IF(K2144&lt;=5,"BOM","EXCELENTE")))</f>
        <v>BOM</v>
      </c>
      <c r="M2144">
        <v>5</v>
      </c>
      <c r="N2144">
        <v>100</v>
      </c>
      <c r="O2144">
        <v>29.71311475409836</v>
      </c>
    </row>
    <row r="2145" spans="1:15" hidden="1" x14ac:dyDescent="0.25">
      <c r="A2145" s="11">
        <v>46069</v>
      </c>
      <c r="B2145" t="s">
        <v>50</v>
      </c>
      <c r="C2145" t="s">
        <v>48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6</v>
      </c>
      <c r="K2145" s="3">
        <f>I2145-J2145</f>
        <v>1</v>
      </c>
      <c r="L2145" s="3" t="str">
        <f>IF(K2145&lt;-5,"CRÍTICO",IF(K2145&lt;0,"ATENÇÃO",IF(K2145&lt;=5,"BOM","EXCELENTE")))</f>
        <v>BOM</v>
      </c>
      <c r="M2145">
        <v>8</v>
      </c>
      <c r="N2145">
        <v>99.22</v>
      </c>
      <c r="O2145">
        <v>35.256410256410263</v>
      </c>
    </row>
    <row r="2146" spans="1:15" hidden="1" x14ac:dyDescent="0.25">
      <c r="A2146" s="11">
        <v>46069</v>
      </c>
      <c r="B2146" t="s">
        <v>17</v>
      </c>
      <c r="C2146" t="s">
        <v>16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v>0</v>
      </c>
      <c r="J2146" s="3">
        <v>0</v>
      </c>
      <c r="K2146" s="3">
        <v>0</v>
      </c>
      <c r="L2146" s="3" t="str">
        <f>IF(K2146&lt;-5,"CRÍTICO",IF(K2146&lt;0,"ATENÇÃO",IF(K2146&lt;=5,"BOM","EXCELENTE")))</f>
        <v>BOM</v>
      </c>
      <c r="M2146">
        <v>0</v>
      </c>
      <c r="N2146">
        <v>0</v>
      </c>
      <c r="O2146">
        <v>0</v>
      </c>
    </row>
    <row r="2147" spans="1:15" hidden="1" x14ac:dyDescent="0.25">
      <c r="A2147" s="11">
        <v>46069</v>
      </c>
      <c r="B2147" t="s">
        <v>60</v>
      </c>
      <c r="C2147" t="s">
        <v>23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>E2147+G2147+H2147</f>
        <v>6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5</v>
      </c>
      <c r="K2147" s="3">
        <f>I2147-J2147</f>
        <v>1</v>
      </c>
      <c r="L2147" s="3" t="str">
        <f>IF(K2147&lt;-5,"CRÍTICO",IF(K2147&lt;0,"ATENÇÃO",IF(K2147&lt;=5,"BOM","EXCELENTE")))</f>
        <v>BOM</v>
      </c>
      <c r="M2147">
        <v>4</v>
      </c>
      <c r="N2147">
        <v>98.75</v>
      </c>
      <c r="O2147">
        <v>24.32432432432433</v>
      </c>
    </row>
    <row r="2148" spans="1:15" hidden="1" x14ac:dyDescent="0.25">
      <c r="A2148" s="11">
        <v>46069</v>
      </c>
      <c r="B2148" t="s">
        <v>34</v>
      </c>
      <c r="C2148" t="s">
        <v>32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>E2148+G2148+H2148</f>
        <v>7</v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>7</v>
      </c>
      <c r="K2148" s="3">
        <f>I2148-J2148</f>
        <v>0</v>
      </c>
      <c r="L2148" s="3" t="str">
        <f>IF(K2148&lt;-5,"CRÍTICO",IF(K2148&lt;0,"ATENÇÃO",IF(K2148&lt;=5,"BOM","EXCELENTE")))</f>
        <v>BOM</v>
      </c>
      <c r="M2148">
        <v>9</v>
      </c>
      <c r="N2148">
        <v>93.48</v>
      </c>
      <c r="O2148">
        <v>31.52804642166344</v>
      </c>
    </row>
    <row r="2149" spans="1:15" hidden="1" x14ac:dyDescent="0.25">
      <c r="A2149" s="11">
        <v>46069</v>
      </c>
      <c r="B2149" t="s">
        <v>51</v>
      </c>
      <c r="C2149" t="s">
        <v>48</v>
      </c>
      <c r="D2149">
        <v>5</v>
      </c>
      <c r="E2149">
        <v>1</v>
      </c>
      <c r="F2149">
        <v>1.55</v>
      </c>
      <c r="G2149">
        <v>0</v>
      </c>
      <c r="H2149">
        <v>0</v>
      </c>
      <c r="I2149" s="3">
        <v>0</v>
      </c>
      <c r="J2149" s="3">
        <v>0</v>
      </c>
      <c r="K2149" s="3">
        <v>0</v>
      </c>
      <c r="L2149" s="3" t="str">
        <f>IF(K2149&lt;-5,"CRÍTICO",IF(K2149&lt;0,"ATENÇÃO",IF(K2149&lt;=5,"BOM","EXCELENTE")))</f>
        <v>BOM</v>
      </c>
      <c r="M2149">
        <v>0</v>
      </c>
      <c r="N2149">
        <v>99.16</v>
      </c>
      <c r="O2149">
        <v>26.13908872901678</v>
      </c>
    </row>
    <row r="2150" spans="1:15" hidden="1" x14ac:dyDescent="0.25">
      <c r="A2150" s="11">
        <v>46069</v>
      </c>
      <c r="B2150" t="s">
        <v>61</v>
      </c>
      <c r="C2150" t="s">
        <v>23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>E2150+G2150+H2150</f>
        <v>8</v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>5</v>
      </c>
      <c r="K2150" s="3">
        <f>I2150-J2150</f>
        <v>3</v>
      </c>
      <c r="L2150" s="3" t="str">
        <f>IF(K2150&lt;-5,"CRÍTICO",IF(K2150&lt;0,"ATENÇÃO",IF(K2150&lt;=5,"BOM","EXCELENTE")))</f>
        <v>BOM</v>
      </c>
      <c r="M2150">
        <v>6</v>
      </c>
      <c r="N2150">
        <v>100</v>
      </c>
      <c r="O2150">
        <v>31.089743589743591</v>
      </c>
    </row>
    <row r="2151" spans="1:15" hidden="1" x14ac:dyDescent="0.25">
      <c r="A2151" s="11">
        <v>46069</v>
      </c>
      <c r="B2151" t="s">
        <v>35</v>
      </c>
      <c r="C2151" t="s">
        <v>32</v>
      </c>
      <c r="D2151">
        <v>7</v>
      </c>
      <c r="E2151">
        <v>7</v>
      </c>
      <c r="F2151">
        <v>32.340000000000003</v>
      </c>
      <c r="G2151">
        <v>0</v>
      </c>
      <c r="H2151">
        <v>0</v>
      </c>
      <c r="I2151" s="3">
        <v>0</v>
      </c>
      <c r="J2151" s="3">
        <v>0</v>
      </c>
      <c r="K2151" s="3">
        <v>0</v>
      </c>
      <c r="L2151" s="3" t="str">
        <f>IF(K2151&lt;-5,"CRÍTICO",IF(K2151&lt;0,"ATENÇÃO",IF(K2151&lt;=5,"BOM","EXCELENTE")))</f>
        <v>BOM</v>
      </c>
      <c r="M2151">
        <v>7</v>
      </c>
      <c r="N2151">
        <v>98.11</v>
      </c>
      <c r="O2151">
        <v>33.033707865168537</v>
      </c>
    </row>
    <row r="2152" spans="1:15" hidden="1" x14ac:dyDescent="0.25">
      <c r="A2152" s="11">
        <v>46069</v>
      </c>
      <c r="B2152" t="s">
        <v>18</v>
      </c>
      <c r="C2152" t="s">
        <v>16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>E2152+G2152+H2152</f>
        <v>4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2</v>
      </c>
      <c r="K2152" s="3">
        <f>I2152-J2152</f>
        <v>2</v>
      </c>
      <c r="L2152" s="3" t="str">
        <f>IF(K2152&lt;-5,"CRÍTICO",IF(K2152&lt;0,"ATENÇÃO",IF(K2152&lt;=5,"BOM","EXCELENTE")))</f>
        <v>BOM</v>
      </c>
      <c r="M2152">
        <v>3</v>
      </c>
      <c r="N2152">
        <v>78.95</v>
      </c>
      <c r="O2152">
        <v>38.983050847457633</v>
      </c>
    </row>
    <row r="2153" spans="1:15" hidden="1" x14ac:dyDescent="0.25">
      <c r="A2153" s="11">
        <v>46069</v>
      </c>
      <c r="B2153" t="s">
        <v>52</v>
      </c>
      <c r="C2153" t="s">
        <v>48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>E2153+G2153+H2153</f>
        <v>10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6</v>
      </c>
      <c r="K2153" s="3">
        <f>I2153-J2153</f>
        <v>4</v>
      </c>
      <c r="L2153" s="3" t="str">
        <f>IF(K2153&lt;-5,"CRÍTICO",IF(K2153&lt;0,"ATENÇÃO",IF(K2153&lt;=5,"BOM","EXCELENTE")))</f>
        <v>BOM</v>
      </c>
      <c r="M2153">
        <v>8</v>
      </c>
      <c r="N2153">
        <v>98.45</v>
      </c>
      <c r="O2153">
        <v>29.281767955801101</v>
      </c>
    </row>
    <row r="2154" spans="1:15" hidden="1" x14ac:dyDescent="0.25">
      <c r="A2154" s="11">
        <v>46069</v>
      </c>
      <c r="B2154" t="s">
        <v>36</v>
      </c>
      <c r="C2154" t="s">
        <v>32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>E2154+G2154+H2154</f>
        <v>8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7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>
        <v>9</v>
      </c>
      <c r="N2154">
        <v>97.84</v>
      </c>
      <c r="O2154">
        <v>26.282051282051281</v>
      </c>
    </row>
    <row r="2155" spans="1:15" hidden="1" x14ac:dyDescent="0.25">
      <c r="A2155" s="11">
        <v>46069</v>
      </c>
      <c r="B2155" t="s">
        <v>53</v>
      </c>
      <c r="C2155" t="s">
        <v>48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>E2155+G2155+H2155</f>
        <v>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6</v>
      </c>
      <c r="K2155" s="3">
        <f>I2155-J2155</f>
        <v>1</v>
      </c>
      <c r="L2155" s="3" t="str">
        <f>IF(K2155&lt;-5,"CRÍTICO",IF(K2155&lt;0,"ATENÇÃO",IF(K2155&lt;=5,"BOM","EXCELENTE")))</f>
        <v>BOM</v>
      </c>
      <c r="M2155">
        <v>6</v>
      </c>
      <c r="N2155">
        <v>98.5</v>
      </c>
      <c r="O2155">
        <v>23.97769516728625</v>
      </c>
    </row>
    <row r="2156" spans="1:15" hidden="1" x14ac:dyDescent="0.25">
      <c r="A2156" s="11">
        <v>46101</v>
      </c>
      <c r="B2156" t="s">
        <v>22</v>
      </c>
      <c r="C2156" t="s">
        <v>23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>E2156+G2156+H2156</f>
        <v>17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14</v>
      </c>
      <c r="K2156" s="3">
        <f>I2156-J2156</f>
        <v>3</v>
      </c>
      <c r="L2156" s="3" t="str">
        <f>IF(K2156&lt;-5,"CRÍTICO",IF(K2156&lt;0,"ATENÇÃO",IF(K2156&lt;=5,"BOM","EXCELENTE")))</f>
        <v>BOM</v>
      </c>
      <c r="M2156">
        <v>18</v>
      </c>
      <c r="N2156">
        <v>99.05</v>
      </c>
      <c r="O2156">
        <v>26.621923937360179</v>
      </c>
    </row>
    <row r="2157" spans="1:15" hidden="1" x14ac:dyDescent="0.25">
      <c r="A2157" s="11">
        <v>46069</v>
      </c>
      <c r="B2157" t="s">
        <v>54</v>
      </c>
      <c r="C2157" t="s">
        <v>48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>E2157+G2157+H2157</f>
        <v>5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6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>
        <v>5</v>
      </c>
      <c r="N2157">
        <v>98.53</v>
      </c>
      <c r="O2157">
        <v>31.578947368421051</v>
      </c>
    </row>
    <row r="2158" spans="1:15" hidden="1" x14ac:dyDescent="0.25">
      <c r="A2158" s="11">
        <v>46069</v>
      </c>
      <c r="B2158" t="s">
        <v>37</v>
      </c>
      <c r="C2158" t="s">
        <v>32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>E2158+G2158+H2158</f>
        <v>6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-1</v>
      </c>
      <c r="L2158" s="3" t="str">
        <f>IF(K2158&lt;-5,"CRÍTICO",IF(K2158&lt;0,"ATENÇÃO",IF(K2158&lt;=5,"BOM","EXCELENTE")))</f>
        <v>ATENÇÃO</v>
      </c>
      <c r="M2158">
        <v>6</v>
      </c>
      <c r="N2158">
        <v>100</v>
      </c>
      <c r="O2158">
        <v>25.72214580467676</v>
      </c>
    </row>
    <row r="2159" spans="1:15" hidden="1" x14ac:dyDescent="0.25">
      <c r="A2159" s="11">
        <v>46069</v>
      </c>
      <c r="B2159" t="s">
        <v>38</v>
      </c>
      <c r="C2159" t="s">
        <v>32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7</v>
      </c>
      <c r="K2159" s="3">
        <f>I2159-J2159</f>
        <v>0</v>
      </c>
      <c r="L2159" s="3" t="str">
        <f>IF(K2159&lt;-5,"CRÍTICO",IF(K2159&lt;0,"ATENÇÃO",IF(K2159&lt;=5,"BOM","EXCELENTE")))</f>
        <v>BOM</v>
      </c>
      <c r="M2159">
        <v>7</v>
      </c>
      <c r="N2159">
        <v>94.64</v>
      </c>
      <c r="O2159">
        <v>27.52941176470588</v>
      </c>
    </row>
    <row r="2160" spans="1:15" hidden="1" x14ac:dyDescent="0.25">
      <c r="A2160" s="11">
        <v>46069</v>
      </c>
      <c r="B2160" t="s">
        <v>55</v>
      </c>
      <c r="C2160" t="s">
        <v>48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>E2160+G2160+H2160</f>
        <v>7</v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>6</v>
      </c>
      <c r="K2160" s="3">
        <f>I2160-J2160</f>
        <v>1</v>
      </c>
      <c r="L2160" s="3" t="str">
        <f>IF(K2160&lt;-5,"CRÍTICO",IF(K2160&lt;0,"ATENÇÃO",IF(K2160&lt;=5,"BOM","EXCELENTE")))</f>
        <v>BOM</v>
      </c>
      <c r="M2160">
        <v>6</v>
      </c>
      <c r="N2160">
        <v>99.07</v>
      </c>
      <c r="O2160">
        <v>26.376811594202898</v>
      </c>
    </row>
    <row r="2161" spans="1:15" hidden="1" x14ac:dyDescent="0.25">
      <c r="A2161" s="11">
        <v>46069</v>
      </c>
      <c r="B2161" t="s">
        <v>39</v>
      </c>
      <c r="C2161" t="s">
        <v>32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>
        <v>0</v>
      </c>
      <c r="N2161">
        <v>100</v>
      </c>
      <c r="O2161">
        <v>0</v>
      </c>
    </row>
    <row r="2162" spans="1:15" hidden="1" x14ac:dyDescent="0.25">
      <c r="A2162" s="11">
        <v>46069</v>
      </c>
      <c r="B2162" t="s">
        <v>25</v>
      </c>
      <c r="C2162" t="s">
        <v>26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v>0</v>
      </c>
      <c r="J2162" s="3">
        <v>0</v>
      </c>
      <c r="K2162" s="3">
        <v>0</v>
      </c>
      <c r="L2162" s="3" t="str">
        <f>IF(K2162&lt;-5,"CRÍTICO",IF(K2162&lt;0,"ATENÇÃO",IF(K2162&lt;=5,"BOM","EXCELENTE")))</f>
        <v>BOM</v>
      </c>
      <c r="M2162">
        <v>0</v>
      </c>
      <c r="N2162">
        <v>98.48</v>
      </c>
      <c r="O2162">
        <v>27.853881278538811</v>
      </c>
    </row>
    <row r="2163" spans="1:15" hidden="1" x14ac:dyDescent="0.25">
      <c r="A2163" s="11">
        <v>46069</v>
      </c>
      <c r="B2163" t="s">
        <v>40</v>
      </c>
      <c r="C2163" t="s">
        <v>32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7</v>
      </c>
      <c r="K2163" s="3">
        <f>I2163-J2163</f>
        <v>-1</v>
      </c>
      <c r="L2163" s="3" t="str">
        <f>IF(K2163&lt;-5,"CRÍTICO",IF(K2163&lt;0,"ATENÇÃO",IF(K2163&lt;=5,"BOM","EXCELENTE")))</f>
        <v>ATENÇÃO</v>
      </c>
      <c r="M2163">
        <v>5</v>
      </c>
      <c r="N2163">
        <v>95.15</v>
      </c>
      <c r="O2163">
        <v>34.131736526946113</v>
      </c>
    </row>
    <row r="2164" spans="1:15" hidden="1" x14ac:dyDescent="0.25">
      <c r="A2164" s="11">
        <v>46069</v>
      </c>
      <c r="B2164" t="s">
        <v>27</v>
      </c>
      <c r="C2164" t="s">
        <v>26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v>0</v>
      </c>
      <c r="J2164" s="3">
        <v>0</v>
      </c>
      <c r="K2164" s="3">
        <v>0</v>
      </c>
      <c r="L2164" s="3" t="str">
        <f>IF(K2164&lt;-5,"CRÍTICO",IF(K2164&lt;0,"ATENÇÃO",IF(K2164&lt;=5,"BOM","EXCELENTE")))</f>
        <v>BOM</v>
      </c>
      <c r="M2164">
        <v>0</v>
      </c>
      <c r="N2164">
        <v>0</v>
      </c>
      <c r="O2164">
        <v>0</v>
      </c>
    </row>
    <row r="2165" spans="1:15" hidden="1" x14ac:dyDescent="0.25">
      <c r="A2165" s="11">
        <v>46069</v>
      </c>
      <c r="B2165" t="s">
        <v>41</v>
      </c>
      <c r="C2165" t="s">
        <v>32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>E2165+G2165+H2165</f>
        <v>8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7</v>
      </c>
      <c r="K2165" s="3">
        <f>I2165-J2165</f>
        <v>1</v>
      </c>
      <c r="L2165" s="3" t="str">
        <f>IF(K2165&lt;-5,"CRÍTICO",IF(K2165&lt;0,"ATENÇÃO",IF(K2165&lt;=5,"BOM","EXCELENTE")))</f>
        <v>BOM</v>
      </c>
      <c r="M2165">
        <v>8</v>
      </c>
      <c r="N2165">
        <v>99.26</v>
      </c>
      <c r="O2165">
        <v>30.84832904884319</v>
      </c>
    </row>
    <row r="2166" spans="1:15" hidden="1" x14ac:dyDescent="0.25">
      <c r="A2166" s="11">
        <v>46069</v>
      </c>
      <c r="B2166" t="s">
        <v>56</v>
      </c>
      <c r="C2166" t="s">
        <v>48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>E2166+G2166+H2166</f>
        <v>6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6</v>
      </c>
      <c r="K2166" s="3">
        <f>I2166-J2166</f>
        <v>0</v>
      </c>
      <c r="L2166" s="3" t="str">
        <f>IF(K2166&lt;-5,"CRÍTICO",IF(K2166&lt;0,"ATENÇÃO",IF(K2166&lt;=5,"BOM","EXCELENTE")))</f>
        <v>BOM</v>
      </c>
      <c r="M2166">
        <v>35</v>
      </c>
      <c r="N2166">
        <v>97.48</v>
      </c>
      <c r="O2166">
        <v>27.764705882352938</v>
      </c>
    </row>
    <row r="2167" spans="1:15" hidden="1" x14ac:dyDescent="0.25">
      <c r="A2167" s="11">
        <v>46069</v>
      </c>
      <c r="B2167" t="s">
        <v>57</v>
      </c>
      <c r="C2167" t="s">
        <v>48</v>
      </c>
      <c r="D2167">
        <v>7</v>
      </c>
      <c r="E2167">
        <v>7</v>
      </c>
      <c r="F2167">
        <v>35.479999999999997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>
        <v>5</v>
      </c>
      <c r="N2167">
        <v>99.34</v>
      </c>
      <c r="O2167">
        <v>30.04291845493562</v>
      </c>
    </row>
    <row r="2168" spans="1:15" hidden="1" x14ac:dyDescent="0.25">
      <c r="A2168" s="11">
        <v>46069</v>
      </c>
      <c r="B2168" t="s">
        <v>42</v>
      </c>
      <c r="C2168" t="s">
        <v>32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v>0</v>
      </c>
      <c r="J2168" s="3">
        <v>0</v>
      </c>
      <c r="K2168" s="3">
        <v>0</v>
      </c>
      <c r="L2168" s="3" t="str">
        <f>IF(K2168&lt;-5,"CRÍTICO",IF(K2168&lt;0,"ATENÇÃO",IF(K2168&lt;=5,"BOM","EXCELENTE")))</f>
        <v>BOM</v>
      </c>
      <c r="M2168">
        <v>0</v>
      </c>
      <c r="N2168">
        <v>96.3</v>
      </c>
      <c r="O2168">
        <v>24.29378531073446</v>
      </c>
    </row>
    <row r="2169" spans="1:15" hidden="1" x14ac:dyDescent="0.25">
      <c r="A2169" s="11">
        <v>46069</v>
      </c>
      <c r="B2169" t="s">
        <v>62</v>
      </c>
      <c r="C2169" t="s">
        <v>23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>E2169+G2169+H2169</f>
        <v>7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5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>
        <v>6</v>
      </c>
      <c r="N2169">
        <v>100</v>
      </c>
      <c r="O2169">
        <v>26.543209876543209</v>
      </c>
    </row>
    <row r="2170" spans="1:15" hidden="1" x14ac:dyDescent="0.25">
      <c r="A2170" s="11">
        <v>46069</v>
      </c>
      <c r="B2170" t="s">
        <v>19</v>
      </c>
      <c r="C2170" t="s">
        <v>16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>E2170+G2170+H2170</f>
        <v>4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2</v>
      </c>
      <c r="K2170" s="3">
        <f>I2170-J2170</f>
        <v>2</v>
      </c>
      <c r="L2170" s="3" t="str">
        <f>IF(K2170&lt;-5,"CRÍTICO",IF(K2170&lt;0,"ATENÇÃO",IF(K2170&lt;=5,"BOM","EXCELENTE")))</f>
        <v>BOM</v>
      </c>
      <c r="M2170">
        <v>3</v>
      </c>
      <c r="N2170">
        <v>100</v>
      </c>
      <c r="O2170">
        <v>35.483870967741943</v>
      </c>
    </row>
    <row r="2171" spans="1:15" hidden="1" x14ac:dyDescent="0.25">
      <c r="A2171" s="11">
        <v>46069</v>
      </c>
      <c r="B2171" t="s">
        <v>43</v>
      </c>
      <c r="C2171" t="s">
        <v>32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>E2171+G2171+H2171</f>
        <v>2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-5</v>
      </c>
      <c r="L2171" s="3" t="str">
        <f>IF(K2171&lt;-5,"CRÍTICO",IF(K2171&lt;0,"ATENÇÃO",IF(K2171&lt;=5,"BOM","EXCELENTE")))</f>
        <v>ATENÇÃO</v>
      </c>
      <c r="M2171">
        <v>3</v>
      </c>
      <c r="N2171">
        <v>99.27</v>
      </c>
      <c r="O2171">
        <v>31.163708086785011</v>
      </c>
    </row>
    <row r="2172" spans="1:15" hidden="1" x14ac:dyDescent="0.25">
      <c r="A2172" s="11">
        <v>46069</v>
      </c>
      <c r="B2172" t="s">
        <v>44</v>
      </c>
      <c r="C2172" t="s">
        <v>32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>E2172+G2172+H2172</f>
        <v>5</v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>7</v>
      </c>
      <c r="K2172" s="3">
        <f>I2172-J2172</f>
        <v>-2</v>
      </c>
      <c r="L2172" s="3" t="str">
        <f>IF(K2172&lt;-5,"CRÍTICO",IF(K2172&lt;0,"ATENÇÃO",IF(K2172&lt;=5,"BOM","EXCELENTE")))</f>
        <v>ATENÇÃO</v>
      </c>
      <c r="M2172">
        <v>5</v>
      </c>
      <c r="N2172">
        <v>94.16</v>
      </c>
      <c r="O2172">
        <v>27.038626609442058</v>
      </c>
    </row>
    <row r="2173" spans="1:15" hidden="1" x14ac:dyDescent="0.25">
      <c r="A2173" s="11">
        <v>46069</v>
      </c>
      <c r="B2173" t="s">
        <v>20</v>
      </c>
      <c r="C2173" t="s">
        <v>16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>
        <v>0</v>
      </c>
      <c r="N2173">
        <v>93.75</v>
      </c>
      <c r="O2173">
        <v>19.31818181818182</v>
      </c>
    </row>
    <row r="2174" spans="1:15" hidden="1" x14ac:dyDescent="0.25">
      <c r="A2174" s="11">
        <v>46069</v>
      </c>
      <c r="B2174" t="s">
        <v>28</v>
      </c>
      <c r="C2174" t="s">
        <v>26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>
        <v>0</v>
      </c>
      <c r="N2174">
        <v>0</v>
      </c>
      <c r="O2174">
        <v>0</v>
      </c>
    </row>
    <row r="2175" spans="1:15" hidden="1" x14ac:dyDescent="0.25">
      <c r="A2175" s="11">
        <v>46069</v>
      </c>
      <c r="B2175" t="s">
        <v>58</v>
      </c>
      <c r="C2175" t="s">
        <v>48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>
        <v>0</v>
      </c>
      <c r="N2175">
        <v>97.92</v>
      </c>
      <c r="O2175">
        <v>32.87671232876712</v>
      </c>
    </row>
    <row r="2176" spans="1:15" hidden="1" x14ac:dyDescent="0.25">
      <c r="A2176" s="11">
        <v>46069</v>
      </c>
      <c r="B2176" t="s">
        <v>29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30</v>
      </c>
      <c r="C2177" t="s">
        <v>26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21</v>
      </c>
      <c r="C2178" t="s">
        <v>16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v>0</v>
      </c>
      <c r="J2178" s="3">
        <v>0</v>
      </c>
      <c r="K2178" s="3">
        <v>0</v>
      </c>
      <c r="L2178" s="3" t="str">
        <f>IF(K2178&lt;-5,"CRÍTICO",IF(K2178&lt;0,"ATENÇÃO",IF(K2178&lt;=5,"BOM","EXCELENTE")))</f>
        <v>BOM</v>
      </c>
      <c r="M2178">
        <v>0</v>
      </c>
      <c r="N2178">
        <v>0</v>
      </c>
      <c r="O2178">
        <v>0</v>
      </c>
    </row>
    <row r="2179" spans="1:15" hidden="1" x14ac:dyDescent="0.25">
      <c r="A2179" s="11">
        <v>46069</v>
      </c>
      <c r="B2179" t="s">
        <v>63</v>
      </c>
      <c r="C2179" t="s">
        <v>23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>E2179+G2179+H2179</f>
        <v>7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5</v>
      </c>
      <c r="K2179" s="3">
        <f>I2179-J2179</f>
        <v>2</v>
      </c>
      <c r="L2179" s="3" t="str">
        <f>IF(K2179&lt;-5,"CRÍTICO",IF(K2179&lt;0,"ATENÇÃO",IF(K2179&lt;=5,"BOM","EXCELENTE")))</f>
        <v>BOM</v>
      </c>
      <c r="M2179">
        <v>6</v>
      </c>
      <c r="N2179">
        <v>98.51</v>
      </c>
      <c r="O2179">
        <v>29.710144927536231</v>
      </c>
    </row>
    <row r="2180" spans="1:15" hidden="1" x14ac:dyDescent="0.25">
      <c r="A2180" s="11">
        <v>46069</v>
      </c>
      <c r="B2180" t="s">
        <v>45</v>
      </c>
      <c r="C2180" t="s">
        <v>32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>E2180+G2180+H2180</f>
        <v>6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7</v>
      </c>
      <c r="K2180" s="3">
        <f>I2180-J2180</f>
        <v>-1</v>
      </c>
      <c r="L2180" s="3" t="str">
        <f>IF(K2180&lt;-5,"CRÍTICO",IF(K2180&lt;0,"ATENÇÃO",IF(K2180&lt;=5,"BOM","EXCELENTE")))</f>
        <v>ATENÇÃO</v>
      </c>
      <c r="M2180">
        <v>3</v>
      </c>
      <c r="N2180">
        <v>98.81</v>
      </c>
      <c r="O2180">
        <v>30.712979890310791</v>
      </c>
    </row>
    <row r="2181" spans="1:15" hidden="1" x14ac:dyDescent="0.25">
      <c r="A2181" s="11">
        <v>46069</v>
      </c>
      <c r="B2181" t="s">
        <v>64</v>
      </c>
      <c r="C2181" t="s">
        <v>23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>E2181+G2181+H2181</f>
        <v>7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5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>
        <v>7</v>
      </c>
      <c r="N2181">
        <v>98.48</v>
      </c>
      <c r="O2181">
        <v>29.35323383084577</v>
      </c>
    </row>
    <row r="2182" spans="1:15" hidden="1" x14ac:dyDescent="0.25">
      <c r="A2182" s="11">
        <v>46069</v>
      </c>
      <c r="B2182" t="s">
        <v>46</v>
      </c>
      <c r="C2182" t="s">
        <v>32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>E2182+G2182+H2182</f>
        <v>9</v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>7</v>
      </c>
      <c r="K2182" s="3">
        <f>I2182-J2182</f>
        <v>2</v>
      </c>
      <c r="L2182" s="3" t="str">
        <f>IF(K2182&lt;-5,"CRÍTICO",IF(K2182&lt;0,"ATENÇÃO",IF(K2182&lt;=5,"BOM","EXCELENTE")))</f>
        <v>BOM</v>
      </c>
      <c r="M2182">
        <v>5</v>
      </c>
      <c r="N2182">
        <v>98.56</v>
      </c>
      <c r="O2182">
        <v>29.373650107991359</v>
      </c>
    </row>
    <row r="2183" spans="1:15" hidden="1" x14ac:dyDescent="0.25">
      <c r="A2183" s="11">
        <v>46070</v>
      </c>
      <c r="B2183" t="s">
        <v>47</v>
      </c>
      <c r="C2183" t="s">
        <v>48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>
        <v>0</v>
      </c>
      <c r="N2183">
        <v>98.32</v>
      </c>
      <c r="O2183">
        <v>30.303030303030301</v>
      </c>
    </row>
    <row r="2184" spans="1:15" hidden="1" x14ac:dyDescent="0.25">
      <c r="A2184" s="11">
        <v>46070</v>
      </c>
      <c r="B2184" t="s">
        <v>31</v>
      </c>
      <c r="C2184" t="s">
        <v>32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>
        <v>0</v>
      </c>
      <c r="N2184">
        <v>98.68</v>
      </c>
      <c r="O2184">
        <v>26.219512195121951</v>
      </c>
    </row>
    <row r="2185" spans="1:15" hidden="1" x14ac:dyDescent="0.25">
      <c r="A2185" s="11">
        <v>46070</v>
      </c>
      <c r="B2185" t="s">
        <v>59</v>
      </c>
      <c r="C2185" t="s">
        <v>23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>
        <v>0</v>
      </c>
      <c r="N2185">
        <v>100</v>
      </c>
      <c r="O2185">
        <v>31.74224343675418</v>
      </c>
    </row>
    <row r="2186" spans="1:15" hidden="1" x14ac:dyDescent="0.25">
      <c r="A2186" s="11">
        <v>46070</v>
      </c>
      <c r="B2186" t="s">
        <v>33</v>
      </c>
      <c r="C2186" t="s">
        <v>32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>
        <v>0</v>
      </c>
      <c r="N2186">
        <v>98.25</v>
      </c>
      <c r="O2186">
        <v>25.83518930957684</v>
      </c>
    </row>
    <row r="2187" spans="1:15" hidden="1" x14ac:dyDescent="0.25">
      <c r="A2187" s="11">
        <v>46070</v>
      </c>
      <c r="B2187" t="s">
        <v>15</v>
      </c>
      <c r="C2187" t="s">
        <v>16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>
        <v>0</v>
      </c>
      <c r="N2187">
        <v>97.5</v>
      </c>
      <c r="O2187">
        <v>30.075187969924809</v>
      </c>
    </row>
    <row r="2188" spans="1:15" hidden="1" x14ac:dyDescent="0.25">
      <c r="A2188" s="11">
        <v>46070</v>
      </c>
      <c r="B2188" t="s">
        <v>49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>
        <v>0</v>
      </c>
      <c r="N2188">
        <v>100</v>
      </c>
      <c r="O2188">
        <v>29.71311475409836</v>
      </c>
    </row>
    <row r="2189" spans="1:15" hidden="1" x14ac:dyDescent="0.25">
      <c r="A2189" s="11">
        <v>46070</v>
      </c>
      <c r="B2189" t="s">
        <v>50</v>
      </c>
      <c r="C2189" t="s">
        <v>48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>
        <v>0</v>
      </c>
      <c r="N2189">
        <v>99.22</v>
      </c>
      <c r="O2189">
        <v>35.256410256410263</v>
      </c>
    </row>
    <row r="2190" spans="1:15" hidden="1" x14ac:dyDescent="0.25">
      <c r="A2190" s="11">
        <v>46070</v>
      </c>
      <c r="B2190" t="s">
        <v>17</v>
      </c>
      <c r="C2190" t="s">
        <v>16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>
        <v>0</v>
      </c>
      <c r="N2190">
        <v>0</v>
      </c>
      <c r="O2190">
        <v>0</v>
      </c>
    </row>
    <row r="2191" spans="1:15" hidden="1" x14ac:dyDescent="0.25">
      <c r="A2191" s="11">
        <v>46070</v>
      </c>
      <c r="B2191" t="s">
        <v>60</v>
      </c>
      <c r="C2191" t="s">
        <v>23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>
        <v>0</v>
      </c>
      <c r="N2191">
        <v>98.75</v>
      </c>
      <c r="O2191">
        <v>24.32432432432433</v>
      </c>
    </row>
    <row r="2192" spans="1:15" hidden="1" x14ac:dyDescent="0.25">
      <c r="A2192" s="11">
        <v>46070</v>
      </c>
      <c r="B2192" t="s">
        <v>34</v>
      </c>
      <c r="C2192" t="s">
        <v>32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>
        <v>0</v>
      </c>
      <c r="N2192">
        <v>93.48</v>
      </c>
      <c r="O2192">
        <v>31.52804642166344</v>
      </c>
    </row>
    <row r="2193" spans="1:15" hidden="1" x14ac:dyDescent="0.25">
      <c r="A2193" s="11">
        <v>46070</v>
      </c>
      <c r="B2193" t="s">
        <v>51</v>
      </c>
      <c r="C2193" t="s">
        <v>48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>
        <v>0</v>
      </c>
      <c r="N2193">
        <v>99.16</v>
      </c>
      <c r="O2193">
        <v>26.13908872901678</v>
      </c>
    </row>
    <row r="2194" spans="1:15" hidden="1" x14ac:dyDescent="0.25">
      <c r="A2194" s="11">
        <v>46070</v>
      </c>
      <c r="B2194" t="s">
        <v>61</v>
      </c>
      <c r="C2194" t="s">
        <v>23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>
        <v>0</v>
      </c>
      <c r="N2194">
        <v>100</v>
      </c>
      <c r="O2194">
        <v>31.089743589743591</v>
      </c>
    </row>
    <row r="2195" spans="1:15" hidden="1" x14ac:dyDescent="0.25">
      <c r="A2195" s="11">
        <v>46070</v>
      </c>
      <c r="B2195" t="s">
        <v>35</v>
      </c>
      <c r="C2195" t="s">
        <v>32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>
        <v>0</v>
      </c>
      <c r="N2195">
        <v>98.11</v>
      </c>
      <c r="O2195">
        <v>33.033707865168537</v>
      </c>
    </row>
    <row r="2196" spans="1:15" hidden="1" x14ac:dyDescent="0.25">
      <c r="A2196" s="11">
        <v>46070</v>
      </c>
      <c r="B2196" t="s">
        <v>18</v>
      </c>
      <c r="C2196" t="s">
        <v>16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>
        <v>0</v>
      </c>
      <c r="N2196">
        <v>78.95</v>
      </c>
      <c r="O2196">
        <v>38.983050847457633</v>
      </c>
    </row>
    <row r="2197" spans="1:15" hidden="1" x14ac:dyDescent="0.25">
      <c r="A2197" s="11">
        <v>46070</v>
      </c>
      <c r="B2197" t="s">
        <v>52</v>
      </c>
      <c r="C2197" t="s">
        <v>48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>
        <v>0</v>
      </c>
      <c r="N2197">
        <v>98.45</v>
      </c>
      <c r="O2197">
        <v>29.281767955801101</v>
      </c>
    </row>
    <row r="2198" spans="1:15" hidden="1" x14ac:dyDescent="0.25">
      <c r="A2198" s="11">
        <v>46070</v>
      </c>
      <c r="B2198" t="s">
        <v>36</v>
      </c>
      <c r="C2198" t="s">
        <v>32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>
        <v>0</v>
      </c>
      <c r="N2198">
        <v>97.84</v>
      </c>
      <c r="O2198">
        <v>26.282051282051281</v>
      </c>
    </row>
    <row r="2199" spans="1:15" hidden="1" x14ac:dyDescent="0.25">
      <c r="A2199" s="11">
        <v>46070</v>
      </c>
      <c r="B2199" t="s">
        <v>53</v>
      </c>
      <c r="C2199" t="s">
        <v>48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v>0</v>
      </c>
      <c r="J2199" s="3">
        <v>0</v>
      </c>
      <c r="K2199" s="3">
        <v>0</v>
      </c>
      <c r="L2199" s="3" t="str">
        <f>IF(K2199&lt;-5,"CRÍTICO",IF(K2199&lt;0,"ATENÇÃO",IF(K2199&lt;=5,"BOM","EXCELENTE")))</f>
        <v>BOM</v>
      </c>
      <c r="M2199">
        <v>0</v>
      </c>
      <c r="N2199">
        <v>98.5</v>
      </c>
      <c r="O2199">
        <v>23.97769516728625</v>
      </c>
    </row>
    <row r="2200" spans="1:15" hidden="1" x14ac:dyDescent="0.25">
      <c r="A2200" s="11">
        <v>46104</v>
      </c>
      <c r="B2200" t="s">
        <v>22</v>
      </c>
      <c r="C2200" t="s">
        <v>23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>E2200+G2200+H2200</f>
        <v>15</v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>14</v>
      </c>
      <c r="K2200" s="3">
        <f>I2200-J2200</f>
        <v>1</v>
      </c>
      <c r="L2200" s="3" t="str">
        <f>IF(K2200&lt;-5,"CRÍTICO",IF(K2200&lt;0,"ATENÇÃO",IF(K2200&lt;=5,"BOM","EXCELENTE")))</f>
        <v>BOM</v>
      </c>
      <c r="M2200">
        <v>11</v>
      </c>
      <c r="N2200">
        <v>99.05</v>
      </c>
      <c r="O2200">
        <v>26.621923937360179</v>
      </c>
    </row>
    <row r="2201" spans="1:15" hidden="1" x14ac:dyDescent="0.25">
      <c r="A2201" s="11">
        <v>46070</v>
      </c>
      <c r="B2201" t="s">
        <v>54</v>
      </c>
      <c r="C2201" t="s">
        <v>48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>
        <v>0</v>
      </c>
      <c r="N2201">
        <v>98.53</v>
      </c>
      <c r="O2201">
        <v>31.578947368421051</v>
      </c>
    </row>
    <row r="2202" spans="1:15" hidden="1" x14ac:dyDescent="0.25">
      <c r="A2202" s="11">
        <v>46070</v>
      </c>
      <c r="B2202" t="s">
        <v>37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>
        <v>0</v>
      </c>
      <c r="N2202">
        <v>100</v>
      </c>
      <c r="O2202">
        <v>25.72214580467676</v>
      </c>
    </row>
    <row r="2203" spans="1:15" hidden="1" x14ac:dyDescent="0.25">
      <c r="A2203" s="11">
        <v>46070</v>
      </c>
      <c r="B2203" t="s">
        <v>38</v>
      </c>
      <c r="C2203" t="s">
        <v>32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>
        <v>0</v>
      </c>
      <c r="N2203">
        <v>94.64</v>
      </c>
      <c r="O2203">
        <v>27.52941176470588</v>
      </c>
    </row>
    <row r="2204" spans="1:15" hidden="1" x14ac:dyDescent="0.25">
      <c r="A2204" s="11">
        <v>46070</v>
      </c>
      <c r="B2204" t="s">
        <v>55</v>
      </c>
      <c r="C2204" t="s">
        <v>48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>
        <v>0</v>
      </c>
      <c r="N2204">
        <v>99.07</v>
      </c>
      <c r="O2204">
        <v>26.376811594202898</v>
      </c>
    </row>
    <row r="2205" spans="1:15" hidden="1" x14ac:dyDescent="0.25">
      <c r="A2205" s="11">
        <v>46070</v>
      </c>
      <c r="B2205" t="s">
        <v>39</v>
      </c>
      <c r="C2205" t="s">
        <v>32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>
        <v>0</v>
      </c>
      <c r="N2205">
        <v>100</v>
      </c>
      <c r="O2205">
        <v>0</v>
      </c>
    </row>
    <row r="2206" spans="1:15" hidden="1" x14ac:dyDescent="0.25">
      <c r="A2206" s="11">
        <v>46070</v>
      </c>
      <c r="B2206" t="s">
        <v>25</v>
      </c>
      <c r="C2206" t="s">
        <v>26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>
        <v>0</v>
      </c>
      <c r="N2206">
        <v>98.48</v>
      </c>
      <c r="O2206">
        <v>27.853881278538811</v>
      </c>
    </row>
    <row r="2207" spans="1:15" hidden="1" x14ac:dyDescent="0.25">
      <c r="A2207" s="11">
        <v>46070</v>
      </c>
      <c r="B2207" t="s">
        <v>40</v>
      </c>
      <c r="C2207" t="s">
        <v>32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>
        <v>0</v>
      </c>
      <c r="N2207">
        <v>95.15</v>
      </c>
      <c r="O2207">
        <v>34.131736526946113</v>
      </c>
    </row>
    <row r="2208" spans="1:15" hidden="1" x14ac:dyDescent="0.25">
      <c r="A2208" s="11">
        <v>46070</v>
      </c>
      <c r="B2208" t="s">
        <v>27</v>
      </c>
      <c r="C2208" t="s">
        <v>26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>
        <v>0</v>
      </c>
      <c r="N2208">
        <v>0</v>
      </c>
      <c r="O2208">
        <v>0</v>
      </c>
    </row>
    <row r="2209" spans="1:15" hidden="1" x14ac:dyDescent="0.25">
      <c r="A2209" s="11">
        <v>46070</v>
      </c>
      <c r="B2209" t="s">
        <v>41</v>
      </c>
      <c r="C2209" t="s">
        <v>32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>
        <v>0</v>
      </c>
      <c r="N2209">
        <v>99.26</v>
      </c>
      <c r="O2209">
        <v>30.84832904884319</v>
      </c>
    </row>
    <row r="2210" spans="1:15" hidden="1" x14ac:dyDescent="0.25">
      <c r="A2210" s="11">
        <v>46070</v>
      </c>
      <c r="B2210" t="s">
        <v>56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>
        <v>0</v>
      </c>
      <c r="N2210">
        <v>97.48</v>
      </c>
      <c r="O2210">
        <v>27.764705882352938</v>
      </c>
    </row>
    <row r="2211" spans="1:15" hidden="1" x14ac:dyDescent="0.25">
      <c r="A2211" s="11">
        <v>46070</v>
      </c>
      <c r="B2211" t="s">
        <v>57</v>
      </c>
      <c r="C2211" t="s">
        <v>48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>
        <v>0</v>
      </c>
      <c r="N2211">
        <v>99.34</v>
      </c>
      <c r="O2211">
        <v>30.04291845493562</v>
      </c>
    </row>
    <row r="2212" spans="1:15" hidden="1" x14ac:dyDescent="0.25">
      <c r="A2212" s="11">
        <v>46070</v>
      </c>
      <c r="B2212" t="s">
        <v>42</v>
      </c>
      <c r="C2212" t="s">
        <v>32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>
        <v>0</v>
      </c>
      <c r="N2212">
        <v>96.3</v>
      </c>
      <c r="O2212">
        <v>24.29378531073446</v>
      </c>
    </row>
    <row r="2213" spans="1:15" hidden="1" x14ac:dyDescent="0.25">
      <c r="A2213" s="11">
        <v>46070</v>
      </c>
      <c r="B2213" t="s">
        <v>62</v>
      </c>
      <c r="C2213" t="s">
        <v>23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>
        <v>0</v>
      </c>
      <c r="N2213">
        <v>100</v>
      </c>
      <c r="O2213">
        <v>26.543209876543209</v>
      </c>
    </row>
    <row r="2214" spans="1:15" hidden="1" x14ac:dyDescent="0.25">
      <c r="A2214" s="11">
        <v>46070</v>
      </c>
      <c r="B2214" t="s">
        <v>19</v>
      </c>
      <c r="C2214" t="s">
        <v>16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>
        <v>0</v>
      </c>
      <c r="N2214">
        <v>100</v>
      </c>
      <c r="O2214">
        <v>35.483870967741943</v>
      </c>
    </row>
    <row r="2215" spans="1:15" hidden="1" x14ac:dyDescent="0.25">
      <c r="A2215" s="11">
        <v>46070</v>
      </c>
      <c r="B2215" t="s">
        <v>43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>
        <v>0</v>
      </c>
      <c r="N2215">
        <v>99.27</v>
      </c>
      <c r="O2215">
        <v>31.163708086785011</v>
      </c>
    </row>
    <row r="2216" spans="1:15" hidden="1" x14ac:dyDescent="0.25">
      <c r="A2216" s="11">
        <v>46070</v>
      </c>
      <c r="B2216" t="s">
        <v>44</v>
      </c>
      <c r="C2216" t="s">
        <v>32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>
        <v>0</v>
      </c>
      <c r="N2216">
        <v>94.16</v>
      </c>
      <c r="O2216">
        <v>27.038626609442058</v>
      </c>
    </row>
    <row r="2217" spans="1:15" hidden="1" x14ac:dyDescent="0.25">
      <c r="A2217" s="11">
        <v>46070</v>
      </c>
      <c r="B2217" t="s">
        <v>20</v>
      </c>
      <c r="C2217" t="s">
        <v>16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>
        <v>0</v>
      </c>
      <c r="N2217">
        <v>93.75</v>
      </c>
      <c r="O2217">
        <v>19.31818181818182</v>
      </c>
    </row>
    <row r="2218" spans="1:15" hidden="1" x14ac:dyDescent="0.25">
      <c r="A2218" s="11">
        <v>46070</v>
      </c>
      <c r="B2218" t="s">
        <v>28</v>
      </c>
      <c r="C2218" t="s">
        <v>26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>
        <v>0</v>
      </c>
      <c r="N2218">
        <v>0</v>
      </c>
      <c r="O2218">
        <v>0</v>
      </c>
    </row>
    <row r="2219" spans="1:15" hidden="1" x14ac:dyDescent="0.25">
      <c r="A2219" s="11">
        <v>46070</v>
      </c>
      <c r="B2219" t="s">
        <v>58</v>
      </c>
      <c r="C2219" t="s">
        <v>48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>
        <v>0</v>
      </c>
      <c r="N2219">
        <v>97.92</v>
      </c>
      <c r="O2219">
        <v>32.87671232876712</v>
      </c>
    </row>
    <row r="2220" spans="1:15" hidden="1" x14ac:dyDescent="0.25">
      <c r="A2220" s="11">
        <v>46070</v>
      </c>
      <c r="B2220" t="s">
        <v>29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30</v>
      </c>
      <c r="C2221" t="s">
        <v>26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21</v>
      </c>
      <c r="C2222" t="s">
        <v>16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>
        <v>0</v>
      </c>
      <c r="N2222">
        <v>0</v>
      </c>
      <c r="O2222">
        <v>0</v>
      </c>
    </row>
    <row r="2223" spans="1:15" hidden="1" x14ac:dyDescent="0.25">
      <c r="A2223" s="11">
        <v>46070</v>
      </c>
      <c r="B2223" t="s">
        <v>63</v>
      </c>
      <c r="C2223" t="s">
        <v>23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>
        <v>0</v>
      </c>
      <c r="N2223">
        <v>98.51</v>
      </c>
      <c r="O2223">
        <v>29.710144927536231</v>
      </c>
    </row>
    <row r="2224" spans="1:15" hidden="1" x14ac:dyDescent="0.25">
      <c r="A2224" s="11">
        <v>46070</v>
      </c>
      <c r="B2224" t="s">
        <v>45</v>
      </c>
      <c r="C2224" t="s">
        <v>32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>
        <v>0</v>
      </c>
      <c r="N2224">
        <v>98.81</v>
      </c>
      <c r="O2224">
        <v>30.712979890310791</v>
      </c>
    </row>
    <row r="2225" spans="1:15" hidden="1" x14ac:dyDescent="0.25">
      <c r="A2225" s="11">
        <v>46070</v>
      </c>
      <c r="B2225" t="s">
        <v>64</v>
      </c>
      <c r="C2225" t="s">
        <v>23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>
        <v>0</v>
      </c>
      <c r="N2225">
        <v>98.48</v>
      </c>
      <c r="O2225">
        <v>29.35323383084577</v>
      </c>
    </row>
    <row r="2226" spans="1:15" hidden="1" x14ac:dyDescent="0.25">
      <c r="A2226" s="11">
        <v>46070</v>
      </c>
      <c r="B2226" t="s">
        <v>46</v>
      </c>
      <c r="C2226" t="s">
        <v>32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v>0</v>
      </c>
      <c r="J2226" s="3">
        <v>0</v>
      </c>
      <c r="K2226" s="3">
        <v>0</v>
      </c>
      <c r="L2226" s="3" t="str">
        <f>IF(K2226&lt;-5,"CRÍTICO",IF(K2226&lt;0,"ATENÇÃO",IF(K2226&lt;=5,"BOM","EXCELENTE")))</f>
        <v>BOM</v>
      </c>
      <c r="M2226">
        <v>0</v>
      </c>
      <c r="N2226">
        <v>98.56</v>
      </c>
      <c r="O2226">
        <v>29.373650107991359</v>
      </c>
    </row>
    <row r="2227" spans="1:15" hidden="1" x14ac:dyDescent="0.25">
      <c r="A2227" s="11">
        <v>46071</v>
      </c>
      <c r="B2227" t="s">
        <v>47</v>
      </c>
      <c r="C2227" t="s">
        <v>48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>E2227+G2227+H2227</f>
        <v>32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19</v>
      </c>
      <c r="K2227" s="3">
        <f>I2227-J2227</f>
        <v>13</v>
      </c>
      <c r="L2227" s="3" t="str">
        <f>IF(K2227&lt;-5,"CRÍTICO",IF(K2227&lt;0,"ATENÇÃO",IF(K2227&lt;=5,"BOM","EXCELENTE")))</f>
        <v>EXCELENTE</v>
      </c>
      <c r="M2227">
        <v>22</v>
      </c>
      <c r="N2227">
        <v>98.32</v>
      </c>
      <c r="O2227">
        <v>30.303030303030301</v>
      </c>
    </row>
    <row r="2228" spans="1:15" hidden="1" x14ac:dyDescent="0.25">
      <c r="A2228" s="11">
        <v>46071</v>
      </c>
      <c r="B2228" t="s">
        <v>31</v>
      </c>
      <c r="C2228" t="s">
        <v>32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v>0</v>
      </c>
      <c r="J2228" s="3">
        <v>0</v>
      </c>
      <c r="K2228" s="3">
        <v>0</v>
      </c>
      <c r="L2228" s="3" t="str">
        <f>IF(K2228&lt;-5,"CRÍTICO",IF(K2228&lt;0,"ATENÇÃO",IF(K2228&lt;=5,"BOM","EXCELENTE")))</f>
        <v>BOM</v>
      </c>
      <c r="M2228">
        <v>19</v>
      </c>
      <c r="N2228">
        <v>98.68</v>
      </c>
      <c r="O2228">
        <v>26.219512195121951</v>
      </c>
    </row>
    <row r="2229" spans="1:15" hidden="1" x14ac:dyDescent="0.25">
      <c r="A2229" s="11">
        <v>46071</v>
      </c>
      <c r="B2229" t="s">
        <v>59</v>
      </c>
      <c r="C2229" t="s">
        <v>23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>E2229+G2229+H2229</f>
        <v>21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16</v>
      </c>
      <c r="K2229" s="3">
        <f>I2229-J2229</f>
        <v>5</v>
      </c>
      <c r="L2229" s="3" t="str">
        <f>IF(K2229&lt;-5,"CRÍTICO",IF(K2229&lt;0,"ATENÇÃO",IF(K2229&lt;=5,"BOM","EXCELENTE")))</f>
        <v>BOM</v>
      </c>
      <c r="M2229">
        <v>21</v>
      </c>
      <c r="N2229">
        <v>100</v>
      </c>
      <c r="O2229">
        <v>31.74224343675418</v>
      </c>
    </row>
    <row r="2230" spans="1:15" hidden="1" x14ac:dyDescent="0.25">
      <c r="A2230" s="11">
        <v>46071</v>
      </c>
      <c r="B2230" t="s">
        <v>33</v>
      </c>
      <c r="C2230" t="s">
        <v>32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>E2230+G2230+H2230</f>
        <v>28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24</v>
      </c>
      <c r="K2230" s="3">
        <f>I2230-J2230</f>
        <v>4</v>
      </c>
      <c r="L2230" s="3" t="str">
        <f>IF(K2230&lt;-5,"CRÍTICO",IF(K2230&lt;0,"ATENÇÃO",IF(K2230&lt;=5,"BOM","EXCELENTE")))</f>
        <v>BOM</v>
      </c>
      <c r="M2230">
        <v>26</v>
      </c>
      <c r="N2230">
        <v>98.25</v>
      </c>
      <c r="O2230">
        <v>25.83518930957684</v>
      </c>
    </row>
    <row r="2231" spans="1:15" hidden="1" x14ac:dyDescent="0.25">
      <c r="A2231" s="11">
        <v>46071</v>
      </c>
      <c r="B2231" t="s">
        <v>15</v>
      </c>
      <c r="C2231" t="s">
        <v>16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>E2231+G2231+H2231</f>
        <v>6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7</v>
      </c>
      <c r="K2231" s="3">
        <f>I2231-J2231</f>
        <v>-1</v>
      </c>
      <c r="L2231" s="3" t="str">
        <f>IF(K2231&lt;-5,"CRÍTICO",IF(K2231&lt;0,"ATENÇÃO",IF(K2231&lt;=5,"BOM","EXCELENTE")))</f>
        <v>ATENÇÃO</v>
      </c>
      <c r="M2231">
        <v>6</v>
      </c>
      <c r="N2231">
        <v>97.5</v>
      </c>
      <c r="O2231">
        <v>30.075187969924809</v>
      </c>
    </row>
    <row r="2232" spans="1:15" hidden="1" x14ac:dyDescent="0.25">
      <c r="A2232" s="11">
        <v>46071</v>
      </c>
      <c r="B2232" t="s">
        <v>49</v>
      </c>
      <c r="C2232" t="s">
        <v>48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>E2232+G2232+H2232</f>
        <v>17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-2</v>
      </c>
      <c r="L2232" s="3" t="str">
        <f>IF(K2232&lt;-5,"CRÍTICO",IF(K2232&lt;0,"ATENÇÃO",IF(K2232&lt;=5,"BOM","EXCELENTE")))</f>
        <v>ATENÇÃO</v>
      </c>
      <c r="M2232">
        <v>19</v>
      </c>
      <c r="N2232">
        <v>100</v>
      </c>
      <c r="O2232">
        <v>29.71311475409836</v>
      </c>
    </row>
    <row r="2233" spans="1:15" hidden="1" x14ac:dyDescent="0.25">
      <c r="A2233" s="11">
        <v>46071</v>
      </c>
      <c r="B2233" t="s">
        <v>50</v>
      </c>
      <c r="C2233" t="s">
        <v>48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>E2233+G2233+H2233</f>
        <v>9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19</v>
      </c>
      <c r="K2233" s="3">
        <f>I2233-J2233</f>
        <v>-10</v>
      </c>
      <c r="L2233" s="3" t="str">
        <f>IF(K2233&lt;-5,"CRÍTICO",IF(K2233&lt;0,"ATENÇÃO",IF(K2233&lt;=5,"BOM","EXCELENTE")))</f>
        <v>CRÍTICO</v>
      </c>
      <c r="M2233">
        <v>12</v>
      </c>
      <c r="N2233">
        <v>99.22</v>
      </c>
      <c r="O2233">
        <v>35.256410256410263</v>
      </c>
    </row>
    <row r="2234" spans="1:15" hidden="1" x14ac:dyDescent="0.25">
      <c r="A2234" s="11">
        <v>46071</v>
      </c>
      <c r="B2234" t="s">
        <v>17</v>
      </c>
      <c r="C2234" t="s">
        <v>16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v>0</v>
      </c>
      <c r="J2234" s="3">
        <v>0</v>
      </c>
      <c r="K2234" s="3">
        <v>0</v>
      </c>
      <c r="L2234" s="3" t="str">
        <f>IF(K2234&lt;-5,"CRÍTICO",IF(K2234&lt;0,"ATENÇÃO",IF(K2234&lt;=5,"BOM","EXCELENTE")))</f>
        <v>BOM</v>
      </c>
      <c r="M2234">
        <v>0</v>
      </c>
      <c r="N2234">
        <v>0</v>
      </c>
      <c r="O2234">
        <v>0</v>
      </c>
    </row>
    <row r="2235" spans="1:15" hidden="1" x14ac:dyDescent="0.25">
      <c r="A2235" s="11">
        <v>46071</v>
      </c>
      <c r="B2235" t="s">
        <v>60</v>
      </c>
      <c r="C2235" t="s">
        <v>23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>E2235+G2235+H2235</f>
        <v>22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16</v>
      </c>
      <c r="K2235" s="3">
        <f>I2235-J2235</f>
        <v>6</v>
      </c>
      <c r="L2235" s="3" t="str">
        <f>IF(K2235&lt;-5,"CRÍTICO",IF(K2235&lt;0,"ATENÇÃO",IF(K2235&lt;=5,"BOM","EXCELENTE")))</f>
        <v>EXCELENTE</v>
      </c>
      <c r="M2235">
        <v>20</v>
      </c>
      <c r="N2235">
        <v>98.75</v>
      </c>
      <c r="O2235">
        <v>24.32432432432433</v>
      </c>
    </row>
    <row r="2236" spans="1:15" hidden="1" x14ac:dyDescent="0.25">
      <c r="A2236" s="11">
        <v>46071</v>
      </c>
      <c r="B2236" t="s">
        <v>34</v>
      </c>
      <c r="C2236" t="s">
        <v>32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>E2236+G2236+H2236</f>
        <v>37</v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>24</v>
      </c>
      <c r="K2236" s="3">
        <f>I2236-J2236</f>
        <v>13</v>
      </c>
      <c r="L2236" s="3" t="str">
        <f>IF(K2236&lt;-5,"CRÍTICO",IF(K2236&lt;0,"ATENÇÃO",IF(K2236&lt;=5,"BOM","EXCELENTE")))</f>
        <v>EXCELENTE</v>
      </c>
      <c r="M2236">
        <v>34</v>
      </c>
      <c r="N2236">
        <v>93.48</v>
      </c>
      <c r="O2236">
        <v>31.52804642166344</v>
      </c>
    </row>
    <row r="2237" spans="1:15" hidden="1" x14ac:dyDescent="0.25">
      <c r="A2237" s="11">
        <v>46071</v>
      </c>
      <c r="B2237" t="s">
        <v>51</v>
      </c>
      <c r="C2237" t="s">
        <v>48</v>
      </c>
      <c r="D2237">
        <v>17</v>
      </c>
      <c r="E2237">
        <v>14</v>
      </c>
      <c r="F2237">
        <v>34.049999999999997</v>
      </c>
      <c r="G2237">
        <v>0</v>
      </c>
      <c r="H2237">
        <v>0</v>
      </c>
      <c r="I2237" s="3">
        <v>0</v>
      </c>
      <c r="J2237" s="3">
        <v>0</v>
      </c>
      <c r="K2237" s="3">
        <v>0</v>
      </c>
      <c r="L2237" s="3" t="str">
        <f>IF(K2237&lt;-5,"CRÍTICO",IF(K2237&lt;0,"ATENÇÃO",IF(K2237&lt;=5,"BOM","EXCELENTE")))</f>
        <v>BOM</v>
      </c>
      <c r="M2237">
        <v>13</v>
      </c>
      <c r="N2237">
        <v>99.16</v>
      </c>
      <c r="O2237">
        <v>26.13908872901678</v>
      </c>
    </row>
    <row r="2238" spans="1:15" hidden="1" x14ac:dyDescent="0.25">
      <c r="A2238" s="11">
        <v>46071</v>
      </c>
      <c r="B2238" t="s">
        <v>61</v>
      </c>
      <c r="C2238" t="s">
        <v>23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>E2238+G2238+H2238</f>
        <v>31</v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>16</v>
      </c>
      <c r="K2238" s="3">
        <f>I2238-J2238</f>
        <v>15</v>
      </c>
      <c r="L2238" s="3" t="str">
        <f>IF(K2238&lt;-5,"CRÍTICO",IF(K2238&lt;0,"ATENÇÃO",IF(K2238&lt;=5,"BOM","EXCELENTE")))</f>
        <v>EXCELENTE</v>
      </c>
      <c r="M2238">
        <v>24</v>
      </c>
      <c r="N2238">
        <v>100</v>
      </c>
      <c r="O2238">
        <v>31.089743589743591</v>
      </c>
    </row>
    <row r="2239" spans="1:15" hidden="1" x14ac:dyDescent="0.25">
      <c r="A2239" s="11">
        <v>46071</v>
      </c>
      <c r="B2239" t="s">
        <v>35</v>
      </c>
      <c r="C2239" t="s">
        <v>32</v>
      </c>
      <c r="D2239">
        <v>13</v>
      </c>
      <c r="E2239">
        <v>13</v>
      </c>
      <c r="F2239">
        <v>47.13</v>
      </c>
      <c r="G2239">
        <v>0</v>
      </c>
      <c r="H2239">
        <v>0</v>
      </c>
      <c r="I2239" s="3">
        <v>0</v>
      </c>
      <c r="J2239" s="3">
        <v>0</v>
      </c>
      <c r="K2239" s="3">
        <v>0</v>
      </c>
      <c r="L2239" s="3" t="str">
        <f>IF(K2239&lt;-5,"CRÍTICO",IF(K2239&lt;0,"ATENÇÃO",IF(K2239&lt;=5,"BOM","EXCELENTE")))</f>
        <v>BOM</v>
      </c>
      <c r="M2239">
        <v>13</v>
      </c>
      <c r="N2239">
        <v>98.11</v>
      </c>
      <c r="O2239">
        <v>33.033707865168537</v>
      </c>
    </row>
    <row r="2240" spans="1:15" hidden="1" x14ac:dyDescent="0.25">
      <c r="A2240" s="11">
        <v>46071</v>
      </c>
      <c r="B2240" t="s">
        <v>18</v>
      </c>
      <c r="C2240" t="s">
        <v>16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>E2240+G2240+H2240</f>
        <v>3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7</v>
      </c>
      <c r="K2240" s="3">
        <f>I2240-J2240</f>
        <v>-4</v>
      </c>
      <c r="L2240" s="3" t="str">
        <f>IF(K2240&lt;-5,"CRÍTICO",IF(K2240&lt;0,"ATENÇÃO",IF(K2240&lt;=5,"BOM","EXCELENTE")))</f>
        <v>ATENÇÃO</v>
      </c>
      <c r="M2240">
        <v>4</v>
      </c>
      <c r="N2240">
        <v>78.95</v>
      </c>
      <c r="O2240">
        <v>38.983050847457633</v>
      </c>
    </row>
    <row r="2241" spans="1:15" hidden="1" x14ac:dyDescent="0.25">
      <c r="A2241" s="11">
        <v>46071</v>
      </c>
      <c r="B2241" t="s">
        <v>52</v>
      </c>
      <c r="C2241" t="s">
        <v>48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>E2241+G2241+H2241</f>
        <v>28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19</v>
      </c>
      <c r="K2241" s="3">
        <f>I2241-J2241</f>
        <v>9</v>
      </c>
      <c r="L2241" s="3" t="str">
        <f>IF(K2241&lt;-5,"CRÍTICO",IF(K2241&lt;0,"ATENÇÃO",IF(K2241&lt;=5,"BOM","EXCELENTE")))</f>
        <v>EXCELENTE</v>
      </c>
      <c r="M2241">
        <v>22</v>
      </c>
      <c r="N2241">
        <v>98.45</v>
      </c>
      <c r="O2241">
        <v>29.281767955801101</v>
      </c>
    </row>
    <row r="2242" spans="1:15" hidden="1" x14ac:dyDescent="0.25">
      <c r="A2242" s="11">
        <v>46071</v>
      </c>
      <c r="B2242" t="s">
        <v>36</v>
      </c>
      <c r="C2242" t="s">
        <v>32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>E2242+G2242+H2242</f>
        <v>15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24</v>
      </c>
      <c r="K2242" s="3">
        <f>I2242-J2242</f>
        <v>-9</v>
      </c>
      <c r="L2242" s="3" t="str">
        <f>IF(K2242&lt;-5,"CRÍTICO",IF(K2242&lt;0,"ATENÇÃO",IF(K2242&lt;=5,"BOM","EXCELENTE")))</f>
        <v>CRÍTICO</v>
      </c>
      <c r="M2242">
        <v>14</v>
      </c>
      <c r="N2242">
        <v>97.84</v>
      </c>
      <c r="O2242">
        <v>26.282051282051281</v>
      </c>
    </row>
    <row r="2243" spans="1:15" hidden="1" x14ac:dyDescent="0.25">
      <c r="A2243" s="11">
        <v>46071</v>
      </c>
      <c r="B2243" t="s">
        <v>53</v>
      </c>
      <c r="C2243" t="s">
        <v>48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>E2243+G2243+H2243</f>
        <v>24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19</v>
      </c>
      <c r="K2243" s="3">
        <f>I2243-J2243</f>
        <v>5</v>
      </c>
      <c r="L2243" s="3" t="str">
        <f>IF(K2243&lt;-5,"CRÍTICO",IF(K2243&lt;0,"ATENÇÃO",IF(K2243&lt;=5,"BOM","EXCELENTE")))</f>
        <v>BOM</v>
      </c>
      <c r="M2243">
        <v>21</v>
      </c>
      <c r="N2243">
        <v>98.5</v>
      </c>
      <c r="O2243">
        <v>23.97769516728625</v>
      </c>
    </row>
    <row r="2244" spans="1:15" hidden="1" x14ac:dyDescent="0.25">
      <c r="A2244" s="11">
        <v>46105</v>
      </c>
      <c r="B2244" t="s">
        <v>22</v>
      </c>
      <c r="C2244" t="s">
        <v>23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>E2244+G2244+H2244</f>
        <v>29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17</v>
      </c>
      <c r="K2244" s="3">
        <f>I2244-J2244</f>
        <v>12</v>
      </c>
      <c r="L2244" s="3" t="str">
        <f>IF(K2244&lt;-5,"CRÍTICO",IF(K2244&lt;0,"ATENÇÃO",IF(K2244&lt;=5,"BOM","EXCELENTE")))</f>
        <v>EXCELENTE</v>
      </c>
      <c r="M2244">
        <v>29</v>
      </c>
      <c r="N2244">
        <v>99.05</v>
      </c>
      <c r="O2244">
        <v>26.621923937360179</v>
      </c>
    </row>
    <row r="2245" spans="1:15" hidden="1" x14ac:dyDescent="0.25">
      <c r="A2245" s="11">
        <v>46071</v>
      </c>
      <c r="B2245" t="s">
        <v>54</v>
      </c>
      <c r="C2245" t="s">
        <v>48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>E2245+G2245+H2245</f>
        <v>22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19</v>
      </c>
      <c r="K2245" s="3">
        <f>I2245-J2245</f>
        <v>3</v>
      </c>
      <c r="L2245" s="3" t="str">
        <f>IF(K2245&lt;-5,"CRÍTICO",IF(K2245&lt;0,"ATENÇÃO",IF(K2245&lt;=5,"BOM","EXCELENTE")))</f>
        <v>BOM</v>
      </c>
      <c r="M2245">
        <v>21</v>
      </c>
      <c r="N2245">
        <v>98.53</v>
      </c>
      <c r="O2245">
        <v>31.578947368421051</v>
      </c>
    </row>
    <row r="2246" spans="1:15" hidden="1" x14ac:dyDescent="0.25">
      <c r="A2246" s="11">
        <v>46071</v>
      </c>
      <c r="B2246" t="s">
        <v>37</v>
      </c>
      <c r="C2246" t="s">
        <v>32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>E2246+G2246+H2246</f>
        <v>39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15</v>
      </c>
      <c r="L2246" s="3" t="str">
        <f>IF(K2246&lt;-5,"CRÍTICO",IF(K2246&lt;0,"ATENÇÃO",IF(K2246&lt;=5,"BOM","EXCELENTE")))</f>
        <v>EXCELENTE</v>
      </c>
      <c r="M2246">
        <v>37</v>
      </c>
      <c r="N2246">
        <v>100</v>
      </c>
      <c r="O2246">
        <v>25.72214580467676</v>
      </c>
    </row>
    <row r="2247" spans="1:15" hidden="1" x14ac:dyDescent="0.25">
      <c r="A2247" s="11">
        <v>46071</v>
      </c>
      <c r="B2247" t="s">
        <v>38</v>
      </c>
      <c r="C2247" t="s">
        <v>32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>E2247+G2247+H2247</f>
        <v>26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24</v>
      </c>
      <c r="K2247" s="3">
        <f>I2247-J2247</f>
        <v>2</v>
      </c>
      <c r="L2247" s="3" t="str">
        <f>IF(K2247&lt;-5,"CRÍTICO",IF(K2247&lt;0,"ATENÇÃO",IF(K2247&lt;=5,"BOM","EXCELENTE")))</f>
        <v>BOM</v>
      </c>
      <c r="M2247">
        <v>22</v>
      </c>
      <c r="N2247">
        <v>94.64</v>
      </c>
      <c r="O2247">
        <v>27.52941176470588</v>
      </c>
    </row>
    <row r="2248" spans="1:15" hidden="1" x14ac:dyDescent="0.25">
      <c r="A2248" s="11">
        <v>46071</v>
      </c>
      <c r="B2248" t="s">
        <v>55</v>
      </c>
      <c r="C2248" t="s">
        <v>48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>E2248+G2248+H2248</f>
        <v>20</v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>19</v>
      </c>
      <c r="K2248" s="3">
        <f>I2248-J2248</f>
        <v>1</v>
      </c>
      <c r="L2248" s="3" t="str">
        <f>IF(K2248&lt;-5,"CRÍTICO",IF(K2248&lt;0,"ATENÇÃO",IF(K2248&lt;=5,"BOM","EXCELENTE")))</f>
        <v>BOM</v>
      </c>
      <c r="M2248">
        <v>16</v>
      </c>
      <c r="N2248">
        <v>99.07</v>
      </c>
      <c r="O2248">
        <v>26.376811594202898</v>
      </c>
    </row>
    <row r="2249" spans="1:15" hidden="1" x14ac:dyDescent="0.25">
      <c r="A2249" s="11">
        <v>46071</v>
      </c>
      <c r="B2249" t="s">
        <v>39</v>
      </c>
      <c r="C2249" t="s">
        <v>32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v>0</v>
      </c>
      <c r="J2249" s="3">
        <v>0</v>
      </c>
      <c r="K2249" s="3">
        <v>0</v>
      </c>
      <c r="L2249" s="3" t="str">
        <f>IF(K2249&lt;-5,"CRÍTICO",IF(K2249&lt;0,"ATENÇÃO",IF(K2249&lt;=5,"BOM","EXCELENTE")))</f>
        <v>BOM</v>
      </c>
      <c r="M2249">
        <v>0</v>
      </c>
      <c r="N2249">
        <v>100</v>
      </c>
      <c r="O2249">
        <v>0</v>
      </c>
    </row>
    <row r="2250" spans="1:15" hidden="1" x14ac:dyDescent="0.25">
      <c r="A2250" s="11">
        <v>46071</v>
      </c>
      <c r="B2250" t="s">
        <v>25</v>
      </c>
      <c r="C2250" t="s">
        <v>26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>E2250+G2250+H2250</f>
        <v>9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14</v>
      </c>
      <c r="K2250" s="3">
        <f>I2250-J2250</f>
        <v>-5</v>
      </c>
      <c r="L2250" s="3" t="str">
        <f>IF(K2250&lt;-5,"CRÍTICO",IF(K2250&lt;0,"ATENÇÃO",IF(K2250&lt;=5,"BOM","EXCELENTE")))</f>
        <v>ATENÇÃO</v>
      </c>
      <c r="M2250">
        <v>7</v>
      </c>
      <c r="N2250">
        <v>98.48</v>
      </c>
      <c r="O2250">
        <v>27.853881278538811</v>
      </c>
    </row>
    <row r="2251" spans="1:15" hidden="1" x14ac:dyDescent="0.25">
      <c r="A2251" s="11">
        <v>46071</v>
      </c>
      <c r="B2251" t="s">
        <v>40</v>
      </c>
      <c r="C2251" t="s">
        <v>32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>E2251+G2251+H2251</f>
        <v>16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24</v>
      </c>
      <c r="K2251" s="3">
        <f>I2251-J2251</f>
        <v>-8</v>
      </c>
      <c r="L2251" s="3" t="str">
        <f>IF(K2251&lt;-5,"CRÍTICO",IF(K2251&lt;0,"ATENÇÃO",IF(K2251&lt;=5,"BOM","EXCELENTE")))</f>
        <v>CRÍTICO</v>
      </c>
      <c r="M2251">
        <v>14</v>
      </c>
      <c r="N2251">
        <v>95.15</v>
      </c>
      <c r="O2251">
        <v>34.131736526946113</v>
      </c>
    </row>
    <row r="2252" spans="1:15" hidden="1" x14ac:dyDescent="0.25">
      <c r="A2252" s="11">
        <v>46071</v>
      </c>
      <c r="B2252" t="s">
        <v>27</v>
      </c>
      <c r="C2252" t="s">
        <v>26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v>0</v>
      </c>
      <c r="J2252" s="3">
        <v>0</v>
      </c>
      <c r="K2252" s="3">
        <v>0</v>
      </c>
      <c r="L2252" s="3" t="str">
        <f>IF(K2252&lt;-5,"CRÍTICO",IF(K2252&lt;0,"ATENÇÃO",IF(K2252&lt;=5,"BOM","EXCELENTE")))</f>
        <v>BOM</v>
      </c>
      <c r="M2252">
        <v>0</v>
      </c>
      <c r="N2252">
        <v>0</v>
      </c>
      <c r="O2252">
        <v>0</v>
      </c>
    </row>
    <row r="2253" spans="1:15" hidden="1" x14ac:dyDescent="0.25">
      <c r="A2253" s="11">
        <v>46071</v>
      </c>
      <c r="B2253" t="s">
        <v>41</v>
      </c>
      <c r="C2253" t="s">
        <v>32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>E2253+G2253+H2253</f>
        <v>18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24</v>
      </c>
      <c r="K2253" s="3">
        <f>I2253-J2253</f>
        <v>-6</v>
      </c>
      <c r="L2253" s="3" t="str">
        <f>IF(K2253&lt;-5,"CRÍTICO",IF(K2253&lt;0,"ATENÇÃO",IF(K2253&lt;=5,"BOM","EXCELENTE")))</f>
        <v>CRÍTICO</v>
      </c>
      <c r="M2253">
        <v>15</v>
      </c>
      <c r="N2253">
        <v>99.26</v>
      </c>
      <c r="O2253">
        <v>30.84832904884319</v>
      </c>
    </row>
    <row r="2254" spans="1:15" hidden="1" x14ac:dyDescent="0.25">
      <c r="A2254" s="11">
        <v>46071</v>
      </c>
      <c r="B2254" t="s">
        <v>56</v>
      </c>
      <c r="C2254" t="s">
        <v>48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>E2254+G2254+H2254</f>
        <v>22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19</v>
      </c>
      <c r="K2254" s="3">
        <f>I2254-J2254</f>
        <v>3</v>
      </c>
      <c r="L2254" s="3" t="str">
        <f>IF(K2254&lt;-5,"CRÍTICO",IF(K2254&lt;0,"ATENÇÃO",IF(K2254&lt;=5,"BOM","EXCELENTE")))</f>
        <v>BOM</v>
      </c>
      <c r="M2254">
        <v>5</v>
      </c>
      <c r="N2254">
        <v>97.48</v>
      </c>
      <c r="O2254">
        <v>27.764705882352938</v>
      </c>
    </row>
    <row r="2255" spans="1:15" hidden="1" x14ac:dyDescent="0.25">
      <c r="A2255" s="11">
        <v>46071</v>
      </c>
      <c r="B2255" t="s">
        <v>57</v>
      </c>
      <c r="C2255" t="s">
        <v>48</v>
      </c>
      <c r="D2255">
        <v>32</v>
      </c>
      <c r="E2255">
        <v>32</v>
      </c>
      <c r="F2255">
        <v>21.45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>
        <v>28</v>
      </c>
      <c r="N2255">
        <v>99.34</v>
      </c>
      <c r="O2255">
        <v>30.04291845493562</v>
      </c>
    </row>
    <row r="2256" spans="1:15" hidden="1" x14ac:dyDescent="0.25">
      <c r="A2256" s="11">
        <v>46071</v>
      </c>
      <c r="B2256" t="s">
        <v>42</v>
      </c>
      <c r="C2256" t="s">
        <v>32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v>0</v>
      </c>
      <c r="J2256" s="3">
        <v>0</v>
      </c>
      <c r="K2256" s="3">
        <v>0</v>
      </c>
      <c r="L2256" s="3" t="str">
        <f>IF(K2256&lt;-5,"CRÍTICO",IF(K2256&lt;0,"ATENÇÃO",IF(K2256&lt;=5,"BOM","EXCELENTE")))</f>
        <v>BOM</v>
      </c>
      <c r="M2256">
        <v>0</v>
      </c>
      <c r="N2256">
        <v>96.3</v>
      </c>
      <c r="O2256">
        <v>24.29378531073446</v>
      </c>
    </row>
    <row r="2257" spans="1:15" hidden="1" x14ac:dyDescent="0.25">
      <c r="A2257" s="11">
        <v>46071</v>
      </c>
      <c r="B2257" t="s">
        <v>62</v>
      </c>
      <c r="C2257" t="s">
        <v>23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>E2257+G2257+H2257</f>
        <v>18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16</v>
      </c>
      <c r="K2257" s="3">
        <f>I2257-J2257</f>
        <v>2</v>
      </c>
      <c r="L2257" s="3" t="str">
        <f>IF(K2257&lt;-5,"CRÍTICO",IF(K2257&lt;0,"ATENÇÃO",IF(K2257&lt;=5,"BOM","EXCELENTE")))</f>
        <v>BOM</v>
      </c>
      <c r="M2257">
        <v>16</v>
      </c>
      <c r="N2257">
        <v>100</v>
      </c>
      <c r="O2257">
        <v>26.543209876543209</v>
      </c>
    </row>
    <row r="2258" spans="1:15" hidden="1" x14ac:dyDescent="0.25">
      <c r="A2258" s="11">
        <v>46071</v>
      </c>
      <c r="B2258" t="s">
        <v>19</v>
      </c>
      <c r="C2258" t="s">
        <v>16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>E2258+G2258+H2258</f>
        <v>2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-5</v>
      </c>
      <c r="L2258" s="3" t="str">
        <f>IF(K2258&lt;-5,"CRÍTICO",IF(K2258&lt;0,"ATENÇÃO",IF(K2258&lt;=5,"BOM","EXCELENTE")))</f>
        <v>ATENÇÃO</v>
      </c>
      <c r="M2258">
        <v>2</v>
      </c>
      <c r="N2258">
        <v>100</v>
      </c>
      <c r="O2258">
        <v>35.483870967741943</v>
      </c>
    </row>
    <row r="2259" spans="1:15" hidden="1" x14ac:dyDescent="0.25">
      <c r="A2259" s="11">
        <v>46071</v>
      </c>
      <c r="B2259" t="s">
        <v>43</v>
      </c>
      <c r="C2259" t="s">
        <v>32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>E2259+G2259+H2259</f>
        <v>28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4</v>
      </c>
      <c r="L2259" s="3" t="str">
        <f>IF(K2259&lt;-5,"CRÍTICO",IF(K2259&lt;0,"ATENÇÃO",IF(K2259&lt;=5,"BOM","EXCELENTE")))</f>
        <v>BOM</v>
      </c>
      <c r="M2259">
        <v>25</v>
      </c>
      <c r="N2259">
        <v>99.27</v>
      </c>
      <c r="O2259">
        <v>31.163708086785011</v>
      </c>
    </row>
    <row r="2260" spans="1:15" hidden="1" x14ac:dyDescent="0.25">
      <c r="A2260" s="11">
        <v>46071</v>
      </c>
      <c r="B2260" t="s">
        <v>44</v>
      </c>
      <c r="C2260" t="s">
        <v>32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>E2260+G2260+H2260</f>
        <v>35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24</v>
      </c>
      <c r="K2260" s="3">
        <f>I2260-J2260</f>
        <v>11</v>
      </c>
      <c r="L2260" s="3" t="str">
        <f>IF(K2260&lt;-5,"CRÍTICO",IF(K2260&lt;0,"ATENÇÃO",IF(K2260&lt;=5,"BOM","EXCELENTE")))</f>
        <v>EXCELENTE</v>
      </c>
      <c r="M2260">
        <v>26</v>
      </c>
      <c r="N2260">
        <v>94.16</v>
      </c>
      <c r="O2260">
        <v>27.038626609442058</v>
      </c>
    </row>
    <row r="2261" spans="1:15" hidden="1" x14ac:dyDescent="0.25">
      <c r="A2261" s="11">
        <v>46071</v>
      </c>
      <c r="B2261" t="s">
        <v>20</v>
      </c>
      <c r="C2261" t="s">
        <v>16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>E2261+G2261+H2261</f>
        <v>6</v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>7</v>
      </c>
      <c r="K2261" s="3">
        <f>I2261-J2261</f>
        <v>-1</v>
      </c>
      <c r="L2261" s="3" t="str">
        <f>IF(K2261&lt;-5,"CRÍTICO",IF(K2261&lt;0,"ATENÇÃO",IF(K2261&lt;=5,"BOM","EXCELENTE")))</f>
        <v>ATENÇÃO</v>
      </c>
      <c r="M2261">
        <v>4</v>
      </c>
      <c r="N2261">
        <v>93.75</v>
      </c>
      <c r="O2261">
        <v>19.31818181818182</v>
      </c>
    </row>
    <row r="2262" spans="1:15" hidden="1" x14ac:dyDescent="0.25">
      <c r="A2262" s="11">
        <v>46071</v>
      </c>
      <c r="B2262" t="s">
        <v>28</v>
      </c>
      <c r="C2262" t="s">
        <v>26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>
        <v>0</v>
      </c>
      <c r="N2262">
        <v>0</v>
      </c>
      <c r="O2262">
        <v>0</v>
      </c>
    </row>
    <row r="2263" spans="1:15" hidden="1" x14ac:dyDescent="0.25">
      <c r="A2263" s="11">
        <v>46071</v>
      </c>
      <c r="B2263" t="s">
        <v>58</v>
      </c>
      <c r="C2263" t="s">
        <v>48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>
        <v>0</v>
      </c>
      <c r="N2263">
        <v>97.92</v>
      </c>
      <c r="O2263">
        <v>32.87671232876712</v>
      </c>
    </row>
    <row r="2264" spans="1:15" hidden="1" x14ac:dyDescent="0.25">
      <c r="A2264" s="11">
        <v>46071</v>
      </c>
      <c r="B2264" t="s">
        <v>29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30</v>
      </c>
      <c r="C2265" t="s">
        <v>26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21</v>
      </c>
      <c r="C2266" t="s">
        <v>16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v>0</v>
      </c>
      <c r="J2266" s="3">
        <v>0</v>
      </c>
      <c r="K2266" s="3">
        <v>0</v>
      </c>
      <c r="L2266" s="3" t="str">
        <f>IF(K2266&lt;-5,"CRÍTICO",IF(K2266&lt;0,"ATENÇÃO",IF(K2266&lt;=5,"BOM","EXCELENTE")))</f>
        <v>BOM</v>
      </c>
      <c r="M2266">
        <v>0</v>
      </c>
      <c r="N2266">
        <v>0</v>
      </c>
      <c r="O2266">
        <v>0</v>
      </c>
    </row>
    <row r="2267" spans="1:15" hidden="1" x14ac:dyDescent="0.25">
      <c r="A2267" s="11">
        <v>46071</v>
      </c>
      <c r="B2267" t="s">
        <v>63</v>
      </c>
      <c r="C2267" t="s">
        <v>23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>E2267+G2267+H2267</f>
        <v>34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16</v>
      </c>
      <c r="K2267" s="3">
        <f>I2267-J2267</f>
        <v>18</v>
      </c>
      <c r="L2267" s="3" t="str">
        <f>IF(K2267&lt;-5,"CRÍTICO",IF(K2267&lt;0,"ATENÇÃO",IF(K2267&lt;=5,"BOM","EXCELENTE")))</f>
        <v>EXCELENTE</v>
      </c>
      <c r="M2267">
        <v>27</v>
      </c>
      <c r="N2267">
        <v>98.51</v>
      </c>
      <c r="O2267">
        <v>29.710144927536231</v>
      </c>
    </row>
    <row r="2268" spans="1:15" hidden="1" x14ac:dyDescent="0.25">
      <c r="A2268" s="11">
        <v>46071</v>
      </c>
      <c r="B2268" t="s">
        <v>45</v>
      </c>
      <c r="C2268" t="s">
        <v>32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>E2268+G2268+H2268</f>
        <v>41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24</v>
      </c>
      <c r="K2268" s="3">
        <f>I2268-J2268</f>
        <v>17</v>
      </c>
      <c r="L2268" s="3" t="str">
        <f>IF(K2268&lt;-5,"CRÍTICO",IF(K2268&lt;0,"ATENÇÃO",IF(K2268&lt;=5,"BOM","EXCELENTE")))</f>
        <v>EXCELENTE</v>
      </c>
      <c r="M2268">
        <v>36</v>
      </c>
      <c r="N2268">
        <v>98.81</v>
      </c>
      <c r="O2268">
        <v>30.712979890310791</v>
      </c>
    </row>
    <row r="2269" spans="1:15" hidden="1" x14ac:dyDescent="0.25">
      <c r="A2269" s="11">
        <v>46071</v>
      </c>
      <c r="B2269" t="s">
        <v>64</v>
      </c>
      <c r="C2269" t="s">
        <v>23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>E2269+G2269+H2269</f>
        <v>10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16</v>
      </c>
      <c r="K2269" s="3">
        <f>I2269-J2269</f>
        <v>-6</v>
      </c>
      <c r="L2269" s="3" t="str">
        <f>IF(K2269&lt;-5,"CRÍTICO",IF(K2269&lt;0,"ATENÇÃO",IF(K2269&lt;=5,"BOM","EXCELENTE")))</f>
        <v>CRÍTICO</v>
      </c>
      <c r="M2269">
        <v>8</v>
      </c>
      <c r="N2269">
        <v>98.48</v>
      </c>
      <c r="O2269">
        <v>29.35323383084577</v>
      </c>
    </row>
    <row r="2270" spans="1:15" hidden="1" x14ac:dyDescent="0.25">
      <c r="A2270" s="11">
        <v>46071</v>
      </c>
      <c r="B2270" t="s">
        <v>46</v>
      </c>
      <c r="C2270" t="s">
        <v>32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>E2270+G2270+H2270</f>
        <v>26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24</v>
      </c>
      <c r="K2270" s="3">
        <f>I2270-J2270</f>
        <v>2</v>
      </c>
      <c r="L2270" s="3" t="str">
        <f>IF(K2270&lt;-5,"CRÍTICO",IF(K2270&lt;0,"ATENÇÃO",IF(K2270&lt;=5,"BOM","EXCELENTE")))</f>
        <v>BOM</v>
      </c>
      <c r="M2270">
        <v>24</v>
      </c>
      <c r="N2270">
        <v>98.56</v>
      </c>
      <c r="O2270">
        <v>29.373650107991359</v>
      </c>
    </row>
    <row r="2271" spans="1:15" hidden="1" x14ac:dyDescent="0.25">
      <c r="A2271" s="11">
        <v>46072</v>
      </c>
      <c r="B2271" t="s">
        <v>47</v>
      </c>
      <c r="C2271" t="s">
        <v>48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>E2271+G2271+H2271</f>
        <v>15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18</v>
      </c>
      <c r="K2271" s="3">
        <f>I2271-J2271</f>
        <v>-3</v>
      </c>
      <c r="L2271" s="3" t="str">
        <f>IF(K2271&lt;-5,"CRÍTICO",IF(K2271&lt;0,"ATENÇÃO",IF(K2271&lt;=5,"BOM","EXCELENTE")))</f>
        <v>ATENÇÃO</v>
      </c>
      <c r="M2271">
        <v>12</v>
      </c>
      <c r="N2271">
        <v>98.32</v>
      </c>
      <c r="O2271">
        <v>30.303030303030301</v>
      </c>
    </row>
    <row r="2272" spans="1:15" hidden="1" x14ac:dyDescent="0.25">
      <c r="A2272" s="11">
        <v>46072</v>
      </c>
      <c r="B2272" t="s">
        <v>31</v>
      </c>
      <c r="C2272" t="s">
        <v>32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v>0</v>
      </c>
      <c r="J2272" s="3">
        <v>0</v>
      </c>
      <c r="K2272" s="3">
        <v>0</v>
      </c>
      <c r="L2272" s="3" t="str">
        <f>IF(K2272&lt;-5,"CRÍTICO",IF(K2272&lt;0,"ATENÇÃO",IF(K2272&lt;=5,"BOM","EXCELENTE")))</f>
        <v>BOM</v>
      </c>
      <c r="M2272">
        <v>21</v>
      </c>
      <c r="N2272">
        <v>98.68</v>
      </c>
      <c r="O2272">
        <v>26.219512195121951</v>
      </c>
    </row>
    <row r="2273" spans="1:15" hidden="1" x14ac:dyDescent="0.25">
      <c r="A2273" s="11">
        <v>46072</v>
      </c>
      <c r="B2273" t="s">
        <v>59</v>
      </c>
      <c r="C2273" t="s">
        <v>23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>E2273+G2273+H2273</f>
        <v>14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15</v>
      </c>
      <c r="K2273" s="3">
        <f>I2273-J2273</f>
        <v>-1</v>
      </c>
      <c r="L2273" s="3" t="str">
        <f>IF(K2273&lt;-5,"CRÍTICO",IF(K2273&lt;0,"ATENÇÃO",IF(K2273&lt;=5,"BOM","EXCELENTE")))</f>
        <v>ATENÇÃO</v>
      </c>
      <c r="M2273">
        <v>14</v>
      </c>
      <c r="N2273">
        <v>100</v>
      </c>
      <c r="O2273">
        <v>31.74224343675418</v>
      </c>
    </row>
    <row r="2274" spans="1:15" hidden="1" x14ac:dyDescent="0.25">
      <c r="A2274" s="11">
        <v>46072</v>
      </c>
      <c r="B2274" t="s">
        <v>33</v>
      </c>
      <c r="C2274" t="s">
        <v>32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>E2274+G2274+H2274</f>
        <v>28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23</v>
      </c>
      <c r="K2274" s="3">
        <f>I2274-J2274</f>
        <v>5</v>
      </c>
      <c r="L2274" s="3" t="str">
        <f>IF(K2274&lt;-5,"CRÍTICO",IF(K2274&lt;0,"ATENÇÃO",IF(K2274&lt;=5,"BOM","EXCELENTE")))</f>
        <v>BOM</v>
      </c>
      <c r="M2274">
        <v>31</v>
      </c>
      <c r="N2274">
        <v>98.25</v>
      </c>
      <c r="O2274">
        <v>25.83518930957684</v>
      </c>
    </row>
    <row r="2275" spans="1:15" hidden="1" x14ac:dyDescent="0.25">
      <c r="A2275" s="11">
        <v>46072</v>
      </c>
      <c r="B2275" t="s">
        <v>15</v>
      </c>
      <c r="C2275" t="s">
        <v>16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>E2275+G2275+H2275</f>
        <v>4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>I2275-J2275</f>
        <v>-2</v>
      </c>
      <c r="L2275" s="3" t="str">
        <f>IF(K2275&lt;-5,"CRÍTICO",IF(K2275&lt;0,"ATENÇÃO",IF(K2275&lt;=5,"BOM","EXCELENTE")))</f>
        <v>ATENÇÃO</v>
      </c>
      <c r="M2275">
        <v>5</v>
      </c>
      <c r="N2275">
        <v>97.5</v>
      </c>
      <c r="O2275">
        <v>30.075187969924809</v>
      </c>
    </row>
    <row r="2276" spans="1:15" hidden="1" x14ac:dyDescent="0.25">
      <c r="A2276" s="11">
        <v>46072</v>
      </c>
      <c r="B2276" t="s">
        <v>49</v>
      </c>
      <c r="C2276" t="s">
        <v>48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>E2276+G2276+H2276</f>
        <v>23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5</v>
      </c>
      <c r="L2276" s="3" t="str">
        <f>IF(K2276&lt;-5,"CRÍTICO",IF(K2276&lt;0,"ATENÇÃO",IF(K2276&lt;=5,"BOM","EXCELENTE")))</f>
        <v>BOM</v>
      </c>
      <c r="M2276">
        <v>25</v>
      </c>
      <c r="N2276">
        <v>100</v>
      </c>
      <c r="O2276">
        <v>29.71311475409836</v>
      </c>
    </row>
    <row r="2277" spans="1:15" hidden="1" x14ac:dyDescent="0.25">
      <c r="A2277" s="11">
        <v>46072</v>
      </c>
      <c r="B2277" t="s">
        <v>50</v>
      </c>
      <c r="C2277" t="s">
        <v>48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>E2277+G2277+H2277</f>
        <v>11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18</v>
      </c>
      <c r="K2277" s="3">
        <f>I2277-J2277</f>
        <v>-7</v>
      </c>
      <c r="L2277" s="3" t="str">
        <f>IF(K2277&lt;-5,"CRÍTICO",IF(K2277&lt;0,"ATENÇÃO",IF(K2277&lt;=5,"BOM","EXCELENTE")))</f>
        <v>CRÍTICO</v>
      </c>
      <c r="M2277">
        <v>11</v>
      </c>
      <c r="N2277">
        <v>99.22</v>
      </c>
      <c r="O2277">
        <v>35.256410256410263</v>
      </c>
    </row>
    <row r="2278" spans="1:15" hidden="1" x14ac:dyDescent="0.25">
      <c r="A2278" s="11">
        <v>46072</v>
      </c>
      <c r="B2278" t="s">
        <v>17</v>
      </c>
      <c r="C2278" t="s">
        <v>16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v>0</v>
      </c>
      <c r="J2278" s="3">
        <v>0</v>
      </c>
      <c r="K2278" s="3">
        <v>0</v>
      </c>
      <c r="L2278" s="3" t="str">
        <f>IF(K2278&lt;-5,"CRÍTICO",IF(K2278&lt;0,"ATENÇÃO",IF(K2278&lt;=5,"BOM","EXCELENTE")))</f>
        <v>BOM</v>
      </c>
      <c r="M2278">
        <v>0</v>
      </c>
      <c r="N2278">
        <v>0</v>
      </c>
      <c r="O2278">
        <v>0</v>
      </c>
    </row>
    <row r="2279" spans="1:15" hidden="1" x14ac:dyDescent="0.25">
      <c r="A2279" s="11">
        <v>46072</v>
      </c>
      <c r="B2279" t="s">
        <v>60</v>
      </c>
      <c r="C2279" t="s">
        <v>23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>E2279+G2279+H2279</f>
        <v>18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15</v>
      </c>
      <c r="K2279" s="3">
        <f>I2279-J2279</f>
        <v>3</v>
      </c>
      <c r="L2279" s="3" t="str">
        <f>IF(K2279&lt;-5,"CRÍTICO",IF(K2279&lt;0,"ATENÇÃO",IF(K2279&lt;=5,"BOM","EXCELENTE")))</f>
        <v>BOM</v>
      </c>
      <c r="M2279">
        <v>16</v>
      </c>
      <c r="N2279">
        <v>98.75</v>
      </c>
      <c r="O2279">
        <v>24.32432432432433</v>
      </c>
    </row>
    <row r="2280" spans="1:15" hidden="1" x14ac:dyDescent="0.25">
      <c r="A2280" s="11">
        <v>46072</v>
      </c>
      <c r="B2280" t="s">
        <v>34</v>
      </c>
      <c r="C2280" t="s">
        <v>32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>E2280+G2280+H2280</f>
        <v>40</v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>23</v>
      </c>
      <c r="K2280" s="3">
        <f>I2280-J2280</f>
        <v>17</v>
      </c>
      <c r="L2280" s="3" t="str">
        <f>IF(K2280&lt;-5,"CRÍTICO",IF(K2280&lt;0,"ATENÇÃO",IF(K2280&lt;=5,"BOM","EXCELENTE")))</f>
        <v>EXCELENTE</v>
      </c>
      <c r="M2280">
        <v>31</v>
      </c>
      <c r="N2280">
        <v>93.48</v>
      </c>
      <c r="O2280">
        <v>31.52804642166344</v>
      </c>
    </row>
    <row r="2281" spans="1:15" hidden="1" x14ac:dyDescent="0.25">
      <c r="A2281" s="11">
        <v>46072</v>
      </c>
      <c r="B2281" t="s">
        <v>51</v>
      </c>
      <c r="C2281" t="s">
        <v>48</v>
      </c>
      <c r="D2281">
        <v>35</v>
      </c>
      <c r="E2281">
        <v>30</v>
      </c>
      <c r="F2281">
        <v>22.16</v>
      </c>
      <c r="G2281">
        <v>0</v>
      </c>
      <c r="H2281">
        <v>0</v>
      </c>
      <c r="I2281" s="3">
        <v>0</v>
      </c>
      <c r="J2281" s="3">
        <v>0</v>
      </c>
      <c r="K2281" s="3">
        <v>0</v>
      </c>
      <c r="L2281" s="3" t="str">
        <f>IF(K2281&lt;-5,"CRÍTICO",IF(K2281&lt;0,"ATENÇÃO",IF(K2281&lt;=5,"BOM","EXCELENTE")))</f>
        <v>BOM</v>
      </c>
      <c r="M2281">
        <v>27</v>
      </c>
      <c r="N2281">
        <v>99.16</v>
      </c>
      <c r="O2281">
        <v>26.13908872901678</v>
      </c>
    </row>
    <row r="2282" spans="1:15" hidden="1" x14ac:dyDescent="0.25">
      <c r="A2282" s="11">
        <v>46072</v>
      </c>
      <c r="B2282" t="s">
        <v>61</v>
      </c>
      <c r="C2282" t="s">
        <v>23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>E2282+G2282+H2282</f>
        <v>13</v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>15</v>
      </c>
      <c r="K2282" s="3">
        <f>I2282-J2282</f>
        <v>-2</v>
      </c>
      <c r="L2282" s="3" t="str">
        <f>IF(K2282&lt;-5,"CRÍTICO",IF(K2282&lt;0,"ATENÇÃO",IF(K2282&lt;=5,"BOM","EXCELENTE")))</f>
        <v>ATENÇÃO</v>
      </c>
      <c r="M2282">
        <v>13</v>
      </c>
      <c r="N2282">
        <v>100</v>
      </c>
      <c r="O2282">
        <v>31.089743589743591</v>
      </c>
    </row>
    <row r="2283" spans="1:15" hidden="1" x14ac:dyDescent="0.25">
      <c r="A2283" s="11">
        <v>46072</v>
      </c>
      <c r="B2283" t="s">
        <v>35</v>
      </c>
      <c r="C2283" t="s">
        <v>32</v>
      </c>
      <c r="D2283">
        <v>23</v>
      </c>
      <c r="E2283">
        <v>23</v>
      </c>
      <c r="F2283">
        <v>35.42</v>
      </c>
      <c r="G2283">
        <v>0</v>
      </c>
      <c r="H2283">
        <v>0</v>
      </c>
      <c r="I2283" s="3">
        <v>0</v>
      </c>
      <c r="J2283" s="3">
        <v>0</v>
      </c>
      <c r="K2283" s="3">
        <v>0</v>
      </c>
      <c r="L2283" s="3" t="str">
        <f>IF(K2283&lt;-5,"CRÍTICO",IF(K2283&lt;0,"ATENÇÃO",IF(K2283&lt;=5,"BOM","EXCELENTE")))</f>
        <v>BOM</v>
      </c>
      <c r="M2283">
        <v>24</v>
      </c>
      <c r="N2283">
        <v>98.11</v>
      </c>
      <c r="O2283">
        <v>33.033707865168537</v>
      </c>
    </row>
    <row r="2284" spans="1:15" hidden="1" x14ac:dyDescent="0.25">
      <c r="A2284" s="11">
        <v>46072</v>
      </c>
      <c r="B2284" t="s">
        <v>18</v>
      </c>
      <c r="C2284" t="s">
        <v>16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>E2284+G2284+H2284</f>
        <v>9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6</v>
      </c>
      <c r="K2284" s="3">
        <f>I2284-J2284</f>
        <v>3</v>
      </c>
      <c r="L2284" s="3" t="str">
        <f>IF(K2284&lt;-5,"CRÍTICO",IF(K2284&lt;0,"ATENÇÃO",IF(K2284&lt;=5,"BOM","EXCELENTE")))</f>
        <v>BOM</v>
      </c>
      <c r="M2284">
        <v>4</v>
      </c>
      <c r="N2284">
        <v>78.95</v>
      </c>
      <c r="O2284">
        <v>38.983050847457633</v>
      </c>
    </row>
    <row r="2285" spans="1:15" hidden="1" x14ac:dyDescent="0.25">
      <c r="A2285" s="11">
        <v>46072</v>
      </c>
      <c r="B2285" t="s">
        <v>52</v>
      </c>
      <c r="C2285" t="s">
        <v>48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>E2285+G2285+H2285</f>
        <v>15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18</v>
      </c>
      <c r="K2285" s="3">
        <f>I2285-J2285</f>
        <v>-3</v>
      </c>
      <c r="L2285" s="3" t="str">
        <f>IF(K2285&lt;-5,"CRÍTICO",IF(K2285&lt;0,"ATENÇÃO",IF(K2285&lt;=5,"BOM","EXCELENTE")))</f>
        <v>ATENÇÃO</v>
      </c>
      <c r="M2285">
        <v>13</v>
      </c>
      <c r="N2285">
        <v>98.45</v>
      </c>
      <c r="O2285">
        <v>29.281767955801101</v>
      </c>
    </row>
    <row r="2286" spans="1:15" hidden="1" x14ac:dyDescent="0.25">
      <c r="A2286" s="11">
        <v>46072</v>
      </c>
      <c r="B2286" t="s">
        <v>36</v>
      </c>
      <c r="C2286" t="s">
        <v>32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>E2286+G2286+H2286</f>
        <v>21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23</v>
      </c>
      <c r="K2286" s="3">
        <f>I2286-J2286</f>
        <v>-2</v>
      </c>
      <c r="L2286" s="3" t="str">
        <f>IF(K2286&lt;-5,"CRÍTICO",IF(K2286&lt;0,"ATENÇÃO",IF(K2286&lt;=5,"BOM","EXCELENTE")))</f>
        <v>ATENÇÃO</v>
      </c>
      <c r="M2286">
        <v>20</v>
      </c>
      <c r="N2286">
        <v>97.84</v>
      </c>
      <c r="O2286">
        <v>26.282051282051281</v>
      </c>
    </row>
    <row r="2287" spans="1:15" hidden="1" x14ac:dyDescent="0.25">
      <c r="A2287" s="11">
        <v>46072</v>
      </c>
      <c r="B2287" t="s">
        <v>53</v>
      </c>
      <c r="C2287" t="s">
        <v>48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>E2287+G2287+H2287</f>
        <v>29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18</v>
      </c>
      <c r="K2287" s="3">
        <f>I2287-J2287</f>
        <v>11</v>
      </c>
      <c r="L2287" s="3" t="str">
        <f>IF(K2287&lt;-5,"CRÍTICO",IF(K2287&lt;0,"ATENÇÃO",IF(K2287&lt;=5,"BOM","EXCELENTE")))</f>
        <v>EXCELENTE</v>
      </c>
      <c r="M2287">
        <v>26</v>
      </c>
      <c r="N2287">
        <v>98.5</v>
      </c>
      <c r="O2287">
        <v>23.97769516728625</v>
      </c>
    </row>
    <row r="2288" spans="1:15" hidden="1" x14ac:dyDescent="0.25">
      <c r="A2288" s="11">
        <v>46106</v>
      </c>
      <c r="B2288" t="s">
        <v>22</v>
      </c>
      <c r="C2288" t="s">
        <v>23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>E2288+G2288+H2288</f>
        <v>21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16</v>
      </c>
      <c r="K2288" s="3">
        <f>I2288-J2288</f>
        <v>5</v>
      </c>
      <c r="L2288" s="3" t="str">
        <f>IF(K2288&lt;-5,"CRÍTICO",IF(K2288&lt;0,"ATENÇÃO",IF(K2288&lt;=5,"BOM","EXCELENTE")))</f>
        <v>BOM</v>
      </c>
      <c r="M2288">
        <v>18</v>
      </c>
      <c r="N2288">
        <v>99.05</v>
      </c>
      <c r="O2288">
        <v>26.621923937360179</v>
      </c>
    </row>
    <row r="2289" spans="1:15" hidden="1" x14ac:dyDescent="0.25">
      <c r="A2289" s="11">
        <v>46072</v>
      </c>
      <c r="B2289" t="s">
        <v>54</v>
      </c>
      <c r="C2289" t="s">
        <v>48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>E2289+G2289+H2289</f>
        <v>22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18</v>
      </c>
      <c r="K2289" s="3">
        <f>I2289-J2289</f>
        <v>4</v>
      </c>
      <c r="L2289" s="3" t="str">
        <f>IF(K2289&lt;-5,"CRÍTICO",IF(K2289&lt;0,"ATENÇÃO",IF(K2289&lt;=5,"BOM","EXCELENTE")))</f>
        <v>BOM</v>
      </c>
      <c r="M2289">
        <v>22</v>
      </c>
      <c r="N2289">
        <v>98.53</v>
      </c>
      <c r="O2289">
        <v>31.578947368421051</v>
      </c>
    </row>
    <row r="2290" spans="1:15" hidden="1" x14ac:dyDescent="0.25">
      <c r="A2290" s="11">
        <v>46072</v>
      </c>
      <c r="B2290" t="s">
        <v>37</v>
      </c>
      <c r="C2290" t="s">
        <v>32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>E2290+G2290+H2290</f>
        <v>31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8</v>
      </c>
      <c r="L2290" s="3" t="str">
        <f>IF(K2290&lt;-5,"CRÍTICO",IF(K2290&lt;0,"ATENÇÃO",IF(K2290&lt;=5,"BOM","EXCELENTE")))</f>
        <v>EXCELENTE</v>
      </c>
      <c r="M2290">
        <v>29</v>
      </c>
      <c r="N2290">
        <v>100</v>
      </c>
      <c r="O2290">
        <v>25.72214580467676</v>
      </c>
    </row>
    <row r="2291" spans="1:15" hidden="1" x14ac:dyDescent="0.25">
      <c r="A2291" s="11">
        <v>46072</v>
      </c>
      <c r="B2291" t="s">
        <v>38</v>
      </c>
      <c r="C2291" t="s">
        <v>32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>E2291+G2291+H2291</f>
        <v>2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23</v>
      </c>
      <c r="K2291" s="3">
        <f>I2291-J2291</f>
        <v>-21</v>
      </c>
      <c r="L2291" s="3" t="str">
        <f>IF(K2291&lt;-5,"CRÍTICO",IF(K2291&lt;0,"ATENÇÃO",IF(K2291&lt;=5,"BOM","EXCELENTE")))</f>
        <v>CRÍTICO</v>
      </c>
      <c r="M2291">
        <v>2</v>
      </c>
      <c r="N2291">
        <v>94.64</v>
      </c>
      <c r="O2291">
        <v>27.52941176470588</v>
      </c>
    </row>
    <row r="2292" spans="1:15" hidden="1" x14ac:dyDescent="0.25">
      <c r="A2292" s="11">
        <v>46072</v>
      </c>
      <c r="B2292" t="s">
        <v>55</v>
      </c>
      <c r="C2292" t="s">
        <v>48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>E2292+G2292+H2292</f>
        <v>14</v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>18</v>
      </c>
      <c r="K2292" s="3">
        <f>I2292-J2292</f>
        <v>-4</v>
      </c>
      <c r="L2292" s="3" t="str">
        <f>IF(K2292&lt;-5,"CRÍTICO",IF(K2292&lt;0,"ATENÇÃO",IF(K2292&lt;=5,"BOM","EXCELENTE")))</f>
        <v>ATENÇÃO</v>
      </c>
      <c r="M2292">
        <v>14</v>
      </c>
      <c r="N2292">
        <v>99.07</v>
      </c>
      <c r="O2292">
        <v>26.376811594202898</v>
      </c>
    </row>
    <row r="2293" spans="1:15" hidden="1" x14ac:dyDescent="0.25">
      <c r="A2293" s="11">
        <v>46072</v>
      </c>
      <c r="B2293" t="s">
        <v>39</v>
      </c>
      <c r="C2293" t="s">
        <v>32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v>0</v>
      </c>
      <c r="J2293" s="3">
        <v>0</v>
      </c>
      <c r="K2293" s="3">
        <v>0</v>
      </c>
      <c r="L2293" s="3" t="str">
        <f>IF(K2293&lt;-5,"CRÍTICO",IF(K2293&lt;0,"ATENÇÃO",IF(K2293&lt;=5,"BOM","EXCELENTE")))</f>
        <v>BOM</v>
      </c>
      <c r="M2293">
        <v>0</v>
      </c>
      <c r="N2293">
        <v>100</v>
      </c>
      <c r="O2293">
        <v>0</v>
      </c>
    </row>
    <row r="2294" spans="1:15" hidden="1" x14ac:dyDescent="0.25">
      <c r="A2294" s="11">
        <v>46072</v>
      </c>
      <c r="B2294" t="s">
        <v>25</v>
      </c>
      <c r="C2294" t="s">
        <v>26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>E2294+G2294+H2294</f>
        <v>15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13</v>
      </c>
      <c r="K2294" s="3">
        <f>I2294-J2294</f>
        <v>2</v>
      </c>
      <c r="L2294" s="3" t="str">
        <f>IF(K2294&lt;-5,"CRÍTICO",IF(K2294&lt;0,"ATENÇÃO",IF(K2294&lt;=5,"BOM","EXCELENTE")))</f>
        <v>BOM</v>
      </c>
      <c r="M2294">
        <v>13</v>
      </c>
      <c r="N2294">
        <v>98.48</v>
      </c>
      <c r="O2294">
        <v>27.853881278538811</v>
      </c>
    </row>
    <row r="2295" spans="1:15" hidden="1" x14ac:dyDescent="0.25">
      <c r="A2295" s="11">
        <v>46072</v>
      </c>
      <c r="B2295" t="s">
        <v>40</v>
      </c>
      <c r="C2295" t="s">
        <v>32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>E2295+G2295+H2295</f>
        <v>17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23</v>
      </c>
      <c r="K2295" s="3">
        <f>I2295-J2295</f>
        <v>-6</v>
      </c>
      <c r="L2295" s="3" t="str">
        <f>IF(K2295&lt;-5,"CRÍTICO",IF(K2295&lt;0,"ATENÇÃO",IF(K2295&lt;=5,"BOM","EXCELENTE")))</f>
        <v>CRÍTICO</v>
      </c>
      <c r="M2295">
        <v>17</v>
      </c>
      <c r="N2295">
        <v>95.15</v>
      </c>
      <c r="O2295">
        <v>34.131736526946113</v>
      </c>
    </row>
    <row r="2296" spans="1:15" hidden="1" x14ac:dyDescent="0.25">
      <c r="A2296" s="11">
        <v>46072</v>
      </c>
      <c r="B2296" t="s">
        <v>27</v>
      </c>
      <c r="C2296" t="s">
        <v>26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v>0</v>
      </c>
      <c r="J2296" s="3">
        <v>0</v>
      </c>
      <c r="K2296" s="3">
        <v>0</v>
      </c>
      <c r="L2296" s="3" t="str">
        <f>IF(K2296&lt;-5,"CRÍTICO",IF(K2296&lt;0,"ATENÇÃO",IF(K2296&lt;=5,"BOM","EXCELENTE")))</f>
        <v>BOM</v>
      </c>
      <c r="M2296">
        <v>0</v>
      </c>
      <c r="N2296">
        <v>0</v>
      </c>
      <c r="O2296">
        <v>0</v>
      </c>
    </row>
    <row r="2297" spans="1:15" hidden="1" x14ac:dyDescent="0.25">
      <c r="A2297" s="11">
        <v>46072</v>
      </c>
      <c r="B2297" t="s">
        <v>41</v>
      </c>
      <c r="C2297" t="s">
        <v>32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>E2297+G2297+H2297</f>
        <v>27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23</v>
      </c>
      <c r="K2297" s="3">
        <f>I2297-J2297</f>
        <v>4</v>
      </c>
      <c r="L2297" s="3" t="str">
        <f>IF(K2297&lt;-5,"CRÍTICO",IF(K2297&lt;0,"ATENÇÃO",IF(K2297&lt;=5,"BOM","EXCELENTE")))</f>
        <v>BOM</v>
      </c>
      <c r="M2297">
        <v>21</v>
      </c>
      <c r="N2297">
        <v>99.26</v>
      </c>
      <c r="O2297">
        <v>30.84832904884319</v>
      </c>
    </row>
    <row r="2298" spans="1:15" hidden="1" x14ac:dyDescent="0.25">
      <c r="A2298" s="11">
        <v>46072</v>
      </c>
      <c r="B2298" t="s">
        <v>56</v>
      </c>
      <c r="C2298" t="s">
        <v>48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>E2298+G2298+H2298</f>
        <v>25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18</v>
      </c>
      <c r="K2298" s="3">
        <f>I2298-J2298</f>
        <v>7</v>
      </c>
      <c r="L2298" s="3" t="str">
        <f>IF(K2298&lt;-5,"CRÍTICO",IF(K2298&lt;0,"ATENÇÃO",IF(K2298&lt;=5,"BOM","EXCELENTE")))</f>
        <v>EXCELENTE</v>
      </c>
      <c r="M2298">
        <v>20</v>
      </c>
      <c r="N2298">
        <v>97.48</v>
      </c>
      <c r="O2298">
        <v>27.764705882352938</v>
      </c>
    </row>
    <row r="2299" spans="1:15" hidden="1" x14ac:dyDescent="0.25">
      <c r="A2299" s="11">
        <v>46072</v>
      </c>
      <c r="B2299" t="s">
        <v>57</v>
      </c>
      <c r="C2299" t="s">
        <v>48</v>
      </c>
      <c r="D2299">
        <v>23</v>
      </c>
      <c r="E2299">
        <v>23</v>
      </c>
      <c r="F2299">
        <v>20.56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>
        <v>19</v>
      </c>
      <c r="N2299">
        <v>99.34</v>
      </c>
      <c r="O2299">
        <v>30.04291845493562</v>
      </c>
    </row>
    <row r="2300" spans="1:15" hidden="1" x14ac:dyDescent="0.25">
      <c r="A2300" s="11">
        <v>46072</v>
      </c>
      <c r="B2300" t="s">
        <v>42</v>
      </c>
      <c r="C2300" t="s">
        <v>32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v>0</v>
      </c>
      <c r="J2300" s="3">
        <v>0</v>
      </c>
      <c r="K2300" s="3">
        <v>0</v>
      </c>
      <c r="L2300" s="3" t="str">
        <f>IF(K2300&lt;-5,"CRÍTICO",IF(K2300&lt;0,"ATENÇÃO",IF(K2300&lt;=5,"BOM","EXCELENTE")))</f>
        <v>BOM</v>
      </c>
      <c r="M2300">
        <v>0</v>
      </c>
      <c r="N2300">
        <v>96.3</v>
      </c>
      <c r="O2300">
        <v>24.29378531073446</v>
      </c>
    </row>
    <row r="2301" spans="1:15" hidden="1" x14ac:dyDescent="0.25">
      <c r="A2301" s="11">
        <v>46072</v>
      </c>
      <c r="B2301" t="s">
        <v>62</v>
      </c>
      <c r="C2301" t="s">
        <v>23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>E2301+G2301+H2301</f>
        <v>15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15</v>
      </c>
      <c r="K2301" s="3">
        <f>I2301-J2301</f>
        <v>0</v>
      </c>
      <c r="L2301" s="3" t="str">
        <f>IF(K2301&lt;-5,"CRÍTICO",IF(K2301&lt;0,"ATENÇÃO",IF(K2301&lt;=5,"BOM","EXCELENTE")))</f>
        <v>BOM</v>
      </c>
      <c r="M2301">
        <v>15</v>
      </c>
      <c r="N2301">
        <v>100</v>
      </c>
      <c r="O2301">
        <v>26.543209876543209</v>
      </c>
    </row>
    <row r="2302" spans="1:15" hidden="1" x14ac:dyDescent="0.25">
      <c r="A2302" s="11">
        <v>46072</v>
      </c>
      <c r="B2302" t="s">
        <v>19</v>
      </c>
      <c r="C2302" t="s">
        <v>16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>E2302+G2302+H2302</f>
        <v>8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2</v>
      </c>
      <c r="L2302" s="3" t="str">
        <f>IF(K2302&lt;-5,"CRÍTICO",IF(K2302&lt;0,"ATENÇÃO",IF(K2302&lt;=5,"BOM","EXCELENTE")))</f>
        <v>BOM</v>
      </c>
      <c r="M2302">
        <v>6</v>
      </c>
      <c r="N2302">
        <v>100</v>
      </c>
      <c r="O2302">
        <v>35.483870967741943</v>
      </c>
    </row>
    <row r="2303" spans="1:15" hidden="1" x14ac:dyDescent="0.25">
      <c r="A2303" s="11">
        <v>46072</v>
      </c>
      <c r="B2303" t="s">
        <v>43</v>
      </c>
      <c r="C2303" t="s">
        <v>32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>E2303+G2303+H2303</f>
        <v>35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12</v>
      </c>
      <c r="L2303" s="3" t="str">
        <f>IF(K2303&lt;-5,"CRÍTICO",IF(K2303&lt;0,"ATENÇÃO",IF(K2303&lt;=5,"BOM","EXCELENTE")))</f>
        <v>EXCELENTE</v>
      </c>
      <c r="M2303">
        <v>33</v>
      </c>
      <c r="N2303">
        <v>99.27</v>
      </c>
      <c r="O2303">
        <v>31.163708086785011</v>
      </c>
    </row>
    <row r="2304" spans="1:15" hidden="1" x14ac:dyDescent="0.25">
      <c r="A2304" s="11">
        <v>46072</v>
      </c>
      <c r="B2304" t="s">
        <v>44</v>
      </c>
      <c r="C2304" t="s">
        <v>32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>E2304+G2304+H2304</f>
        <v>28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23</v>
      </c>
      <c r="K2304" s="3">
        <f>I2304-J2304</f>
        <v>5</v>
      </c>
      <c r="L2304" s="3" t="str">
        <f>IF(K2304&lt;-5,"CRÍTICO",IF(K2304&lt;0,"ATENÇÃO",IF(K2304&lt;=5,"BOM","EXCELENTE")))</f>
        <v>BOM</v>
      </c>
      <c r="M2304">
        <v>25</v>
      </c>
      <c r="N2304">
        <v>94.16</v>
      </c>
      <c r="O2304">
        <v>27.038626609442058</v>
      </c>
    </row>
    <row r="2305" spans="1:15" hidden="1" x14ac:dyDescent="0.25">
      <c r="A2305" s="11">
        <v>46072</v>
      </c>
      <c r="B2305" t="s">
        <v>20</v>
      </c>
      <c r="C2305" t="s">
        <v>16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>E2305+G2305+H2305</f>
        <v>7</v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>6</v>
      </c>
      <c r="K2305" s="3">
        <f>I2305-J2305</f>
        <v>1</v>
      </c>
      <c r="L2305" s="3" t="str">
        <f>IF(K2305&lt;-5,"CRÍTICO",IF(K2305&lt;0,"ATENÇÃO",IF(K2305&lt;=5,"BOM","EXCELENTE")))</f>
        <v>BOM</v>
      </c>
      <c r="M2305">
        <v>1</v>
      </c>
      <c r="N2305">
        <v>93.75</v>
      </c>
      <c r="O2305">
        <v>19.31818181818182</v>
      </c>
    </row>
    <row r="2306" spans="1:15" hidden="1" x14ac:dyDescent="0.25">
      <c r="A2306" s="11">
        <v>46072</v>
      </c>
      <c r="B2306" t="s">
        <v>28</v>
      </c>
      <c r="C2306" t="s">
        <v>26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>
        <v>0</v>
      </c>
      <c r="N2306">
        <v>0</v>
      </c>
      <c r="O2306">
        <v>0</v>
      </c>
    </row>
    <row r="2307" spans="1:15" hidden="1" x14ac:dyDescent="0.25">
      <c r="A2307" s="11">
        <v>46072</v>
      </c>
      <c r="B2307" t="s">
        <v>58</v>
      </c>
      <c r="C2307" t="s">
        <v>48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>
        <v>0</v>
      </c>
      <c r="N2307">
        <v>97.92</v>
      </c>
      <c r="O2307">
        <v>32.87671232876712</v>
      </c>
    </row>
    <row r="2308" spans="1:15" hidden="1" x14ac:dyDescent="0.25">
      <c r="A2308" s="11">
        <v>46072</v>
      </c>
      <c r="B2308" t="s">
        <v>29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30</v>
      </c>
      <c r="C2309" t="s">
        <v>26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21</v>
      </c>
      <c r="C2310" t="s">
        <v>16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v>0</v>
      </c>
      <c r="J2310" s="3">
        <v>0</v>
      </c>
      <c r="K2310" s="3">
        <v>0</v>
      </c>
      <c r="L2310" s="3" t="str">
        <f>IF(K2310&lt;-5,"CRÍTICO",IF(K2310&lt;0,"ATENÇÃO",IF(K2310&lt;=5,"BOM","EXCELENTE")))</f>
        <v>BOM</v>
      </c>
      <c r="M2310">
        <v>0</v>
      </c>
      <c r="N2310">
        <v>0</v>
      </c>
      <c r="O2310">
        <v>0</v>
      </c>
    </row>
    <row r="2311" spans="1:15" hidden="1" x14ac:dyDescent="0.25">
      <c r="A2311" s="11">
        <v>46072</v>
      </c>
      <c r="B2311" t="s">
        <v>63</v>
      </c>
      <c r="C2311" t="s">
        <v>23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>E2311+G2311+H2311</f>
        <v>21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15</v>
      </c>
      <c r="K2311" s="3">
        <f>I2311-J2311</f>
        <v>6</v>
      </c>
      <c r="L2311" s="3" t="str">
        <f>IF(K2311&lt;-5,"CRÍTICO",IF(K2311&lt;0,"ATENÇÃO",IF(K2311&lt;=5,"BOM","EXCELENTE")))</f>
        <v>EXCELENTE</v>
      </c>
      <c r="M2311">
        <v>18</v>
      </c>
      <c r="N2311">
        <v>98.51</v>
      </c>
      <c r="O2311">
        <v>29.710144927536231</v>
      </c>
    </row>
    <row r="2312" spans="1:15" hidden="1" x14ac:dyDescent="0.25">
      <c r="A2312" s="11">
        <v>46072</v>
      </c>
      <c r="B2312" t="s">
        <v>45</v>
      </c>
      <c r="C2312" t="s">
        <v>32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>E2312+G2312+H2312</f>
        <v>26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23</v>
      </c>
      <c r="K2312" s="3">
        <f>I2312-J2312</f>
        <v>3</v>
      </c>
      <c r="L2312" s="3" t="str">
        <f>IF(K2312&lt;-5,"CRÍTICO",IF(K2312&lt;0,"ATENÇÃO",IF(K2312&lt;=5,"BOM","EXCELENTE")))</f>
        <v>BOM</v>
      </c>
      <c r="M2312">
        <v>27</v>
      </c>
      <c r="N2312">
        <v>98.81</v>
      </c>
      <c r="O2312">
        <v>30.712979890310791</v>
      </c>
    </row>
    <row r="2313" spans="1:15" hidden="1" x14ac:dyDescent="0.25">
      <c r="A2313" s="11">
        <v>46072</v>
      </c>
      <c r="B2313" t="s">
        <v>64</v>
      </c>
      <c r="C2313" t="s">
        <v>23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>E2313+G2313+H2313</f>
        <v>12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15</v>
      </c>
      <c r="K2313" s="3">
        <f>I2313-J2313</f>
        <v>-3</v>
      </c>
      <c r="L2313" s="3" t="str">
        <f>IF(K2313&lt;-5,"CRÍTICO",IF(K2313&lt;0,"ATENÇÃO",IF(K2313&lt;=5,"BOM","EXCELENTE")))</f>
        <v>ATENÇÃO</v>
      </c>
      <c r="M2313">
        <v>11</v>
      </c>
      <c r="N2313">
        <v>98.48</v>
      </c>
      <c r="O2313">
        <v>29.35323383084577</v>
      </c>
    </row>
    <row r="2314" spans="1:15" hidden="1" x14ac:dyDescent="0.25">
      <c r="A2314" s="11">
        <v>46072</v>
      </c>
      <c r="B2314" t="s">
        <v>46</v>
      </c>
      <c r="C2314" t="s">
        <v>32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>E2314+G2314+H2314</f>
        <v>33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23</v>
      </c>
      <c r="K2314" s="3">
        <f>I2314-J2314</f>
        <v>10</v>
      </c>
      <c r="L2314" s="3" t="str">
        <f>IF(K2314&lt;-5,"CRÍTICO",IF(K2314&lt;0,"ATENÇÃO",IF(K2314&lt;=5,"BOM","EXCELENTE")))</f>
        <v>EXCELENTE</v>
      </c>
      <c r="M2314">
        <v>27</v>
      </c>
      <c r="N2314">
        <v>98.56</v>
      </c>
      <c r="O2314">
        <v>29.373650107991359</v>
      </c>
    </row>
    <row r="2315" spans="1:15" hidden="1" x14ac:dyDescent="0.25">
      <c r="A2315" s="11">
        <v>46073</v>
      </c>
      <c r="B2315" t="s">
        <v>47</v>
      </c>
      <c r="C2315" t="s">
        <v>48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>E2315+G2315+H2315</f>
        <v>18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19</v>
      </c>
      <c r="K2315" s="3">
        <f>I2315-J2315</f>
        <v>-1</v>
      </c>
      <c r="L2315" s="3" t="str">
        <f>IF(K2315&lt;-5,"CRÍTICO",IF(K2315&lt;0,"ATENÇÃO",IF(K2315&lt;=5,"BOM","EXCELENTE")))</f>
        <v>ATENÇÃO</v>
      </c>
      <c r="M2315">
        <v>18</v>
      </c>
      <c r="N2315">
        <v>98.32</v>
      </c>
      <c r="O2315">
        <v>30.303030303030301</v>
      </c>
    </row>
    <row r="2316" spans="1:15" hidden="1" x14ac:dyDescent="0.25">
      <c r="A2316" s="11">
        <v>46073</v>
      </c>
      <c r="B2316" t="s">
        <v>31</v>
      </c>
      <c r="C2316" t="s">
        <v>32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v>0</v>
      </c>
      <c r="J2316" s="3">
        <v>0</v>
      </c>
      <c r="K2316" s="3">
        <v>0</v>
      </c>
      <c r="L2316" s="3" t="str">
        <f>IF(K2316&lt;-5,"CRÍTICO",IF(K2316&lt;0,"ATENÇÃO",IF(K2316&lt;=5,"BOM","EXCELENTE")))</f>
        <v>BOM</v>
      </c>
      <c r="M2316">
        <v>25</v>
      </c>
      <c r="N2316">
        <v>98.68</v>
      </c>
      <c r="O2316">
        <v>26.219512195121951</v>
      </c>
    </row>
    <row r="2317" spans="1:15" hidden="1" x14ac:dyDescent="0.25">
      <c r="A2317" s="11">
        <v>46073</v>
      </c>
      <c r="B2317" t="s">
        <v>59</v>
      </c>
      <c r="C2317" t="s">
        <v>23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>E2317+G2317+H2317</f>
        <v>19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15</v>
      </c>
      <c r="K2317" s="3">
        <f>I2317-J2317</f>
        <v>4</v>
      </c>
      <c r="L2317" s="3" t="str">
        <f>IF(K2317&lt;-5,"CRÍTICO",IF(K2317&lt;0,"ATENÇÃO",IF(K2317&lt;=5,"BOM","EXCELENTE")))</f>
        <v>BOM</v>
      </c>
      <c r="M2317">
        <v>18</v>
      </c>
      <c r="N2317">
        <v>100</v>
      </c>
      <c r="O2317">
        <v>31.74224343675418</v>
      </c>
    </row>
    <row r="2318" spans="1:15" hidden="1" x14ac:dyDescent="0.25">
      <c r="A2318" s="11">
        <v>46073</v>
      </c>
      <c r="B2318" t="s">
        <v>33</v>
      </c>
      <c r="C2318" t="s">
        <v>32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>E2318+G2318+H2318</f>
        <v>31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23</v>
      </c>
      <c r="K2318" s="3">
        <f>I2318-J2318</f>
        <v>8</v>
      </c>
      <c r="L2318" s="3" t="str">
        <f>IF(K2318&lt;-5,"CRÍTICO",IF(K2318&lt;0,"ATENÇÃO",IF(K2318&lt;=5,"BOM","EXCELENTE")))</f>
        <v>EXCELENTE</v>
      </c>
      <c r="M2318">
        <v>28</v>
      </c>
      <c r="N2318">
        <v>98.25</v>
      </c>
      <c r="O2318">
        <v>25.83518930957684</v>
      </c>
    </row>
    <row r="2319" spans="1:15" hidden="1" x14ac:dyDescent="0.25">
      <c r="A2319" s="11">
        <v>46073</v>
      </c>
      <c r="B2319" t="s">
        <v>15</v>
      </c>
      <c r="C2319" t="s">
        <v>16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>E2319+G2319+H2319</f>
        <v>11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7</v>
      </c>
      <c r="K2319" s="3">
        <f>I2319-J2319</f>
        <v>4</v>
      </c>
      <c r="L2319" s="3" t="str">
        <f>IF(K2319&lt;-5,"CRÍTICO",IF(K2319&lt;0,"ATENÇÃO",IF(K2319&lt;=5,"BOM","EXCELENTE")))</f>
        <v>BOM</v>
      </c>
      <c r="M2319">
        <v>9</v>
      </c>
      <c r="N2319">
        <v>97.5</v>
      </c>
      <c r="O2319">
        <v>30.075187969924809</v>
      </c>
    </row>
    <row r="2320" spans="1:15" hidden="1" x14ac:dyDescent="0.25">
      <c r="A2320" s="11">
        <v>46073</v>
      </c>
      <c r="B2320" t="s">
        <v>49</v>
      </c>
      <c r="C2320" t="s">
        <v>48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>E2320+G2320+H2320</f>
        <v>29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10</v>
      </c>
      <c r="L2320" s="3" t="str">
        <f>IF(K2320&lt;-5,"CRÍTICO",IF(K2320&lt;0,"ATENÇÃO",IF(K2320&lt;=5,"BOM","EXCELENTE")))</f>
        <v>EXCELENTE</v>
      </c>
      <c r="M2320">
        <v>29</v>
      </c>
      <c r="N2320">
        <v>100</v>
      </c>
      <c r="O2320">
        <v>29.71311475409836</v>
      </c>
    </row>
    <row r="2321" spans="1:15" hidden="1" x14ac:dyDescent="0.25">
      <c r="A2321" s="11">
        <v>46073</v>
      </c>
      <c r="B2321" t="s">
        <v>50</v>
      </c>
      <c r="C2321" t="s">
        <v>48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>E2321+G2321+H2321</f>
        <v>16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19</v>
      </c>
      <c r="K2321" s="3">
        <f>I2321-J2321</f>
        <v>-3</v>
      </c>
      <c r="L2321" s="3" t="str">
        <f>IF(K2321&lt;-5,"CRÍTICO",IF(K2321&lt;0,"ATENÇÃO",IF(K2321&lt;=5,"BOM","EXCELENTE")))</f>
        <v>ATENÇÃO</v>
      </c>
      <c r="M2321">
        <v>19</v>
      </c>
      <c r="N2321">
        <v>99.22</v>
      </c>
      <c r="O2321">
        <v>35.256410256410263</v>
      </c>
    </row>
    <row r="2322" spans="1:15" hidden="1" x14ac:dyDescent="0.25">
      <c r="A2322" s="11">
        <v>46073</v>
      </c>
      <c r="B2322" t="s">
        <v>17</v>
      </c>
      <c r="C2322" t="s">
        <v>16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v>0</v>
      </c>
      <c r="J2322" s="3">
        <v>0</v>
      </c>
      <c r="K2322" s="3">
        <v>0</v>
      </c>
      <c r="L2322" s="3" t="str">
        <f>IF(K2322&lt;-5,"CRÍTICO",IF(K2322&lt;0,"ATENÇÃO",IF(K2322&lt;=5,"BOM","EXCELENTE")))</f>
        <v>BOM</v>
      </c>
      <c r="M2322">
        <v>0</v>
      </c>
      <c r="N2322">
        <v>0</v>
      </c>
      <c r="O2322">
        <v>0</v>
      </c>
    </row>
    <row r="2323" spans="1:15" hidden="1" x14ac:dyDescent="0.25">
      <c r="A2323" s="11">
        <v>46073</v>
      </c>
      <c r="B2323" t="s">
        <v>60</v>
      </c>
      <c r="C2323" t="s">
        <v>23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>E2323+G2323+H2323</f>
        <v>18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15</v>
      </c>
      <c r="K2323" s="3">
        <f>I2323-J2323</f>
        <v>3</v>
      </c>
      <c r="L2323" s="3" t="str">
        <f>IF(K2323&lt;-5,"CRÍTICO",IF(K2323&lt;0,"ATENÇÃO",IF(K2323&lt;=5,"BOM","EXCELENTE")))</f>
        <v>BOM</v>
      </c>
      <c r="M2323">
        <v>18</v>
      </c>
      <c r="N2323">
        <v>98.75</v>
      </c>
      <c r="O2323">
        <v>24.32432432432433</v>
      </c>
    </row>
    <row r="2324" spans="1:15" hidden="1" x14ac:dyDescent="0.25">
      <c r="A2324" s="11">
        <v>46073</v>
      </c>
      <c r="B2324" t="s">
        <v>34</v>
      </c>
      <c r="C2324" t="s">
        <v>32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>E2324+G2324+H2324</f>
        <v>34</v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>23</v>
      </c>
      <c r="K2324" s="3">
        <f>I2324-J2324</f>
        <v>11</v>
      </c>
      <c r="L2324" s="3" t="str">
        <f>IF(K2324&lt;-5,"CRÍTICO",IF(K2324&lt;0,"ATENÇÃO",IF(K2324&lt;=5,"BOM","EXCELENTE")))</f>
        <v>EXCELENTE</v>
      </c>
      <c r="M2324">
        <v>30</v>
      </c>
      <c r="N2324">
        <v>93.48</v>
      </c>
      <c r="O2324">
        <v>31.52804642166344</v>
      </c>
    </row>
    <row r="2325" spans="1:15" hidden="1" x14ac:dyDescent="0.25">
      <c r="A2325" s="11">
        <v>46073</v>
      </c>
      <c r="B2325" t="s">
        <v>51</v>
      </c>
      <c r="C2325" t="s">
        <v>48</v>
      </c>
      <c r="D2325">
        <v>30</v>
      </c>
      <c r="E2325">
        <v>26</v>
      </c>
      <c r="F2325">
        <v>21.54</v>
      </c>
      <c r="G2325">
        <v>0</v>
      </c>
      <c r="H2325">
        <v>0</v>
      </c>
      <c r="I2325" s="3">
        <v>0</v>
      </c>
      <c r="J2325" s="3">
        <v>0</v>
      </c>
      <c r="K2325" s="3">
        <v>0</v>
      </c>
      <c r="L2325" s="3" t="str">
        <f>IF(K2325&lt;-5,"CRÍTICO",IF(K2325&lt;0,"ATENÇÃO",IF(K2325&lt;=5,"BOM","EXCELENTE")))</f>
        <v>BOM</v>
      </c>
      <c r="M2325">
        <v>24</v>
      </c>
      <c r="N2325">
        <v>99.16</v>
      </c>
      <c r="O2325">
        <v>26.13908872901678</v>
      </c>
    </row>
    <row r="2326" spans="1:15" hidden="1" x14ac:dyDescent="0.25">
      <c r="A2326" s="11">
        <v>46073</v>
      </c>
      <c r="B2326" t="s">
        <v>61</v>
      </c>
      <c r="C2326" t="s">
        <v>23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>E2326+G2326+H2326</f>
        <v>21</v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>15</v>
      </c>
      <c r="K2326" s="3">
        <f>I2326-J2326</f>
        <v>6</v>
      </c>
      <c r="L2326" s="3" t="str">
        <f>IF(K2326&lt;-5,"CRÍTICO",IF(K2326&lt;0,"ATENÇÃO",IF(K2326&lt;=5,"BOM","EXCELENTE")))</f>
        <v>EXCELENTE</v>
      </c>
      <c r="M2326">
        <v>12</v>
      </c>
      <c r="N2326">
        <v>100</v>
      </c>
      <c r="O2326">
        <v>31.089743589743591</v>
      </c>
    </row>
    <row r="2327" spans="1:15" hidden="1" x14ac:dyDescent="0.25">
      <c r="A2327" s="11">
        <v>46073</v>
      </c>
      <c r="B2327" t="s">
        <v>35</v>
      </c>
      <c r="C2327" t="s">
        <v>32</v>
      </c>
      <c r="D2327">
        <v>16</v>
      </c>
      <c r="E2327">
        <v>16</v>
      </c>
      <c r="F2327">
        <v>45.29</v>
      </c>
      <c r="G2327">
        <v>0</v>
      </c>
      <c r="H2327">
        <v>0</v>
      </c>
      <c r="I2327" s="3">
        <v>0</v>
      </c>
      <c r="J2327" s="3">
        <v>0</v>
      </c>
      <c r="K2327" s="3">
        <v>0</v>
      </c>
      <c r="L2327" s="3" t="str">
        <f>IF(K2327&lt;-5,"CRÍTICO",IF(K2327&lt;0,"ATENÇÃO",IF(K2327&lt;=5,"BOM","EXCELENTE")))</f>
        <v>BOM</v>
      </c>
      <c r="M2327">
        <v>16</v>
      </c>
      <c r="N2327">
        <v>98.11</v>
      </c>
      <c r="O2327">
        <v>33.033707865168537</v>
      </c>
    </row>
    <row r="2328" spans="1:15" hidden="1" x14ac:dyDescent="0.25">
      <c r="A2328" s="11">
        <v>46073</v>
      </c>
      <c r="B2328" t="s">
        <v>18</v>
      </c>
      <c r="C2328" t="s">
        <v>16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>E2328+G2328+H2328</f>
        <v>7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7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>
        <v>0</v>
      </c>
      <c r="N2328">
        <v>78.95</v>
      </c>
      <c r="O2328">
        <v>38.983050847457633</v>
      </c>
    </row>
    <row r="2329" spans="1:15" hidden="1" x14ac:dyDescent="0.25">
      <c r="A2329" s="11">
        <v>46073</v>
      </c>
      <c r="B2329" t="s">
        <v>52</v>
      </c>
      <c r="C2329" t="s">
        <v>48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>E2329+G2329+H2329</f>
        <v>19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19</v>
      </c>
      <c r="K2329" s="3">
        <f>I2329-J2329</f>
        <v>0</v>
      </c>
      <c r="L2329" s="3" t="str">
        <f>IF(K2329&lt;-5,"CRÍTICO",IF(K2329&lt;0,"ATENÇÃO",IF(K2329&lt;=5,"BOM","EXCELENTE")))</f>
        <v>BOM</v>
      </c>
      <c r="M2329">
        <v>17</v>
      </c>
      <c r="N2329">
        <v>98.45</v>
      </c>
      <c r="O2329">
        <v>29.281767955801101</v>
      </c>
    </row>
    <row r="2330" spans="1:15" hidden="1" x14ac:dyDescent="0.25">
      <c r="A2330" s="11">
        <v>46073</v>
      </c>
      <c r="B2330" t="s">
        <v>36</v>
      </c>
      <c r="C2330" t="s">
        <v>32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>E2330+G2330+H2330</f>
        <v>22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23</v>
      </c>
      <c r="K2330" s="3">
        <f>I2330-J2330</f>
        <v>-1</v>
      </c>
      <c r="L2330" s="3" t="str">
        <f>IF(K2330&lt;-5,"CRÍTICO",IF(K2330&lt;0,"ATENÇÃO",IF(K2330&lt;=5,"BOM","EXCELENTE")))</f>
        <v>ATENÇÃO</v>
      </c>
      <c r="M2330">
        <v>22</v>
      </c>
      <c r="N2330">
        <v>97.84</v>
      </c>
      <c r="O2330">
        <v>26.282051282051281</v>
      </c>
    </row>
    <row r="2331" spans="1:15" hidden="1" x14ac:dyDescent="0.25">
      <c r="A2331" s="11">
        <v>46073</v>
      </c>
      <c r="B2331" t="s">
        <v>53</v>
      </c>
      <c r="C2331" t="s">
        <v>48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>E2331+G2331+H2331</f>
        <v>29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19</v>
      </c>
      <c r="K2331" s="3">
        <f>I2331-J2331</f>
        <v>10</v>
      </c>
      <c r="L2331" s="3" t="str">
        <f>IF(K2331&lt;-5,"CRÍTICO",IF(K2331&lt;0,"ATENÇÃO",IF(K2331&lt;=5,"BOM","EXCELENTE")))</f>
        <v>EXCELENTE</v>
      </c>
      <c r="M2331">
        <v>29</v>
      </c>
      <c r="N2331">
        <v>98.5</v>
      </c>
      <c r="O2331">
        <v>23.97769516728625</v>
      </c>
    </row>
    <row r="2332" spans="1:15" hidden="1" x14ac:dyDescent="0.25">
      <c r="A2332" s="11">
        <v>46107</v>
      </c>
      <c r="B2332" t="s">
        <v>22</v>
      </c>
      <c r="C2332" t="s">
        <v>23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>E2332+G2332+H2332</f>
        <v>27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18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>
        <v>25</v>
      </c>
      <c r="N2332">
        <v>99.05</v>
      </c>
      <c r="O2332">
        <v>26.621923937360179</v>
      </c>
    </row>
    <row r="2333" spans="1:15" hidden="1" x14ac:dyDescent="0.25">
      <c r="A2333" s="11">
        <v>46073</v>
      </c>
      <c r="B2333" t="s">
        <v>54</v>
      </c>
      <c r="C2333" t="s">
        <v>48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>E2333+G2333+H2333</f>
        <v>28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19</v>
      </c>
      <c r="K2333" s="3">
        <f>I2333-J2333</f>
        <v>9</v>
      </c>
      <c r="L2333" s="3" t="str">
        <f>IF(K2333&lt;-5,"CRÍTICO",IF(K2333&lt;0,"ATENÇÃO",IF(K2333&lt;=5,"BOM","EXCELENTE")))</f>
        <v>EXCELENTE</v>
      </c>
      <c r="M2333">
        <v>22</v>
      </c>
      <c r="N2333">
        <v>98.53</v>
      </c>
      <c r="O2333">
        <v>31.578947368421051</v>
      </c>
    </row>
    <row r="2334" spans="1:15" hidden="1" x14ac:dyDescent="0.25">
      <c r="A2334" s="11">
        <v>46073</v>
      </c>
      <c r="B2334" t="s">
        <v>37</v>
      </c>
      <c r="C2334" t="s">
        <v>32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>E2334+G2334+H2334</f>
        <v>30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7</v>
      </c>
      <c r="L2334" s="3" t="str">
        <f>IF(K2334&lt;-5,"CRÍTICO",IF(K2334&lt;0,"ATENÇÃO",IF(K2334&lt;=5,"BOM","EXCELENTE")))</f>
        <v>EXCELENTE</v>
      </c>
      <c r="M2334">
        <v>30</v>
      </c>
      <c r="N2334">
        <v>100</v>
      </c>
      <c r="O2334">
        <v>25.72214580467676</v>
      </c>
    </row>
    <row r="2335" spans="1:15" hidden="1" x14ac:dyDescent="0.25">
      <c r="A2335" s="11">
        <v>46073</v>
      </c>
      <c r="B2335" t="s">
        <v>38</v>
      </c>
      <c r="C2335" t="s">
        <v>32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>E2335+G2335+H2335</f>
        <v>24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23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>
        <v>23</v>
      </c>
      <c r="N2335">
        <v>94.64</v>
      </c>
      <c r="O2335">
        <v>27.52941176470588</v>
      </c>
    </row>
    <row r="2336" spans="1:15" hidden="1" x14ac:dyDescent="0.25">
      <c r="A2336" s="11">
        <v>46073</v>
      </c>
      <c r="B2336" t="s">
        <v>55</v>
      </c>
      <c r="C2336" t="s">
        <v>48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>E2336+G2336+H2336</f>
        <v>20</v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>19</v>
      </c>
      <c r="K2336" s="3">
        <f>I2336-J2336</f>
        <v>1</v>
      </c>
      <c r="L2336" s="3" t="str">
        <f>IF(K2336&lt;-5,"CRÍTICO",IF(K2336&lt;0,"ATENÇÃO",IF(K2336&lt;=5,"BOM","EXCELENTE")))</f>
        <v>BOM</v>
      </c>
      <c r="M2336">
        <v>15</v>
      </c>
      <c r="N2336">
        <v>99.07</v>
      </c>
      <c r="O2336">
        <v>26.376811594202898</v>
      </c>
    </row>
    <row r="2337" spans="1:15" hidden="1" x14ac:dyDescent="0.25">
      <c r="A2337" s="11">
        <v>46073</v>
      </c>
      <c r="B2337" t="s">
        <v>39</v>
      </c>
      <c r="C2337" t="s">
        <v>32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v>0</v>
      </c>
      <c r="J2337" s="3">
        <v>0</v>
      </c>
      <c r="K2337" s="3">
        <v>0</v>
      </c>
      <c r="L2337" s="3" t="str">
        <f>IF(K2337&lt;-5,"CRÍTICO",IF(K2337&lt;0,"ATENÇÃO",IF(K2337&lt;=5,"BOM","EXCELENTE")))</f>
        <v>BOM</v>
      </c>
      <c r="M2337">
        <v>0</v>
      </c>
      <c r="N2337">
        <v>100</v>
      </c>
      <c r="O2337">
        <v>0</v>
      </c>
    </row>
    <row r="2338" spans="1:15" hidden="1" x14ac:dyDescent="0.25">
      <c r="A2338" s="11">
        <v>46073</v>
      </c>
      <c r="B2338" t="s">
        <v>25</v>
      </c>
      <c r="C2338" t="s">
        <v>26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>E2338+G2338+H2338</f>
        <v>18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13</v>
      </c>
      <c r="K2338" s="3">
        <f>I2338-J2338</f>
        <v>5</v>
      </c>
      <c r="L2338" s="3" t="str">
        <f>IF(K2338&lt;-5,"CRÍTICO",IF(K2338&lt;0,"ATENÇÃO",IF(K2338&lt;=5,"BOM","EXCELENTE")))</f>
        <v>BOM</v>
      </c>
      <c r="M2338">
        <v>17</v>
      </c>
      <c r="N2338">
        <v>98.48</v>
      </c>
      <c r="O2338">
        <v>27.853881278538811</v>
      </c>
    </row>
    <row r="2339" spans="1:15" hidden="1" x14ac:dyDescent="0.25">
      <c r="A2339" s="11">
        <v>46073</v>
      </c>
      <c r="B2339" t="s">
        <v>40</v>
      </c>
      <c r="C2339" t="s">
        <v>32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>E2339+G2339+H2339</f>
        <v>19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23</v>
      </c>
      <c r="K2339" s="3">
        <f>I2339-J2339</f>
        <v>-4</v>
      </c>
      <c r="L2339" s="3" t="str">
        <f>IF(K2339&lt;-5,"CRÍTICO",IF(K2339&lt;0,"ATENÇÃO",IF(K2339&lt;=5,"BOM","EXCELENTE")))</f>
        <v>ATENÇÃO</v>
      </c>
      <c r="M2339">
        <v>18</v>
      </c>
      <c r="N2339">
        <v>95.15</v>
      </c>
      <c r="O2339">
        <v>34.131736526946113</v>
      </c>
    </row>
    <row r="2340" spans="1:15" hidden="1" x14ac:dyDescent="0.25">
      <c r="A2340" s="11">
        <v>46073</v>
      </c>
      <c r="B2340" t="s">
        <v>27</v>
      </c>
      <c r="C2340" t="s">
        <v>26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v>0</v>
      </c>
      <c r="J2340" s="3">
        <v>0</v>
      </c>
      <c r="K2340" s="3">
        <v>0</v>
      </c>
      <c r="L2340" s="3" t="str">
        <f>IF(K2340&lt;-5,"CRÍTICO",IF(K2340&lt;0,"ATENÇÃO",IF(K2340&lt;=5,"BOM","EXCELENTE")))</f>
        <v>BOM</v>
      </c>
      <c r="M2340">
        <v>0</v>
      </c>
      <c r="N2340">
        <v>0</v>
      </c>
      <c r="O2340">
        <v>0</v>
      </c>
    </row>
    <row r="2341" spans="1:15" hidden="1" x14ac:dyDescent="0.25">
      <c r="A2341" s="11">
        <v>46073</v>
      </c>
      <c r="B2341" t="s">
        <v>41</v>
      </c>
      <c r="C2341" t="s">
        <v>32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>E2341+G2341+H2341</f>
        <v>28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23</v>
      </c>
      <c r="K2341" s="3">
        <f>I2341-J2341</f>
        <v>5</v>
      </c>
      <c r="L2341" s="3" t="str">
        <f>IF(K2341&lt;-5,"CRÍTICO",IF(K2341&lt;0,"ATENÇÃO",IF(K2341&lt;=5,"BOM","EXCELENTE")))</f>
        <v>BOM</v>
      </c>
      <c r="M2341">
        <v>28</v>
      </c>
      <c r="N2341">
        <v>99.26</v>
      </c>
      <c r="O2341">
        <v>30.84832904884319</v>
      </c>
    </row>
    <row r="2342" spans="1:15" hidden="1" x14ac:dyDescent="0.25">
      <c r="A2342" s="11">
        <v>46073</v>
      </c>
      <c r="B2342" t="s">
        <v>56</v>
      </c>
      <c r="C2342" t="s">
        <v>48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>E2342+G2342+H2342</f>
        <v>27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19</v>
      </c>
      <c r="K2342" s="3">
        <f>I2342-J2342</f>
        <v>8</v>
      </c>
      <c r="L2342" s="3" t="str">
        <f>IF(K2342&lt;-5,"CRÍTICO",IF(K2342&lt;0,"ATENÇÃO",IF(K2342&lt;=5,"BOM","EXCELENTE")))</f>
        <v>EXCELENTE</v>
      </c>
      <c r="M2342">
        <v>20</v>
      </c>
      <c r="N2342">
        <v>97.48</v>
      </c>
      <c r="O2342">
        <v>27.764705882352938</v>
      </c>
    </row>
    <row r="2343" spans="1:15" hidden="1" x14ac:dyDescent="0.25">
      <c r="A2343" s="11">
        <v>46073</v>
      </c>
      <c r="B2343" t="s">
        <v>57</v>
      </c>
      <c r="C2343" t="s">
        <v>48</v>
      </c>
      <c r="D2343">
        <v>29</v>
      </c>
      <c r="E2343">
        <v>26</v>
      </c>
      <c r="F2343">
        <v>22.26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>
        <v>25</v>
      </c>
      <c r="N2343">
        <v>99.34</v>
      </c>
      <c r="O2343">
        <v>30.04291845493562</v>
      </c>
    </row>
    <row r="2344" spans="1:15" hidden="1" x14ac:dyDescent="0.25">
      <c r="A2344" s="11">
        <v>46073</v>
      </c>
      <c r="B2344" t="s">
        <v>42</v>
      </c>
      <c r="C2344" t="s">
        <v>32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v>0</v>
      </c>
      <c r="J2344" s="3">
        <v>0</v>
      </c>
      <c r="K2344" s="3">
        <v>0</v>
      </c>
      <c r="L2344" s="3" t="str">
        <f>IF(K2344&lt;-5,"CRÍTICO",IF(K2344&lt;0,"ATENÇÃO",IF(K2344&lt;=5,"BOM","EXCELENTE")))</f>
        <v>BOM</v>
      </c>
      <c r="M2344">
        <v>0</v>
      </c>
      <c r="N2344">
        <v>96.3</v>
      </c>
      <c r="O2344">
        <v>24.29378531073446</v>
      </c>
    </row>
    <row r="2345" spans="1:15" hidden="1" x14ac:dyDescent="0.25">
      <c r="A2345" s="11">
        <v>46073</v>
      </c>
      <c r="B2345" t="s">
        <v>62</v>
      </c>
      <c r="C2345" t="s">
        <v>23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>E2345+G2345+H2345</f>
        <v>9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15</v>
      </c>
      <c r="K2345" s="3">
        <f>I2345-J2345</f>
        <v>-6</v>
      </c>
      <c r="L2345" s="3" t="str">
        <f>IF(K2345&lt;-5,"CRÍTICO",IF(K2345&lt;0,"ATENÇÃO",IF(K2345&lt;=5,"BOM","EXCELENTE")))</f>
        <v>CRÍTICO</v>
      </c>
      <c r="M2345">
        <v>8</v>
      </c>
      <c r="N2345">
        <v>100</v>
      </c>
      <c r="O2345">
        <v>26.543209876543209</v>
      </c>
    </row>
    <row r="2346" spans="1:15" hidden="1" x14ac:dyDescent="0.25">
      <c r="A2346" s="11">
        <v>46073</v>
      </c>
      <c r="B2346" t="s">
        <v>19</v>
      </c>
      <c r="C2346" t="s">
        <v>16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>E2346+G2346+H2346</f>
        <v>4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7</v>
      </c>
      <c r="K2346" s="3">
        <f>I2346-J2346</f>
        <v>-3</v>
      </c>
      <c r="L2346" s="3" t="str">
        <f>IF(K2346&lt;-5,"CRÍTICO",IF(K2346&lt;0,"ATENÇÃO",IF(K2346&lt;=5,"BOM","EXCELENTE")))</f>
        <v>ATENÇÃO</v>
      </c>
      <c r="M2346">
        <v>5</v>
      </c>
      <c r="N2346">
        <v>100</v>
      </c>
      <c r="O2346">
        <v>35.483870967741943</v>
      </c>
    </row>
    <row r="2347" spans="1:15" hidden="1" x14ac:dyDescent="0.25">
      <c r="A2347" s="11">
        <v>46073</v>
      </c>
      <c r="B2347" t="s">
        <v>43</v>
      </c>
      <c r="C2347" t="s">
        <v>32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>E2347+G2347+H2347</f>
        <v>22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-1</v>
      </c>
      <c r="L2347" s="3" t="str">
        <f>IF(K2347&lt;-5,"CRÍTICO",IF(K2347&lt;0,"ATENÇÃO",IF(K2347&lt;=5,"BOM","EXCELENTE")))</f>
        <v>ATENÇÃO</v>
      </c>
      <c r="M2347">
        <v>21</v>
      </c>
      <c r="N2347">
        <v>99.27</v>
      </c>
      <c r="O2347">
        <v>31.163708086785011</v>
      </c>
    </row>
    <row r="2348" spans="1:15" hidden="1" x14ac:dyDescent="0.25">
      <c r="A2348" s="11">
        <v>46073</v>
      </c>
      <c r="B2348" t="s">
        <v>44</v>
      </c>
      <c r="C2348" t="s">
        <v>32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>E2348+G2348+H2348</f>
        <v>23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23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>
        <v>21</v>
      </c>
      <c r="N2348">
        <v>94.16</v>
      </c>
      <c r="O2348">
        <v>27.038626609442058</v>
      </c>
    </row>
    <row r="2349" spans="1:15" hidden="1" x14ac:dyDescent="0.25">
      <c r="A2349" s="11">
        <v>46073</v>
      </c>
      <c r="B2349" t="s">
        <v>20</v>
      </c>
      <c r="C2349" t="s">
        <v>16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>E2349+G2349+H2349</f>
        <v>7</v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>7</v>
      </c>
      <c r="K2349" s="3">
        <f>I2349-J2349</f>
        <v>0</v>
      </c>
      <c r="L2349" s="3" t="str">
        <f>IF(K2349&lt;-5,"CRÍTICO",IF(K2349&lt;0,"ATENÇÃO",IF(K2349&lt;=5,"BOM","EXCELENTE")))</f>
        <v>BOM</v>
      </c>
      <c r="M2349">
        <v>6</v>
      </c>
      <c r="N2349">
        <v>93.75</v>
      </c>
      <c r="O2349">
        <v>19.31818181818182</v>
      </c>
    </row>
    <row r="2350" spans="1:15" hidden="1" x14ac:dyDescent="0.25">
      <c r="A2350" s="11">
        <v>46073</v>
      </c>
      <c r="B2350" t="s">
        <v>28</v>
      </c>
      <c r="C2350" t="s">
        <v>26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>
        <v>0</v>
      </c>
      <c r="N2350">
        <v>0</v>
      </c>
      <c r="O2350">
        <v>0</v>
      </c>
    </row>
    <row r="2351" spans="1:15" hidden="1" x14ac:dyDescent="0.25">
      <c r="A2351" s="11">
        <v>46073</v>
      </c>
      <c r="B2351" t="s">
        <v>58</v>
      </c>
      <c r="C2351" t="s">
        <v>48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>
        <v>0</v>
      </c>
      <c r="N2351">
        <v>97.92</v>
      </c>
      <c r="O2351">
        <v>32.87671232876712</v>
      </c>
    </row>
    <row r="2352" spans="1:15" hidden="1" x14ac:dyDescent="0.25">
      <c r="A2352" s="11">
        <v>46073</v>
      </c>
      <c r="B2352" t="s">
        <v>29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30</v>
      </c>
      <c r="C2353" t="s">
        <v>26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21</v>
      </c>
      <c r="C2354" t="s">
        <v>16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v>0</v>
      </c>
      <c r="J2354" s="3">
        <v>0</v>
      </c>
      <c r="K2354" s="3">
        <v>0</v>
      </c>
      <c r="L2354" s="3" t="str">
        <f>IF(K2354&lt;-5,"CRÍTICO",IF(K2354&lt;0,"ATENÇÃO",IF(K2354&lt;=5,"BOM","EXCELENTE")))</f>
        <v>BOM</v>
      </c>
      <c r="M2354">
        <v>0</v>
      </c>
      <c r="N2354">
        <v>0</v>
      </c>
      <c r="O2354">
        <v>0</v>
      </c>
    </row>
    <row r="2355" spans="1:15" hidden="1" x14ac:dyDescent="0.25">
      <c r="A2355" s="11">
        <v>46073</v>
      </c>
      <c r="B2355" t="s">
        <v>63</v>
      </c>
      <c r="C2355" t="s">
        <v>23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>E2355+G2355+H2355</f>
        <v>19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15</v>
      </c>
      <c r="K2355" s="3">
        <f>I2355-J2355</f>
        <v>4</v>
      </c>
      <c r="L2355" s="3" t="str">
        <f>IF(K2355&lt;-5,"CRÍTICO",IF(K2355&lt;0,"ATENÇÃO",IF(K2355&lt;=5,"BOM","EXCELENTE")))</f>
        <v>BOM</v>
      </c>
      <c r="M2355">
        <v>17</v>
      </c>
      <c r="N2355">
        <v>98.51</v>
      </c>
      <c r="O2355">
        <v>29.710144927536231</v>
      </c>
    </row>
    <row r="2356" spans="1:15" hidden="1" x14ac:dyDescent="0.25">
      <c r="A2356" s="11">
        <v>46073</v>
      </c>
      <c r="B2356" t="s">
        <v>45</v>
      </c>
      <c r="C2356" t="s">
        <v>32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23</v>
      </c>
      <c r="K2356" s="3">
        <f>I2356-J2356</f>
        <v>9</v>
      </c>
      <c r="L2356" s="3" t="str">
        <f>IF(K2356&lt;-5,"CRÍTICO",IF(K2356&lt;0,"ATENÇÃO",IF(K2356&lt;=5,"BOM","EXCELENTE")))</f>
        <v>EXCELENTE</v>
      </c>
      <c r="M2356">
        <v>28</v>
      </c>
      <c r="N2356">
        <v>98.81</v>
      </c>
      <c r="O2356">
        <v>30.712979890310791</v>
      </c>
    </row>
    <row r="2357" spans="1:15" hidden="1" x14ac:dyDescent="0.25">
      <c r="A2357" s="11">
        <v>46073</v>
      </c>
      <c r="B2357" t="s">
        <v>64</v>
      </c>
      <c r="C2357" t="s">
        <v>23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>E2357+G2357+H2357</f>
        <v>11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15</v>
      </c>
      <c r="K2357" s="3">
        <f>I2357-J2357</f>
        <v>-4</v>
      </c>
      <c r="L2357" s="3" t="str">
        <f>IF(K2357&lt;-5,"CRÍTICO",IF(K2357&lt;0,"ATENÇÃO",IF(K2357&lt;=5,"BOM","EXCELENTE")))</f>
        <v>ATENÇÃO</v>
      </c>
      <c r="M2357">
        <v>8</v>
      </c>
      <c r="N2357">
        <v>98.48</v>
      </c>
      <c r="O2357">
        <v>29.35323383084577</v>
      </c>
    </row>
    <row r="2358" spans="1:15" hidden="1" x14ac:dyDescent="0.25">
      <c r="A2358" s="11">
        <v>46073</v>
      </c>
      <c r="B2358" t="s">
        <v>46</v>
      </c>
      <c r="C2358" t="s">
        <v>32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>E2358+G2358+H2358</f>
        <v>16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23</v>
      </c>
      <c r="K2358" s="3">
        <f>I2358-J2358</f>
        <v>-7</v>
      </c>
      <c r="L2358" s="3" t="str">
        <f>IF(K2358&lt;-5,"CRÍTICO",IF(K2358&lt;0,"ATENÇÃO",IF(K2358&lt;=5,"BOM","EXCELENTE")))</f>
        <v>CRÍTICO</v>
      </c>
      <c r="M2358">
        <v>12</v>
      </c>
      <c r="N2358">
        <v>98.56</v>
      </c>
      <c r="O2358">
        <v>29.373650107991359</v>
      </c>
    </row>
    <row r="2359" spans="1:15" hidden="1" x14ac:dyDescent="0.25">
      <c r="A2359" s="11">
        <v>46076</v>
      </c>
      <c r="B2359" t="s">
        <v>47</v>
      </c>
      <c r="C2359" t="s">
        <v>48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>E2359+G2359+H2359</f>
        <v>32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18</v>
      </c>
      <c r="K2359" s="3">
        <f>I2359-J2359</f>
        <v>14</v>
      </c>
      <c r="L2359" s="3" t="str">
        <f>IF(K2359&lt;-5,"CRÍTICO",IF(K2359&lt;0,"ATENÇÃO",IF(K2359&lt;=5,"BOM","EXCELENTE")))</f>
        <v>EXCELENTE</v>
      </c>
      <c r="M2359">
        <v>29</v>
      </c>
      <c r="N2359">
        <v>98.32</v>
      </c>
      <c r="O2359">
        <v>30.303030303030301</v>
      </c>
    </row>
    <row r="2360" spans="1:15" hidden="1" x14ac:dyDescent="0.25">
      <c r="A2360" s="11">
        <v>46076</v>
      </c>
      <c r="B2360" t="s">
        <v>31</v>
      </c>
      <c r="C2360" t="s">
        <v>32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v>0</v>
      </c>
      <c r="J2360" s="3">
        <v>0</v>
      </c>
      <c r="K2360" s="3">
        <v>0</v>
      </c>
      <c r="L2360" s="3" t="str">
        <f>IF(K2360&lt;-5,"CRÍTICO",IF(K2360&lt;0,"ATENÇÃO",IF(K2360&lt;=5,"BOM","EXCELENTE")))</f>
        <v>BOM</v>
      </c>
      <c r="M2360">
        <v>28</v>
      </c>
      <c r="N2360">
        <v>98.68</v>
      </c>
      <c r="O2360">
        <v>26.219512195121951</v>
      </c>
    </row>
    <row r="2361" spans="1:15" hidden="1" x14ac:dyDescent="0.25">
      <c r="A2361" s="11">
        <v>46076</v>
      </c>
      <c r="B2361" t="s">
        <v>59</v>
      </c>
      <c r="C2361" t="s">
        <v>23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15</v>
      </c>
      <c r="K2361" s="3">
        <f>I2361-J2361</f>
        <v>12</v>
      </c>
      <c r="L2361" s="3" t="str">
        <f>IF(K2361&lt;-5,"CRÍTICO",IF(K2361&lt;0,"ATENÇÃO",IF(K2361&lt;=5,"BOM","EXCELENTE")))</f>
        <v>EXCELENTE</v>
      </c>
      <c r="M2361">
        <v>23</v>
      </c>
      <c r="N2361">
        <v>100</v>
      </c>
      <c r="O2361">
        <v>31.74224343675418</v>
      </c>
    </row>
    <row r="2362" spans="1:15" hidden="1" x14ac:dyDescent="0.25">
      <c r="A2362" s="11">
        <v>46076</v>
      </c>
      <c r="B2362" t="s">
        <v>33</v>
      </c>
      <c r="C2362" t="s">
        <v>32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>E2362+G2362+H2362</f>
        <v>22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22</v>
      </c>
      <c r="K2362" s="3">
        <f>I2362-J2362</f>
        <v>0</v>
      </c>
      <c r="L2362" s="3" t="str">
        <f>IF(K2362&lt;-5,"CRÍTICO",IF(K2362&lt;0,"ATENÇÃO",IF(K2362&lt;=5,"BOM","EXCELENTE")))</f>
        <v>BOM</v>
      </c>
      <c r="M2362">
        <v>17</v>
      </c>
      <c r="N2362">
        <v>98.25</v>
      </c>
      <c r="O2362">
        <v>25.83518930957684</v>
      </c>
    </row>
    <row r="2363" spans="1:15" hidden="1" x14ac:dyDescent="0.25">
      <c r="A2363" s="11">
        <v>46076</v>
      </c>
      <c r="B2363" t="s">
        <v>15</v>
      </c>
      <c r="C2363" t="s">
        <v>16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>E2363+G2363+H2363</f>
        <v>8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6</v>
      </c>
      <c r="K2363" s="3">
        <f>I2363-J2363</f>
        <v>2</v>
      </c>
      <c r="L2363" s="3" t="str">
        <f>IF(K2363&lt;-5,"CRÍTICO",IF(K2363&lt;0,"ATENÇÃO",IF(K2363&lt;=5,"BOM","EXCELENTE")))</f>
        <v>BOM</v>
      </c>
      <c r="M2363">
        <v>7</v>
      </c>
      <c r="N2363">
        <v>97.5</v>
      </c>
      <c r="O2363">
        <v>30.075187969924809</v>
      </c>
    </row>
    <row r="2364" spans="1:15" hidden="1" x14ac:dyDescent="0.25">
      <c r="A2364" s="11">
        <v>46076</v>
      </c>
      <c r="B2364" t="s">
        <v>49</v>
      </c>
      <c r="C2364" t="s">
        <v>48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>E2364+G2364+H2364</f>
        <v>27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9</v>
      </c>
      <c r="L2364" s="3" t="str">
        <f>IF(K2364&lt;-5,"CRÍTICO",IF(K2364&lt;0,"ATENÇÃO",IF(K2364&lt;=5,"BOM","EXCELENTE")))</f>
        <v>EXCELENTE</v>
      </c>
      <c r="M2364">
        <v>27</v>
      </c>
      <c r="N2364">
        <v>100</v>
      </c>
      <c r="O2364">
        <v>29.71311475409836</v>
      </c>
    </row>
    <row r="2365" spans="1:15" hidden="1" x14ac:dyDescent="0.25">
      <c r="A2365" s="11">
        <v>46076</v>
      </c>
      <c r="B2365" t="s">
        <v>50</v>
      </c>
      <c r="C2365" t="s">
        <v>48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>E2365+G2365+H2365</f>
        <v>14</v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>18</v>
      </c>
      <c r="K2365" s="3">
        <f>I2365-J2365</f>
        <v>-4</v>
      </c>
      <c r="L2365" s="3" t="str">
        <f>IF(K2365&lt;-5,"CRÍTICO",IF(K2365&lt;0,"ATENÇÃO",IF(K2365&lt;=5,"BOM","EXCELENTE")))</f>
        <v>ATENÇÃO</v>
      </c>
      <c r="M2365">
        <v>18</v>
      </c>
      <c r="N2365">
        <v>99.22</v>
      </c>
      <c r="O2365">
        <v>35.256410256410263</v>
      </c>
    </row>
    <row r="2366" spans="1:15" hidden="1" x14ac:dyDescent="0.25">
      <c r="A2366" s="11">
        <v>46076</v>
      </c>
      <c r="B2366" t="s">
        <v>17</v>
      </c>
      <c r="C2366" t="s">
        <v>16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>
        <v>0</v>
      </c>
      <c r="N2366">
        <v>0</v>
      </c>
      <c r="O2366">
        <v>0</v>
      </c>
    </row>
    <row r="2367" spans="1:15" hidden="1" x14ac:dyDescent="0.25">
      <c r="A2367" s="11">
        <v>46076</v>
      </c>
      <c r="B2367" t="s">
        <v>60</v>
      </c>
      <c r="C2367" t="s">
        <v>23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>
        <v>0</v>
      </c>
      <c r="N2367">
        <v>98.75</v>
      </c>
      <c r="O2367">
        <v>24.32432432432433</v>
      </c>
    </row>
    <row r="2368" spans="1:15" hidden="1" x14ac:dyDescent="0.25">
      <c r="A2368" s="11">
        <v>46076</v>
      </c>
      <c r="B2368" t="s">
        <v>34</v>
      </c>
      <c r="C2368" t="s">
        <v>32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>
        <v>0</v>
      </c>
      <c r="N2368">
        <v>93.48</v>
      </c>
      <c r="O2368">
        <v>31.52804642166344</v>
      </c>
    </row>
    <row r="2369" spans="1:15" hidden="1" x14ac:dyDescent="0.25">
      <c r="A2369" s="11">
        <v>46076</v>
      </c>
      <c r="B2369" t="s">
        <v>51</v>
      </c>
      <c r="C2369" t="s">
        <v>48</v>
      </c>
      <c r="D2369">
        <v>31</v>
      </c>
      <c r="E2369">
        <v>26</v>
      </c>
      <c r="F2369">
        <v>26.55</v>
      </c>
      <c r="G2369">
        <v>0</v>
      </c>
      <c r="H2369">
        <v>0</v>
      </c>
      <c r="I2369" s="3">
        <v>0</v>
      </c>
      <c r="J2369" s="3">
        <v>0</v>
      </c>
      <c r="K2369" s="3">
        <v>0</v>
      </c>
      <c r="L2369" s="3" t="str">
        <f>IF(K2369&lt;-5,"CRÍTICO",IF(K2369&lt;0,"ATENÇÃO",IF(K2369&lt;=5,"BOM","EXCELENTE")))</f>
        <v>BOM</v>
      </c>
      <c r="M2369">
        <v>19</v>
      </c>
      <c r="N2369">
        <v>99.16</v>
      </c>
      <c r="O2369">
        <v>26.13908872901678</v>
      </c>
    </row>
    <row r="2370" spans="1:15" hidden="1" x14ac:dyDescent="0.25">
      <c r="A2370" s="11">
        <v>46076</v>
      </c>
      <c r="B2370" t="s">
        <v>61</v>
      </c>
      <c r="C2370" t="s">
        <v>23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>E2370+G2370+H2370</f>
        <v>19</v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>15</v>
      </c>
      <c r="K2370" s="3">
        <f>I2370-J2370</f>
        <v>4</v>
      </c>
      <c r="L2370" s="3" t="str">
        <f>IF(K2370&lt;-5,"CRÍTICO",IF(K2370&lt;0,"ATENÇÃO",IF(K2370&lt;=5,"BOM","EXCELENTE")))</f>
        <v>BOM</v>
      </c>
      <c r="M2370">
        <v>9</v>
      </c>
      <c r="N2370">
        <v>100</v>
      </c>
      <c r="O2370">
        <v>31.089743589743591</v>
      </c>
    </row>
    <row r="2371" spans="1:15" hidden="1" x14ac:dyDescent="0.25">
      <c r="A2371" s="11">
        <v>46076</v>
      </c>
      <c r="B2371" t="s">
        <v>35</v>
      </c>
      <c r="C2371" t="s">
        <v>32</v>
      </c>
      <c r="D2371">
        <v>20</v>
      </c>
      <c r="E2371">
        <v>19</v>
      </c>
      <c r="F2371">
        <v>37.39</v>
      </c>
      <c r="G2371">
        <v>0</v>
      </c>
      <c r="H2371">
        <v>0</v>
      </c>
      <c r="I2371" s="3">
        <v>0</v>
      </c>
      <c r="J2371" s="3">
        <v>0</v>
      </c>
      <c r="K2371" s="3">
        <v>0</v>
      </c>
      <c r="L2371" s="3" t="str">
        <f>IF(K2371&lt;-5,"CRÍTICO",IF(K2371&lt;0,"ATENÇÃO",IF(K2371&lt;=5,"BOM","EXCELENTE")))</f>
        <v>BOM</v>
      </c>
      <c r="M2371">
        <v>18</v>
      </c>
      <c r="N2371">
        <v>98.11</v>
      </c>
      <c r="O2371">
        <v>33.033707865168537</v>
      </c>
    </row>
    <row r="2372" spans="1:15" hidden="1" x14ac:dyDescent="0.25">
      <c r="A2372" s="11">
        <v>46076</v>
      </c>
      <c r="B2372" t="s">
        <v>18</v>
      </c>
      <c r="C2372" t="s">
        <v>16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>E2372+G2372+H2372</f>
        <v>8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6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>
        <v>5</v>
      </c>
      <c r="N2372">
        <v>78.95</v>
      </c>
      <c r="O2372">
        <v>38.983050847457633</v>
      </c>
    </row>
    <row r="2373" spans="1:15" hidden="1" x14ac:dyDescent="0.25">
      <c r="A2373" s="11">
        <v>46076</v>
      </c>
      <c r="B2373" t="s">
        <v>52</v>
      </c>
      <c r="C2373" t="s">
        <v>48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>E2373+G2373+H2373</f>
        <v>20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18</v>
      </c>
      <c r="K2373" s="3">
        <f>I2373-J2373</f>
        <v>2</v>
      </c>
      <c r="L2373" s="3" t="str">
        <f>IF(K2373&lt;-5,"CRÍTICO",IF(K2373&lt;0,"ATENÇÃO",IF(K2373&lt;=5,"BOM","EXCELENTE")))</f>
        <v>BOM</v>
      </c>
      <c r="M2373">
        <v>16</v>
      </c>
      <c r="N2373">
        <v>98.45</v>
      </c>
      <c r="O2373">
        <v>29.281767955801101</v>
      </c>
    </row>
    <row r="2374" spans="1:15" hidden="1" x14ac:dyDescent="0.25">
      <c r="A2374" s="11">
        <v>46076</v>
      </c>
      <c r="B2374" t="s">
        <v>36</v>
      </c>
      <c r="C2374" t="s">
        <v>32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>E2374+G2374+H2374</f>
        <v>30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22</v>
      </c>
      <c r="K2374" s="3">
        <f>I2374-J2374</f>
        <v>8</v>
      </c>
      <c r="L2374" s="3" t="str">
        <f>IF(K2374&lt;-5,"CRÍTICO",IF(K2374&lt;0,"ATENÇÃO",IF(K2374&lt;=5,"BOM","EXCELENTE")))</f>
        <v>EXCELENTE</v>
      </c>
      <c r="M2374">
        <v>29</v>
      </c>
      <c r="N2374">
        <v>97.84</v>
      </c>
      <c r="O2374">
        <v>26.282051282051281</v>
      </c>
    </row>
    <row r="2375" spans="1:15" hidden="1" x14ac:dyDescent="0.25">
      <c r="A2375" s="11">
        <v>46076</v>
      </c>
      <c r="B2375" t="s">
        <v>53</v>
      </c>
      <c r="C2375" t="s">
        <v>48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>E2375+G2375+H2375</f>
        <v>25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18</v>
      </c>
      <c r="K2375" s="3">
        <f>I2375-J2375</f>
        <v>7</v>
      </c>
      <c r="L2375" s="3" t="str">
        <f>IF(K2375&lt;-5,"CRÍTICO",IF(K2375&lt;0,"ATENÇÃO",IF(K2375&lt;=5,"BOM","EXCELENTE")))</f>
        <v>EXCELENTE</v>
      </c>
      <c r="M2375">
        <v>18</v>
      </c>
      <c r="N2375">
        <v>98.5</v>
      </c>
      <c r="O2375">
        <v>23.97769516728625</v>
      </c>
    </row>
    <row r="2376" spans="1:15" hidden="1" x14ac:dyDescent="0.25">
      <c r="A2376" s="11">
        <v>46108</v>
      </c>
      <c r="B2376" t="s">
        <v>22</v>
      </c>
      <c r="C2376" t="s">
        <v>23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>E2376+G2376+H2376</f>
        <v>28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17</v>
      </c>
      <c r="K2376" s="3">
        <f>I2376-J2376</f>
        <v>11</v>
      </c>
      <c r="L2376" s="3" t="str">
        <f>IF(K2376&lt;-5,"CRÍTICO",IF(K2376&lt;0,"ATENÇÃO",IF(K2376&lt;=5,"BOM","EXCELENTE")))</f>
        <v>EXCELENTE</v>
      </c>
      <c r="M2376">
        <v>28</v>
      </c>
      <c r="N2376">
        <v>99.05</v>
      </c>
      <c r="O2376">
        <v>26.621923937360179</v>
      </c>
    </row>
    <row r="2377" spans="1:15" hidden="1" x14ac:dyDescent="0.25">
      <c r="A2377" s="11">
        <v>46076</v>
      </c>
      <c r="B2377" t="s">
        <v>54</v>
      </c>
      <c r="C2377" t="s">
        <v>48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>E2377+G2377+H2377</f>
        <v>33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18</v>
      </c>
      <c r="K2377" s="3">
        <f>I2377-J2377</f>
        <v>15</v>
      </c>
      <c r="L2377" s="3" t="str">
        <f>IF(K2377&lt;-5,"CRÍTICO",IF(K2377&lt;0,"ATENÇÃO",IF(K2377&lt;=5,"BOM","EXCELENTE")))</f>
        <v>EXCELENTE</v>
      </c>
      <c r="M2377">
        <v>28</v>
      </c>
      <c r="N2377">
        <v>98.53</v>
      </c>
      <c r="O2377">
        <v>31.578947368421051</v>
      </c>
    </row>
    <row r="2378" spans="1:15" hidden="1" x14ac:dyDescent="0.25">
      <c r="A2378" s="11">
        <v>46076</v>
      </c>
      <c r="B2378" t="s">
        <v>37</v>
      </c>
      <c r="C2378" t="s">
        <v>32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>E2378+G2378+H2378</f>
        <v>36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14</v>
      </c>
      <c r="L2378" s="3" t="str">
        <f>IF(K2378&lt;-5,"CRÍTICO",IF(K2378&lt;0,"ATENÇÃO",IF(K2378&lt;=5,"BOM","EXCELENTE")))</f>
        <v>EXCELENTE</v>
      </c>
      <c r="M2378">
        <v>33</v>
      </c>
      <c r="N2378">
        <v>100</v>
      </c>
      <c r="O2378">
        <v>25.72214580467676</v>
      </c>
    </row>
    <row r="2379" spans="1:15" hidden="1" x14ac:dyDescent="0.25">
      <c r="A2379" s="11">
        <v>46076</v>
      </c>
      <c r="B2379" t="s">
        <v>38</v>
      </c>
      <c r="C2379" t="s">
        <v>32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>E2379+G2379+H2379</f>
        <v>20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22</v>
      </c>
      <c r="K2379" s="3">
        <f>I2379-J2379</f>
        <v>-2</v>
      </c>
      <c r="L2379" s="3" t="str">
        <f>IF(K2379&lt;-5,"CRÍTICO",IF(K2379&lt;0,"ATENÇÃO",IF(K2379&lt;=5,"BOM","EXCELENTE")))</f>
        <v>ATENÇÃO</v>
      </c>
      <c r="M2379">
        <v>16</v>
      </c>
      <c r="N2379">
        <v>94.64</v>
      </c>
      <c r="O2379">
        <v>27.52941176470588</v>
      </c>
    </row>
    <row r="2380" spans="1:15" hidden="1" x14ac:dyDescent="0.25">
      <c r="A2380" s="11">
        <v>46076</v>
      </c>
      <c r="B2380" t="s">
        <v>55</v>
      </c>
      <c r="C2380" t="s">
        <v>48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>E2380+G2380+H2380</f>
        <v>28</v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>18</v>
      </c>
      <c r="K2380" s="3">
        <f>I2380-J2380</f>
        <v>10</v>
      </c>
      <c r="L2380" s="3" t="str">
        <f>IF(K2380&lt;-5,"CRÍTICO",IF(K2380&lt;0,"ATENÇÃO",IF(K2380&lt;=5,"BOM","EXCELENTE")))</f>
        <v>EXCELENTE</v>
      </c>
      <c r="M2380">
        <v>23</v>
      </c>
      <c r="N2380">
        <v>99.07</v>
      </c>
      <c r="O2380">
        <v>26.376811594202898</v>
      </c>
    </row>
    <row r="2381" spans="1:15" hidden="1" x14ac:dyDescent="0.25">
      <c r="A2381" s="11">
        <v>46076</v>
      </c>
      <c r="B2381" t="s">
        <v>39</v>
      </c>
      <c r="C2381" t="s">
        <v>32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v>0</v>
      </c>
      <c r="J2381" s="3">
        <v>0</v>
      </c>
      <c r="K2381" s="3">
        <v>0</v>
      </c>
      <c r="L2381" s="3" t="str">
        <f>IF(K2381&lt;-5,"CRÍTICO",IF(K2381&lt;0,"ATENÇÃO",IF(K2381&lt;=5,"BOM","EXCELENTE")))</f>
        <v>BOM</v>
      </c>
      <c r="M2381">
        <v>0</v>
      </c>
      <c r="N2381">
        <v>100</v>
      </c>
      <c r="O2381">
        <v>0</v>
      </c>
    </row>
    <row r="2382" spans="1:15" hidden="1" x14ac:dyDescent="0.25">
      <c r="A2382" s="11">
        <v>46076</v>
      </c>
      <c r="B2382" t="s">
        <v>25</v>
      </c>
      <c r="C2382" t="s">
        <v>26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>E2382+G2382+H2382</f>
        <v>11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13</v>
      </c>
      <c r="K2382" s="3">
        <f>I2382-J2382</f>
        <v>-2</v>
      </c>
      <c r="L2382" s="3" t="str">
        <f>IF(K2382&lt;-5,"CRÍTICO",IF(K2382&lt;0,"ATENÇÃO",IF(K2382&lt;=5,"BOM","EXCELENTE")))</f>
        <v>ATENÇÃO</v>
      </c>
      <c r="M2382">
        <v>9</v>
      </c>
      <c r="N2382">
        <v>98.48</v>
      </c>
      <c r="O2382">
        <v>27.853881278538811</v>
      </c>
    </row>
    <row r="2383" spans="1:15" hidden="1" x14ac:dyDescent="0.25">
      <c r="A2383" s="11">
        <v>46076</v>
      </c>
      <c r="B2383" t="s">
        <v>40</v>
      </c>
      <c r="C2383" t="s">
        <v>32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>E2383+G2383+H2383</f>
        <v>18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22</v>
      </c>
      <c r="K2383" s="3">
        <f>I2383-J2383</f>
        <v>-4</v>
      </c>
      <c r="L2383" s="3" t="str">
        <f>IF(K2383&lt;-5,"CRÍTICO",IF(K2383&lt;0,"ATENÇÃO",IF(K2383&lt;=5,"BOM","EXCELENTE")))</f>
        <v>ATENÇÃO</v>
      </c>
      <c r="M2383">
        <v>18</v>
      </c>
      <c r="N2383">
        <v>95.15</v>
      </c>
      <c r="O2383">
        <v>34.131736526946113</v>
      </c>
    </row>
    <row r="2384" spans="1:15" hidden="1" x14ac:dyDescent="0.25">
      <c r="A2384" s="11">
        <v>46076</v>
      </c>
      <c r="B2384" t="s">
        <v>27</v>
      </c>
      <c r="C2384" t="s">
        <v>26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v>0</v>
      </c>
      <c r="J2384" s="3">
        <v>0</v>
      </c>
      <c r="K2384" s="3">
        <v>0</v>
      </c>
      <c r="L2384" s="3" t="str">
        <f>IF(K2384&lt;-5,"CRÍTICO",IF(K2384&lt;0,"ATENÇÃO",IF(K2384&lt;=5,"BOM","EXCELENTE")))</f>
        <v>BOM</v>
      </c>
      <c r="M2384">
        <v>0</v>
      </c>
      <c r="N2384">
        <v>0</v>
      </c>
      <c r="O2384">
        <v>0</v>
      </c>
    </row>
    <row r="2385" spans="1:15" hidden="1" x14ac:dyDescent="0.25">
      <c r="A2385" s="11">
        <v>46076</v>
      </c>
      <c r="B2385" t="s">
        <v>41</v>
      </c>
      <c r="C2385" t="s">
        <v>32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>E2385+G2385+H2385</f>
        <v>19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22</v>
      </c>
      <c r="K2385" s="3">
        <f>I2385-J2385</f>
        <v>-3</v>
      </c>
      <c r="L2385" s="3" t="str">
        <f>IF(K2385&lt;-5,"CRÍTICO",IF(K2385&lt;0,"ATENÇÃO",IF(K2385&lt;=5,"BOM","EXCELENTE")))</f>
        <v>ATENÇÃO</v>
      </c>
      <c r="M2385">
        <v>17</v>
      </c>
      <c r="N2385">
        <v>99.26</v>
      </c>
      <c r="O2385">
        <v>30.84832904884319</v>
      </c>
    </row>
    <row r="2386" spans="1:15" hidden="1" x14ac:dyDescent="0.25">
      <c r="A2386" s="11">
        <v>46076</v>
      </c>
      <c r="B2386" t="s">
        <v>56</v>
      </c>
      <c r="C2386" t="s">
        <v>48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>E2386+G2386+H2386</f>
        <v>27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18</v>
      </c>
      <c r="K2386" s="3">
        <f>I2386-J2386</f>
        <v>9</v>
      </c>
      <c r="L2386" s="3" t="str">
        <f>IF(K2386&lt;-5,"CRÍTICO",IF(K2386&lt;0,"ATENÇÃO",IF(K2386&lt;=5,"BOM","EXCELENTE")))</f>
        <v>EXCELENTE</v>
      </c>
      <c r="M2386">
        <v>30</v>
      </c>
      <c r="N2386">
        <v>97.48</v>
      </c>
      <c r="O2386">
        <v>27.764705882352938</v>
      </c>
    </row>
    <row r="2387" spans="1:15" hidden="1" x14ac:dyDescent="0.25">
      <c r="A2387" s="11">
        <v>46076</v>
      </c>
      <c r="B2387" t="s">
        <v>57</v>
      </c>
      <c r="C2387" t="s">
        <v>48</v>
      </c>
      <c r="D2387">
        <v>26</v>
      </c>
      <c r="E2387">
        <v>25</v>
      </c>
      <c r="F2387">
        <v>25.15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>
        <v>13</v>
      </c>
      <c r="N2387">
        <v>99.34</v>
      </c>
      <c r="O2387">
        <v>30.04291845493562</v>
      </c>
    </row>
    <row r="2388" spans="1:15" hidden="1" x14ac:dyDescent="0.25">
      <c r="A2388" s="11">
        <v>46076</v>
      </c>
      <c r="B2388" t="s">
        <v>42</v>
      </c>
      <c r="C2388" t="s">
        <v>32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v>0</v>
      </c>
      <c r="J2388" s="3">
        <v>0</v>
      </c>
      <c r="K2388" s="3">
        <v>0</v>
      </c>
      <c r="L2388" s="3" t="str">
        <f>IF(K2388&lt;-5,"CRÍTICO",IF(K2388&lt;0,"ATENÇÃO",IF(K2388&lt;=5,"BOM","EXCELENTE")))</f>
        <v>BOM</v>
      </c>
      <c r="M2388">
        <v>0</v>
      </c>
      <c r="N2388">
        <v>96.3</v>
      </c>
      <c r="O2388">
        <v>24.29378531073446</v>
      </c>
    </row>
    <row r="2389" spans="1:15" hidden="1" x14ac:dyDescent="0.25">
      <c r="A2389" s="11">
        <v>46076</v>
      </c>
      <c r="B2389" t="s">
        <v>62</v>
      </c>
      <c r="C2389" t="s">
        <v>23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>E2389+G2389+H2389</f>
        <v>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15</v>
      </c>
      <c r="K2389" s="3">
        <f>I2389-J2389</f>
        <v>-6</v>
      </c>
      <c r="L2389" s="3" t="str">
        <f>IF(K2389&lt;-5,"CRÍTICO",IF(K2389&lt;0,"ATENÇÃO",IF(K2389&lt;=5,"BOM","EXCELENTE")))</f>
        <v>CRÍTICO</v>
      </c>
      <c r="M2389">
        <v>10</v>
      </c>
      <c r="N2389">
        <v>100</v>
      </c>
      <c r="O2389">
        <v>26.543209876543209</v>
      </c>
    </row>
    <row r="2390" spans="1:15" hidden="1" x14ac:dyDescent="0.25">
      <c r="A2390" s="11">
        <v>46076</v>
      </c>
      <c r="B2390" t="s">
        <v>19</v>
      </c>
      <c r="C2390" t="s">
        <v>16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>E2390+G2390+H2390</f>
        <v>10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4</v>
      </c>
      <c r="L2390" s="3" t="str">
        <f>IF(K2390&lt;-5,"CRÍTICO",IF(K2390&lt;0,"ATENÇÃO",IF(K2390&lt;=5,"BOM","EXCELENTE")))</f>
        <v>BOM</v>
      </c>
      <c r="M2390">
        <v>6</v>
      </c>
      <c r="N2390">
        <v>100</v>
      </c>
      <c r="O2390">
        <v>35.483870967741943</v>
      </c>
    </row>
    <row r="2391" spans="1:15" hidden="1" x14ac:dyDescent="0.25">
      <c r="A2391" s="11">
        <v>46076</v>
      </c>
      <c r="B2391" t="s">
        <v>43</v>
      </c>
      <c r="C2391" t="s">
        <v>32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>E2391+G2391+H2391</f>
        <v>23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1</v>
      </c>
      <c r="L2391" s="3" t="str">
        <f>IF(K2391&lt;-5,"CRÍTICO",IF(K2391&lt;0,"ATENÇÃO",IF(K2391&lt;=5,"BOM","EXCELENTE")))</f>
        <v>BOM</v>
      </c>
      <c r="M2391">
        <v>22</v>
      </c>
      <c r="N2391">
        <v>99.27</v>
      </c>
      <c r="O2391">
        <v>31.163708086785011</v>
      </c>
    </row>
    <row r="2392" spans="1:15" hidden="1" x14ac:dyDescent="0.25">
      <c r="A2392" s="11">
        <v>46076</v>
      </c>
      <c r="B2392" t="s">
        <v>44</v>
      </c>
      <c r="C2392" t="s">
        <v>32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>E2392+G2392+H2392</f>
        <v>29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22</v>
      </c>
      <c r="K2392" s="3">
        <f>I2392-J2392</f>
        <v>7</v>
      </c>
      <c r="L2392" s="3" t="str">
        <f>IF(K2392&lt;-5,"CRÍTICO",IF(K2392&lt;0,"ATENÇÃO",IF(K2392&lt;=5,"BOM","EXCELENTE")))</f>
        <v>EXCELENTE</v>
      </c>
      <c r="M2392">
        <v>26</v>
      </c>
      <c r="N2392">
        <v>94.16</v>
      </c>
      <c r="O2392">
        <v>27.038626609442058</v>
      </c>
    </row>
    <row r="2393" spans="1:15" hidden="1" x14ac:dyDescent="0.25">
      <c r="A2393" s="11">
        <v>46076</v>
      </c>
      <c r="B2393" t="s">
        <v>20</v>
      </c>
      <c r="C2393" t="s">
        <v>16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>E2393+G2393+H2393</f>
        <v>9</v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>6</v>
      </c>
      <c r="K2393" s="3">
        <f>I2393-J2393</f>
        <v>3</v>
      </c>
      <c r="L2393" s="3" t="str">
        <f>IF(K2393&lt;-5,"CRÍTICO",IF(K2393&lt;0,"ATENÇÃO",IF(K2393&lt;=5,"BOM","EXCELENTE")))</f>
        <v>BOM</v>
      </c>
      <c r="M2393">
        <v>4</v>
      </c>
      <c r="N2393">
        <v>93.75</v>
      </c>
      <c r="O2393">
        <v>19.31818181818182</v>
      </c>
    </row>
    <row r="2394" spans="1:15" hidden="1" x14ac:dyDescent="0.25">
      <c r="A2394" s="11">
        <v>46076</v>
      </c>
      <c r="B2394" t="s">
        <v>28</v>
      </c>
      <c r="C2394" t="s">
        <v>26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>
        <v>0</v>
      </c>
      <c r="N2394">
        <v>0</v>
      </c>
      <c r="O2394">
        <v>0</v>
      </c>
    </row>
    <row r="2395" spans="1:15" hidden="1" x14ac:dyDescent="0.25">
      <c r="A2395" s="11">
        <v>46076</v>
      </c>
      <c r="B2395" t="s">
        <v>58</v>
      </c>
      <c r="C2395" t="s">
        <v>48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>
        <v>0</v>
      </c>
      <c r="N2395">
        <v>97.92</v>
      </c>
      <c r="O2395">
        <v>32.87671232876712</v>
      </c>
    </row>
    <row r="2396" spans="1:15" hidden="1" x14ac:dyDescent="0.25">
      <c r="A2396" s="11">
        <v>46076</v>
      </c>
      <c r="B2396" t="s">
        <v>29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30</v>
      </c>
      <c r="C2397" t="s">
        <v>26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21</v>
      </c>
      <c r="C2398" t="s">
        <v>16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>
        <v>0</v>
      </c>
      <c r="N2398">
        <v>0</v>
      </c>
      <c r="O2398">
        <v>0</v>
      </c>
    </row>
    <row r="2399" spans="1:15" hidden="1" x14ac:dyDescent="0.25">
      <c r="A2399" s="11">
        <v>46076</v>
      </c>
      <c r="B2399" t="s">
        <v>63</v>
      </c>
      <c r="C2399" t="s">
        <v>23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v>0</v>
      </c>
      <c r="J2399" s="3">
        <v>0</v>
      </c>
      <c r="K2399" s="3">
        <v>0</v>
      </c>
      <c r="L2399" s="3" t="str">
        <f>IF(K2399&lt;-5,"CRÍTICO",IF(K2399&lt;0,"ATENÇÃO",IF(K2399&lt;=5,"BOM","EXCELENTE")))</f>
        <v>BOM</v>
      </c>
      <c r="M2399">
        <v>0</v>
      </c>
      <c r="N2399">
        <v>98.51</v>
      </c>
      <c r="O2399">
        <v>29.710144927536231</v>
      </c>
    </row>
    <row r="2400" spans="1:15" hidden="1" x14ac:dyDescent="0.25">
      <c r="A2400" s="11">
        <v>46076</v>
      </c>
      <c r="B2400" t="s">
        <v>45</v>
      </c>
      <c r="C2400" t="s">
        <v>32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>E2400+G2400+H2400</f>
        <v>28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22</v>
      </c>
      <c r="K2400" s="3">
        <f>I2400-J2400</f>
        <v>6</v>
      </c>
      <c r="L2400" s="3" t="str">
        <f>IF(K2400&lt;-5,"CRÍTICO",IF(K2400&lt;0,"ATENÇÃO",IF(K2400&lt;=5,"BOM","EXCELENTE")))</f>
        <v>EXCELENTE</v>
      </c>
      <c r="M2400">
        <v>22</v>
      </c>
      <c r="N2400">
        <v>98.81</v>
      </c>
      <c r="O2400">
        <v>30.712979890310791</v>
      </c>
    </row>
    <row r="2401" spans="1:15" hidden="1" x14ac:dyDescent="0.25">
      <c r="A2401" s="11">
        <v>46076</v>
      </c>
      <c r="B2401" t="s">
        <v>64</v>
      </c>
      <c r="C2401" t="s">
        <v>23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>E2401+G2401+H2401</f>
        <v>11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15</v>
      </c>
      <c r="K2401" s="3">
        <f>I2401-J2401</f>
        <v>-4</v>
      </c>
      <c r="L2401" s="3" t="str">
        <f>IF(K2401&lt;-5,"CRÍTICO",IF(K2401&lt;0,"ATENÇÃO",IF(K2401&lt;=5,"BOM","EXCELENTE")))</f>
        <v>ATENÇÃO</v>
      </c>
      <c r="M2401">
        <v>8</v>
      </c>
      <c r="N2401">
        <v>98.48</v>
      </c>
      <c r="O2401">
        <v>29.35323383084577</v>
      </c>
    </row>
    <row r="2402" spans="1:15" hidden="1" x14ac:dyDescent="0.25">
      <c r="A2402" s="11">
        <v>46076</v>
      </c>
      <c r="B2402" t="s">
        <v>46</v>
      </c>
      <c r="C2402" t="s">
        <v>32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>E2402+G2402+H2402</f>
        <v>28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22</v>
      </c>
      <c r="K2402" s="3">
        <f>I2402-J2402</f>
        <v>6</v>
      </c>
      <c r="L2402" s="3" t="str">
        <f>IF(K2402&lt;-5,"CRÍTICO",IF(K2402&lt;0,"ATENÇÃO",IF(K2402&lt;=5,"BOM","EXCELENTE")))</f>
        <v>EXCELENTE</v>
      </c>
      <c r="M2402">
        <v>25</v>
      </c>
      <c r="N2402">
        <v>98.56</v>
      </c>
      <c r="O2402">
        <v>29.373650107991359</v>
      </c>
    </row>
    <row r="2403" spans="1:15" hidden="1" x14ac:dyDescent="0.25">
      <c r="A2403" s="11">
        <v>46077</v>
      </c>
      <c r="B2403" t="s">
        <v>47</v>
      </c>
      <c r="C2403" t="s">
        <v>48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>E2403+G2403+H2403</f>
        <v>19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16</v>
      </c>
      <c r="K2403" s="3">
        <f>I2403-J2403</f>
        <v>3</v>
      </c>
      <c r="L2403" s="3" t="str">
        <f>IF(K2403&lt;-5,"CRÍTICO",IF(K2403&lt;0,"ATENÇÃO",IF(K2403&lt;=5,"BOM","EXCELENTE")))</f>
        <v>BOM</v>
      </c>
      <c r="M2403">
        <v>12</v>
      </c>
      <c r="N2403">
        <v>98.32</v>
      </c>
      <c r="O2403">
        <v>30.303030303030301</v>
      </c>
    </row>
    <row r="2404" spans="1:15" hidden="1" x14ac:dyDescent="0.25">
      <c r="A2404" s="11">
        <v>46077</v>
      </c>
      <c r="B2404" t="s">
        <v>31</v>
      </c>
      <c r="C2404" t="s">
        <v>32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v>0</v>
      </c>
      <c r="J2404" s="3">
        <v>0</v>
      </c>
      <c r="K2404" s="3">
        <v>0</v>
      </c>
      <c r="L2404" s="3" t="str">
        <f>IF(K2404&lt;-5,"CRÍTICO",IF(K2404&lt;0,"ATENÇÃO",IF(K2404&lt;=5,"BOM","EXCELENTE")))</f>
        <v>BOM</v>
      </c>
      <c r="M2404">
        <v>25</v>
      </c>
      <c r="N2404">
        <v>98.68</v>
      </c>
      <c r="O2404">
        <v>26.219512195121951</v>
      </c>
    </row>
    <row r="2405" spans="1:15" hidden="1" x14ac:dyDescent="0.25">
      <c r="A2405" s="11">
        <v>46077</v>
      </c>
      <c r="B2405" t="s">
        <v>59</v>
      </c>
      <c r="C2405" t="s">
        <v>23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13</v>
      </c>
      <c r="K2405" s="3">
        <f>I2405-J2405</f>
        <v>4</v>
      </c>
      <c r="L2405" s="3" t="str">
        <f>IF(K2405&lt;-5,"CRÍTICO",IF(K2405&lt;0,"ATENÇÃO",IF(K2405&lt;=5,"BOM","EXCELENTE")))</f>
        <v>BOM</v>
      </c>
      <c r="M2405">
        <v>17</v>
      </c>
      <c r="N2405">
        <v>100</v>
      </c>
      <c r="O2405">
        <v>31.74224343675418</v>
      </c>
    </row>
    <row r="2406" spans="1:15" hidden="1" x14ac:dyDescent="0.25">
      <c r="A2406" s="11">
        <v>46077</v>
      </c>
      <c r="B2406" t="s">
        <v>33</v>
      </c>
      <c r="C2406" t="s">
        <v>32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>E2406+G2406+H2406</f>
        <v>17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20</v>
      </c>
      <c r="K2406" s="3">
        <f>I2406-J2406</f>
        <v>-3</v>
      </c>
      <c r="L2406" s="3" t="str">
        <f>IF(K2406&lt;-5,"CRÍTICO",IF(K2406&lt;0,"ATENÇÃO",IF(K2406&lt;=5,"BOM","EXCELENTE")))</f>
        <v>ATENÇÃO</v>
      </c>
      <c r="M2406">
        <v>16</v>
      </c>
      <c r="N2406">
        <v>98.25</v>
      </c>
      <c r="O2406">
        <v>25.83518930957684</v>
      </c>
    </row>
    <row r="2407" spans="1:15" hidden="1" x14ac:dyDescent="0.25">
      <c r="A2407" s="11">
        <v>46077</v>
      </c>
      <c r="B2407" t="s">
        <v>15</v>
      </c>
      <c r="C2407" t="s">
        <v>16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>E2407+G2407+H2407</f>
        <v>15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6</v>
      </c>
      <c r="K2407" s="3">
        <f>I2407-J2407</f>
        <v>9</v>
      </c>
      <c r="L2407" s="3" t="str">
        <f>IF(K2407&lt;-5,"CRÍTICO",IF(K2407&lt;0,"ATENÇÃO",IF(K2407&lt;=5,"BOM","EXCELENTE")))</f>
        <v>EXCELENTE</v>
      </c>
      <c r="M2407">
        <v>13</v>
      </c>
      <c r="N2407">
        <v>97.5</v>
      </c>
      <c r="O2407">
        <v>30.075187969924809</v>
      </c>
    </row>
    <row r="2408" spans="1:15" hidden="1" x14ac:dyDescent="0.25">
      <c r="A2408" s="11">
        <v>46077</v>
      </c>
      <c r="B2408" t="s">
        <v>49</v>
      </c>
      <c r="C2408" t="s">
        <v>48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>E2408+G2408+H2408</f>
        <v>17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1</v>
      </c>
      <c r="L2408" s="3" t="str">
        <f>IF(K2408&lt;-5,"CRÍTICO",IF(K2408&lt;0,"ATENÇÃO",IF(K2408&lt;=5,"BOM","EXCELENTE")))</f>
        <v>BOM</v>
      </c>
      <c r="M2408">
        <v>16</v>
      </c>
      <c r="N2408">
        <v>100</v>
      </c>
      <c r="O2408">
        <v>29.71311475409836</v>
      </c>
    </row>
    <row r="2409" spans="1:15" hidden="1" x14ac:dyDescent="0.25">
      <c r="A2409" s="11">
        <v>46077</v>
      </c>
      <c r="B2409" t="s">
        <v>50</v>
      </c>
      <c r="C2409" t="s">
        <v>48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>E2409+G2409+H2409</f>
        <v>5</v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>16</v>
      </c>
      <c r="K2409" s="3">
        <f>I2409-J2409</f>
        <v>-11</v>
      </c>
      <c r="L2409" s="3" t="str">
        <f>IF(K2409&lt;-5,"CRÍTICO",IF(K2409&lt;0,"ATENÇÃO",IF(K2409&lt;=5,"BOM","EXCELENTE")))</f>
        <v>CRÍTICO</v>
      </c>
      <c r="M2409">
        <v>5</v>
      </c>
      <c r="N2409">
        <v>99.22</v>
      </c>
      <c r="O2409">
        <v>35.256410256410263</v>
      </c>
    </row>
    <row r="2410" spans="1:15" hidden="1" x14ac:dyDescent="0.25">
      <c r="A2410" s="11">
        <v>46077</v>
      </c>
      <c r="B2410" t="s">
        <v>17</v>
      </c>
      <c r="C2410" t="s">
        <v>16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v>0</v>
      </c>
      <c r="J2410" s="3">
        <v>0</v>
      </c>
      <c r="K2410" s="3">
        <v>0</v>
      </c>
      <c r="L2410" s="3" t="str">
        <f>IF(K2410&lt;-5,"CRÍTICO",IF(K2410&lt;0,"ATENÇÃO",IF(K2410&lt;=5,"BOM","EXCELENTE")))</f>
        <v>BOM</v>
      </c>
      <c r="M2410">
        <v>0</v>
      </c>
      <c r="N2410">
        <v>0</v>
      </c>
      <c r="O2410">
        <v>0</v>
      </c>
    </row>
    <row r="2411" spans="1:15" hidden="1" x14ac:dyDescent="0.25">
      <c r="A2411" s="11">
        <v>46077</v>
      </c>
      <c r="B2411" t="s">
        <v>60</v>
      </c>
      <c r="C2411" t="s">
        <v>23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>E2411+G2411+H2411</f>
        <v>23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13</v>
      </c>
      <c r="K2411" s="3">
        <f>I2411-J2411</f>
        <v>10</v>
      </c>
      <c r="L2411" s="3" t="str">
        <f>IF(K2411&lt;-5,"CRÍTICO",IF(K2411&lt;0,"ATENÇÃO",IF(K2411&lt;=5,"BOM","EXCELENTE")))</f>
        <v>EXCELENTE</v>
      </c>
      <c r="M2411">
        <v>23</v>
      </c>
      <c r="N2411">
        <v>98.75</v>
      </c>
      <c r="O2411">
        <v>24.32432432432433</v>
      </c>
    </row>
    <row r="2412" spans="1:15" hidden="1" x14ac:dyDescent="0.25">
      <c r="A2412" s="11">
        <v>46077</v>
      </c>
      <c r="B2412" t="s">
        <v>34</v>
      </c>
      <c r="C2412" t="s">
        <v>32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>
        <v>0</v>
      </c>
      <c r="N2412">
        <v>93.48</v>
      </c>
      <c r="O2412">
        <v>31.52804642166344</v>
      </c>
    </row>
    <row r="2413" spans="1:15" hidden="1" x14ac:dyDescent="0.25">
      <c r="A2413" s="11">
        <v>46077</v>
      </c>
      <c r="B2413" t="s">
        <v>51</v>
      </c>
      <c r="C2413" t="s">
        <v>48</v>
      </c>
      <c r="D2413">
        <v>35</v>
      </c>
      <c r="E2413">
        <v>30</v>
      </c>
      <c r="F2413">
        <v>20.47</v>
      </c>
      <c r="G2413">
        <v>0</v>
      </c>
      <c r="H2413">
        <v>0</v>
      </c>
      <c r="I2413" s="3">
        <v>0</v>
      </c>
      <c r="J2413" s="3">
        <v>0</v>
      </c>
      <c r="K2413" s="3">
        <v>0</v>
      </c>
      <c r="L2413" s="3" t="str">
        <f>IF(K2413&lt;-5,"CRÍTICO",IF(K2413&lt;0,"ATENÇÃO",IF(K2413&lt;=5,"BOM","EXCELENTE")))</f>
        <v>BOM</v>
      </c>
      <c r="M2413">
        <v>25</v>
      </c>
      <c r="N2413">
        <v>99.16</v>
      </c>
      <c r="O2413">
        <v>26.13908872901678</v>
      </c>
    </row>
    <row r="2414" spans="1:15" hidden="1" x14ac:dyDescent="0.25">
      <c r="A2414" s="11">
        <v>46077</v>
      </c>
      <c r="B2414" t="s">
        <v>61</v>
      </c>
      <c r="C2414" t="s">
        <v>23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>E2414+G2414+H2414</f>
        <v>17</v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>13</v>
      </c>
      <c r="K2414" s="3">
        <f>I2414-J2414</f>
        <v>4</v>
      </c>
      <c r="L2414" s="3" t="str">
        <f>IF(K2414&lt;-5,"CRÍTICO",IF(K2414&lt;0,"ATENÇÃO",IF(K2414&lt;=5,"BOM","EXCELENTE")))</f>
        <v>BOM</v>
      </c>
      <c r="M2414">
        <v>11</v>
      </c>
      <c r="N2414">
        <v>100</v>
      </c>
      <c r="O2414">
        <v>31.089743589743591</v>
      </c>
    </row>
    <row r="2415" spans="1:15" hidden="1" x14ac:dyDescent="0.25">
      <c r="A2415" s="11">
        <v>46077</v>
      </c>
      <c r="B2415" t="s">
        <v>35</v>
      </c>
      <c r="C2415" t="s">
        <v>32</v>
      </c>
      <c r="D2415">
        <v>16</v>
      </c>
      <c r="E2415">
        <v>16</v>
      </c>
      <c r="F2415">
        <v>50.52</v>
      </c>
      <c r="G2415">
        <v>0</v>
      </c>
      <c r="H2415">
        <v>0</v>
      </c>
      <c r="I2415" s="3">
        <v>0</v>
      </c>
      <c r="J2415" s="3">
        <v>0</v>
      </c>
      <c r="K2415" s="3">
        <v>0</v>
      </c>
      <c r="L2415" s="3" t="str">
        <f>IF(K2415&lt;-5,"CRÍTICO",IF(K2415&lt;0,"ATENÇÃO",IF(K2415&lt;=5,"BOM","EXCELENTE")))</f>
        <v>BOM</v>
      </c>
      <c r="M2415">
        <v>14</v>
      </c>
      <c r="N2415">
        <v>98.11</v>
      </c>
      <c r="O2415">
        <v>33.033707865168537</v>
      </c>
    </row>
    <row r="2416" spans="1:15" hidden="1" x14ac:dyDescent="0.25">
      <c r="A2416" s="11">
        <v>46077</v>
      </c>
      <c r="B2416" t="s">
        <v>18</v>
      </c>
      <c r="C2416" t="s">
        <v>16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>E2416+G2416+H2416</f>
        <v>8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6</v>
      </c>
      <c r="K2416" s="3">
        <f>I2416-J2416</f>
        <v>2</v>
      </c>
      <c r="L2416" s="3" t="str">
        <f>IF(K2416&lt;-5,"CRÍTICO",IF(K2416&lt;0,"ATENÇÃO",IF(K2416&lt;=5,"BOM","EXCELENTE")))</f>
        <v>BOM</v>
      </c>
      <c r="M2416">
        <v>5</v>
      </c>
      <c r="N2416">
        <v>78.95</v>
      </c>
      <c r="O2416">
        <v>38.983050847457633</v>
      </c>
    </row>
    <row r="2417" spans="1:15" hidden="1" x14ac:dyDescent="0.25">
      <c r="A2417" s="11">
        <v>46077</v>
      </c>
      <c r="B2417" t="s">
        <v>52</v>
      </c>
      <c r="C2417" t="s">
        <v>48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>E2417+G2417+H2417</f>
        <v>12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16</v>
      </c>
      <c r="K2417" s="3">
        <f>I2417-J2417</f>
        <v>-4</v>
      </c>
      <c r="L2417" s="3" t="str">
        <f>IF(K2417&lt;-5,"CRÍTICO",IF(K2417&lt;0,"ATENÇÃO",IF(K2417&lt;=5,"BOM","EXCELENTE")))</f>
        <v>ATENÇÃO</v>
      </c>
      <c r="M2417">
        <v>13</v>
      </c>
      <c r="N2417">
        <v>98.45</v>
      </c>
      <c r="O2417">
        <v>29.281767955801101</v>
      </c>
    </row>
    <row r="2418" spans="1:15" hidden="1" x14ac:dyDescent="0.25">
      <c r="A2418" s="11">
        <v>46077</v>
      </c>
      <c r="B2418" t="s">
        <v>36</v>
      </c>
      <c r="C2418" t="s">
        <v>32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>E2418+G2418+H2418</f>
        <v>26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20</v>
      </c>
      <c r="K2418" s="3">
        <f>I2418-J2418</f>
        <v>6</v>
      </c>
      <c r="L2418" s="3" t="str">
        <f>IF(K2418&lt;-5,"CRÍTICO",IF(K2418&lt;0,"ATENÇÃO",IF(K2418&lt;=5,"BOM","EXCELENTE")))</f>
        <v>EXCELENTE</v>
      </c>
      <c r="M2418">
        <v>26</v>
      </c>
      <c r="N2418">
        <v>97.84</v>
      </c>
      <c r="O2418">
        <v>26.282051282051281</v>
      </c>
    </row>
    <row r="2419" spans="1:15" hidden="1" x14ac:dyDescent="0.25">
      <c r="A2419" s="11">
        <v>46077</v>
      </c>
      <c r="B2419" t="s">
        <v>53</v>
      </c>
      <c r="C2419" t="s">
        <v>48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>E2419+G2419+H2419</f>
        <v>30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16</v>
      </c>
      <c r="K2419" s="3">
        <f>I2419-J2419</f>
        <v>14</v>
      </c>
      <c r="L2419" s="3" t="str">
        <f>IF(K2419&lt;-5,"CRÍTICO",IF(K2419&lt;0,"ATENÇÃO",IF(K2419&lt;=5,"BOM","EXCELENTE")))</f>
        <v>EXCELENTE</v>
      </c>
      <c r="M2419">
        <v>30</v>
      </c>
      <c r="N2419">
        <v>98.5</v>
      </c>
      <c r="O2419">
        <v>23.97769516728625</v>
      </c>
    </row>
    <row r="2420" spans="1:15" hidden="1" x14ac:dyDescent="0.25">
      <c r="A2420" s="11">
        <v>46111</v>
      </c>
      <c r="B2420" t="s">
        <v>22</v>
      </c>
      <c r="C2420" t="s">
        <v>23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>E2420+G2420+H2420</f>
        <v>25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18</v>
      </c>
      <c r="K2420" s="3">
        <f>I2420-J2420</f>
        <v>7</v>
      </c>
      <c r="L2420" s="3" t="str">
        <f>IF(K2420&lt;-5,"CRÍTICO",IF(K2420&lt;0,"ATENÇÃO",IF(K2420&lt;=5,"BOM","EXCELENTE")))</f>
        <v>EXCELENTE</v>
      </c>
      <c r="M2420">
        <v>23</v>
      </c>
      <c r="N2420">
        <v>99.05</v>
      </c>
      <c r="O2420">
        <v>26.621923937360179</v>
      </c>
    </row>
    <row r="2421" spans="1:15" hidden="1" x14ac:dyDescent="0.25">
      <c r="A2421" s="11">
        <v>46077</v>
      </c>
      <c r="B2421" t="s">
        <v>54</v>
      </c>
      <c r="C2421" t="s">
        <v>48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>E2421+G2421+H2421</f>
        <v>19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16</v>
      </c>
      <c r="K2421" s="3">
        <f>I2421-J2421</f>
        <v>3</v>
      </c>
      <c r="L2421" s="3" t="str">
        <f>IF(K2421&lt;-5,"CRÍTICO",IF(K2421&lt;0,"ATENÇÃO",IF(K2421&lt;=5,"BOM","EXCELENTE")))</f>
        <v>BOM</v>
      </c>
      <c r="M2421">
        <v>18</v>
      </c>
      <c r="N2421">
        <v>98.53</v>
      </c>
      <c r="O2421">
        <v>31.578947368421051</v>
      </c>
    </row>
    <row r="2422" spans="1:15" hidden="1" x14ac:dyDescent="0.25">
      <c r="A2422" s="11">
        <v>46077</v>
      </c>
      <c r="B2422" t="s">
        <v>37</v>
      </c>
      <c r="C2422" t="s">
        <v>32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>E2422+G2422+H2422</f>
        <v>35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15</v>
      </c>
      <c r="L2422" s="3" t="str">
        <f>IF(K2422&lt;-5,"CRÍTICO",IF(K2422&lt;0,"ATENÇÃO",IF(K2422&lt;=5,"BOM","EXCELENTE")))</f>
        <v>EXCELENTE</v>
      </c>
      <c r="M2422">
        <v>35</v>
      </c>
      <c r="N2422">
        <v>100</v>
      </c>
      <c r="O2422">
        <v>25.72214580467676</v>
      </c>
    </row>
    <row r="2423" spans="1:15" hidden="1" x14ac:dyDescent="0.25">
      <c r="A2423" s="11">
        <v>46077</v>
      </c>
      <c r="B2423" t="s">
        <v>38</v>
      </c>
      <c r="C2423" t="s">
        <v>32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>E2423+G2423+H2423</f>
        <v>24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20</v>
      </c>
      <c r="K2423" s="3">
        <f>I2423-J2423</f>
        <v>4</v>
      </c>
      <c r="L2423" s="3" t="str">
        <f>IF(K2423&lt;-5,"CRÍTICO",IF(K2423&lt;0,"ATENÇÃO",IF(K2423&lt;=5,"BOM","EXCELENTE")))</f>
        <v>BOM</v>
      </c>
      <c r="M2423">
        <v>23</v>
      </c>
      <c r="N2423">
        <v>94.64</v>
      </c>
      <c r="O2423">
        <v>27.52941176470588</v>
      </c>
    </row>
    <row r="2424" spans="1:15" hidden="1" x14ac:dyDescent="0.25">
      <c r="A2424" s="11">
        <v>46077</v>
      </c>
      <c r="B2424" t="s">
        <v>55</v>
      </c>
      <c r="C2424" t="s">
        <v>48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>E2424+G2424+H2424</f>
        <v>8</v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>16</v>
      </c>
      <c r="K2424" s="3">
        <f>I2424-J2424</f>
        <v>-8</v>
      </c>
      <c r="L2424" s="3" t="str">
        <f>IF(K2424&lt;-5,"CRÍTICO",IF(K2424&lt;0,"ATENÇÃO",IF(K2424&lt;=5,"BOM","EXCELENTE")))</f>
        <v>CRÍTICO</v>
      </c>
      <c r="M2424">
        <v>3</v>
      </c>
      <c r="N2424">
        <v>99.07</v>
      </c>
      <c r="O2424">
        <v>26.376811594202898</v>
      </c>
    </row>
    <row r="2425" spans="1:15" hidden="1" x14ac:dyDescent="0.25">
      <c r="A2425" s="11">
        <v>46077</v>
      </c>
      <c r="B2425" t="s">
        <v>39</v>
      </c>
      <c r="C2425" t="s">
        <v>32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v>0</v>
      </c>
      <c r="J2425" s="3">
        <v>0</v>
      </c>
      <c r="K2425" s="3">
        <v>0</v>
      </c>
      <c r="L2425" s="3" t="str">
        <f>IF(K2425&lt;-5,"CRÍTICO",IF(K2425&lt;0,"ATENÇÃO",IF(K2425&lt;=5,"BOM","EXCELENTE")))</f>
        <v>BOM</v>
      </c>
      <c r="M2425">
        <v>0</v>
      </c>
      <c r="N2425">
        <v>100</v>
      </c>
      <c r="O2425">
        <v>0</v>
      </c>
    </row>
    <row r="2426" spans="1:15" hidden="1" x14ac:dyDescent="0.25">
      <c r="A2426" s="11">
        <v>46077</v>
      </c>
      <c r="B2426" t="s">
        <v>25</v>
      </c>
      <c r="C2426" t="s">
        <v>26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>E2426+G2426+H2426</f>
        <v>15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12</v>
      </c>
      <c r="K2426" s="3">
        <f>I2426-J2426</f>
        <v>3</v>
      </c>
      <c r="L2426" s="3" t="str">
        <f>IF(K2426&lt;-5,"CRÍTICO",IF(K2426&lt;0,"ATENÇÃO",IF(K2426&lt;=5,"BOM","EXCELENTE")))</f>
        <v>BOM</v>
      </c>
      <c r="M2426">
        <v>14</v>
      </c>
      <c r="N2426">
        <v>98.48</v>
      </c>
      <c r="O2426">
        <v>27.853881278538811</v>
      </c>
    </row>
    <row r="2427" spans="1:15" hidden="1" x14ac:dyDescent="0.25">
      <c r="A2427" s="11">
        <v>46077</v>
      </c>
      <c r="B2427" t="s">
        <v>40</v>
      </c>
      <c r="C2427" t="s">
        <v>32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>E2427+G2427+H2427</f>
        <v>3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20</v>
      </c>
      <c r="K2427" s="3">
        <f>I2427-J2427</f>
        <v>-17</v>
      </c>
      <c r="L2427" s="3" t="str">
        <f>IF(K2427&lt;-5,"CRÍTICO",IF(K2427&lt;0,"ATENÇÃO",IF(K2427&lt;=5,"BOM","EXCELENTE")))</f>
        <v>CRÍTICO</v>
      </c>
      <c r="M2427">
        <v>52</v>
      </c>
      <c r="N2427">
        <v>95.15</v>
      </c>
      <c r="O2427">
        <v>34.131736526946113</v>
      </c>
    </row>
    <row r="2428" spans="1:15" hidden="1" x14ac:dyDescent="0.25">
      <c r="A2428" s="11">
        <v>46077</v>
      </c>
      <c r="B2428" t="s">
        <v>27</v>
      </c>
      <c r="C2428" t="s">
        <v>26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v>0</v>
      </c>
      <c r="J2428" s="3">
        <v>0</v>
      </c>
      <c r="K2428" s="3">
        <v>0</v>
      </c>
      <c r="L2428" s="3" t="str">
        <f>IF(K2428&lt;-5,"CRÍTICO",IF(K2428&lt;0,"ATENÇÃO",IF(K2428&lt;=5,"BOM","EXCELENTE")))</f>
        <v>BOM</v>
      </c>
      <c r="M2428">
        <v>0</v>
      </c>
      <c r="N2428">
        <v>0</v>
      </c>
      <c r="O2428">
        <v>0</v>
      </c>
    </row>
    <row r="2429" spans="1:15" hidden="1" x14ac:dyDescent="0.25">
      <c r="A2429" s="11">
        <v>46077</v>
      </c>
      <c r="B2429" t="s">
        <v>41</v>
      </c>
      <c r="C2429" t="s">
        <v>32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>E2429+G2429+H2429</f>
        <v>20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20</v>
      </c>
      <c r="K2429" s="3">
        <f>I2429-J2429</f>
        <v>0</v>
      </c>
      <c r="L2429" s="3" t="str">
        <f>IF(K2429&lt;-5,"CRÍTICO",IF(K2429&lt;0,"ATENÇÃO",IF(K2429&lt;=5,"BOM","EXCELENTE")))</f>
        <v>BOM</v>
      </c>
      <c r="M2429">
        <v>15</v>
      </c>
      <c r="N2429">
        <v>99.26</v>
      </c>
      <c r="O2429">
        <v>30.84832904884319</v>
      </c>
    </row>
    <row r="2430" spans="1:15" hidden="1" x14ac:dyDescent="0.25">
      <c r="A2430" s="11">
        <v>46077</v>
      </c>
      <c r="B2430" t="s">
        <v>56</v>
      </c>
      <c r="C2430" t="s">
        <v>48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>E2430+G2430+H2430</f>
        <v>27</v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>16</v>
      </c>
      <c r="K2430" s="3">
        <f>I2430-J2430</f>
        <v>11</v>
      </c>
      <c r="L2430" s="3" t="str">
        <f>IF(K2430&lt;-5,"CRÍTICO",IF(K2430&lt;0,"ATENÇÃO",IF(K2430&lt;=5,"BOM","EXCELENTE")))</f>
        <v>EXCELENTE</v>
      </c>
      <c r="M2430">
        <v>13</v>
      </c>
      <c r="N2430">
        <v>97.48</v>
      </c>
      <c r="O2430">
        <v>27.764705882352938</v>
      </c>
    </row>
    <row r="2431" spans="1:15" hidden="1" x14ac:dyDescent="0.25">
      <c r="A2431" s="11">
        <v>46077</v>
      </c>
      <c r="B2431" t="s">
        <v>57</v>
      </c>
      <c r="C2431" t="s">
        <v>48</v>
      </c>
      <c r="D2431">
        <v>19</v>
      </c>
      <c r="E2431">
        <v>19</v>
      </c>
      <c r="F2431">
        <v>38.590000000000003</v>
      </c>
      <c r="G2431">
        <v>0</v>
      </c>
      <c r="H2431">
        <v>0</v>
      </c>
      <c r="I2431" s="3">
        <v>0</v>
      </c>
      <c r="J2431" s="3">
        <v>0</v>
      </c>
      <c r="K2431" s="3">
        <v>0</v>
      </c>
      <c r="L2431" s="3" t="str">
        <f>IF(K2431&lt;-5,"CRÍTICO",IF(K2431&lt;0,"ATENÇÃO",IF(K2431&lt;=5,"BOM","EXCELENTE")))</f>
        <v>BOM</v>
      </c>
      <c r="M2431">
        <v>18</v>
      </c>
      <c r="N2431">
        <v>99.34</v>
      </c>
      <c r="O2431">
        <v>30.04291845493562</v>
      </c>
    </row>
    <row r="2432" spans="1:15" hidden="1" x14ac:dyDescent="0.25">
      <c r="A2432" s="11">
        <v>46077</v>
      </c>
      <c r="B2432" t="s">
        <v>42</v>
      </c>
      <c r="C2432" t="s">
        <v>32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>E2432+G2432+H2432</f>
        <v>37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20</v>
      </c>
      <c r="K2432" s="3">
        <f>I2432-J2432</f>
        <v>17</v>
      </c>
      <c r="L2432" s="3" t="str">
        <f>IF(K2432&lt;-5,"CRÍTICO",IF(K2432&lt;0,"ATENÇÃO",IF(K2432&lt;=5,"BOM","EXCELENTE")))</f>
        <v>EXCELENTE</v>
      </c>
      <c r="M2432">
        <v>24</v>
      </c>
      <c r="N2432">
        <v>96.3</v>
      </c>
      <c r="O2432">
        <v>24.29378531073446</v>
      </c>
    </row>
    <row r="2433" spans="1:15" hidden="1" x14ac:dyDescent="0.25">
      <c r="A2433" s="11">
        <v>46077</v>
      </c>
      <c r="B2433" t="s">
        <v>62</v>
      </c>
      <c r="C2433" t="s">
        <v>23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>E2433+G2433+H2433</f>
        <v>15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13</v>
      </c>
      <c r="K2433" s="3">
        <f>I2433-J2433</f>
        <v>2</v>
      </c>
      <c r="L2433" s="3" t="str">
        <f>IF(K2433&lt;-5,"CRÍTICO",IF(K2433&lt;0,"ATENÇÃO",IF(K2433&lt;=5,"BOM","EXCELENTE")))</f>
        <v>BOM</v>
      </c>
      <c r="M2433">
        <v>13</v>
      </c>
      <c r="N2433">
        <v>100</v>
      </c>
      <c r="O2433">
        <v>26.543209876543209</v>
      </c>
    </row>
    <row r="2434" spans="1:15" hidden="1" x14ac:dyDescent="0.25">
      <c r="A2434" s="11">
        <v>46077</v>
      </c>
      <c r="B2434" t="s">
        <v>19</v>
      </c>
      <c r="C2434" t="s">
        <v>16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>E2434+G2434+H2434</f>
        <v>5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6</v>
      </c>
      <c r="K2434" s="3">
        <f>I2434-J2434</f>
        <v>-1</v>
      </c>
      <c r="L2434" s="3" t="str">
        <f>IF(K2434&lt;-5,"CRÍTICO",IF(K2434&lt;0,"ATENÇÃO",IF(K2434&lt;=5,"BOM","EXCELENTE")))</f>
        <v>ATENÇÃO</v>
      </c>
      <c r="M2434">
        <v>3</v>
      </c>
      <c r="N2434">
        <v>100</v>
      </c>
      <c r="O2434">
        <v>35.483870967741943</v>
      </c>
    </row>
    <row r="2435" spans="1:15" hidden="1" x14ac:dyDescent="0.25">
      <c r="A2435" s="11">
        <v>46077</v>
      </c>
      <c r="B2435" t="s">
        <v>43</v>
      </c>
      <c r="C2435" t="s">
        <v>32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>E2435+G2435+H2435</f>
        <v>22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2</v>
      </c>
      <c r="L2435" s="3" t="str">
        <f>IF(K2435&lt;-5,"CRÍTICO",IF(K2435&lt;0,"ATENÇÃO",IF(K2435&lt;=5,"BOM","EXCELENTE")))</f>
        <v>BOM</v>
      </c>
      <c r="M2435">
        <v>24</v>
      </c>
      <c r="N2435">
        <v>99.27</v>
      </c>
      <c r="O2435">
        <v>31.163708086785011</v>
      </c>
    </row>
    <row r="2436" spans="1:15" hidden="1" x14ac:dyDescent="0.25">
      <c r="A2436" s="11">
        <v>46077</v>
      </c>
      <c r="B2436" t="s">
        <v>44</v>
      </c>
      <c r="C2436" t="s">
        <v>32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>E2436+G2436+H2436</f>
        <v>33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20</v>
      </c>
      <c r="K2436" s="3">
        <f>I2436-J2436</f>
        <v>13</v>
      </c>
      <c r="L2436" s="3" t="str">
        <f>IF(K2436&lt;-5,"CRÍTICO",IF(K2436&lt;0,"ATENÇÃO",IF(K2436&lt;=5,"BOM","EXCELENTE")))</f>
        <v>EXCELENTE</v>
      </c>
      <c r="M2436">
        <v>28</v>
      </c>
      <c r="N2436">
        <v>94.16</v>
      </c>
      <c r="O2436">
        <v>27.038626609442058</v>
      </c>
    </row>
    <row r="2437" spans="1:15" hidden="1" x14ac:dyDescent="0.25">
      <c r="A2437" s="11">
        <v>46077</v>
      </c>
      <c r="B2437" t="s">
        <v>20</v>
      </c>
      <c r="C2437" t="s">
        <v>16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>E2437+G2437+H2437</f>
        <v>14</v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>6</v>
      </c>
      <c r="K2437" s="3">
        <f>I2437-J2437</f>
        <v>8</v>
      </c>
      <c r="L2437" s="3" t="str">
        <f>IF(K2437&lt;-5,"CRÍTICO",IF(K2437&lt;0,"ATENÇÃO",IF(K2437&lt;=5,"BOM","EXCELENTE")))</f>
        <v>EXCELENTE</v>
      </c>
      <c r="M2437">
        <v>5</v>
      </c>
      <c r="N2437">
        <v>93.75</v>
      </c>
      <c r="O2437">
        <v>19.31818181818182</v>
      </c>
    </row>
    <row r="2438" spans="1:15" hidden="1" x14ac:dyDescent="0.25">
      <c r="A2438" s="11">
        <v>46077</v>
      </c>
      <c r="B2438" t="s">
        <v>28</v>
      </c>
      <c r="C2438" t="s">
        <v>26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>
        <v>0</v>
      </c>
      <c r="N2438">
        <v>0</v>
      </c>
      <c r="O2438">
        <v>0</v>
      </c>
    </row>
    <row r="2439" spans="1:15" hidden="1" x14ac:dyDescent="0.25">
      <c r="A2439" s="11">
        <v>46077</v>
      </c>
      <c r="B2439" t="s">
        <v>58</v>
      </c>
      <c r="C2439" t="s">
        <v>48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>
        <v>0</v>
      </c>
      <c r="N2439">
        <v>97.92</v>
      </c>
      <c r="O2439">
        <v>32.87671232876712</v>
      </c>
    </row>
    <row r="2440" spans="1:15" hidden="1" x14ac:dyDescent="0.25">
      <c r="A2440" s="11">
        <v>46077</v>
      </c>
      <c r="B2440" t="s">
        <v>29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30</v>
      </c>
      <c r="C2441" t="s">
        <v>26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21</v>
      </c>
      <c r="C2442" t="s">
        <v>16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>
        <v>0</v>
      </c>
      <c r="N2442">
        <v>0</v>
      </c>
      <c r="O2442">
        <v>0</v>
      </c>
    </row>
    <row r="2443" spans="1:15" hidden="1" x14ac:dyDescent="0.25">
      <c r="A2443" s="11">
        <v>46077</v>
      </c>
      <c r="B2443" t="s">
        <v>63</v>
      </c>
      <c r="C2443" t="s">
        <v>23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v>0</v>
      </c>
      <c r="J2443" s="3">
        <v>0</v>
      </c>
      <c r="K2443" s="3">
        <v>0</v>
      </c>
      <c r="L2443" s="3" t="str">
        <f>IF(K2443&lt;-5,"CRÍTICO",IF(K2443&lt;0,"ATENÇÃO",IF(K2443&lt;=5,"BOM","EXCELENTE")))</f>
        <v>BOM</v>
      </c>
      <c r="M2443">
        <v>0</v>
      </c>
      <c r="N2443">
        <v>98.51</v>
      </c>
      <c r="O2443">
        <v>29.710144927536231</v>
      </c>
    </row>
    <row r="2444" spans="1:15" hidden="1" x14ac:dyDescent="0.25">
      <c r="A2444" s="11">
        <v>46077</v>
      </c>
      <c r="B2444" t="s">
        <v>45</v>
      </c>
      <c r="C2444" t="s">
        <v>32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>E2444+G2444+H2444</f>
        <v>32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20</v>
      </c>
      <c r="K2444" s="3">
        <f>I2444-J2444</f>
        <v>12</v>
      </c>
      <c r="L2444" s="3" t="str">
        <f>IF(K2444&lt;-5,"CRÍTICO",IF(K2444&lt;0,"ATENÇÃO",IF(K2444&lt;=5,"BOM","EXCELENTE")))</f>
        <v>EXCELENTE</v>
      </c>
      <c r="M2444">
        <v>27</v>
      </c>
      <c r="N2444">
        <v>98.81</v>
      </c>
      <c r="O2444">
        <v>30.712979890310791</v>
      </c>
    </row>
    <row r="2445" spans="1:15" hidden="1" x14ac:dyDescent="0.25">
      <c r="A2445" s="11">
        <v>46077</v>
      </c>
      <c r="B2445" t="s">
        <v>64</v>
      </c>
      <c r="C2445" t="s">
        <v>23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>E2445+G2445+H2445</f>
        <v>7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13</v>
      </c>
      <c r="K2445" s="3">
        <f>I2445-J2445</f>
        <v>-6</v>
      </c>
      <c r="L2445" s="3" t="str">
        <f>IF(K2445&lt;-5,"CRÍTICO",IF(K2445&lt;0,"ATENÇÃO",IF(K2445&lt;=5,"BOM","EXCELENTE")))</f>
        <v>CRÍTICO</v>
      </c>
      <c r="M2445">
        <v>7</v>
      </c>
      <c r="N2445">
        <v>98.48</v>
      </c>
      <c r="O2445">
        <v>29.35323383084577</v>
      </c>
    </row>
    <row r="2446" spans="1:15" hidden="1" x14ac:dyDescent="0.25">
      <c r="A2446" s="11">
        <v>46077</v>
      </c>
      <c r="B2446" t="s">
        <v>46</v>
      </c>
      <c r="C2446" t="s">
        <v>32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>E2446+G2446+H2446</f>
        <v>20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20</v>
      </c>
      <c r="K2446" s="3">
        <f>I2446-J2446</f>
        <v>0</v>
      </c>
      <c r="L2446" s="3" t="str">
        <f>IF(K2446&lt;-5,"CRÍTICO",IF(K2446&lt;0,"ATENÇÃO",IF(K2446&lt;=5,"BOM","EXCELENTE")))</f>
        <v>BOM</v>
      </c>
      <c r="M2446">
        <v>19</v>
      </c>
      <c r="N2446">
        <v>98.56</v>
      </c>
      <c r="O2446">
        <v>29.373650107991359</v>
      </c>
    </row>
    <row r="2447" spans="1:15" hidden="1" x14ac:dyDescent="0.25">
      <c r="A2447" s="11">
        <v>46078</v>
      </c>
      <c r="B2447" t="s">
        <v>47</v>
      </c>
      <c r="C2447" t="s">
        <v>48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>E2447+G2447+H2447</f>
        <v>6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16</v>
      </c>
      <c r="K2447" s="3">
        <f>I2447-J2447</f>
        <v>-10</v>
      </c>
      <c r="L2447" s="3" t="str">
        <f>IF(K2447&lt;-5,"CRÍTICO",IF(K2447&lt;0,"ATENÇÃO",IF(K2447&lt;=5,"BOM","EXCELENTE")))</f>
        <v>CRÍTICO</v>
      </c>
      <c r="M2447">
        <v>6</v>
      </c>
      <c r="N2447">
        <v>98.32</v>
      </c>
      <c r="O2447">
        <v>30.303030303030301</v>
      </c>
    </row>
    <row r="2448" spans="1:15" hidden="1" x14ac:dyDescent="0.25">
      <c r="A2448" s="11">
        <v>46078</v>
      </c>
      <c r="B2448" t="s">
        <v>31</v>
      </c>
      <c r="C2448" t="s">
        <v>32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v>0</v>
      </c>
      <c r="J2448" s="3">
        <v>0</v>
      </c>
      <c r="K2448" s="3">
        <v>0</v>
      </c>
      <c r="L2448" s="3" t="str">
        <f>IF(K2448&lt;-5,"CRÍTICO",IF(K2448&lt;0,"ATENÇÃO",IF(K2448&lt;=5,"BOM","EXCELENTE")))</f>
        <v>BOM</v>
      </c>
      <c r="M2448">
        <v>24</v>
      </c>
      <c r="N2448">
        <v>98.68</v>
      </c>
      <c r="O2448">
        <v>26.219512195121951</v>
      </c>
    </row>
    <row r="2449" spans="1:15" hidden="1" x14ac:dyDescent="0.25">
      <c r="A2449" s="11">
        <v>46078</v>
      </c>
      <c r="B2449" t="s">
        <v>59</v>
      </c>
      <c r="C2449" t="s">
        <v>23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>E2449+G2449+H2449</f>
        <v>27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13</v>
      </c>
      <c r="K2449" s="3">
        <f>I2449-J2449</f>
        <v>14</v>
      </c>
      <c r="L2449" s="3" t="str">
        <f>IF(K2449&lt;-5,"CRÍTICO",IF(K2449&lt;0,"ATENÇÃO",IF(K2449&lt;=5,"BOM","EXCELENTE")))</f>
        <v>EXCELENTE</v>
      </c>
      <c r="M2449">
        <v>25</v>
      </c>
      <c r="N2449">
        <v>100</v>
      </c>
      <c r="O2449">
        <v>31.74224343675418</v>
      </c>
    </row>
    <row r="2450" spans="1:15" hidden="1" x14ac:dyDescent="0.25">
      <c r="A2450" s="11">
        <v>46078</v>
      </c>
      <c r="B2450" t="s">
        <v>33</v>
      </c>
      <c r="C2450" t="s">
        <v>32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>E2450+G2450+H2450</f>
        <v>17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20</v>
      </c>
      <c r="K2450" s="3">
        <f>I2450-J2450</f>
        <v>-3</v>
      </c>
      <c r="L2450" s="3" t="str">
        <f>IF(K2450&lt;-5,"CRÍTICO",IF(K2450&lt;0,"ATENÇÃO",IF(K2450&lt;=5,"BOM","EXCELENTE")))</f>
        <v>ATENÇÃO</v>
      </c>
      <c r="M2450">
        <v>13</v>
      </c>
      <c r="N2450">
        <v>98.25</v>
      </c>
      <c r="O2450">
        <v>25.83518930957684</v>
      </c>
    </row>
    <row r="2451" spans="1:15" hidden="1" x14ac:dyDescent="0.25">
      <c r="A2451" s="11">
        <v>46078</v>
      </c>
      <c r="B2451" t="s">
        <v>15</v>
      </c>
      <c r="C2451" t="s">
        <v>16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>E2451+G2451+H2451</f>
        <v>12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6</v>
      </c>
      <c r="K2451" s="3">
        <f>I2451-J2451</f>
        <v>6</v>
      </c>
      <c r="L2451" s="3" t="str">
        <f>IF(K2451&lt;-5,"CRÍTICO",IF(K2451&lt;0,"ATENÇÃO",IF(K2451&lt;=5,"BOM","EXCELENTE")))</f>
        <v>EXCELENTE</v>
      </c>
      <c r="M2451">
        <v>11</v>
      </c>
      <c r="N2451">
        <v>97.5</v>
      </c>
      <c r="O2451">
        <v>30.075187969924809</v>
      </c>
    </row>
    <row r="2452" spans="1:15" hidden="1" x14ac:dyDescent="0.25">
      <c r="A2452" s="11">
        <v>46078</v>
      </c>
      <c r="B2452" t="s">
        <v>49</v>
      </c>
      <c r="C2452" t="s">
        <v>48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>E2452+G2452+H2452</f>
        <v>29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13</v>
      </c>
      <c r="L2452" s="3" t="str">
        <f>IF(K2452&lt;-5,"CRÍTICO",IF(K2452&lt;0,"ATENÇÃO",IF(K2452&lt;=5,"BOM","EXCELENTE")))</f>
        <v>EXCELENTE</v>
      </c>
      <c r="M2452">
        <v>29</v>
      </c>
      <c r="N2452">
        <v>100</v>
      </c>
      <c r="O2452">
        <v>29.71311475409836</v>
      </c>
    </row>
    <row r="2453" spans="1:15" hidden="1" x14ac:dyDescent="0.25">
      <c r="A2453" s="11">
        <v>46078</v>
      </c>
      <c r="B2453" t="s">
        <v>50</v>
      </c>
      <c r="C2453" t="s">
        <v>48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>E2453+G2453+H2453</f>
        <v>10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16</v>
      </c>
      <c r="K2453" s="3">
        <f>I2453-J2453</f>
        <v>-6</v>
      </c>
      <c r="L2453" s="3" t="str">
        <f>IF(K2453&lt;-5,"CRÍTICO",IF(K2453&lt;0,"ATENÇÃO",IF(K2453&lt;=5,"BOM","EXCELENTE")))</f>
        <v>CRÍTICO</v>
      </c>
      <c r="M2453">
        <v>9</v>
      </c>
      <c r="N2453">
        <v>99.22</v>
      </c>
      <c r="O2453">
        <v>35.256410256410263</v>
      </c>
    </row>
    <row r="2454" spans="1:15" hidden="1" x14ac:dyDescent="0.25">
      <c r="A2454" s="11">
        <v>46078</v>
      </c>
      <c r="B2454" t="s">
        <v>17</v>
      </c>
      <c r="C2454" t="s">
        <v>16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v>0</v>
      </c>
      <c r="J2454" s="3">
        <v>0</v>
      </c>
      <c r="K2454" s="3">
        <v>0</v>
      </c>
      <c r="L2454" s="3" t="str">
        <f>IF(K2454&lt;-5,"CRÍTICO",IF(K2454&lt;0,"ATENÇÃO",IF(K2454&lt;=5,"BOM","EXCELENTE")))</f>
        <v>BOM</v>
      </c>
      <c r="M2454">
        <v>0</v>
      </c>
      <c r="N2454">
        <v>0</v>
      </c>
      <c r="O2454">
        <v>0</v>
      </c>
    </row>
    <row r="2455" spans="1:15" hidden="1" x14ac:dyDescent="0.25">
      <c r="A2455" s="11">
        <v>46078</v>
      </c>
      <c r="B2455" t="s">
        <v>60</v>
      </c>
      <c r="C2455" t="s">
        <v>23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13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>
        <v>14</v>
      </c>
      <c r="N2455">
        <v>98.75</v>
      </c>
      <c r="O2455">
        <v>24.32432432432433</v>
      </c>
    </row>
    <row r="2456" spans="1:15" hidden="1" x14ac:dyDescent="0.25">
      <c r="A2456" s="11">
        <v>46078</v>
      </c>
      <c r="B2456" t="s">
        <v>34</v>
      </c>
      <c r="C2456" t="s">
        <v>32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>E2456+G2456+H2456</f>
        <v>21</v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>20</v>
      </c>
      <c r="K2456" s="3">
        <f>I2456-J2456</f>
        <v>1</v>
      </c>
      <c r="L2456" s="3" t="str">
        <f>IF(K2456&lt;-5,"CRÍTICO",IF(K2456&lt;0,"ATENÇÃO",IF(K2456&lt;=5,"BOM","EXCELENTE")))</f>
        <v>BOM</v>
      </c>
      <c r="M2456">
        <v>21</v>
      </c>
      <c r="N2456">
        <v>93.48</v>
      </c>
      <c r="O2456">
        <v>31.52804642166344</v>
      </c>
    </row>
    <row r="2457" spans="1:15" hidden="1" x14ac:dyDescent="0.25">
      <c r="A2457" s="11">
        <v>46078</v>
      </c>
      <c r="B2457" t="s">
        <v>51</v>
      </c>
      <c r="C2457" t="s">
        <v>48</v>
      </c>
      <c r="D2457">
        <v>22</v>
      </c>
      <c r="E2457">
        <v>20</v>
      </c>
      <c r="F2457">
        <v>35.270000000000003</v>
      </c>
      <c r="G2457">
        <v>0</v>
      </c>
      <c r="H2457">
        <v>0</v>
      </c>
      <c r="I2457" s="3">
        <v>0</v>
      </c>
      <c r="J2457" s="3">
        <v>0</v>
      </c>
      <c r="K2457" s="3">
        <v>0</v>
      </c>
      <c r="L2457" s="3" t="str">
        <f>IF(K2457&lt;-5,"CRÍTICO",IF(K2457&lt;0,"ATENÇÃO",IF(K2457&lt;=5,"BOM","EXCELENTE")))</f>
        <v>BOM</v>
      </c>
      <c r="M2457">
        <v>13</v>
      </c>
      <c r="N2457">
        <v>99.16</v>
      </c>
      <c r="O2457">
        <v>26.13908872901678</v>
      </c>
    </row>
    <row r="2458" spans="1:15" hidden="1" x14ac:dyDescent="0.25">
      <c r="A2458" s="11">
        <v>46078</v>
      </c>
      <c r="B2458" t="s">
        <v>61</v>
      </c>
      <c r="C2458" t="s">
        <v>23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>E2458+G2458+H2458</f>
        <v>14</v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>13</v>
      </c>
      <c r="K2458" s="3">
        <f>I2458-J2458</f>
        <v>1</v>
      </c>
      <c r="L2458" s="3" t="str">
        <f>IF(K2458&lt;-5,"CRÍTICO",IF(K2458&lt;0,"ATENÇÃO",IF(K2458&lt;=5,"BOM","EXCELENTE")))</f>
        <v>BOM</v>
      </c>
      <c r="M2458">
        <v>11</v>
      </c>
      <c r="N2458">
        <v>100</v>
      </c>
      <c r="O2458">
        <v>31.089743589743591</v>
      </c>
    </row>
    <row r="2459" spans="1:15" hidden="1" x14ac:dyDescent="0.25">
      <c r="A2459" s="11">
        <v>46078</v>
      </c>
      <c r="B2459" t="s">
        <v>35</v>
      </c>
      <c r="C2459" t="s">
        <v>32</v>
      </c>
      <c r="D2459">
        <v>15</v>
      </c>
      <c r="E2459">
        <v>15</v>
      </c>
      <c r="F2459">
        <v>54.14</v>
      </c>
      <c r="G2459">
        <v>0</v>
      </c>
      <c r="H2459">
        <v>0</v>
      </c>
      <c r="I2459" s="3">
        <v>0</v>
      </c>
      <c r="J2459" s="3">
        <v>0</v>
      </c>
      <c r="K2459" s="3">
        <v>0</v>
      </c>
      <c r="L2459" s="3" t="str">
        <f>IF(K2459&lt;-5,"CRÍTICO",IF(K2459&lt;0,"ATENÇÃO",IF(K2459&lt;=5,"BOM","EXCELENTE")))</f>
        <v>BOM</v>
      </c>
      <c r="M2459">
        <v>15</v>
      </c>
      <c r="N2459">
        <v>98.11</v>
      </c>
      <c r="O2459">
        <v>33.033707865168537</v>
      </c>
    </row>
    <row r="2460" spans="1:15" hidden="1" x14ac:dyDescent="0.25">
      <c r="A2460" s="11">
        <v>46078</v>
      </c>
      <c r="B2460" t="s">
        <v>18</v>
      </c>
      <c r="C2460" t="s">
        <v>16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>E2460+G2460+H2460</f>
        <v>10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6</v>
      </c>
      <c r="K2460" s="3">
        <f>I2460-J2460</f>
        <v>4</v>
      </c>
      <c r="L2460" s="3" t="str">
        <f>IF(K2460&lt;-5,"CRÍTICO",IF(K2460&lt;0,"ATENÇÃO",IF(K2460&lt;=5,"BOM","EXCELENTE")))</f>
        <v>BOM</v>
      </c>
      <c r="M2460">
        <v>5</v>
      </c>
      <c r="N2460">
        <v>78.95</v>
      </c>
      <c r="O2460">
        <v>38.983050847457633</v>
      </c>
    </row>
    <row r="2461" spans="1:15" hidden="1" x14ac:dyDescent="0.25">
      <c r="A2461" s="11">
        <v>46078</v>
      </c>
      <c r="B2461" t="s">
        <v>52</v>
      </c>
      <c r="C2461" t="s">
        <v>48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>E2461+G2461+H2461</f>
        <v>17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16</v>
      </c>
      <c r="K2461" s="3">
        <f>I2461-J2461</f>
        <v>1</v>
      </c>
      <c r="L2461" s="3" t="str">
        <f>IF(K2461&lt;-5,"CRÍTICO",IF(K2461&lt;0,"ATENÇÃO",IF(K2461&lt;=5,"BOM","EXCELENTE")))</f>
        <v>BOM</v>
      </c>
      <c r="M2461">
        <v>16</v>
      </c>
      <c r="N2461">
        <v>98.45</v>
      </c>
      <c r="O2461">
        <v>29.281767955801101</v>
      </c>
    </row>
    <row r="2462" spans="1:15" hidden="1" x14ac:dyDescent="0.25">
      <c r="A2462" s="11">
        <v>46078</v>
      </c>
      <c r="B2462" t="s">
        <v>36</v>
      </c>
      <c r="C2462" t="s">
        <v>32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>E2462+G2462+H2462</f>
        <v>18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20</v>
      </c>
      <c r="K2462" s="3">
        <f>I2462-J2462</f>
        <v>-2</v>
      </c>
      <c r="L2462" s="3" t="str">
        <f>IF(K2462&lt;-5,"CRÍTICO",IF(K2462&lt;0,"ATENÇÃO",IF(K2462&lt;=5,"BOM","EXCELENTE")))</f>
        <v>ATENÇÃO</v>
      </c>
      <c r="M2462">
        <v>19</v>
      </c>
      <c r="N2462">
        <v>97.84</v>
      </c>
      <c r="O2462">
        <v>26.282051282051281</v>
      </c>
    </row>
    <row r="2463" spans="1:15" hidden="1" x14ac:dyDescent="0.25">
      <c r="A2463" s="11">
        <v>46078</v>
      </c>
      <c r="B2463" t="s">
        <v>53</v>
      </c>
      <c r="C2463" t="s">
        <v>48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>E2463+G2463+H2463</f>
        <v>21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16</v>
      </c>
      <c r="K2463" s="3">
        <f>I2463-J2463</f>
        <v>5</v>
      </c>
      <c r="L2463" s="3" t="str">
        <f>IF(K2463&lt;-5,"CRÍTICO",IF(K2463&lt;0,"ATENÇÃO",IF(K2463&lt;=5,"BOM","EXCELENTE")))</f>
        <v>BOM</v>
      </c>
      <c r="M2463">
        <v>20</v>
      </c>
      <c r="N2463">
        <v>98.5</v>
      </c>
      <c r="O2463">
        <v>23.97769516728625</v>
      </c>
    </row>
    <row r="2464" spans="1:15" hidden="1" x14ac:dyDescent="0.25">
      <c r="A2464" s="11">
        <v>46112</v>
      </c>
      <c r="B2464" t="s">
        <v>22</v>
      </c>
      <c r="C2464" t="s">
        <v>23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>E2464+G2464+H2464</f>
        <v>27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20</v>
      </c>
      <c r="K2464" s="3">
        <f>I2464-J2464</f>
        <v>7</v>
      </c>
      <c r="L2464" s="3" t="str">
        <f>IF(K2464&lt;-5,"CRÍTICO",IF(K2464&lt;0,"ATENÇÃO",IF(K2464&lt;=5,"BOM","EXCELENTE")))</f>
        <v>EXCELENTE</v>
      </c>
      <c r="M2464">
        <v>22</v>
      </c>
      <c r="N2464">
        <v>99.05</v>
      </c>
      <c r="O2464">
        <v>26.621923937360179</v>
      </c>
    </row>
    <row r="2465" spans="1:15" hidden="1" x14ac:dyDescent="0.25">
      <c r="A2465" s="11">
        <v>46078</v>
      </c>
      <c r="B2465" t="s">
        <v>54</v>
      </c>
      <c r="C2465" t="s">
        <v>48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>E2465+G2465+H2465</f>
        <v>19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16</v>
      </c>
      <c r="K2465" s="3">
        <f>I2465-J2465</f>
        <v>3</v>
      </c>
      <c r="L2465" s="3" t="str">
        <f>IF(K2465&lt;-5,"CRÍTICO",IF(K2465&lt;0,"ATENÇÃO",IF(K2465&lt;=5,"BOM","EXCELENTE")))</f>
        <v>BOM</v>
      </c>
      <c r="M2465">
        <v>18</v>
      </c>
      <c r="N2465">
        <v>98.53</v>
      </c>
      <c r="O2465">
        <v>31.578947368421051</v>
      </c>
    </row>
    <row r="2466" spans="1:15" hidden="1" x14ac:dyDescent="0.25">
      <c r="A2466" s="11">
        <v>46078</v>
      </c>
      <c r="B2466" t="s">
        <v>37</v>
      </c>
      <c r="C2466" t="s">
        <v>32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>E2466+G2466+H2466</f>
        <v>35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15</v>
      </c>
      <c r="L2466" s="3" t="str">
        <f>IF(K2466&lt;-5,"CRÍTICO",IF(K2466&lt;0,"ATENÇÃO",IF(K2466&lt;=5,"BOM","EXCELENTE")))</f>
        <v>EXCELENTE</v>
      </c>
      <c r="M2466">
        <v>32</v>
      </c>
      <c r="N2466">
        <v>100</v>
      </c>
      <c r="O2466">
        <v>25.72214580467676</v>
      </c>
    </row>
    <row r="2467" spans="1:15" hidden="1" x14ac:dyDescent="0.25">
      <c r="A2467" s="11">
        <v>46078</v>
      </c>
      <c r="B2467" t="s">
        <v>38</v>
      </c>
      <c r="C2467" t="s">
        <v>32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>E2467+G2467+H2467</f>
        <v>17</v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>20</v>
      </c>
      <c r="K2467" s="3">
        <f>I2467-J2467</f>
        <v>-3</v>
      </c>
      <c r="L2467" s="3" t="str">
        <f>IF(K2467&lt;-5,"CRÍTICO",IF(K2467&lt;0,"ATENÇÃO",IF(K2467&lt;=5,"BOM","EXCELENTE")))</f>
        <v>ATENÇÃO</v>
      </c>
      <c r="M2467">
        <v>14</v>
      </c>
      <c r="N2467">
        <v>94.64</v>
      </c>
      <c r="O2467">
        <v>27.52941176470588</v>
      </c>
    </row>
    <row r="2468" spans="1:15" hidden="1" x14ac:dyDescent="0.25">
      <c r="A2468" s="11">
        <v>46078</v>
      </c>
      <c r="B2468" t="s">
        <v>55</v>
      </c>
      <c r="C2468" t="s">
        <v>48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>
        <v>0</v>
      </c>
      <c r="N2468">
        <v>99.07</v>
      </c>
      <c r="O2468">
        <v>26.376811594202898</v>
      </c>
    </row>
    <row r="2469" spans="1:15" hidden="1" x14ac:dyDescent="0.25">
      <c r="A2469" s="11">
        <v>46078</v>
      </c>
      <c r="B2469" t="s">
        <v>39</v>
      </c>
      <c r="C2469" t="s">
        <v>32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v>0</v>
      </c>
      <c r="J2469" s="3">
        <v>0</v>
      </c>
      <c r="K2469" s="3">
        <v>0</v>
      </c>
      <c r="L2469" s="3" t="str">
        <f>IF(K2469&lt;-5,"CRÍTICO",IF(K2469&lt;0,"ATENÇÃO",IF(K2469&lt;=5,"BOM","EXCELENTE")))</f>
        <v>BOM</v>
      </c>
      <c r="M2469">
        <v>0</v>
      </c>
      <c r="N2469">
        <v>100</v>
      </c>
      <c r="O2469">
        <v>0</v>
      </c>
    </row>
    <row r="2470" spans="1:15" hidden="1" x14ac:dyDescent="0.25">
      <c r="A2470" s="11">
        <v>46078</v>
      </c>
      <c r="B2470" t="s">
        <v>25</v>
      </c>
      <c r="C2470" t="s">
        <v>26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>E2470+G2470+H2470</f>
        <v>10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11</v>
      </c>
      <c r="K2470" s="3">
        <f>I2470-J2470</f>
        <v>-1</v>
      </c>
      <c r="L2470" s="3" t="str">
        <f>IF(K2470&lt;-5,"CRÍTICO",IF(K2470&lt;0,"ATENÇÃO",IF(K2470&lt;=5,"BOM","EXCELENTE")))</f>
        <v>ATENÇÃO</v>
      </c>
      <c r="M2470">
        <v>8</v>
      </c>
      <c r="N2470">
        <v>98.48</v>
      </c>
      <c r="O2470">
        <v>27.853881278538811</v>
      </c>
    </row>
    <row r="2471" spans="1:15" hidden="1" x14ac:dyDescent="0.25">
      <c r="A2471" s="11">
        <v>46078</v>
      </c>
      <c r="B2471" t="s">
        <v>40</v>
      </c>
      <c r="C2471" t="s">
        <v>32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>
        <v>30</v>
      </c>
      <c r="N2471">
        <v>95.15</v>
      </c>
      <c r="O2471">
        <v>34.131736526946113</v>
      </c>
    </row>
    <row r="2472" spans="1:15" hidden="1" x14ac:dyDescent="0.25">
      <c r="A2472" s="11">
        <v>46078</v>
      </c>
      <c r="B2472" t="s">
        <v>27</v>
      </c>
      <c r="C2472" t="s">
        <v>26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v>0</v>
      </c>
      <c r="J2472" s="3">
        <v>0</v>
      </c>
      <c r="K2472" s="3">
        <v>0</v>
      </c>
      <c r="L2472" s="3" t="str">
        <f>IF(K2472&lt;-5,"CRÍTICO",IF(K2472&lt;0,"ATENÇÃO",IF(K2472&lt;=5,"BOM","EXCELENTE")))</f>
        <v>BOM</v>
      </c>
      <c r="M2472">
        <v>0</v>
      </c>
      <c r="N2472">
        <v>0</v>
      </c>
      <c r="O2472">
        <v>0</v>
      </c>
    </row>
    <row r="2473" spans="1:15" hidden="1" x14ac:dyDescent="0.25">
      <c r="A2473" s="11">
        <v>46078</v>
      </c>
      <c r="B2473" t="s">
        <v>41</v>
      </c>
      <c r="C2473" t="s">
        <v>32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>E2473+G2473+H2473</f>
        <v>17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20</v>
      </c>
      <c r="K2473" s="3">
        <f>I2473-J2473</f>
        <v>-3</v>
      </c>
      <c r="L2473" s="3" t="str">
        <f>IF(K2473&lt;-5,"CRÍTICO",IF(K2473&lt;0,"ATENÇÃO",IF(K2473&lt;=5,"BOM","EXCELENTE")))</f>
        <v>ATENÇÃO</v>
      </c>
      <c r="M2473">
        <v>16</v>
      </c>
      <c r="N2473">
        <v>99.26</v>
      </c>
      <c r="O2473">
        <v>30.84832904884319</v>
      </c>
    </row>
    <row r="2474" spans="1:15" hidden="1" x14ac:dyDescent="0.25">
      <c r="A2474" s="11">
        <v>46078</v>
      </c>
      <c r="B2474" t="s">
        <v>56</v>
      </c>
      <c r="C2474" t="s">
        <v>48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>E2474+G2474+H2474</f>
        <v>27</v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>16</v>
      </c>
      <c r="K2474" s="3">
        <f>I2474-J2474</f>
        <v>11</v>
      </c>
      <c r="L2474" s="3" t="str">
        <f>IF(K2474&lt;-5,"CRÍTICO",IF(K2474&lt;0,"ATENÇÃO",IF(K2474&lt;=5,"BOM","EXCELENTE")))</f>
        <v>EXCELENTE</v>
      </c>
      <c r="M2474">
        <v>26</v>
      </c>
      <c r="N2474">
        <v>97.48</v>
      </c>
      <c r="O2474">
        <v>27.764705882352938</v>
      </c>
    </row>
    <row r="2475" spans="1:15" hidden="1" x14ac:dyDescent="0.25">
      <c r="A2475" s="11">
        <v>46078</v>
      </c>
      <c r="B2475" t="s">
        <v>57</v>
      </c>
      <c r="C2475" t="s">
        <v>48</v>
      </c>
      <c r="D2475">
        <v>16</v>
      </c>
      <c r="E2475">
        <v>16</v>
      </c>
      <c r="F2475">
        <v>43.46</v>
      </c>
      <c r="G2475">
        <v>0</v>
      </c>
      <c r="H2475">
        <v>0</v>
      </c>
      <c r="I2475" s="3">
        <v>0</v>
      </c>
      <c r="J2475" s="3">
        <v>0</v>
      </c>
      <c r="K2475" s="3">
        <v>0</v>
      </c>
      <c r="L2475" s="3" t="str">
        <f>IF(K2475&lt;-5,"CRÍTICO",IF(K2475&lt;0,"ATENÇÃO",IF(K2475&lt;=5,"BOM","EXCELENTE")))</f>
        <v>BOM</v>
      </c>
      <c r="M2475">
        <v>15</v>
      </c>
      <c r="N2475">
        <v>99.34</v>
      </c>
      <c r="O2475">
        <v>30.04291845493562</v>
      </c>
    </row>
    <row r="2476" spans="1:15" hidden="1" x14ac:dyDescent="0.25">
      <c r="A2476" s="11">
        <v>46078</v>
      </c>
      <c r="B2476" t="s">
        <v>42</v>
      </c>
      <c r="C2476" t="s">
        <v>32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>E2476+G2476+H2476</f>
        <v>44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20</v>
      </c>
      <c r="K2476" s="3">
        <f>I2476-J2476</f>
        <v>24</v>
      </c>
      <c r="L2476" s="3" t="str">
        <f>IF(K2476&lt;-5,"CRÍTICO",IF(K2476&lt;0,"ATENÇÃO",IF(K2476&lt;=5,"BOM","EXCELENTE")))</f>
        <v>EXCELENTE</v>
      </c>
      <c r="M2476">
        <v>25</v>
      </c>
      <c r="N2476">
        <v>96.3</v>
      </c>
      <c r="O2476">
        <v>24.29378531073446</v>
      </c>
    </row>
    <row r="2477" spans="1:15" hidden="1" x14ac:dyDescent="0.25">
      <c r="A2477" s="11">
        <v>46078</v>
      </c>
      <c r="B2477" t="s">
        <v>62</v>
      </c>
      <c r="C2477" t="s">
        <v>23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>E2477+G2477+H2477</f>
        <v>15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13</v>
      </c>
      <c r="K2477" s="3">
        <f>I2477-J2477</f>
        <v>2</v>
      </c>
      <c r="L2477" s="3" t="str">
        <f>IF(K2477&lt;-5,"CRÍTICO",IF(K2477&lt;0,"ATENÇÃO",IF(K2477&lt;=5,"BOM","EXCELENTE")))</f>
        <v>BOM</v>
      </c>
      <c r="M2477">
        <v>16</v>
      </c>
      <c r="N2477">
        <v>100</v>
      </c>
      <c r="O2477">
        <v>26.543209876543209</v>
      </c>
    </row>
    <row r="2478" spans="1:15" hidden="1" x14ac:dyDescent="0.25">
      <c r="A2478" s="11">
        <v>46078</v>
      </c>
      <c r="B2478" t="s">
        <v>19</v>
      </c>
      <c r="C2478" t="s">
        <v>16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>E2478+G2478+H2478</f>
        <v>7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6</v>
      </c>
      <c r="K2478" s="3">
        <f>I2478-J2478</f>
        <v>1</v>
      </c>
      <c r="L2478" s="3" t="str">
        <f>IF(K2478&lt;-5,"CRÍTICO",IF(K2478&lt;0,"ATENÇÃO",IF(K2478&lt;=5,"BOM","EXCELENTE")))</f>
        <v>BOM</v>
      </c>
      <c r="M2478">
        <v>6</v>
      </c>
      <c r="N2478">
        <v>100</v>
      </c>
      <c r="O2478">
        <v>35.483870967741943</v>
      </c>
    </row>
    <row r="2479" spans="1:15" hidden="1" x14ac:dyDescent="0.25">
      <c r="A2479" s="11">
        <v>46078</v>
      </c>
      <c r="B2479" t="s">
        <v>43</v>
      </c>
      <c r="C2479" t="s">
        <v>32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>E2479+G2479+H2479</f>
        <v>23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3</v>
      </c>
      <c r="L2479" s="3" t="str">
        <f>IF(K2479&lt;-5,"CRÍTICO",IF(K2479&lt;0,"ATENÇÃO",IF(K2479&lt;=5,"BOM","EXCELENTE")))</f>
        <v>BOM</v>
      </c>
      <c r="M2479">
        <v>22</v>
      </c>
      <c r="N2479">
        <v>99.27</v>
      </c>
      <c r="O2479">
        <v>31.163708086785011</v>
      </c>
    </row>
    <row r="2480" spans="1:15" hidden="1" x14ac:dyDescent="0.25">
      <c r="A2480" s="11">
        <v>46078</v>
      </c>
      <c r="B2480" t="s">
        <v>44</v>
      </c>
      <c r="C2480" t="s">
        <v>32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>E2480+G2480+H2480</f>
        <v>18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20</v>
      </c>
      <c r="K2480" s="3">
        <f>I2480-J2480</f>
        <v>-2</v>
      </c>
      <c r="L2480" s="3" t="str">
        <f>IF(K2480&lt;-5,"CRÍTICO",IF(K2480&lt;0,"ATENÇÃO",IF(K2480&lt;=5,"BOM","EXCELENTE")))</f>
        <v>ATENÇÃO</v>
      </c>
      <c r="M2480">
        <v>15</v>
      </c>
      <c r="N2480">
        <v>94.16</v>
      </c>
      <c r="O2480">
        <v>27.038626609442058</v>
      </c>
    </row>
    <row r="2481" spans="1:15" hidden="1" x14ac:dyDescent="0.25">
      <c r="A2481" s="11">
        <v>46078</v>
      </c>
      <c r="B2481" t="s">
        <v>20</v>
      </c>
      <c r="C2481" t="s">
        <v>16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>E2481+G2481+H2481</f>
        <v>13</v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>6</v>
      </c>
      <c r="K2481" s="3">
        <f>I2481-J2481</f>
        <v>7</v>
      </c>
      <c r="L2481" s="3" t="str">
        <f>IF(K2481&lt;-5,"CRÍTICO",IF(K2481&lt;0,"ATENÇÃO",IF(K2481&lt;=5,"BOM","EXCELENTE")))</f>
        <v>EXCELENTE</v>
      </c>
      <c r="M2481">
        <v>4</v>
      </c>
      <c r="N2481">
        <v>93.75</v>
      </c>
      <c r="O2481">
        <v>19.31818181818182</v>
      </c>
    </row>
    <row r="2482" spans="1:15" hidden="1" x14ac:dyDescent="0.25">
      <c r="A2482" s="11">
        <v>46078</v>
      </c>
      <c r="B2482" t="s">
        <v>28</v>
      </c>
      <c r="C2482" t="s">
        <v>26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>
        <v>0</v>
      </c>
      <c r="N2482">
        <v>0</v>
      </c>
      <c r="O2482">
        <v>0</v>
      </c>
    </row>
    <row r="2483" spans="1:15" hidden="1" x14ac:dyDescent="0.25">
      <c r="A2483" s="11">
        <v>46078</v>
      </c>
      <c r="B2483" t="s">
        <v>58</v>
      </c>
      <c r="C2483" t="s">
        <v>48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>
        <v>0</v>
      </c>
      <c r="N2483">
        <v>97.92</v>
      </c>
      <c r="O2483">
        <v>32.87671232876712</v>
      </c>
    </row>
    <row r="2484" spans="1:15" hidden="1" x14ac:dyDescent="0.25">
      <c r="A2484" s="11">
        <v>46078</v>
      </c>
      <c r="B2484" t="s">
        <v>29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30</v>
      </c>
      <c r="C2485" t="s">
        <v>26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21</v>
      </c>
      <c r="C2486" t="s">
        <v>16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v>0</v>
      </c>
      <c r="J2486" s="3">
        <v>0</v>
      </c>
      <c r="K2486" s="3">
        <v>0</v>
      </c>
      <c r="L2486" s="3" t="str">
        <f>IF(K2486&lt;-5,"CRÍTICO",IF(K2486&lt;0,"ATENÇÃO",IF(K2486&lt;=5,"BOM","EXCELENTE")))</f>
        <v>BOM</v>
      </c>
      <c r="M2486">
        <v>0</v>
      </c>
      <c r="N2486">
        <v>0</v>
      </c>
      <c r="O2486">
        <v>0</v>
      </c>
    </row>
    <row r="2487" spans="1:15" hidden="1" x14ac:dyDescent="0.25">
      <c r="A2487" s="11">
        <v>46078</v>
      </c>
      <c r="B2487" t="s">
        <v>63</v>
      </c>
      <c r="C2487" t="s">
        <v>23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>E2487+G2487+H2487</f>
        <v>21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13</v>
      </c>
      <c r="K2487" s="3">
        <f>I2487-J2487</f>
        <v>8</v>
      </c>
      <c r="L2487" s="3" t="str">
        <f>IF(K2487&lt;-5,"CRÍTICO",IF(K2487&lt;0,"ATENÇÃO",IF(K2487&lt;=5,"BOM","EXCELENTE")))</f>
        <v>EXCELENTE</v>
      </c>
      <c r="M2487">
        <v>17</v>
      </c>
      <c r="N2487">
        <v>98.51</v>
      </c>
      <c r="O2487">
        <v>29.710144927536231</v>
      </c>
    </row>
    <row r="2488" spans="1:15" hidden="1" x14ac:dyDescent="0.25">
      <c r="A2488" s="11">
        <v>46078</v>
      </c>
      <c r="B2488" t="s">
        <v>45</v>
      </c>
      <c r="C2488" t="s">
        <v>32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>E2488+G2488+H2488</f>
        <v>33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20</v>
      </c>
      <c r="K2488" s="3">
        <f>I2488-J2488</f>
        <v>13</v>
      </c>
      <c r="L2488" s="3" t="str">
        <f>IF(K2488&lt;-5,"CRÍTICO",IF(K2488&lt;0,"ATENÇÃO",IF(K2488&lt;=5,"BOM","EXCELENTE")))</f>
        <v>EXCELENTE</v>
      </c>
      <c r="M2488">
        <v>25</v>
      </c>
      <c r="N2488">
        <v>98.81</v>
      </c>
      <c r="O2488">
        <v>30.712979890310791</v>
      </c>
    </row>
    <row r="2489" spans="1:15" hidden="1" x14ac:dyDescent="0.25">
      <c r="A2489" s="11">
        <v>46078</v>
      </c>
      <c r="B2489" t="s">
        <v>64</v>
      </c>
      <c r="C2489" t="s">
        <v>23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>E2489+G2489+H2489</f>
        <v>5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13</v>
      </c>
      <c r="K2489" s="3">
        <f>I2489-J2489</f>
        <v>-8</v>
      </c>
      <c r="L2489" s="3" t="str">
        <f>IF(K2489&lt;-5,"CRÍTICO",IF(K2489&lt;0,"ATENÇÃO",IF(K2489&lt;=5,"BOM","EXCELENTE")))</f>
        <v>CRÍTICO</v>
      </c>
      <c r="M2489">
        <v>10</v>
      </c>
      <c r="N2489">
        <v>98.48</v>
      </c>
      <c r="O2489">
        <v>29.35323383084577</v>
      </c>
    </row>
    <row r="2490" spans="1:15" hidden="1" x14ac:dyDescent="0.25">
      <c r="A2490" s="11">
        <v>46078</v>
      </c>
      <c r="B2490" t="s">
        <v>46</v>
      </c>
      <c r="C2490" t="s">
        <v>32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>E2490+G2490+H2490</f>
        <v>26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20</v>
      </c>
      <c r="K2490" s="3">
        <f>I2490-J2490</f>
        <v>6</v>
      </c>
      <c r="L2490" s="3" t="str">
        <f>IF(K2490&lt;-5,"CRÍTICO",IF(K2490&lt;0,"ATENÇÃO",IF(K2490&lt;=5,"BOM","EXCELENTE")))</f>
        <v>EXCELENTE</v>
      </c>
      <c r="M2490">
        <v>21</v>
      </c>
      <c r="N2490">
        <v>98.56</v>
      </c>
      <c r="O2490">
        <v>29.373650107991359</v>
      </c>
    </row>
    <row r="2491" spans="1:15" hidden="1" x14ac:dyDescent="0.25">
      <c r="A2491" s="11">
        <v>46079</v>
      </c>
      <c r="B2491" t="s">
        <v>47</v>
      </c>
      <c r="C2491" t="s">
        <v>48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>E2491+G2491+H2491</f>
        <v>19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16</v>
      </c>
      <c r="K2491" s="3">
        <f>I2491-J2491</f>
        <v>3</v>
      </c>
      <c r="L2491" s="3" t="str">
        <f>IF(K2491&lt;-5,"CRÍTICO",IF(K2491&lt;0,"ATENÇÃO",IF(K2491&lt;=5,"BOM","EXCELENTE")))</f>
        <v>BOM</v>
      </c>
      <c r="M2491">
        <v>18</v>
      </c>
      <c r="N2491">
        <v>98.32</v>
      </c>
      <c r="O2491">
        <v>30.303030303030301</v>
      </c>
    </row>
    <row r="2492" spans="1:15" hidden="1" x14ac:dyDescent="0.25">
      <c r="A2492" s="11">
        <v>46079</v>
      </c>
      <c r="B2492" t="s">
        <v>31</v>
      </c>
      <c r="C2492" t="s">
        <v>32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v>0</v>
      </c>
      <c r="J2492" s="3">
        <v>0</v>
      </c>
      <c r="K2492" s="3">
        <v>0</v>
      </c>
      <c r="L2492" s="3" t="str">
        <f>IF(K2492&lt;-5,"CRÍTICO",IF(K2492&lt;0,"ATENÇÃO",IF(K2492&lt;=5,"BOM","EXCELENTE")))</f>
        <v>BOM</v>
      </c>
      <c r="M2492">
        <v>22</v>
      </c>
      <c r="N2492">
        <v>98.68</v>
      </c>
      <c r="O2492">
        <v>26.219512195121951</v>
      </c>
    </row>
    <row r="2493" spans="1:15" hidden="1" x14ac:dyDescent="0.25">
      <c r="A2493" s="11">
        <v>46079</v>
      </c>
      <c r="B2493" t="s">
        <v>59</v>
      </c>
      <c r="C2493" t="s">
        <v>23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>E2493+G2493+H2493</f>
        <v>24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13</v>
      </c>
      <c r="K2493" s="3">
        <f>I2493-J2493</f>
        <v>11</v>
      </c>
      <c r="L2493" s="3" t="str">
        <f>IF(K2493&lt;-5,"CRÍTICO",IF(K2493&lt;0,"ATENÇÃO",IF(K2493&lt;=5,"BOM","EXCELENTE")))</f>
        <v>EXCELENTE</v>
      </c>
      <c r="M2493">
        <v>25</v>
      </c>
      <c r="N2493">
        <v>100</v>
      </c>
      <c r="O2493">
        <v>31.74224343675418</v>
      </c>
    </row>
    <row r="2494" spans="1:15" hidden="1" x14ac:dyDescent="0.25">
      <c r="A2494" s="11">
        <v>46079</v>
      </c>
      <c r="B2494" t="s">
        <v>33</v>
      </c>
      <c r="C2494" t="s">
        <v>32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>E2494+G2494+H2494</f>
        <v>20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20</v>
      </c>
      <c r="K2494" s="3">
        <f>I2494-J2494</f>
        <v>0</v>
      </c>
      <c r="L2494" s="3" t="str">
        <f>IF(K2494&lt;-5,"CRÍTICO",IF(K2494&lt;0,"ATENÇÃO",IF(K2494&lt;=5,"BOM","EXCELENTE")))</f>
        <v>BOM</v>
      </c>
      <c r="M2494">
        <v>22</v>
      </c>
      <c r="N2494">
        <v>98.25</v>
      </c>
      <c r="O2494">
        <v>25.83518930957684</v>
      </c>
    </row>
    <row r="2495" spans="1:15" hidden="1" x14ac:dyDescent="0.25">
      <c r="A2495" s="11">
        <v>46079</v>
      </c>
      <c r="B2495" t="s">
        <v>15</v>
      </c>
      <c r="C2495" t="s">
        <v>16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>E2495+G2495+H2495</f>
        <v>9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6</v>
      </c>
      <c r="K2495" s="3">
        <f>I2495-J2495</f>
        <v>3</v>
      </c>
      <c r="L2495" s="3" t="str">
        <f>IF(K2495&lt;-5,"CRÍTICO",IF(K2495&lt;0,"ATENÇÃO",IF(K2495&lt;=5,"BOM","EXCELENTE")))</f>
        <v>BOM</v>
      </c>
      <c r="M2495">
        <v>11</v>
      </c>
      <c r="N2495">
        <v>97.5</v>
      </c>
      <c r="O2495">
        <v>30.075187969924809</v>
      </c>
    </row>
    <row r="2496" spans="1:15" hidden="1" x14ac:dyDescent="0.25">
      <c r="A2496" s="11">
        <v>46079</v>
      </c>
      <c r="B2496" t="s">
        <v>49</v>
      </c>
      <c r="C2496" t="s">
        <v>48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>E2496+G2496+H2496</f>
        <v>26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10</v>
      </c>
      <c r="L2496" s="3" t="str">
        <f>IF(K2496&lt;-5,"CRÍTICO",IF(K2496&lt;0,"ATENÇÃO",IF(K2496&lt;=5,"BOM","EXCELENTE")))</f>
        <v>EXCELENTE</v>
      </c>
      <c r="M2496">
        <v>23</v>
      </c>
      <c r="N2496">
        <v>100</v>
      </c>
      <c r="O2496">
        <v>29.71311475409836</v>
      </c>
    </row>
    <row r="2497" spans="1:15" hidden="1" x14ac:dyDescent="0.25">
      <c r="A2497" s="11">
        <v>46079</v>
      </c>
      <c r="B2497" t="s">
        <v>50</v>
      </c>
      <c r="C2497" t="s">
        <v>48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>E2497+G2497+H2497</f>
        <v>11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16</v>
      </c>
      <c r="K2497" s="3">
        <f>I2497-J2497</f>
        <v>-5</v>
      </c>
      <c r="L2497" s="3" t="str">
        <f>IF(K2497&lt;-5,"CRÍTICO",IF(K2497&lt;0,"ATENÇÃO",IF(K2497&lt;=5,"BOM","EXCELENTE")))</f>
        <v>ATENÇÃO</v>
      </c>
      <c r="M2497">
        <v>10</v>
      </c>
      <c r="N2497">
        <v>99.22</v>
      </c>
      <c r="O2497">
        <v>35.256410256410263</v>
      </c>
    </row>
    <row r="2498" spans="1:15" hidden="1" x14ac:dyDescent="0.25">
      <c r="A2498" s="11">
        <v>46079</v>
      </c>
      <c r="B2498" t="s">
        <v>17</v>
      </c>
      <c r="C2498" t="s">
        <v>16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v>0</v>
      </c>
      <c r="J2498" s="3">
        <v>0</v>
      </c>
      <c r="K2498" s="3">
        <v>0</v>
      </c>
      <c r="L2498" s="3" t="str">
        <f>IF(K2498&lt;-5,"CRÍTICO",IF(K2498&lt;0,"ATENÇÃO",IF(K2498&lt;=5,"BOM","EXCELENTE")))</f>
        <v>BOM</v>
      </c>
      <c r="M2498">
        <v>0</v>
      </c>
      <c r="N2498">
        <v>0</v>
      </c>
      <c r="O2498">
        <v>0</v>
      </c>
    </row>
    <row r="2499" spans="1:15" hidden="1" x14ac:dyDescent="0.25">
      <c r="A2499" s="11">
        <v>46079</v>
      </c>
      <c r="B2499" t="s">
        <v>60</v>
      </c>
      <c r="C2499" t="s">
        <v>23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>E2499+G2499+H2499</f>
        <v>15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2</v>
      </c>
      <c r="L2499" s="3" t="str">
        <f>IF(K2499&lt;-5,"CRÍTICO",IF(K2499&lt;0,"ATENÇÃO",IF(K2499&lt;=5,"BOM","EXCELENTE")))</f>
        <v>BOM</v>
      </c>
      <c r="M2499">
        <v>13</v>
      </c>
      <c r="N2499">
        <v>98.75</v>
      </c>
      <c r="O2499">
        <v>24.32432432432433</v>
      </c>
    </row>
    <row r="2500" spans="1:15" hidden="1" x14ac:dyDescent="0.25">
      <c r="A2500" s="11">
        <v>46079</v>
      </c>
      <c r="B2500" t="s">
        <v>34</v>
      </c>
      <c r="C2500" t="s">
        <v>32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>E2500+G2500+H2500</f>
        <v>21</v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>20</v>
      </c>
      <c r="K2500" s="3">
        <f>I2500-J2500</f>
        <v>1</v>
      </c>
      <c r="L2500" s="3" t="str">
        <f>IF(K2500&lt;-5,"CRÍTICO",IF(K2500&lt;0,"ATENÇÃO",IF(K2500&lt;=5,"BOM","EXCELENTE")))</f>
        <v>BOM</v>
      </c>
      <c r="M2500">
        <v>20</v>
      </c>
      <c r="N2500">
        <v>93.48</v>
      </c>
      <c r="O2500">
        <v>31.52804642166344</v>
      </c>
    </row>
    <row r="2501" spans="1:15" hidden="1" x14ac:dyDescent="0.25">
      <c r="A2501" s="11">
        <v>46079</v>
      </c>
      <c r="B2501" t="s">
        <v>51</v>
      </c>
      <c r="C2501" t="s">
        <v>48</v>
      </c>
      <c r="D2501">
        <v>19</v>
      </c>
      <c r="E2501">
        <v>17</v>
      </c>
      <c r="F2501">
        <v>33.270000000000003</v>
      </c>
      <c r="G2501">
        <v>0</v>
      </c>
      <c r="H2501">
        <v>0</v>
      </c>
      <c r="I2501" s="3">
        <v>0</v>
      </c>
      <c r="J2501" s="3">
        <v>0</v>
      </c>
      <c r="K2501" s="3">
        <v>0</v>
      </c>
      <c r="L2501" s="3" t="str">
        <f>IF(K2501&lt;-5,"CRÍTICO",IF(K2501&lt;0,"ATENÇÃO",IF(K2501&lt;=5,"BOM","EXCELENTE")))</f>
        <v>BOM</v>
      </c>
      <c r="M2501">
        <v>14</v>
      </c>
      <c r="N2501">
        <v>99.16</v>
      </c>
      <c r="O2501">
        <v>26.13908872901678</v>
      </c>
    </row>
    <row r="2502" spans="1:15" hidden="1" x14ac:dyDescent="0.25">
      <c r="A2502" s="11">
        <v>46079</v>
      </c>
      <c r="B2502" t="s">
        <v>61</v>
      </c>
      <c r="C2502" t="s">
        <v>23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>E2502+G2502+H2502</f>
        <v>13</v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>13</v>
      </c>
      <c r="K2502" s="3">
        <f>I2502-J2502</f>
        <v>0</v>
      </c>
      <c r="L2502" s="3" t="str">
        <f>IF(K2502&lt;-5,"CRÍTICO",IF(K2502&lt;0,"ATENÇÃO",IF(K2502&lt;=5,"BOM","EXCELENTE")))</f>
        <v>BOM</v>
      </c>
      <c r="M2502">
        <v>8</v>
      </c>
      <c r="N2502">
        <v>100</v>
      </c>
      <c r="O2502">
        <v>31.089743589743591</v>
      </c>
    </row>
    <row r="2503" spans="1:15" hidden="1" x14ac:dyDescent="0.25">
      <c r="A2503" s="11">
        <v>46079</v>
      </c>
      <c r="B2503" t="s">
        <v>35</v>
      </c>
      <c r="C2503" t="s">
        <v>32</v>
      </c>
      <c r="D2503">
        <v>18</v>
      </c>
      <c r="E2503">
        <v>17</v>
      </c>
      <c r="F2503">
        <v>40.32</v>
      </c>
      <c r="G2503">
        <v>0</v>
      </c>
      <c r="H2503">
        <v>0</v>
      </c>
      <c r="I2503" s="3">
        <v>0</v>
      </c>
      <c r="J2503" s="3">
        <v>0</v>
      </c>
      <c r="K2503" s="3">
        <v>0</v>
      </c>
      <c r="L2503" s="3" t="str">
        <f>IF(K2503&lt;-5,"CRÍTICO",IF(K2503&lt;0,"ATENÇÃO",IF(K2503&lt;=5,"BOM","EXCELENTE")))</f>
        <v>BOM</v>
      </c>
      <c r="M2503">
        <v>18</v>
      </c>
      <c r="N2503">
        <v>98.11</v>
      </c>
      <c r="O2503">
        <v>33.033707865168537</v>
      </c>
    </row>
    <row r="2504" spans="1:15" hidden="1" x14ac:dyDescent="0.25">
      <c r="A2504" s="11">
        <v>46079</v>
      </c>
      <c r="B2504" t="s">
        <v>18</v>
      </c>
      <c r="C2504" t="s">
        <v>16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>E2504+G2504+H2504</f>
        <v>8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6</v>
      </c>
      <c r="K2504" s="3">
        <f>I2504-J2504</f>
        <v>2</v>
      </c>
      <c r="L2504" s="3" t="str">
        <f>IF(K2504&lt;-5,"CRÍTICO",IF(K2504&lt;0,"ATENÇÃO",IF(K2504&lt;=5,"BOM","EXCELENTE")))</f>
        <v>BOM</v>
      </c>
      <c r="M2504">
        <v>4</v>
      </c>
      <c r="N2504">
        <v>78.95</v>
      </c>
      <c r="O2504">
        <v>38.983050847457633</v>
      </c>
    </row>
    <row r="2505" spans="1:15" hidden="1" x14ac:dyDescent="0.25">
      <c r="A2505" s="11">
        <v>46079</v>
      </c>
      <c r="B2505" t="s">
        <v>52</v>
      </c>
      <c r="C2505" t="s">
        <v>48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>E2505+G2505+H2505</f>
        <v>22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16</v>
      </c>
      <c r="K2505" s="3">
        <f>I2505-J2505</f>
        <v>6</v>
      </c>
      <c r="L2505" s="3" t="str">
        <f>IF(K2505&lt;-5,"CRÍTICO",IF(K2505&lt;0,"ATENÇÃO",IF(K2505&lt;=5,"BOM","EXCELENTE")))</f>
        <v>EXCELENTE</v>
      </c>
      <c r="M2505">
        <v>20</v>
      </c>
      <c r="N2505">
        <v>98.45</v>
      </c>
      <c r="O2505">
        <v>29.281767955801101</v>
      </c>
    </row>
    <row r="2506" spans="1:15" hidden="1" x14ac:dyDescent="0.25">
      <c r="A2506" s="11">
        <v>46079</v>
      </c>
      <c r="B2506" t="s">
        <v>36</v>
      </c>
      <c r="C2506" t="s">
        <v>32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>E2506+G2506+H2506</f>
        <v>21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20</v>
      </c>
      <c r="K2506" s="3">
        <f>I2506-J2506</f>
        <v>1</v>
      </c>
      <c r="L2506" s="3" t="str">
        <f>IF(K2506&lt;-5,"CRÍTICO",IF(K2506&lt;0,"ATENÇÃO",IF(K2506&lt;=5,"BOM","EXCELENTE")))</f>
        <v>BOM</v>
      </c>
      <c r="M2506">
        <v>20</v>
      </c>
      <c r="N2506">
        <v>97.84</v>
      </c>
      <c r="O2506">
        <v>26.282051282051281</v>
      </c>
    </row>
    <row r="2507" spans="1:15" hidden="1" x14ac:dyDescent="0.25">
      <c r="A2507" s="11">
        <v>46079</v>
      </c>
      <c r="B2507" t="s">
        <v>53</v>
      </c>
      <c r="C2507" t="s">
        <v>48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>E2507+G2507+H2507</f>
        <v>22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16</v>
      </c>
      <c r="K2507" s="3">
        <f>I2507-J2507</f>
        <v>6</v>
      </c>
      <c r="L2507" s="3" t="str">
        <f>IF(K2507&lt;-5,"CRÍTICO",IF(K2507&lt;0,"ATENÇÃO",IF(K2507&lt;=5,"BOM","EXCELENTE")))</f>
        <v>EXCELENTE</v>
      </c>
      <c r="M2507">
        <v>19</v>
      </c>
      <c r="N2507">
        <v>98.5</v>
      </c>
      <c r="O2507">
        <v>23.97769516728625</v>
      </c>
    </row>
    <row r="2508" spans="1:15" hidden="1" x14ac:dyDescent="0.25">
      <c r="A2508" s="11">
        <v>46113</v>
      </c>
      <c r="B2508" t="s">
        <v>22</v>
      </c>
      <c r="C2508" t="s">
        <v>23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>E2508+G2508+H2508</f>
        <v>25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21</v>
      </c>
      <c r="K2508" s="3">
        <f>I2508-J2508</f>
        <v>4</v>
      </c>
      <c r="L2508" s="3" t="str">
        <f>IF(K2508&lt;-5,"CRÍTICO",IF(K2508&lt;0,"ATENÇÃO",IF(K2508&lt;=5,"OPORTUNO","MUITO BOM")))</f>
        <v>OPORTUNO</v>
      </c>
      <c r="M2508">
        <v>23</v>
      </c>
      <c r="N2508">
        <v>99.28</v>
      </c>
      <c r="O2508">
        <v>27.689243027888441</v>
      </c>
    </row>
    <row r="2509" spans="1:15" hidden="1" x14ac:dyDescent="0.25">
      <c r="A2509" s="11">
        <v>46079</v>
      </c>
      <c r="B2509" t="s">
        <v>54</v>
      </c>
      <c r="C2509" t="s">
        <v>48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>E2509+G2509+H2509</f>
        <v>26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16</v>
      </c>
      <c r="K2509" s="3">
        <f>I2509-J2509</f>
        <v>10</v>
      </c>
      <c r="L2509" s="3" t="str">
        <f>IF(K2509&lt;-5,"CRÍTICO",IF(K2509&lt;0,"ATENÇÃO",IF(K2509&lt;=5,"BOM","EXCELENTE")))</f>
        <v>EXCELENTE</v>
      </c>
      <c r="M2509">
        <v>23</v>
      </c>
      <c r="N2509">
        <v>98.53</v>
      </c>
      <c r="O2509">
        <v>31.578947368421051</v>
      </c>
    </row>
    <row r="2510" spans="1:15" hidden="1" x14ac:dyDescent="0.25">
      <c r="A2510" s="11">
        <v>46079</v>
      </c>
      <c r="B2510" t="s">
        <v>37</v>
      </c>
      <c r="C2510" t="s">
        <v>32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>E2510+G2510+H2510</f>
        <v>43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23</v>
      </c>
      <c r="L2510" s="3" t="str">
        <f>IF(K2510&lt;-5,"CRÍTICO",IF(K2510&lt;0,"ATENÇÃO",IF(K2510&lt;=5,"BOM","EXCELENTE")))</f>
        <v>EXCELENTE</v>
      </c>
      <c r="M2510">
        <v>44</v>
      </c>
      <c r="N2510">
        <v>100</v>
      </c>
      <c r="O2510">
        <v>25.72214580467676</v>
      </c>
    </row>
    <row r="2511" spans="1:15" hidden="1" x14ac:dyDescent="0.25">
      <c r="A2511" s="11">
        <v>46079</v>
      </c>
      <c r="B2511" t="s">
        <v>38</v>
      </c>
      <c r="C2511" t="s">
        <v>32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>E2511+G2511+H2511</f>
        <v>18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20</v>
      </c>
      <c r="K2511" s="3">
        <f>I2511-J2511</f>
        <v>-2</v>
      </c>
      <c r="L2511" s="3" t="str">
        <f>IF(K2511&lt;-5,"CRÍTICO",IF(K2511&lt;0,"ATENÇÃO",IF(K2511&lt;=5,"BOM","EXCELENTE")))</f>
        <v>ATENÇÃO</v>
      </c>
      <c r="M2511">
        <v>15</v>
      </c>
      <c r="N2511">
        <v>94.64</v>
      </c>
      <c r="O2511">
        <v>27.52941176470588</v>
      </c>
    </row>
    <row r="2512" spans="1:15" hidden="1" x14ac:dyDescent="0.25">
      <c r="A2512" s="11">
        <v>46079</v>
      </c>
      <c r="B2512" t="s">
        <v>55</v>
      </c>
      <c r="C2512" t="s">
        <v>48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>E2512+G2512+H2512</f>
        <v>12</v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>16</v>
      </c>
      <c r="K2512" s="3">
        <f>I2512-J2512</f>
        <v>-4</v>
      </c>
      <c r="L2512" s="3" t="str">
        <f>IF(K2512&lt;-5,"CRÍTICO",IF(K2512&lt;0,"ATENÇÃO",IF(K2512&lt;=5,"BOM","EXCELENTE")))</f>
        <v>ATENÇÃO</v>
      </c>
      <c r="M2512">
        <v>11</v>
      </c>
      <c r="N2512">
        <v>99.07</v>
      </c>
      <c r="O2512">
        <v>26.376811594202898</v>
      </c>
    </row>
    <row r="2513" spans="1:15" hidden="1" x14ac:dyDescent="0.25">
      <c r="A2513" s="11">
        <v>46079</v>
      </c>
      <c r="B2513" t="s">
        <v>39</v>
      </c>
      <c r="C2513" t="s">
        <v>32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v>0</v>
      </c>
      <c r="J2513" s="3">
        <v>0</v>
      </c>
      <c r="K2513" s="3">
        <v>0</v>
      </c>
      <c r="L2513" s="3" t="str">
        <f>IF(K2513&lt;-5,"CRÍTICO",IF(K2513&lt;0,"ATENÇÃO",IF(K2513&lt;=5,"BOM","EXCELENTE")))</f>
        <v>BOM</v>
      </c>
      <c r="M2513">
        <v>0</v>
      </c>
      <c r="N2513">
        <v>100</v>
      </c>
      <c r="O2513">
        <v>0</v>
      </c>
    </row>
    <row r="2514" spans="1:15" hidden="1" x14ac:dyDescent="0.25">
      <c r="A2514" s="11">
        <v>46079</v>
      </c>
      <c r="B2514" t="s">
        <v>25</v>
      </c>
      <c r="C2514" t="s">
        <v>26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>E2514+G2514+H2514</f>
        <v>17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12</v>
      </c>
      <c r="K2514" s="3">
        <f>I2514-J2514</f>
        <v>5</v>
      </c>
      <c r="L2514" s="3" t="str">
        <f>IF(K2514&lt;-5,"CRÍTICO",IF(K2514&lt;0,"ATENÇÃO",IF(K2514&lt;=5,"BOM","EXCELENTE")))</f>
        <v>BOM</v>
      </c>
      <c r="M2514">
        <v>19</v>
      </c>
      <c r="N2514">
        <v>98.48</v>
      </c>
      <c r="O2514">
        <v>27.853881278538811</v>
      </c>
    </row>
    <row r="2515" spans="1:15" hidden="1" x14ac:dyDescent="0.25">
      <c r="A2515" s="11">
        <v>46079</v>
      </c>
      <c r="B2515" t="s">
        <v>40</v>
      </c>
      <c r="C2515" t="s">
        <v>32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>
        <v>6</v>
      </c>
      <c r="N2515">
        <v>95.15</v>
      </c>
      <c r="O2515">
        <v>34.131736526946113</v>
      </c>
    </row>
    <row r="2516" spans="1:15" hidden="1" x14ac:dyDescent="0.25">
      <c r="A2516" s="11">
        <v>46079</v>
      </c>
      <c r="B2516" t="s">
        <v>27</v>
      </c>
      <c r="C2516" t="s">
        <v>26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v>0</v>
      </c>
      <c r="J2516" s="3">
        <v>0</v>
      </c>
      <c r="K2516" s="3">
        <v>0</v>
      </c>
      <c r="L2516" s="3" t="str">
        <f>IF(K2516&lt;-5,"CRÍTICO",IF(K2516&lt;0,"ATENÇÃO",IF(K2516&lt;=5,"BOM","EXCELENTE")))</f>
        <v>BOM</v>
      </c>
      <c r="M2516">
        <v>0</v>
      </c>
      <c r="N2516">
        <v>0</v>
      </c>
      <c r="O2516">
        <v>0</v>
      </c>
    </row>
    <row r="2517" spans="1:15" hidden="1" x14ac:dyDescent="0.25">
      <c r="A2517" s="11">
        <v>46079</v>
      </c>
      <c r="B2517" t="s">
        <v>41</v>
      </c>
      <c r="C2517" t="s">
        <v>32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>E2517+G2517+H2517</f>
        <v>24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20</v>
      </c>
      <c r="K2517" s="3">
        <f>I2517-J2517</f>
        <v>4</v>
      </c>
      <c r="L2517" s="3" t="str">
        <f>IF(K2517&lt;-5,"CRÍTICO",IF(K2517&lt;0,"ATENÇÃO",IF(K2517&lt;=5,"BOM","EXCELENTE")))</f>
        <v>BOM</v>
      </c>
      <c r="M2517">
        <v>23</v>
      </c>
      <c r="N2517">
        <v>99.26</v>
      </c>
      <c r="O2517">
        <v>30.84832904884319</v>
      </c>
    </row>
    <row r="2518" spans="1:15" hidden="1" x14ac:dyDescent="0.25">
      <c r="A2518" s="11">
        <v>46079</v>
      </c>
      <c r="B2518" t="s">
        <v>56</v>
      </c>
      <c r="C2518" t="s">
        <v>48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>E2518+G2518+H2518</f>
        <v>22</v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>16</v>
      </c>
      <c r="K2518" s="3">
        <f>I2518-J2518</f>
        <v>6</v>
      </c>
      <c r="L2518" s="3" t="str">
        <f>IF(K2518&lt;-5,"CRÍTICO",IF(K2518&lt;0,"ATENÇÃO",IF(K2518&lt;=5,"BOM","EXCELENTE")))</f>
        <v>EXCELENTE</v>
      </c>
      <c r="M2518">
        <v>19</v>
      </c>
      <c r="N2518">
        <v>97.48</v>
      </c>
      <c r="O2518">
        <v>27.764705882352938</v>
      </c>
    </row>
    <row r="2519" spans="1:15" hidden="1" x14ac:dyDescent="0.25">
      <c r="A2519" s="11">
        <v>46079</v>
      </c>
      <c r="B2519" t="s">
        <v>57</v>
      </c>
      <c r="C2519" t="s">
        <v>48</v>
      </c>
      <c r="D2519">
        <v>20</v>
      </c>
      <c r="E2519">
        <v>19</v>
      </c>
      <c r="F2519">
        <v>30.22</v>
      </c>
      <c r="G2519">
        <v>0</v>
      </c>
      <c r="H2519">
        <v>0</v>
      </c>
      <c r="I2519" s="3">
        <v>0</v>
      </c>
      <c r="J2519" s="3">
        <v>0</v>
      </c>
      <c r="K2519" s="3">
        <v>0</v>
      </c>
      <c r="L2519" s="3" t="str">
        <f>IF(K2519&lt;-5,"CRÍTICO",IF(K2519&lt;0,"ATENÇÃO",IF(K2519&lt;=5,"BOM","EXCELENTE")))</f>
        <v>BOM</v>
      </c>
      <c r="M2519">
        <v>22</v>
      </c>
      <c r="N2519">
        <v>99.34</v>
      </c>
      <c r="O2519">
        <v>30.04291845493562</v>
      </c>
    </row>
    <row r="2520" spans="1:15" hidden="1" x14ac:dyDescent="0.25">
      <c r="A2520" s="11">
        <v>46079</v>
      </c>
      <c r="B2520" t="s">
        <v>42</v>
      </c>
      <c r="C2520" t="s">
        <v>32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>E2520+G2520+H2520</f>
        <v>35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20</v>
      </c>
      <c r="K2520" s="3">
        <f>I2520-J2520</f>
        <v>15</v>
      </c>
      <c r="L2520" s="3" t="str">
        <f>IF(K2520&lt;-5,"CRÍTICO",IF(K2520&lt;0,"ATENÇÃO",IF(K2520&lt;=5,"BOM","EXCELENTE")))</f>
        <v>EXCELENTE</v>
      </c>
      <c r="M2520">
        <v>18</v>
      </c>
      <c r="N2520">
        <v>96.3</v>
      </c>
      <c r="O2520">
        <v>24.29378531073446</v>
      </c>
    </row>
    <row r="2521" spans="1:15" hidden="1" x14ac:dyDescent="0.25">
      <c r="A2521" s="11">
        <v>46079</v>
      </c>
      <c r="B2521" t="s">
        <v>62</v>
      </c>
      <c r="C2521" t="s">
        <v>23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>E2521+G2521+H2521</f>
        <v>14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13</v>
      </c>
      <c r="K2521" s="3">
        <f>I2521-J2521</f>
        <v>1</v>
      </c>
      <c r="L2521" s="3" t="str">
        <f>IF(K2521&lt;-5,"CRÍTICO",IF(K2521&lt;0,"ATENÇÃO",IF(K2521&lt;=5,"BOM","EXCELENTE")))</f>
        <v>BOM</v>
      </c>
      <c r="M2521">
        <v>12</v>
      </c>
      <c r="N2521">
        <v>100</v>
      </c>
      <c r="O2521">
        <v>26.543209876543209</v>
      </c>
    </row>
    <row r="2522" spans="1:15" hidden="1" x14ac:dyDescent="0.25">
      <c r="A2522" s="11">
        <v>46079</v>
      </c>
      <c r="B2522" t="s">
        <v>19</v>
      </c>
      <c r="C2522" t="s">
        <v>16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>E2522+G2522+H2522</f>
        <v>2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6</v>
      </c>
      <c r="K2522" s="3">
        <f>I2522-J2522</f>
        <v>-4</v>
      </c>
      <c r="L2522" s="3" t="str">
        <f>IF(K2522&lt;-5,"CRÍTICO",IF(K2522&lt;0,"ATENÇÃO",IF(K2522&lt;=5,"BOM","EXCELENTE")))</f>
        <v>ATENÇÃO</v>
      </c>
      <c r="M2522">
        <v>2</v>
      </c>
      <c r="N2522">
        <v>100</v>
      </c>
      <c r="O2522">
        <v>35.483870967741943</v>
      </c>
    </row>
    <row r="2523" spans="1:15" hidden="1" x14ac:dyDescent="0.25">
      <c r="A2523" s="11">
        <v>46079</v>
      </c>
      <c r="B2523" t="s">
        <v>43</v>
      </c>
      <c r="C2523" t="s">
        <v>32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>E2523+G2523+H2523</f>
        <v>26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6</v>
      </c>
      <c r="L2523" s="3" t="str">
        <f>IF(K2523&lt;-5,"CRÍTICO",IF(K2523&lt;0,"ATENÇÃO",IF(K2523&lt;=5,"BOM","EXCELENTE")))</f>
        <v>EXCELENTE</v>
      </c>
      <c r="M2523">
        <v>25</v>
      </c>
      <c r="N2523">
        <v>99.27</v>
      </c>
      <c r="O2523">
        <v>31.163708086785011</v>
      </c>
    </row>
    <row r="2524" spans="1:15" hidden="1" x14ac:dyDescent="0.25">
      <c r="A2524" s="11">
        <v>46079</v>
      </c>
      <c r="B2524" t="s">
        <v>44</v>
      </c>
      <c r="C2524" t="s">
        <v>32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>E2524+G2524+H2524</f>
        <v>28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20</v>
      </c>
      <c r="K2524" s="3">
        <f>I2524-J2524</f>
        <v>8</v>
      </c>
      <c r="L2524" s="3" t="str">
        <f>IF(K2524&lt;-5,"CRÍTICO",IF(K2524&lt;0,"ATENÇÃO",IF(K2524&lt;=5,"BOM","EXCELENTE")))</f>
        <v>EXCELENTE</v>
      </c>
      <c r="M2524">
        <v>26</v>
      </c>
      <c r="N2524">
        <v>94.16</v>
      </c>
      <c r="O2524">
        <v>27.038626609442058</v>
      </c>
    </row>
    <row r="2525" spans="1:15" hidden="1" x14ac:dyDescent="0.25">
      <c r="A2525" s="11">
        <v>46079</v>
      </c>
      <c r="B2525" t="s">
        <v>20</v>
      </c>
      <c r="C2525" t="s">
        <v>16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>E2525+G2525+H2525</f>
        <v>7</v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>6</v>
      </c>
      <c r="K2525" s="3">
        <f>I2525-J2525</f>
        <v>1</v>
      </c>
      <c r="L2525" s="3" t="str">
        <f>IF(K2525&lt;-5,"CRÍTICO",IF(K2525&lt;0,"ATENÇÃO",IF(K2525&lt;=5,"BOM","EXCELENTE")))</f>
        <v>BOM</v>
      </c>
      <c r="M2525">
        <v>3</v>
      </c>
      <c r="N2525">
        <v>93.75</v>
      </c>
      <c r="O2525">
        <v>19.31818181818182</v>
      </c>
    </row>
    <row r="2526" spans="1:15" hidden="1" x14ac:dyDescent="0.25">
      <c r="A2526" s="11">
        <v>46079</v>
      </c>
      <c r="B2526" t="s">
        <v>28</v>
      </c>
      <c r="C2526" t="s">
        <v>26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>
        <v>0</v>
      </c>
      <c r="N2526">
        <v>0</v>
      </c>
      <c r="O2526">
        <v>0</v>
      </c>
    </row>
    <row r="2527" spans="1:15" hidden="1" x14ac:dyDescent="0.25">
      <c r="A2527" s="11">
        <v>46079</v>
      </c>
      <c r="B2527" t="s">
        <v>58</v>
      </c>
      <c r="C2527" t="s">
        <v>48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>
        <v>0</v>
      </c>
      <c r="N2527">
        <v>97.92</v>
      </c>
      <c r="O2527">
        <v>32.87671232876712</v>
      </c>
    </row>
    <row r="2528" spans="1:15" hidden="1" x14ac:dyDescent="0.25">
      <c r="A2528" s="11">
        <v>46079</v>
      </c>
      <c r="B2528" t="s">
        <v>29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30</v>
      </c>
      <c r="C2529" t="s">
        <v>26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21</v>
      </c>
      <c r="C2530" t="s">
        <v>16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v>0</v>
      </c>
      <c r="J2530" s="3">
        <v>0</v>
      </c>
      <c r="K2530" s="3">
        <v>0</v>
      </c>
      <c r="L2530" s="3" t="str">
        <f>IF(K2530&lt;-5,"CRÍTICO",IF(K2530&lt;0,"ATENÇÃO",IF(K2530&lt;=5,"BOM","EXCELENTE")))</f>
        <v>BOM</v>
      </c>
      <c r="M2530">
        <v>0</v>
      </c>
      <c r="N2530">
        <v>0</v>
      </c>
      <c r="O2530">
        <v>0</v>
      </c>
    </row>
    <row r="2531" spans="1:15" hidden="1" x14ac:dyDescent="0.25">
      <c r="A2531" s="11">
        <v>46079</v>
      </c>
      <c r="B2531" t="s">
        <v>63</v>
      </c>
      <c r="C2531" t="s">
        <v>23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>E2531+G2531+H2531</f>
        <v>17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13</v>
      </c>
      <c r="K2531" s="3">
        <f>I2531-J2531</f>
        <v>4</v>
      </c>
      <c r="L2531" s="3" t="str">
        <f>IF(K2531&lt;-5,"CRÍTICO",IF(K2531&lt;0,"ATENÇÃO",IF(K2531&lt;=5,"BOM","EXCELENTE")))</f>
        <v>BOM</v>
      </c>
      <c r="M2531">
        <v>15</v>
      </c>
      <c r="N2531">
        <v>98.51</v>
      </c>
      <c r="O2531">
        <v>29.710144927536231</v>
      </c>
    </row>
    <row r="2532" spans="1:15" hidden="1" x14ac:dyDescent="0.25">
      <c r="A2532" s="11">
        <v>46079</v>
      </c>
      <c r="B2532" t="s">
        <v>45</v>
      </c>
      <c r="C2532" t="s">
        <v>32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>E2532+G2532+H2532</f>
        <v>29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20</v>
      </c>
      <c r="K2532" s="3">
        <f>I2532-J2532</f>
        <v>9</v>
      </c>
      <c r="L2532" s="3" t="str">
        <f>IF(K2532&lt;-5,"CRÍTICO",IF(K2532&lt;0,"ATENÇÃO",IF(K2532&lt;=5,"BOM","EXCELENTE")))</f>
        <v>EXCELENTE</v>
      </c>
      <c r="M2532">
        <v>29</v>
      </c>
      <c r="N2532">
        <v>98.81</v>
      </c>
      <c r="O2532">
        <v>30.712979890310791</v>
      </c>
    </row>
    <row r="2533" spans="1:15" hidden="1" x14ac:dyDescent="0.25">
      <c r="A2533" s="11">
        <v>46079</v>
      </c>
      <c r="B2533" t="s">
        <v>64</v>
      </c>
      <c r="C2533" t="s">
        <v>23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>E2533+G2533+H2533</f>
        <v>11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13</v>
      </c>
      <c r="K2533" s="3">
        <f>I2533-J2533</f>
        <v>-2</v>
      </c>
      <c r="L2533" s="3" t="str">
        <f>IF(K2533&lt;-5,"CRÍTICO",IF(K2533&lt;0,"ATENÇÃO",IF(K2533&lt;=5,"BOM","EXCELENTE")))</f>
        <v>ATENÇÃO</v>
      </c>
      <c r="M2533">
        <v>11</v>
      </c>
      <c r="N2533">
        <v>98.48</v>
      </c>
      <c r="O2533">
        <v>29.35323383084577</v>
      </c>
    </row>
    <row r="2534" spans="1:15" hidden="1" x14ac:dyDescent="0.25">
      <c r="A2534" s="11">
        <v>46079</v>
      </c>
      <c r="B2534" t="s">
        <v>46</v>
      </c>
      <c r="C2534" t="s">
        <v>32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20</v>
      </c>
      <c r="K2534" s="3">
        <f>I2534-J2534</f>
        <v>0</v>
      </c>
      <c r="L2534" s="3" t="str">
        <f>IF(K2534&lt;-5,"CRÍTICO",IF(K2534&lt;0,"ATENÇÃO",IF(K2534&lt;=5,"BOM","EXCELENTE")))</f>
        <v>BOM</v>
      </c>
      <c r="M2534">
        <v>16</v>
      </c>
      <c r="N2534">
        <v>98.56</v>
      </c>
      <c r="O2534">
        <v>29.373650107991359</v>
      </c>
    </row>
    <row r="2535" spans="1:15" hidden="1" x14ac:dyDescent="0.25">
      <c r="A2535" s="11">
        <v>46080</v>
      </c>
      <c r="B2535" t="s">
        <v>47</v>
      </c>
      <c r="C2535" t="s">
        <v>48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>E2535+G2535+H2535</f>
        <v>26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15</v>
      </c>
      <c r="K2535" s="3">
        <f>I2535-J2535</f>
        <v>11</v>
      </c>
      <c r="L2535" s="3" t="str">
        <f>IF(K2535&lt;-5,"CRÍTICO",IF(K2535&lt;0,"ATENÇÃO",IF(K2535&lt;=5,"BOM","EXCELENTE")))</f>
        <v>EXCELENTE</v>
      </c>
      <c r="M2535">
        <v>21</v>
      </c>
      <c r="N2535">
        <v>98.32</v>
      </c>
      <c r="O2535">
        <v>30.303030303030301</v>
      </c>
    </row>
    <row r="2536" spans="1:15" hidden="1" x14ac:dyDescent="0.25">
      <c r="A2536" s="11">
        <v>46080</v>
      </c>
      <c r="B2536" t="s">
        <v>31</v>
      </c>
      <c r="C2536" t="s">
        <v>32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v>0</v>
      </c>
      <c r="J2536" s="3">
        <v>0</v>
      </c>
      <c r="K2536" s="3">
        <v>0</v>
      </c>
      <c r="L2536" s="3" t="str">
        <f>IF(K2536&lt;-5,"CRÍTICO",IF(K2536&lt;0,"ATENÇÃO",IF(K2536&lt;=5,"BOM","EXCELENTE")))</f>
        <v>BOM</v>
      </c>
      <c r="M2536">
        <v>22</v>
      </c>
      <c r="N2536">
        <v>98.68</v>
      </c>
      <c r="O2536">
        <v>26.219512195121951</v>
      </c>
    </row>
    <row r="2537" spans="1:15" hidden="1" x14ac:dyDescent="0.25">
      <c r="A2537" s="11">
        <v>46080</v>
      </c>
      <c r="B2537" t="s">
        <v>59</v>
      </c>
      <c r="C2537" t="s">
        <v>23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>E2537+G2537+H2537</f>
        <v>20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13</v>
      </c>
      <c r="K2537" s="3">
        <f>I2537-J2537</f>
        <v>7</v>
      </c>
      <c r="L2537" s="3" t="str">
        <f>IF(K2537&lt;-5,"CRÍTICO",IF(K2537&lt;0,"ATENÇÃO",IF(K2537&lt;=5,"BOM","EXCELENTE")))</f>
        <v>EXCELENTE</v>
      </c>
      <c r="M2537">
        <v>21</v>
      </c>
      <c r="N2537">
        <v>100</v>
      </c>
      <c r="O2537">
        <v>31.74224343675418</v>
      </c>
    </row>
    <row r="2538" spans="1:15" hidden="1" x14ac:dyDescent="0.25">
      <c r="A2538" s="11">
        <v>46080</v>
      </c>
      <c r="B2538" t="s">
        <v>33</v>
      </c>
      <c r="C2538" t="s">
        <v>32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>E2538+G2538+H2538</f>
        <v>19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19</v>
      </c>
      <c r="K2538" s="3">
        <f>I2538-J2538</f>
        <v>0</v>
      </c>
      <c r="L2538" s="3" t="str">
        <f>IF(K2538&lt;-5,"CRÍTICO",IF(K2538&lt;0,"ATENÇÃO",IF(K2538&lt;=5,"BOM","EXCELENTE")))</f>
        <v>BOM</v>
      </c>
      <c r="M2538">
        <v>15</v>
      </c>
      <c r="N2538">
        <v>98.25</v>
      </c>
      <c r="O2538">
        <v>25.83518930957684</v>
      </c>
    </row>
    <row r="2539" spans="1:15" hidden="1" x14ac:dyDescent="0.25">
      <c r="A2539" s="11">
        <v>46080</v>
      </c>
      <c r="B2539" t="s">
        <v>15</v>
      </c>
      <c r="C2539" t="s">
        <v>16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>E2539+G2539+H2539</f>
        <v>11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6</v>
      </c>
      <c r="K2539" s="3">
        <f>I2539-J2539</f>
        <v>5</v>
      </c>
      <c r="L2539" s="3" t="str">
        <f>IF(K2539&lt;-5,"CRÍTICO",IF(K2539&lt;0,"ATENÇÃO",IF(K2539&lt;=5,"BOM","EXCELENTE")))</f>
        <v>BOM</v>
      </c>
      <c r="M2539">
        <v>10</v>
      </c>
      <c r="N2539">
        <v>97.5</v>
      </c>
      <c r="O2539">
        <v>30.075187969924809</v>
      </c>
    </row>
    <row r="2540" spans="1:15" hidden="1" x14ac:dyDescent="0.25">
      <c r="A2540" s="11">
        <v>46080</v>
      </c>
      <c r="B2540" t="s">
        <v>49</v>
      </c>
      <c r="C2540" t="s">
        <v>48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>E2540+G2540+H2540</f>
        <v>32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17</v>
      </c>
      <c r="L2540" s="3" t="str">
        <f>IF(K2540&lt;-5,"CRÍTICO",IF(K2540&lt;0,"ATENÇÃO",IF(K2540&lt;=5,"BOM","EXCELENTE")))</f>
        <v>EXCELENTE</v>
      </c>
      <c r="M2540">
        <v>28</v>
      </c>
      <c r="N2540">
        <v>100</v>
      </c>
      <c r="O2540">
        <v>29.71311475409836</v>
      </c>
    </row>
    <row r="2541" spans="1:15" hidden="1" x14ac:dyDescent="0.25">
      <c r="A2541" s="11">
        <v>46080</v>
      </c>
      <c r="B2541" t="s">
        <v>50</v>
      </c>
      <c r="C2541" t="s">
        <v>48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>E2541+G2541+H2541</f>
        <v>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15</v>
      </c>
      <c r="K2541" s="3">
        <f>I2541-J2541</f>
        <v>-8</v>
      </c>
      <c r="L2541" s="3" t="str">
        <f>IF(K2541&lt;-5,"CRÍTICO",IF(K2541&lt;0,"ATENÇÃO",IF(K2541&lt;=5,"BOM","EXCELENTE")))</f>
        <v>CRÍTICO</v>
      </c>
      <c r="M2541">
        <v>7</v>
      </c>
      <c r="N2541">
        <v>99.22</v>
      </c>
      <c r="O2541">
        <v>35.256410256410263</v>
      </c>
    </row>
    <row r="2542" spans="1:15" hidden="1" x14ac:dyDescent="0.25">
      <c r="A2542" s="11">
        <v>46080</v>
      </c>
      <c r="B2542" t="s">
        <v>17</v>
      </c>
      <c r="C2542" t="s">
        <v>16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v>0</v>
      </c>
      <c r="J2542" s="3">
        <v>0</v>
      </c>
      <c r="K2542" s="3">
        <v>0</v>
      </c>
      <c r="L2542" s="3" t="str">
        <f>IF(K2542&lt;-5,"CRÍTICO",IF(K2542&lt;0,"ATENÇÃO",IF(K2542&lt;=5,"BOM","EXCELENTE")))</f>
        <v>BOM</v>
      </c>
      <c r="M2542">
        <v>0</v>
      </c>
      <c r="N2542">
        <v>0</v>
      </c>
      <c r="O2542">
        <v>0</v>
      </c>
    </row>
    <row r="2543" spans="1:15" hidden="1" x14ac:dyDescent="0.25">
      <c r="A2543" s="11">
        <v>46080</v>
      </c>
      <c r="B2543" t="s">
        <v>60</v>
      </c>
      <c r="C2543" t="s">
        <v>23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>E2543+G2543+H2543</f>
        <v>13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13</v>
      </c>
      <c r="K2543" s="3">
        <f>I2543-J2543</f>
        <v>0</v>
      </c>
      <c r="L2543" s="3" t="str">
        <f>IF(K2543&lt;-5,"CRÍTICO",IF(K2543&lt;0,"ATENÇÃO",IF(K2543&lt;=5,"BOM","EXCELENTE")))</f>
        <v>BOM</v>
      </c>
      <c r="M2543">
        <v>12</v>
      </c>
      <c r="N2543">
        <v>98.75</v>
      </c>
      <c r="O2543">
        <v>24.32432432432433</v>
      </c>
    </row>
    <row r="2544" spans="1:15" hidden="1" x14ac:dyDescent="0.25">
      <c r="A2544" s="11">
        <v>46080</v>
      </c>
      <c r="B2544" t="s">
        <v>34</v>
      </c>
      <c r="C2544" t="s">
        <v>32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>E2544+G2544+H2544</f>
        <v>27</v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>19</v>
      </c>
      <c r="K2544" s="3">
        <f>I2544-J2544</f>
        <v>8</v>
      </c>
      <c r="L2544" s="3" t="str">
        <f>IF(K2544&lt;-5,"CRÍTICO",IF(K2544&lt;0,"ATENÇÃO",IF(K2544&lt;=5,"BOM","EXCELENTE")))</f>
        <v>EXCELENTE</v>
      </c>
      <c r="M2544">
        <v>26</v>
      </c>
      <c r="N2544">
        <v>93.48</v>
      </c>
      <c r="O2544">
        <v>31.52804642166344</v>
      </c>
    </row>
    <row r="2545" spans="1:15" hidden="1" x14ac:dyDescent="0.25">
      <c r="A2545" s="11">
        <v>46080</v>
      </c>
      <c r="B2545" t="s">
        <v>51</v>
      </c>
      <c r="C2545" t="s">
        <v>48</v>
      </c>
      <c r="D2545">
        <v>25</v>
      </c>
      <c r="E2545">
        <v>22</v>
      </c>
      <c r="F2545">
        <v>25.34</v>
      </c>
      <c r="G2545">
        <v>0</v>
      </c>
      <c r="H2545">
        <v>0</v>
      </c>
      <c r="I2545" s="3">
        <v>0</v>
      </c>
      <c r="J2545" s="3">
        <v>0</v>
      </c>
      <c r="K2545" s="3">
        <v>0</v>
      </c>
      <c r="L2545" s="3" t="str">
        <f>IF(K2545&lt;-5,"CRÍTICO",IF(K2545&lt;0,"ATENÇÃO",IF(K2545&lt;=5,"BOM","EXCELENTE")))</f>
        <v>BOM</v>
      </c>
      <c r="M2545">
        <v>19</v>
      </c>
      <c r="N2545">
        <v>99.16</v>
      </c>
      <c r="O2545">
        <v>26.13908872901678</v>
      </c>
    </row>
    <row r="2546" spans="1:15" hidden="1" x14ac:dyDescent="0.25">
      <c r="A2546" s="11">
        <v>46080</v>
      </c>
      <c r="B2546" t="s">
        <v>61</v>
      </c>
      <c r="C2546" t="s">
        <v>23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>E2546+G2546+H2546</f>
        <v>7</v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>13</v>
      </c>
      <c r="K2546" s="3">
        <f>I2546-J2546</f>
        <v>-6</v>
      </c>
      <c r="L2546" s="3" t="str">
        <f>IF(K2546&lt;-5,"CRÍTICO",IF(K2546&lt;0,"ATENÇÃO",IF(K2546&lt;=5,"BOM","EXCELENTE")))</f>
        <v>CRÍTICO</v>
      </c>
      <c r="M2546">
        <v>3</v>
      </c>
      <c r="N2546">
        <v>100</v>
      </c>
      <c r="O2546">
        <v>31.089743589743591</v>
      </c>
    </row>
    <row r="2547" spans="1:15" hidden="1" x14ac:dyDescent="0.25">
      <c r="A2547" s="11">
        <v>46080</v>
      </c>
      <c r="B2547" t="s">
        <v>35</v>
      </c>
      <c r="C2547" t="s">
        <v>32</v>
      </c>
      <c r="D2547">
        <v>15</v>
      </c>
      <c r="E2547">
        <v>15</v>
      </c>
      <c r="F2547">
        <v>47.01</v>
      </c>
      <c r="G2547">
        <v>0</v>
      </c>
      <c r="H2547">
        <v>0</v>
      </c>
      <c r="I2547" s="3">
        <v>0</v>
      </c>
      <c r="J2547" s="3">
        <v>0</v>
      </c>
      <c r="K2547" s="3">
        <v>0</v>
      </c>
      <c r="L2547" s="3" t="str">
        <f>IF(K2547&lt;-5,"CRÍTICO",IF(K2547&lt;0,"ATENÇÃO",IF(K2547&lt;=5,"BOM","EXCELENTE")))</f>
        <v>BOM</v>
      </c>
      <c r="M2547">
        <v>13</v>
      </c>
      <c r="N2547">
        <v>98.11</v>
      </c>
      <c r="O2547">
        <v>33.033707865168537</v>
      </c>
    </row>
    <row r="2548" spans="1:15" hidden="1" x14ac:dyDescent="0.25">
      <c r="A2548" s="11">
        <v>46080</v>
      </c>
      <c r="B2548" t="s">
        <v>18</v>
      </c>
      <c r="C2548" t="s">
        <v>16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>E2548+G2548+H2548</f>
        <v>8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6</v>
      </c>
      <c r="K2548" s="3">
        <f>I2548-J2548</f>
        <v>2</v>
      </c>
      <c r="L2548" s="3" t="str">
        <f>IF(K2548&lt;-5,"CRÍTICO",IF(K2548&lt;0,"ATENÇÃO",IF(K2548&lt;=5,"BOM","EXCELENTE")))</f>
        <v>BOM</v>
      </c>
      <c r="M2548">
        <v>5</v>
      </c>
      <c r="N2548">
        <v>78.95</v>
      </c>
      <c r="O2548">
        <v>38.983050847457633</v>
      </c>
    </row>
    <row r="2549" spans="1:15" hidden="1" x14ac:dyDescent="0.25">
      <c r="A2549" s="11">
        <v>46080</v>
      </c>
      <c r="B2549" t="s">
        <v>52</v>
      </c>
      <c r="C2549" t="s">
        <v>48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>E2549+G2549+H2549</f>
        <v>13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15</v>
      </c>
      <c r="K2549" s="3">
        <f>I2549-J2549</f>
        <v>-2</v>
      </c>
      <c r="L2549" s="3" t="str">
        <f>IF(K2549&lt;-5,"CRÍTICO",IF(K2549&lt;0,"ATENÇÃO",IF(K2549&lt;=5,"BOM","EXCELENTE")))</f>
        <v>ATENÇÃO</v>
      </c>
      <c r="M2549">
        <v>13</v>
      </c>
      <c r="N2549">
        <v>98.45</v>
      </c>
      <c r="O2549">
        <v>29.281767955801101</v>
      </c>
    </row>
    <row r="2550" spans="1:15" hidden="1" x14ac:dyDescent="0.25">
      <c r="A2550" s="11">
        <v>46080</v>
      </c>
      <c r="B2550" t="s">
        <v>36</v>
      </c>
      <c r="C2550" t="s">
        <v>32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>E2550+G2550+H2550</f>
        <v>24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19</v>
      </c>
      <c r="K2550" s="3">
        <f>I2550-J2550</f>
        <v>5</v>
      </c>
      <c r="L2550" s="3" t="str">
        <f>IF(K2550&lt;-5,"CRÍTICO",IF(K2550&lt;0,"ATENÇÃO",IF(K2550&lt;=5,"BOM","EXCELENTE")))</f>
        <v>BOM</v>
      </c>
      <c r="M2550">
        <v>24</v>
      </c>
      <c r="N2550">
        <v>97.84</v>
      </c>
      <c r="O2550">
        <v>26.282051282051281</v>
      </c>
    </row>
    <row r="2551" spans="1:15" hidden="1" x14ac:dyDescent="0.25">
      <c r="A2551" s="11">
        <v>46080</v>
      </c>
      <c r="B2551" t="s">
        <v>53</v>
      </c>
      <c r="C2551" t="s">
        <v>48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>E2551+G2551+H2551</f>
        <v>19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15</v>
      </c>
      <c r="K2551" s="3">
        <f>I2551-J2551</f>
        <v>4</v>
      </c>
      <c r="L2551" s="3" t="str">
        <f>IF(K2551&lt;-5,"CRÍTICO",IF(K2551&lt;0,"ATENÇÃO",IF(K2551&lt;=5,"BOM","EXCELENTE")))</f>
        <v>BOM</v>
      </c>
      <c r="M2551">
        <v>18</v>
      </c>
      <c r="N2551">
        <v>98.5</v>
      </c>
      <c r="O2551">
        <v>23.97769516728625</v>
      </c>
    </row>
    <row r="2552" spans="1:15" hidden="1" x14ac:dyDescent="0.25">
      <c r="A2552" s="11">
        <v>46114</v>
      </c>
      <c r="B2552" t="s">
        <v>22</v>
      </c>
      <c r="C2552" t="s">
        <v>23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>E2552+G2552+H2552</f>
        <v>31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22</v>
      </c>
      <c r="K2552" s="3">
        <f>I2552-J2552</f>
        <v>9</v>
      </c>
      <c r="L2552" s="3" t="str">
        <f>IF(K2552&lt;-5,"CRÍTICO",IF(K2552&lt;0,"ATENÇÃO",IF(K2552&lt;=5,"OPORTUNO","MUITO BOM")))</f>
        <v>MUITO BOM</v>
      </c>
      <c r="M2552">
        <v>32</v>
      </c>
      <c r="N2552">
        <v>99.28</v>
      </c>
      <c r="O2552">
        <v>27.689243027888441</v>
      </c>
    </row>
    <row r="2553" spans="1:15" hidden="1" x14ac:dyDescent="0.25">
      <c r="A2553" s="11">
        <v>46080</v>
      </c>
      <c r="B2553" t="s">
        <v>54</v>
      </c>
      <c r="C2553" t="s">
        <v>48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>E2553+G2553+H2553</f>
        <v>21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15</v>
      </c>
      <c r="K2553" s="3">
        <f>I2553-J2553</f>
        <v>6</v>
      </c>
      <c r="L2553" s="3" t="str">
        <f>IF(K2553&lt;-5,"CRÍTICO",IF(K2553&lt;0,"ATENÇÃO",IF(K2553&lt;=5,"BOM","EXCELENTE")))</f>
        <v>EXCELENTE</v>
      </c>
      <c r="M2553">
        <v>19</v>
      </c>
      <c r="N2553">
        <v>98.53</v>
      </c>
      <c r="O2553">
        <v>31.578947368421051</v>
      </c>
    </row>
    <row r="2554" spans="1:15" hidden="1" x14ac:dyDescent="0.25">
      <c r="A2554" s="11">
        <v>46080</v>
      </c>
      <c r="B2554" t="s">
        <v>37</v>
      </c>
      <c r="C2554" t="s">
        <v>32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>E2554+G2554+H2554</f>
        <v>23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4</v>
      </c>
      <c r="L2554" s="3" t="str">
        <f>IF(K2554&lt;-5,"CRÍTICO",IF(K2554&lt;0,"ATENÇÃO",IF(K2554&lt;=5,"BOM","EXCELENTE")))</f>
        <v>BOM</v>
      </c>
      <c r="M2554">
        <v>24</v>
      </c>
      <c r="N2554">
        <v>100</v>
      </c>
      <c r="O2554">
        <v>25.72214580467676</v>
      </c>
    </row>
    <row r="2555" spans="1:15" hidden="1" x14ac:dyDescent="0.25">
      <c r="A2555" s="11">
        <v>46080</v>
      </c>
      <c r="B2555" t="s">
        <v>38</v>
      </c>
      <c r="C2555" t="s">
        <v>32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>E2555+G2555+H2555</f>
        <v>3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19</v>
      </c>
      <c r="K2555" s="3">
        <f>I2555-J2555</f>
        <v>-16</v>
      </c>
      <c r="L2555" s="3" t="str">
        <f>IF(K2555&lt;-5,"CRÍTICO",IF(K2555&lt;0,"ATENÇÃO",IF(K2555&lt;=5,"BOM","EXCELENTE")))</f>
        <v>CRÍTICO</v>
      </c>
      <c r="M2555">
        <v>2</v>
      </c>
      <c r="N2555">
        <v>94.64</v>
      </c>
      <c r="O2555">
        <v>27.52941176470588</v>
      </c>
    </row>
    <row r="2556" spans="1:15" hidden="1" x14ac:dyDescent="0.25">
      <c r="A2556" s="11">
        <v>46080</v>
      </c>
      <c r="B2556" t="s">
        <v>55</v>
      </c>
      <c r="C2556" t="s">
        <v>48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>E2556+G2556+H2556</f>
        <v>15</v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>15</v>
      </c>
      <c r="K2556" s="3">
        <f>I2556-J2556</f>
        <v>0</v>
      </c>
      <c r="L2556" s="3" t="str">
        <f>IF(K2556&lt;-5,"CRÍTICO",IF(K2556&lt;0,"ATENÇÃO",IF(K2556&lt;=5,"BOM","EXCELENTE")))</f>
        <v>BOM</v>
      </c>
      <c r="M2556">
        <v>14</v>
      </c>
      <c r="N2556">
        <v>99.07</v>
      </c>
      <c r="O2556">
        <v>26.376811594202898</v>
      </c>
    </row>
    <row r="2557" spans="1:15" hidden="1" x14ac:dyDescent="0.25">
      <c r="A2557" s="11">
        <v>46080</v>
      </c>
      <c r="B2557" t="s">
        <v>39</v>
      </c>
      <c r="C2557" t="s">
        <v>32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v>0</v>
      </c>
      <c r="J2557" s="3">
        <v>0</v>
      </c>
      <c r="K2557" s="3">
        <v>0</v>
      </c>
      <c r="L2557" s="3" t="str">
        <f>IF(K2557&lt;-5,"CRÍTICO",IF(K2557&lt;0,"ATENÇÃO",IF(K2557&lt;=5,"BOM","EXCELENTE")))</f>
        <v>BOM</v>
      </c>
      <c r="M2557">
        <v>0</v>
      </c>
      <c r="N2557">
        <v>100</v>
      </c>
      <c r="O2557">
        <v>0</v>
      </c>
    </row>
    <row r="2558" spans="1:15" hidden="1" x14ac:dyDescent="0.25">
      <c r="A2558" s="11">
        <v>46080</v>
      </c>
      <c r="B2558" t="s">
        <v>25</v>
      </c>
      <c r="C2558" t="s">
        <v>26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>E2558+G2558+H2558</f>
        <v>8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11</v>
      </c>
      <c r="K2558" s="3">
        <f>I2558-J2558</f>
        <v>-3</v>
      </c>
      <c r="L2558" s="3" t="str">
        <f>IF(K2558&lt;-5,"CRÍTICO",IF(K2558&lt;0,"ATENÇÃO",IF(K2558&lt;=5,"BOM","EXCELENTE")))</f>
        <v>ATENÇÃO</v>
      </c>
      <c r="M2558">
        <v>9</v>
      </c>
      <c r="N2558">
        <v>98.48</v>
      </c>
      <c r="O2558">
        <v>27.853881278538811</v>
      </c>
    </row>
    <row r="2559" spans="1:15" hidden="1" x14ac:dyDescent="0.25">
      <c r="A2559" s="11">
        <v>46080</v>
      </c>
      <c r="B2559" t="s">
        <v>40</v>
      </c>
      <c r="C2559" t="s">
        <v>32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>
        <v>21</v>
      </c>
      <c r="N2559">
        <v>95.15</v>
      </c>
      <c r="O2559">
        <v>34.131736526946113</v>
      </c>
    </row>
    <row r="2560" spans="1:15" hidden="1" x14ac:dyDescent="0.25">
      <c r="A2560" s="11">
        <v>46080</v>
      </c>
      <c r="B2560" t="s">
        <v>27</v>
      </c>
      <c r="C2560" t="s">
        <v>26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v>0</v>
      </c>
      <c r="J2560" s="3">
        <v>0</v>
      </c>
      <c r="K2560" s="3">
        <v>0</v>
      </c>
      <c r="L2560" s="3" t="str">
        <f>IF(K2560&lt;-5,"CRÍTICO",IF(K2560&lt;0,"ATENÇÃO",IF(K2560&lt;=5,"BOM","EXCELENTE")))</f>
        <v>BOM</v>
      </c>
      <c r="M2560">
        <v>0</v>
      </c>
      <c r="N2560">
        <v>0</v>
      </c>
      <c r="O2560">
        <v>0</v>
      </c>
    </row>
    <row r="2561" spans="1:15" hidden="1" x14ac:dyDescent="0.25">
      <c r="A2561" s="11">
        <v>46080</v>
      </c>
      <c r="B2561" t="s">
        <v>41</v>
      </c>
      <c r="C2561" t="s">
        <v>32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>E2561+G2561+H2561</f>
        <v>16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19</v>
      </c>
      <c r="K2561" s="3">
        <f>I2561-J2561</f>
        <v>-3</v>
      </c>
      <c r="L2561" s="3" t="str">
        <f>IF(K2561&lt;-5,"CRÍTICO",IF(K2561&lt;0,"ATENÇÃO",IF(K2561&lt;=5,"BOM","EXCELENTE")))</f>
        <v>ATENÇÃO</v>
      </c>
      <c r="M2561">
        <v>13</v>
      </c>
      <c r="N2561">
        <v>99.26</v>
      </c>
      <c r="O2561">
        <v>30.84832904884319</v>
      </c>
    </row>
    <row r="2562" spans="1:15" hidden="1" x14ac:dyDescent="0.25">
      <c r="A2562" s="11">
        <v>46080</v>
      </c>
      <c r="B2562" t="s">
        <v>56</v>
      </c>
      <c r="C2562" t="s">
        <v>48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>E2562+G2562+H2562</f>
        <v>30</v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>15</v>
      </c>
      <c r="K2562" s="3">
        <f>I2562-J2562</f>
        <v>15</v>
      </c>
      <c r="L2562" s="3" t="str">
        <f>IF(K2562&lt;-5,"CRÍTICO",IF(K2562&lt;0,"ATENÇÃO",IF(K2562&lt;=5,"BOM","EXCELENTE")))</f>
        <v>EXCELENTE</v>
      </c>
      <c r="M2562">
        <v>20</v>
      </c>
      <c r="N2562">
        <v>97.48</v>
      </c>
      <c r="O2562">
        <v>27.764705882352938</v>
      </c>
    </row>
    <row r="2563" spans="1:15" hidden="1" x14ac:dyDescent="0.25">
      <c r="A2563" s="11">
        <v>46080</v>
      </c>
      <c r="B2563" t="s">
        <v>57</v>
      </c>
      <c r="C2563" t="s">
        <v>48</v>
      </c>
      <c r="D2563">
        <v>28</v>
      </c>
      <c r="E2563">
        <v>24</v>
      </c>
      <c r="F2563">
        <v>25.3</v>
      </c>
      <c r="G2563">
        <v>0</v>
      </c>
      <c r="H2563">
        <v>0</v>
      </c>
      <c r="I2563" s="3">
        <v>0</v>
      </c>
      <c r="J2563" s="3">
        <v>0</v>
      </c>
      <c r="K2563" s="3">
        <v>0</v>
      </c>
      <c r="L2563" s="3" t="str">
        <f>IF(K2563&lt;-5,"CRÍTICO",IF(K2563&lt;0,"ATENÇÃO",IF(K2563&lt;=5,"BOM","EXCELENTE")))</f>
        <v>BOM</v>
      </c>
      <c r="M2563">
        <v>21</v>
      </c>
      <c r="N2563">
        <v>99.34</v>
      </c>
      <c r="O2563">
        <v>30.04291845493562</v>
      </c>
    </row>
    <row r="2564" spans="1:15" hidden="1" x14ac:dyDescent="0.25">
      <c r="A2564" s="11">
        <v>46080</v>
      </c>
      <c r="B2564" t="s">
        <v>42</v>
      </c>
      <c r="C2564" t="s">
        <v>32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>E2564+G2564+H2564</f>
        <v>21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19</v>
      </c>
      <c r="K2564" s="3">
        <f>I2564-J2564</f>
        <v>2</v>
      </c>
      <c r="L2564" s="3" t="str">
        <f>IF(K2564&lt;-5,"CRÍTICO",IF(K2564&lt;0,"ATENÇÃO",IF(K2564&lt;=5,"BOM","EXCELENTE")))</f>
        <v>BOM</v>
      </c>
      <c r="M2564">
        <v>12</v>
      </c>
      <c r="N2564">
        <v>96.3</v>
      </c>
      <c r="O2564">
        <v>24.29378531073446</v>
      </c>
    </row>
    <row r="2565" spans="1:15" hidden="1" x14ac:dyDescent="0.25">
      <c r="A2565" s="11">
        <v>46080</v>
      </c>
      <c r="B2565" t="s">
        <v>62</v>
      </c>
      <c r="C2565" t="s">
        <v>23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>E2565+G2565+H2565</f>
        <v>13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13</v>
      </c>
      <c r="K2565" s="3">
        <f>I2565-J2565</f>
        <v>0</v>
      </c>
      <c r="L2565" s="3" t="str">
        <f>IF(K2565&lt;-5,"CRÍTICO",IF(K2565&lt;0,"ATENÇÃO",IF(K2565&lt;=5,"BOM","EXCELENTE")))</f>
        <v>BOM</v>
      </c>
      <c r="M2565">
        <v>12</v>
      </c>
      <c r="N2565">
        <v>100</v>
      </c>
      <c r="O2565">
        <v>26.543209876543209</v>
      </c>
    </row>
    <row r="2566" spans="1:15" hidden="1" x14ac:dyDescent="0.25">
      <c r="A2566" s="11">
        <v>46080</v>
      </c>
      <c r="B2566" t="s">
        <v>19</v>
      </c>
      <c r="C2566" t="s">
        <v>16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>E2566+G2566+H2566</f>
        <v>14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6</v>
      </c>
      <c r="K2566" s="3">
        <f>I2566-J2566</f>
        <v>8</v>
      </c>
      <c r="L2566" s="3" t="str">
        <f>IF(K2566&lt;-5,"CRÍTICO",IF(K2566&lt;0,"ATENÇÃO",IF(K2566&lt;=5,"BOM","EXCELENTE")))</f>
        <v>EXCELENTE</v>
      </c>
      <c r="M2566">
        <v>8</v>
      </c>
      <c r="N2566">
        <v>100</v>
      </c>
      <c r="O2566">
        <v>35.483870967741943</v>
      </c>
    </row>
    <row r="2567" spans="1:15" hidden="1" x14ac:dyDescent="0.25">
      <c r="A2567" s="11">
        <v>46080</v>
      </c>
      <c r="B2567" t="s">
        <v>43</v>
      </c>
      <c r="C2567" t="s">
        <v>32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>E2567+G2567+H2567</f>
        <v>20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1</v>
      </c>
      <c r="L2567" s="3" t="str">
        <f>IF(K2567&lt;-5,"CRÍTICO",IF(K2567&lt;0,"ATENÇÃO",IF(K2567&lt;=5,"BOM","EXCELENTE")))</f>
        <v>BOM</v>
      </c>
      <c r="M2567">
        <v>18</v>
      </c>
      <c r="N2567">
        <v>99.27</v>
      </c>
      <c r="O2567">
        <v>31.163708086785011</v>
      </c>
    </row>
    <row r="2568" spans="1:15" hidden="1" x14ac:dyDescent="0.25">
      <c r="A2568" s="11">
        <v>46080</v>
      </c>
      <c r="B2568" t="s">
        <v>44</v>
      </c>
      <c r="C2568" t="s">
        <v>32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>E2568+G2568+H2568</f>
        <v>23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19</v>
      </c>
      <c r="K2568" s="3">
        <f>I2568-J2568</f>
        <v>4</v>
      </c>
      <c r="L2568" s="3" t="str">
        <f>IF(K2568&lt;-5,"CRÍTICO",IF(K2568&lt;0,"ATENÇÃO",IF(K2568&lt;=5,"BOM","EXCELENTE")))</f>
        <v>BOM</v>
      </c>
      <c r="M2568">
        <v>21</v>
      </c>
      <c r="N2568">
        <v>94.16</v>
      </c>
      <c r="O2568">
        <v>27.038626609442058</v>
      </c>
    </row>
    <row r="2569" spans="1:15" hidden="1" x14ac:dyDescent="0.25">
      <c r="A2569" s="11">
        <v>46080</v>
      </c>
      <c r="B2569" t="s">
        <v>20</v>
      </c>
      <c r="C2569" t="s">
        <v>16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>E2569+G2569+H2569</f>
        <v>14</v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>6</v>
      </c>
      <c r="K2569" s="3">
        <f>I2569-J2569</f>
        <v>8</v>
      </c>
      <c r="L2569" s="3" t="str">
        <f>IF(K2569&lt;-5,"CRÍTICO",IF(K2569&lt;0,"ATENÇÃO",IF(K2569&lt;=5,"BOM","EXCELENTE")))</f>
        <v>EXCELENTE</v>
      </c>
      <c r="M2569">
        <v>7</v>
      </c>
      <c r="N2569">
        <v>93.75</v>
      </c>
      <c r="O2569">
        <v>19.31818181818182</v>
      </c>
    </row>
    <row r="2570" spans="1:15" hidden="1" x14ac:dyDescent="0.25">
      <c r="A2570" s="11">
        <v>46080</v>
      </c>
      <c r="B2570" t="s">
        <v>28</v>
      </c>
      <c r="C2570" t="s">
        <v>26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>
        <v>0</v>
      </c>
      <c r="N2570">
        <v>0</v>
      </c>
      <c r="O2570">
        <v>0</v>
      </c>
    </row>
    <row r="2571" spans="1:15" hidden="1" x14ac:dyDescent="0.25">
      <c r="A2571" s="11">
        <v>46080</v>
      </c>
      <c r="B2571" t="s">
        <v>58</v>
      </c>
      <c r="C2571" t="s">
        <v>48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>
        <v>0</v>
      </c>
      <c r="N2571">
        <v>97.92</v>
      </c>
      <c r="O2571">
        <v>32.87671232876712</v>
      </c>
    </row>
    <row r="2572" spans="1:15" hidden="1" x14ac:dyDescent="0.25">
      <c r="A2572" s="11">
        <v>46080</v>
      </c>
      <c r="B2572" t="s">
        <v>29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30</v>
      </c>
      <c r="C2573" t="s">
        <v>26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21</v>
      </c>
      <c r="C2574" t="s">
        <v>16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v>0</v>
      </c>
      <c r="J2574" s="3">
        <v>0</v>
      </c>
      <c r="K2574" s="3">
        <v>0</v>
      </c>
      <c r="L2574" s="3" t="str">
        <f>IF(K2574&lt;-5,"CRÍTICO",IF(K2574&lt;0,"ATENÇÃO",IF(K2574&lt;=5,"BOM","EXCELENTE")))</f>
        <v>BOM</v>
      </c>
      <c r="M2574">
        <v>0</v>
      </c>
      <c r="N2574">
        <v>0</v>
      </c>
      <c r="O2574">
        <v>0</v>
      </c>
    </row>
    <row r="2575" spans="1:15" hidden="1" x14ac:dyDescent="0.25">
      <c r="A2575" s="11">
        <v>46080</v>
      </c>
      <c r="B2575" t="s">
        <v>63</v>
      </c>
      <c r="C2575" t="s">
        <v>23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>E2575+G2575+H2575</f>
        <v>22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13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>
        <v>20</v>
      </c>
      <c r="N2575">
        <v>98.51</v>
      </c>
      <c r="O2575">
        <v>29.710144927536231</v>
      </c>
    </row>
    <row r="2576" spans="1:15" hidden="1" x14ac:dyDescent="0.25">
      <c r="A2576" s="11">
        <v>46080</v>
      </c>
      <c r="B2576" t="s">
        <v>45</v>
      </c>
      <c r="C2576" t="s">
        <v>32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>E2576+G2576+H2576</f>
        <v>28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19</v>
      </c>
      <c r="K2576" s="3">
        <f>I2576-J2576</f>
        <v>9</v>
      </c>
      <c r="L2576" s="3" t="str">
        <f>IF(K2576&lt;-5,"CRÍTICO",IF(K2576&lt;0,"ATENÇÃO",IF(K2576&lt;=5,"BOM","EXCELENTE")))</f>
        <v>EXCELENTE</v>
      </c>
      <c r="M2576">
        <v>23</v>
      </c>
      <c r="N2576">
        <v>98.81</v>
      </c>
      <c r="O2576">
        <v>30.712979890310791</v>
      </c>
    </row>
    <row r="2577" spans="1:15" hidden="1" x14ac:dyDescent="0.25">
      <c r="A2577" s="11">
        <v>46080</v>
      </c>
      <c r="B2577" t="s">
        <v>64</v>
      </c>
      <c r="C2577" t="s">
        <v>23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>E2577+G2577+H2577</f>
        <v>10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13</v>
      </c>
      <c r="K2577" s="3">
        <f>I2577-J2577</f>
        <v>-3</v>
      </c>
      <c r="L2577" s="3" t="str">
        <f>IF(K2577&lt;-5,"CRÍTICO",IF(K2577&lt;0,"ATENÇÃO",IF(K2577&lt;=5,"BOM","EXCELENTE")))</f>
        <v>ATENÇÃO</v>
      </c>
      <c r="M2577">
        <v>9</v>
      </c>
      <c r="N2577">
        <v>98.48</v>
      </c>
      <c r="O2577">
        <v>29.35323383084577</v>
      </c>
    </row>
    <row r="2578" spans="1:15" hidden="1" x14ac:dyDescent="0.25">
      <c r="A2578" s="11">
        <v>46080</v>
      </c>
      <c r="B2578" t="s">
        <v>46</v>
      </c>
      <c r="C2578" t="s">
        <v>32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>E2578+G2578+H2578</f>
        <v>17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19</v>
      </c>
      <c r="K2578" s="3">
        <f>I2578-J2578</f>
        <v>-2</v>
      </c>
      <c r="L2578" s="3" t="str">
        <f>IF(K2578&lt;-5,"CRÍTICO",IF(K2578&lt;0,"ATENÇÃO",IF(K2578&lt;=5,"BOM","EXCELENTE")))</f>
        <v>ATENÇÃO</v>
      </c>
      <c r="M2578">
        <v>17</v>
      </c>
      <c r="N2578">
        <v>98.56</v>
      </c>
      <c r="O2578">
        <v>29.373650107991359</v>
      </c>
    </row>
    <row r="2579" spans="1:15" hidden="1" x14ac:dyDescent="0.25">
      <c r="A2579" s="11">
        <v>46083</v>
      </c>
      <c r="B2579" t="s">
        <v>47</v>
      </c>
      <c r="C2579" t="s">
        <v>48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>E2579+G2579+H2579</f>
        <v>30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22</v>
      </c>
      <c r="K2579" s="3">
        <f>I2579-J2579</f>
        <v>8</v>
      </c>
      <c r="L2579" s="3" t="str">
        <f>IF(K2579&lt;-5,"CRÍTICO",IF(K2579&lt;0,"ATENÇÃO",IF(K2579&lt;=5,"BOM","EXCELENTE")))</f>
        <v>EXCELENTE</v>
      </c>
      <c r="M2579">
        <v>22</v>
      </c>
      <c r="N2579">
        <v>94.29</v>
      </c>
      <c r="O2579">
        <v>25.647668393782389</v>
      </c>
    </row>
    <row r="2580" spans="1:15" hidden="1" x14ac:dyDescent="0.25">
      <c r="A2580" s="11">
        <v>46083</v>
      </c>
      <c r="B2580" t="s">
        <v>31</v>
      </c>
      <c r="C2580" t="s">
        <v>32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v>0</v>
      </c>
      <c r="J2580" s="3">
        <v>0</v>
      </c>
      <c r="K2580" s="3">
        <v>0</v>
      </c>
      <c r="L2580" s="3" t="str">
        <f>IF(K2580&lt;-5,"CRÍTICO",IF(K2580&lt;0,"ATENÇÃO",IF(K2580&lt;=5,"BOM","EXCELENTE")))</f>
        <v>BOM</v>
      </c>
      <c r="M2580">
        <v>23</v>
      </c>
      <c r="N2580">
        <v>98.26</v>
      </c>
      <c r="O2580">
        <v>26.666666666666671</v>
      </c>
    </row>
    <row r="2581" spans="1:15" hidden="1" x14ac:dyDescent="0.25">
      <c r="A2581" s="11">
        <v>46083</v>
      </c>
      <c r="B2581" t="s">
        <v>59</v>
      </c>
      <c r="C2581" t="s">
        <v>23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>E2581+G2581+H2581</f>
        <v>20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18</v>
      </c>
      <c r="K2581" s="3">
        <f>I2581-J2581</f>
        <v>2</v>
      </c>
      <c r="L2581" s="3" t="str">
        <f>IF(K2581&lt;-5,"CRÍTICO",IF(K2581&lt;0,"ATENÇÃO",IF(K2581&lt;=5,"BOM","EXCELENTE")))</f>
        <v>BOM</v>
      </c>
      <c r="M2581">
        <v>21</v>
      </c>
      <c r="N2581">
        <v>98.2</v>
      </c>
      <c r="O2581">
        <v>23.37962962962963</v>
      </c>
    </row>
    <row r="2582" spans="1:15" hidden="1" x14ac:dyDescent="0.25">
      <c r="A2582" s="11">
        <v>46083</v>
      </c>
      <c r="B2582" t="s">
        <v>33</v>
      </c>
      <c r="C2582" t="s">
        <v>32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>E2582+G2582+H2582</f>
        <v>24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27</v>
      </c>
      <c r="K2582" s="3">
        <f>I2582-J2582</f>
        <v>-3</v>
      </c>
      <c r="L2582" s="3" t="str">
        <f>IF(K2582&lt;-5,"CRÍTICO",IF(K2582&lt;0,"ATENÇÃO",IF(K2582&lt;=5,"BOM","EXCELENTE")))</f>
        <v>ATENÇÃO</v>
      </c>
      <c r="M2582">
        <v>19</v>
      </c>
      <c r="N2582">
        <v>97.3</v>
      </c>
      <c r="O2582">
        <v>23.84769539078156</v>
      </c>
    </row>
    <row r="2583" spans="1:15" hidden="1" x14ac:dyDescent="0.25">
      <c r="A2583" s="11">
        <v>46083</v>
      </c>
      <c r="B2583" t="s">
        <v>15</v>
      </c>
      <c r="C2583" t="s">
        <v>16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v>0</v>
      </c>
      <c r="J2583" s="3">
        <v>0</v>
      </c>
      <c r="K2583" s="3">
        <v>0</v>
      </c>
      <c r="L2583" s="3" t="str">
        <f>IF(K2583&lt;-5,"CRÍTICO",IF(K2583&lt;0,"ATENÇÃO",IF(K2583&lt;=5,"BOM","EXCELENTE")))</f>
        <v>BOM</v>
      </c>
      <c r="M2583">
        <v>0</v>
      </c>
      <c r="N2583">
        <v>100</v>
      </c>
      <c r="O2583">
        <v>25.268817204301079</v>
      </c>
    </row>
    <row r="2584" spans="1:15" hidden="1" x14ac:dyDescent="0.25">
      <c r="A2584" s="11">
        <v>46083</v>
      </c>
      <c r="B2584" t="s">
        <v>49</v>
      </c>
      <c r="C2584" t="s">
        <v>48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>E2584+G2584+H2584</f>
        <v>48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26</v>
      </c>
      <c r="L2584" s="3" t="str">
        <f>IF(K2584&lt;-5,"CRÍTICO",IF(K2584&lt;0,"ATENÇÃO",IF(K2584&lt;=5,"BOM","EXCELENTE")))</f>
        <v>EXCELENTE</v>
      </c>
      <c r="M2584">
        <v>47</v>
      </c>
      <c r="N2584">
        <v>99.32</v>
      </c>
      <c r="O2584">
        <v>22.822822822822818</v>
      </c>
    </row>
    <row r="2585" spans="1:15" hidden="1" x14ac:dyDescent="0.25">
      <c r="A2585" s="11">
        <v>46083</v>
      </c>
      <c r="B2585" t="s">
        <v>50</v>
      </c>
      <c r="C2585" t="s">
        <v>48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>E2585+G2585+H2585</f>
        <v>20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22</v>
      </c>
      <c r="K2585" s="3">
        <f>I2585-J2585</f>
        <v>-2</v>
      </c>
      <c r="L2585" s="3" t="str">
        <f>IF(K2585&lt;-5,"CRÍTICO",IF(K2585&lt;0,"ATENÇÃO",IF(K2585&lt;=5,"BOM","EXCELENTE")))</f>
        <v>ATENÇÃO</v>
      </c>
      <c r="M2585">
        <v>19</v>
      </c>
      <c r="N2585">
        <v>100</v>
      </c>
      <c r="O2585">
        <v>27.966101694915249</v>
      </c>
    </row>
    <row r="2586" spans="1:15" hidden="1" x14ac:dyDescent="0.25">
      <c r="A2586" s="11">
        <v>46083</v>
      </c>
      <c r="B2586" t="s">
        <v>17</v>
      </c>
      <c r="C2586" t="s">
        <v>16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v>0</v>
      </c>
      <c r="J2586" s="3">
        <v>0</v>
      </c>
      <c r="K2586" s="3">
        <v>0</v>
      </c>
      <c r="L2586" s="3" t="str">
        <f>IF(K2586&lt;-5,"CRÍTICO",IF(K2586&lt;0,"ATENÇÃO",IF(K2586&lt;=5,"BOM","EXCELENTE")))</f>
        <v>BOM</v>
      </c>
      <c r="M2586">
        <v>0</v>
      </c>
      <c r="N2586">
        <v>100</v>
      </c>
      <c r="O2586">
        <v>30.434782608695659</v>
      </c>
    </row>
    <row r="2587" spans="1:15" hidden="1" x14ac:dyDescent="0.25">
      <c r="A2587" s="11">
        <v>46083</v>
      </c>
      <c r="B2587" t="s">
        <v>60</v>
      </c>
      <c r="C2587" t="s">
        <v>23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>E2587+G2587+H2587</f>
        <v>21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18</v>
      </c>
      <c r="K2587" s="3">
        <f>I2587-J2587</f>
        <v>3</v>
      </c>
      <c r="L2587" s="3" t="str">
        <f>IF(K2587&lt;-5,"CRÍTICO",IF(K2587&lt;0,"ATENÇÃO",IF(K2587&lt;=5,"BOM","EXCELENTE")))</f>
        <v>BOM</v>
      </c>
      <c r="M2587">
        <v>21</v>
      </c>
      <c r="N2587">
        <v>96.51</v>
      </c>
      <c r="O2587">
        <v>22.802850356294542</v>
      </c>
    </row>
    <row r="2588" spans="1:15" hidden="1" x14ac:dyDescent="0.25">
      <c r="A2588" s="11">
        <v>46083</v>
      </c>
      <c r="B2588" t="s">
        <v>34</v>
      </c>
      <c r="C2588" t="s">
        <v>32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>E2588+G2588+H2588</f>
        <v>37</v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>27</v>
      </c>
      <c r="K2588" s="3">
        <f>I2588-J2588</f>
        <v>10</v>
      </c>
      <c r="L2588" s="3" t="str">
        <f>IF(K2588&lt;-5,"CRÍTICO",IF(K2588&lt;0,"ATENÇÃO",IF(K2588&lt;=5,"BOM","EXCELENTE")))</f>
        <v>EXCELENTE</v>
      </c>
      <c r="M2588">
        <v>32</v>
      </c>
      <c r="N2588">
        <v>92.68</v>
      </c>
      <c r="O2588">
        <v>27.777777777777779</v>
      </c>
    </row>
    <row r="2589" spans="1:15" hidden="1" x14ac:dyDescent="0.25">
      <c r="A2589" s="11">
        <v>46083</v>
      </c>
      <c r="B2589" t="s">
        <v>51</v>
      </c>
      <c r="C2589" t="s">
        <v>48</v>
      </c>
      <c r="D2589">
        <v>31</v>
      </c>
      <c r="E2589">
        <v>31</v>
      </c>
      <c r="F2589">
        <v>23.24</v>
      </c>
      <c r="G2589">
        <v>0</v>
      </c>
      <c r="H2589">
        <v>0</v>
      </c>
      <c r="I2589" s="3">
        <v>0</v>
      </c>
      <c r="J2589" s="3">
        <v>0</v>
      </c>
      <c r="K2589" s="3">
        <v>0</v>
      </c>
      <c r="L2589" s="3" t="str">
        <f>IF(K2589&lt;-5,"CRÍTICO",IF(K2589&lt;0,"ATENÇÃO",IF(K2589&lt;=5,"BOM","EXCELENTE")))</f>
        <v>BOM</v>
      </c>
      <c r="M2589">
        <v>23</v>
      </c>
      <c r="N2589">
        <v>99.03</v>
      </c>
      <c r="O2589">
        <v>23.991507430997881</v>
      </c>
    </row>
    <row r="2590" spans="1:15" hidden="1" x14ac:dyDescent="0.25">
      <c r="A2590" s="11">
        <v>46083</v>
      </c>
      <c r="B2590" t="s">
        <v>61</v>
      </c>
      <c r="C2590" t="s">
        <v>23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>E2590+G2590+H2590</f>
        <v>6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18</v>
      </c>
      <c r="K2590" s="3">
        <f>I2590-J2590</f>
        <v>-12</v>
      </c>
      <c r="L2590" s="3" t="str">
        <f>IF(K2590&lt;-5,"CRÍTICO",IF(K2590&lt;0,"ATENÇÃO",IF(K2590&lt;=5,"BOM","EXCELENTE")))</f>
        <v>CRÍTICO</v>
      </c>
      <c r="M2590">
        <v>3</v>
      </c>
      <c r="N2590">
        <v>98.41</v>
      </c>
      <c r="O2590">
        <v>28.138528138528141</v>
      </c>
    </row>
    <row r="2591" spans="1:15" hidden="1" x14ac:dyDescent="0.25">
      <c r="A2591" s="11">
        <v>46083</v>
      </c>
      <c r="B2591" t="s">
        <v>35</v>
      </c>
      <c r="C2591" t="s">
        <v>32</v>
      </c>
      <c r="D2591">
        <v>30</v>
      </c>
      <c r="E2591">
        <v>30</v>
      </c>
      <c r="F2591">
        <v>26.58</v>
      </c>
      <c r="G2591">
        <v>0</v>
      </c>
      <c r="H2591">
        <v>0</v>
      </c>
      <c r="I2591" s="3">
        <v>0</v>
      </c>
      <c r="J2591" s="3">
        <v>0</v>
      </c>
      <c r="K2591" s="3">
        <v>0</v>
      </c>
      <c r="L2591" s="3" t="str">
        <f>IF(K2591&lt;-5,"CRÍTICO",IF(K2591&lt;0,"ATENÇÃO",IF(K2591&lt;=5,"BOM","EXCELENTE")))</f>
        <v>BOM</v>
      </c>
      <c r="M2591">
        <v>29</v>
      </c>
      <c r="N2591">
        <v>98.73</v>
      </c>
      <c r="O2591">
        <v>29.142857142857139</v>
      </c>
    </row>
    <row r="2592" spans="1:15" hidden="1" x14ac:dyDescent="0.25">
      <c r="A2592" s="11">
        <v>46083</v>
      </c>
      <c r="B2592" t="s">
        <v>18</v>
      </c>
      <c r="C2592" t="s">
        <v>16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>E2592+G2592+H2592</f>
        <v>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8</v>
      </c>
      <c r="K2592" s="3">
        <f>I2592-J2592</f>
        <v>0</v>
      </c>
      <c r="L2592" s="3" t="str">
        <f>IF(K2592&lt;-5,"CRÍTICO",IF(K2592&lt;0,"ATENÇÃO",IF(K2592&lt;=5,"BOM","EXCELENTE")))</f>
        <v>BOM</v>
      </c>
      <c r="M2592">
        <v>7</v>
      </c>
      <c r="N2592">
        <v>90.48</v>
      </c>
      <c r="O2592">
        <v>20.68965517241379</v>
      </c>
    </row>
    <row r="2593" spans="1:15" hidden="1" x14ac:dyDescent="0.25">
      <c r="A2593" s="11">
        <v>46083</v>
      </c>
      <c r="B2593" t="s">
        <v>52</v>
      </c>
      <c r="C2593" t="s">
        <v>48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>E2593+G2593+H2593</f>
        <v>38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22</v>
      </c>
      <c r="K2593" s="3">
        <f>I2593-J2593</f>
        <v>16</v>
      </c>
      <c r="L2593" s="3" t="str">
        <f>IF(K2593&lt;-5,"CRÍTICO",IF(K2593&lt;0,"ATENÇÃO",IF(K2593&lt;=5,"BOM","EXCELENTE")))</f>
        <v>EXCELENTE</v>
      </c>
      <c r="M2593">
        <v>37</v>
      </c>
      <c r="N2593">
        <v>98.06</v>
      </c>
      <c r="O2593">
        <v>24.789915966386559</v>
      </c>
    </row>
    <row r="2594" spans="1:15" hidden="1" x14ac:dyDescent="0.25">
      <c r="A2594" s="11">
        <v>46083</v>
      </c>
      <c r="B2594" t="s">
        <v>36</v>
      </c>
      <c r="C2594" t="s">
        <v>32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>E2594+G2594+H2594</f>
        <v>29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27</v>
      </c>
      <c r="K2594" s="3">
        <f>I2594-J2594</f>
        <v>2</v>
      </c>
      <c r="L2594" s="3" t="str">
        <f>IF(K2594&lt;-5,"CRÍTICO",IF(K2594&lt;0,"ATENÇÃO",IF(K2594&lt;=5,"BOM","EXCELENTE")))</f>
        <v>BOM</v>
      </c>
      <c r="M2594">
        <v>30</v>
      </c>
      <c r="N2594">
        <v>97.78</v>
      </c>
      <c r="O2594">
        <v>25.494071146245059</v>
      </c>
    </row>
    <row r="2595" spans="1:15" hidden="1" x14ac:dyDescent="0.25">
      <c r="A2595" s="11">
        <v>46083</v>
      </c>
      <c r="B2595" t="s">
        <v>53</v>
      </c>
      <c r="C2595" t="s">
        <v>48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>E2595+G2595+H2595</f>
        <v>25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22</v>
      </c>
      <c r="K2595" s="3">
        <f>I2595-J2595</f>
        <v>3</v>
      </c>
      <c r="L2595" s="3" t="str">
        <f>IF(K2595&lt;-5,"CRÍTICO",IF(K2595&lt;0,"ATENÇÃO",IF(K2595&lt;=5,"BOM","EXCELENTE")))</f>
        <v>BOM</v>
      </c>
      <c r="M2595">
        <v>24</v>
      </c>
      <c r="N2595">
        <v>98.02</v>
      </c>
      <c r="O2595">
        <v>23.484848484848481</v>
      </c>
    </row>
    <row r="2596" spans="1:15" hidden="1" x14ac:dyDescent="0.25">
      <c r="A2596" s="11">
        <v>46115</v>
      </c>
      <c r="B2596" t="s">
        <v>22</v>
      </c>
      <c r="C2596" t="s">
        <v>23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v>0</v>
      </c>
      <c r="J2596" s="3">
        <v>0</v>
      </c>
      <c r="K2596" s="3">
        <v>0</v>
      </c>
      <c r="L2596" s="3" t="str">
        <f>IF(K2596&lt;-5,"CRÍTICO",IF(K2596&lt;0,"ATENÇÃO",IF(K2596&lt;=5,"OPORTUNO","MUITO BOM")))</f>
        <v>OPORTUNO</v>
      </c>
      <c r="M2596">
        <v>0</v>
      </c>
      <c r="N2596">
        <v>99.28</v>
      </c>
      <c r="O2596">
        <v>27.689243027888441</v>
      </c>
    </row>
    <row r="2597" spans="1:15" hidden="1" x14ac:dyDescent="0.25">
      <c r="A2597" s="11">
        <v>46083</v>
      </c>
      <c r="B2597" t="s">
        <v>54</v>
      </c>
      <c r="C2597" t="s">
        <v>48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>E2597+G2597+H2597</f>
        <v>20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22</v>
      </c>
      <c r="K2597" s="3">
        <f>I2597-J2597</f>
        <v>-2</v>
      </c>
      <c r="L2597" s="3" t="str">
        <f>IF(K2597&lt;-5,"CRÍTICO",IF(K2597&lt;0,"ATENÇÃO",IF(K2597&lt;=5,"BOM","EXCELENTE")))</f>
        <v>ATENÇÃO</v>
      </c>
      <c r="M2597">
        <v>18</v>
      </c>
      <c r="N2597">
        <v>100</v>
      </c>
      <c r="O2597">
        <v>27.04918032786885</v>
      </c>
    </row>
    <row r="2598" spans="1:15" hidden="1" x14ac:dyDescent="0.25">
      <c r="A2598" s="11">
        <v>46083</v>
      </c>
      <c r="B2598" t="s">
        <v>37</v>
      </c>
      <c r="C2598" t="s">
        <v>32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>E2598+G2598+H2598</f>
        <v>35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8</v>
      </c>
      <c r="L2598" s="3" t="str">
        <f>IF(K2598&lt;-5,"CRÍTICO",IF(K2598&lt;0,"ATENÇÃO",IF(K2598&lt;=5,"BOM","EXCELENTE")))</f>
        <v>EXCELENTE</v>
      </c>
      <c r="M2598">
        <v>40</v>
      </c>
      <c r="N2598">
        <v>97.83</v>
      </c>
      <c r="O2598">
        <v>26.315789473684209</v>
      </c>
    </row>
    <row r="2599" spans="1:15" hidden="1" x14ac:dyDescent="0.25">
      <c r="A2599" s="11">
        <v>46083</v>
      </c>
      <c r="B2599" t="s">
        <v>38</v>
      </c>
      <c r="C2599" t="s">
        <v>32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>E2599+G2599+H2599</f>
        <v>12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27</v>
      </c>
      <c r="K2599" s="3">
        <f>I2599-J2599</f>
        <v>-15</v>
      </c>
      <c r="L2599" s="3" t="str">
        <f>IF(K2599&lt;-5,"CRÍTICO",IF(K2599&lt;0,"ATENÇÃO",IF(K2599&lt;=5,"BOM","EXCELENTE")))</f>
        <v>CRÍTICO</v>
      </c>
      <c r="M2599">
        <v>12</v>
      </c>
      <c r="N2599">
        <v>100</v>
      </c>
      <c r="O2599">
        <v>26.701570680628269</v>
      </c>
    </row>
    <row r="2600" spans="1:15" hidden="1" x14ac:dyDescent="0.25">
      <c r="A2600" s="11">
        <v>46083</v>
      </c>
      <c r="B2600" t="s">
        <v>55</v>
      </c>
      <c r="C2600" t="s">
        <v>48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>E2600+G2600+H2600</f>
        <v>19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22</v>
      </c>
      <c r="K2600" s="3">
        <f>I2600-J2600</f>
        <v>-3</v>
      </c>
      <c r="L2600" s="3" t="str">
        <f>IF(K2600&lt;-5,"CRÍTICO",IF(K2600&lt;0,"ATENÇÃO",IF(K2600&lt;=5,"BOM","EXCELENTE")))</f>
        <v>ATENÇÃO</v>
      </c>
      <c r="M2600">
        <v>18</v>
      </c>
      <c r="N2600">
        <v>97.47</v>
      </c>
      <c r="O2600">
        <v>22.887323943661968</v>
      </c>
    </row>
    <row r="2601" spans="1:15" hidden="1" x14ac:dyDescent="0.25">
      <c r="A2601" s="11">
        <v>46083</v>
      </c>
      <c r="B2601" t="s">
        <v>39</v>
      </c>
      <c r="C2601" t="s">
        <v>32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v>0</v>
      </c>
      <c r="J2601" s="3">
        <v>0</v>
      </c>
      <c r="K2601" s="3">
        <v>0</v>
      </c>
      <c r="L2601" s="3" t="str">
        <f>IF(K2601&lt;-5,"CRÍTICO",IF(K2601&lt;0,"ATENÇÃO",IF(K2601&lt;=5,"BOM","EXCELENTE")))</f>
        <v>BOM</v>
      </c>
      <c r="M2601">
        <v>0</v>
      </c>
      <c r="N2601">
        <v>0</v>
      </c>
      <c r="O2601">
        <v>0</v>
      </c>
    </row>
    <row r="2602" spans="1:15" hidden="1" x14ac:dyDescent="0.25">
      <c r="A2602" s="11">
        <v>46083</v>
      </c>
      <c r="B2602" t="s">
        <v>25</v>
      </c>
      <c r="C2602" t="s">
        <v>26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>E2602+G2602+H2602</f>
        <v>17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15</v>
      </c>
      <c r="K2602" s="3">
        <f>I2602-J2602</f>
        <v>2</v>
      </c>
      <c r="L2602" s="3" t="str">
        <f>IF(K2602&lt;-5,"CRÍTICO",IF(K2602&lt;0,"ATENÇÃO",IF(K2602&lt;=5,"BOM","EXCELENTE")))</f>
        <v>BOM</v>
      </c>
      <c r="M2602">
        <v>18</v>
      </c>
      <c r="N2602">
        <v>98.31</v>
      </c>
      <c r="O2602">
        <v>24.920127795527151</v>
      </c>
    </row>
    <row r="2603" spans="1:15" hidden="1" x14ac:dyDescent="0.25">
      <c r="A2603" s="11">
        <v>46083</v>
      </c>
      <c r="B2603" t="s">
        <v>40</v>
      </c>
      <c r="C2603" t="s">
        <v>32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>E2603+G2603+H2603</f>
        <v>20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27</v>
      </c>
      <c r="K2603" s="3">
        <f>I2603-J2603</f>
        <v>-7</v>
      </c>
      <c r="L2603" s="3" t="str">
        <f>IF(K2603&lt;-5,"CRÍTICO",IF(K2603&lt;0,"ATENÇÃO",IF(K2603&lt;=5,"BOM","EXCELENTE")))</f>
        <v>CRÍTICO</v>
      </c>
      <c r="M2603">
        <v>18</v>
      </c>
      <c r="N2603">
        <v>96.81</v>
      </c>
      <c r="O2603">
        <v>32.365145228215773</v>
      </c>
    </row>
    <row r="2604" spans="1:15" hidden="1" x14ac:dyDescent="0.25">
      <c r="A2604" s="11">
        <v>46083</v>
      </c>
      <c r="B2604" t="s">
        <v>27</v>
      </c>
      <c r="C2604" t="s">
        <v>26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v>0</v>
      </c>
      <c r="J2604" s="3">
        <v>0</v>
      </c>
      <c r="K2604" s="3">
        <v>0</v>
      </c>
      <c r="L2604" s="3" t="str">
        <f>IF(K2604&lt;-5,"CRÍTICO",IF(K2604&lt;0,"ATENÇÃO",IF(K2604&lt;=5,"BOM","EXCELENTE")))</f>
        <v>BOM</v>
      </c>
      <c r="M2604">
        <v>0</v>
      </c>
      <c r="N2604">
        <v>100</v>
      </c>
      <c r="O2604">
        <v>26.47058823529412</v>
      </c>
    </row>
    <row r="2605" spans="1:15" hidden="1" x14ac:dyDescent="0.25">
      <c r="A2605" s="11">
        <v>46083</v>
      </c>
      <c r="B2605" t="s">
        <v>41</v>
      </c>
      <c r="C2605" t="s">
        <v>32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>E2605+G2605+H2605</f>
        <v>22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27</v>
      </c>
      <c r="K2605" s="3">
        <f>I2605-J2605</f>
        <v>-5</v>
      </c>
      <c r="L2605" s="3" t="str">
        <f>IF(K2605&lt;-5,"CRÍTICO",IF(K2605&lt;0,"ATENÇÃO",IF(K2605&lt;=5,"BOM","EXCELENTE")))</f>
        <v>ATENÇÃO</v>
      </c>
      <c r="M2605">
        <v>21</v>
      </c>
      <c r="N2605">
        <v>100</v>
      </c>
      <c r="O2605">
        <v>28.490028490028489</v>
      </c>
    </row>
    <row r="2606" spans="1:15" hidden="1" x14ac:dyDescent="0.25">
      <c r="A2606" s="11">
        <v>46083</v>
      </c>
      <c r="B2606" t="s">
        <v>56</v>
      </c>
      <c r="C2606" t="s">
        <v>48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>E2606+G2606+H2606</f>
        <v>25</v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>22</v>
      </c>
      <c r="K2606" s="3">
        <f>I2606-J2606</f>
        <v>3</v>
      </c>
      <c r="L2606" s="3" t="str">
        <f>IF(K2606&lt;-5,"CRÍTICO",IF(K2606&lt;0,"ATENÇÃO",IF(K2606&lt;=5,"BOM","EXCELENTE")))</f>
        <v>BOM</v>
      </c>
      <c r="M2606">
        <v>14</v>
      </c>
      <c r="N2606">
        <v>99.14</v>
      </c>
      <c r="O2606">
        <v>27.2289156626506</v>
      </c>
    </row>
    <row r="2607" spans="1:15" hidden="1" x14ac:dyDescent="0.25">
      <c r="A2607" s="11">
        <v>46083</v>
      </c>
      <c r="B2607" t="s">
        <v>57</v>
      </c>
      <c r="C2607" t="s">
        <v>48</v>
      </c>
      <c r="D2607">
        <v>32</v>
      </c>
      <c r="E2607">
        <v>30</v>
      </c>
      <c r="F2607">
        <v>18.48</v>
      </c>
      <c r="G2607">
        <v>0</v>
      </c>
      <c r="H2607">
        <v>0</v>
      </c>
      <c r="I2607" s="3">
        <v>0</v>
      </c>
      <c r="J2607" s="3">
        <v>0</v>
      </c>
      <c r="K2607" s="3">
        <v>0</v>
      </c>
      <c r="L2607" s="3" t="str">
        <f>IF(K2607&lt;-5,"CRÍTICO",IF(K2607&lt;0,"ATENÇÃO",IF(K2607&lt;=5,"BOM","EXCELENTE")))</f>
        <v>BOM</v>
      </c>
      <c r="M2607">
        <v>27</v>
      </c>
      <c r="N2607">
        <v>97.52</v>
      </c>
      <c r="O2607">
        <v>28.205128205128201</v>
      </c>
    </row>
    <row r="2608" spans="1:15" hidden="1" x14ac:dyDescent="0.25">
      <c r="A2608" s="11">
        <v>46083</v>
      </c>
      <c r="B2608" t="s">
        <v>42</v>
      </c>
      <c r="C2608" t="s">
        <v>32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27</v>
      </c>
      <c r="K2608" s="3">
        <f>I2608-J2608</f>
        <v>1</v>
      </c>
      <c r="L2608" s="3" t="str">
        <f>IF(K2608&lt;-5,"CRÍTICO",IF(K2608&lt;0,"ATENÇÃO",IF(K2608&lt;=5,"BOM","EXCELENTE")))</f>
        <v>BOM</v>
      </c>
      <c r="M2608">
        <v>22</v>
      </c>
      <c r="N2608">
        <v>90</v>
      </c>
      <c r="O2608">
        <v>24.186046511627911</v>
      </c>
    </row>
    <row r="2609" spans="1:15" hidden="1" x14ac:dyDescent="0.25">
      <c r="A2609" s="11">
        <v>46083</v>
      </c>
      <c r="B2609" t="s">
        <v>62</v>
      </c>
      <c r="C2609" t="s">
        <v>23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>E2609+G2609+H2609</f>
        <v>28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18</v>
      </c>
      <c r="K2609" s="3">
        <f>I2609-J2609</f>
        <v>10</v>
      </c>
      <c r="L2609" s="3" t="str">
        <f>IF(K2609&lt;-5,"CRÍTICO",IF(K2609&lt;0,"ATENÇÃO",IF(K2609&lt;=5,"BOM","EXCELENTE")))</f>
        <v>EXCELENTE</v>
      </c>
      <c r="M2609">
        <v>25</v>
      </c>
      <c r="N2609">
        <v>98.9</v>
      </c>
      <c r="O2609">
        <v>26.763990267639901</v>
      </c>
    </row>
    <row r="2610" spans="1:15" hidden="1" x14ac:dyDescent="0.25">
      <c r="A2610" s="11">
        <v>46083</v>
      </c>
      <c r="B2610" t="s">
        <v>19</v>
      </c>
      <c r="C2610" t="s">
        <v>16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>E2610+G2610+H2610</f>
        <v>14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8</v>
      </c>
      <c r="K2610" s="3">
        <f>I2610-J2610</f>
        <v>6</v>
      </c>
      <c r="L2610" s="3" t="str">
        <f>IF(K2610&lt;-5,"CRÍTICO",IF(K2610&lt;0,"ATENÇÃO",IF(K2610&lt;=5,"BOM","EXCELENTE")))</f>
        <v>EXCELENTE</v>
      </c>
      <c r="M2610">
        <v>11</v>
      </c>
      <c r="N2610">
        <v>88.89</v>
      </c>
      <c r="O2610">
        <v>25.263157894736839</v>
      </c>
    </row>
    <row r="2611" spans="1:15" hidden="1" x14ac:dyDescent="0.25">
      <c r="A2611" s="11">
        <v>46083</v>
      </c>
      <c r="B2611" t="s">
        <v>43</v>
      </c>
      <c r="C2611" t="s">
        <v>32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>E2611+G2611+H2611</f>
        <v>38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11</v>
      </c>
      <c r="L2611" s="3" t="str">
        <f>IF(K2611&lt;-5,"CRÍTICO",IF(K2611&lt;0,"ATENÇÃO",IF(K2611&lt;=5,"BOM","EXCELENTE")))</f>
        <v>EXCELENTE</v>
      </c>
      <c r="M2611">
        <v>40</v>
      </c>
      <c r="N2611">
        <v>98.86</v>
      </c>
      <c r="O2611">
        <v>28.959276018099551</v>
      </c>
    </row>
    <row r="2612" spans="1:15" hidden="1" x14ac:dyDescent="0.25">
      <c r="A2612" s="11">
        <v>46083</v>
      </c>
      <c r="B2612" t="s">
        <v>44</v>
      </c>
      <c r="C2612" t="s">
        <v>32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>E2612+G2612+H2612</f>
        <v>32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27</v>
      </c>
      <c r="K2612" s="3">
        <f>I2612-J2612</f>
        <v>5</v>
      </c>
      <c r="L2612" s="3" t="str">
        <f>IF(K2612&lt;-5,"CRÍTICO",IF(K2612&lt;0,"ATENÇÃO",IF(K2612&lt;=5,"BOM","EXCELENTE")))</f>
        <v>BOM</v>
      </c>
      <c r="M2612">
        <v>30</v>
      </c>
      <c r="N2612">
        <v>98.06</v>
      </c>
      <c r="O2612">
        <v>22.40566037735849</v>
      </c>
    </row>
    <row r="2613" spans="1:15" hidden="1" x14ac:dyDescent="0.25">
      <c r="A2613" s="11">
        <v>46083</v>
      </c>
      <c r="B2613" t="s">
        <v>20</v>
      </c>
      <c r="C2613" t="s">
        <v>16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>E2613+G2613+H2613</f>
        <v>6</v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>8</v>
      </c>
      <c r="K2613" s="3">
        <f>I2613-J2613</f>
        <v>-2</v>
      </c>
      <c r="L2613" s="3" t="str">
        <f>IF(K2613&lt;-5,"CRÍTICO",IF(K2613&lt;0,"ATENÇÃO",IF(K2613&lt;=5,"BOM","EXCELENTE")))</f>
        <v>ATENÇÃO</v>
      </c>
      <c r="M2613">
        <v>5</v>
      </c>
      <c r="N2613">
        <v>95.83</v>
      </c>
      <c r="O2613">
        <v>25.773195876288661</v>
      </c>
    </row>
    <row r="2614" spans="1:15" hidden="1" x14ac:dyDescent="0.25">
      <c r="A2614" s="11">
        <v>46083</v>
      </c>
      <c r="B2614" t="s">
        <v>28</v>
      </c>
      <c r="C2614" t="s">
        <v>26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v>0</v>
      </c>
      <c r="J2614" s="3">
        <v>0</v>
      </c>
      <c r="K2614" s="3">
        <v>0</v>
      </c>
      <c r="L2614" s="3" t="str">
        <f>IF(K2614&lt;-5,"CRÍTICO",IF(K2614&lt;0,"ATENÇÃO",IF(K2614&lt;=5,"BOM","EXCELENTE")))</f>
        <v>BOM</v>
      </c>
      <c r="M2614">
        <v>0</v>
      </c>
      <c r="N2614">
        <v>100</v>
      </c>
      <c r="O2614">
        <v>15.38461538461539</v>
      </c>
    </row>
    <row r="2615" spans="1:15" hidden="1" x14ac:dyDescent="0.25">
      <c r="A2615" s="11">
        <v>46083</v>
      </c>
      <c r="B2615" t="s">
        <v>58</v>
      </c>
      <c r="C2615" t="s">
        <v>48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>E2615+G2615+H2615</f>
        <v>18</v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22</v>
      </c>
      <c r="K2615" s="3">
        <f>I2615-J2615</f>
        <v>-4</v>
      </c>
      <c r="L2615" s="3" t="str">
        <f>IF(K2615&lt;-5,"CRÍTICO",IF(K2615&lt;0,"ATENÇÃO",IF(K2615&lt;=5,"BOM","EXCELENTE")))</f>
        <v>ATENÇÃO</v>
      </c>
      <c r="M2615">
        <v>16</v>
      </c>
      <c r="N2615">
        <v>100</v>
      </c>
      <c r="O2615">
        <v>27.514792899408281</v>
      </c>
    </row>
    <row r="2616" spans="1:15" hidden="1" x14ac:dyDescent="0.25">
      <c r="A2616" s="11">
        <v>46083</v>
      </c>
      <c r="B2616" t="s">
        <v>29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>
        <v>0</v>
      </c>
      <c r="N2616">
        <v>100</v>
      </c>
      <c r="O2616">
        <v>24.875621890547269</v>
      </c>
    </row>
    <row r="2617" spans="1:15" hidden="1" x14ac:dyDescent="0.25">
      <c r="A2617" s="11">
        <v>46083</v>
      </c>
      <c r="B2617" t="s">
        <v>30</v>
      </c>
      <c r="C2617" t="s">
        <v>26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>IF(K2617&lt;-5,"CRÍTICO",IF(K2617&lt;0,"ATENÇÃO",IF(K2617&lt;=5,"BOM","EXCELENTE")))</f>
        <v>BOM</v>
      </c>
      <c r="M2617">
        <v>0</v>
      </c>
      <c r="N2617">
        <v>100</v>
      </c>
      <c r="O2617">
        <v>28.108108108108109</v>
      </c>
    </row>
    <row r="2618" spans="1:15" hidden="1" x14ac:dyDescent="0.25">
      <c r="A2618" s="11">
        <v>46083</v>
      </c>
      <c r="B2618" t="s">
        <v>21</v>
      </c>
      <c r="C2618" t="s">
        <v>16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v>0</v>
      </c>
      <c r="J2618" s="3">
        <v>0</v>
      </c>
      <c r="K2618" s="3">
        <v>0</v>
      </c>
      <c r="L2618" s="3" t="str">
        <f>IF(K2618&lt;-5,"CRÍTICO",IF(K2618&lt;0,"ATENÇÃO",IF(K2618&lt;=5,"BOM","EXCELENTE")))</f>
        <v>BOM</v>
      </c>
      <c r="M2618">
        <v>0</v>
      </c>
      <c r="N2618">
        <v>100</v>
      </c>
      <c r="O2618">
        <v>35</v>
      </c>
    </row>
    <row r="2619" spans="1:15" hidden="1" x14ac:dyDescent="0.25">
      <c r="A2619" s="11">
        <v>46083</v>
      </c>
      <c r="B2619" t="s">
        <v>63</v>
      </c>
      <c r="C2619" t="s">
        <v>23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>E2619+G2619+H2619</f>
        <v>25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18</v>
      </c>
      <c r="K2619" s="3">
        <f>I2619-J2619</f>
        <v>7</v>
      </c>
      <c r="L2619" s="3" t="str">
        <f>IF(K2619&lt;-5,"CRÍTICO",IF(K2619&lt;0,"ATENÇÃO",IF(K2619&lt;=5,"BOM","EXCELENTE")))</f>
        <v>EXCELENTE</v>
      </c>
      <c r="M2619">
        <v>15</v>
      </c>
      <c r="N2619">
        <v>95.35</v>
      </c>
      <c r="O2619">
        <v>28.61538461538461</v>
      </c>
    </row>
    <row r="2620" spans="1:15" hidden="1" x14ac:dyDescent="0.25">
      <c r="A2620" s="11">
        <v>46083</v>
      </c>
      <c r="B2620" t="s">
        <v>45</v>
      </c>
      <c r="C2620" t="s">
        <v>32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>E2620+G2620+H2620</f>
        <v>44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27</v>
      </c>
      <c r="K2620" s="3">
        <f>I2620-J2620</f>
        <v>17</v>
      </c>
      <c r="L2620" s="3" t="str">
        <f>IF(K2620&lt;-5,"CRÍTICO",IF(K2620&lt;0,"ATENÇÃO",IF(K2620&lt;=5,"BOM","EXCELENTE")))</f>
        <v>EXCELENTE</v>
      </c>
      <c r="M2620">
        <v>35</v>
      </c>
      <c r="N2620">
        <v>98.26</v>
      </c>
      <c r="O2620">
        <v>27.54491017964072</v>
      </c>
    </row>
    <row r="2621" spans="1:15" hidden="1" x14ac:dyDescent="0.25">
      <c r="A2621" s="11">
        <v>46083</v>
      </c>
      <c r="B2621" t="s">
        <v>64</v>
      </c>
      <c r="C2621" t="s">
        <v>23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>E2621+G2621+H2621</f>
        <v>9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18</v>
      </c>
      <c r="K2621" s="3">
        <f>I2621-J2621</f>
        <v>-9</v>
      </c>
      <c r="L2621" s="3" t="str">
        <f>IF(K2621&lt;-5,"CRÍTICO",IF(K2621&lt;0,"ATENÇÃO",IF(K2621&lt;=5,"BOM","EXCELENTE")))</f>
        <v>CRÍTICO</v>
      </c>
      <c r="M2621">
        <v>9</v>
      </c>
      <c r="N2621">
        <v>98.55</v>
      </c>
      <c r="O2621">
        <v>25.337837837837839</v>
      </c>
    </row>
    <row r="2622" spans="1:15" hidden="1" x14ac:dyDescent="0.25">
      <c r="A2622" s="11">
        <v>46083</v>
      </c>
      <c r="B2622" t="s">
        <v>46</v>
      </c>
      <c r="C2622" t="s">
        <v>32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>E2622+G2622+H2622</f>
        <v>35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27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>
        <v>29</v>
      </c>
      <c r="N2622">
        <v>98.39</v>
      </c>
      <c r="O2622">
        <v>25.563909774436091</v>
      </c>
    </row>
    <row r="2623" spans="1:15" hidden="1" x14ac:dyDescent="0.25">
      <c r="A2623" s="11">
        <v>46084</v>
      </c>
      <c r="B2623" t="s">
        <v>47</v>
      </c>
      <c r="C2623" t="s">
        <v>48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>E2623+G2623+H2623</f>
        <v>30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22</v>
      </c>
      <c r="K2623" s="3">
        <f>I2623-J2623</f>
        <v>8</v>
      </c>
      <c r="L2623" s="3" t="str">
        <f>IF(K2623&lt;-5,"CRÍTICO",IF(K2623&lt;0,"ATENÇÃO",IF(K2623&lt;=5,"BOM","EXCELENTE")))</f>
        <v>EXCELENTE</v>
      </c>
      <c r="M2623">
        <v>22</v>
      </c>
      <c r="N2623">
        <v>94.29</v>
      </c>
      <c r="O2623">
        <v>25.647668393782389</v>
      </c>
    </row>
    <row r="2624" spans="1:15" hidden="1" x14ac:dyDescent="0.25">
      <c r="A2624" s="11">
        <v>46084</v>
      </c>
      <c r="B2624" t="s">
        <v>31</v>
      </c>
      <c r="C2624" t="s">
        <v>32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v>0</v>
      </c>
      <c r="J2624" s="3">
        <v>0</v>
      </c>
      <c r="K2624" s="3">
        <v>0</v>
      </c>
      <c r="L2624" s="3" t="str">
        <f>IF(K2624&lt;-5,"CRÍTICO",IF(K2624&lt;0,"ATENÇÃO",IF(K2624&lt;=5,"BOM","EXCELENTE")))</f>
        <v>BOM</v>
      </c>
      <c r="M2624">
        <v>21</v>
      </c>
      <c r="N2624">
        <v>98.26</v>
      </c>
      <c r="O2624">
        <v>26.666666666666671</v>
      </c>
    </row>
    <row r="2625" spans="1:15" hidden="1" x14ac:dyDescent="0.25">
      <c r="A2625" s="11">
        <v>46084</v>
      </c>
      <c r="B2625" t="s">
        <v>59</v>
      </c>
      <c r="C2625" t="s">
        <v>23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>E2625+G2625+H2625</f>
        <v>30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18</v>
      </c>
      <c r="K2625" s="3">
        <f>I2625-J2625</f>
        <v>12</v>
      </c>
      <c r="L2625" s="3" t="str">
        <f>IF(K2625&lt;-5,"CRÍTICO",IF(K2625&lt;0,"ATENÇÃO",IF(K2625&lt;=5,"BOM","EXCELENTE")))</f>
        <v>EXCELENTE</v>
      </c>
      <c r="M2625">
        <v>25</v>
      </c>
      <c r="N2625">
        <v>98.2</v>
      </c>
      <c r="O2625">
        <v>23.37962962962963</v>
      </c>
    </row>
    <row r="2626" spans="1:15" hidden="1" x14ac:dyDescent="0.25">
      <c r="A2626" s="11">
        <v>46084</v>
      </c>
      <c r="B2626" t="s">
        <v>33</v>
      </c>
      <c r="C2626" t="s">
        <v>32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>E2626+G2626+H2626</f>
        <v>24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27</v>
      </c>
      <c r="K2626" s="3">
        <f>I2626-J2626</f>
        <v>-3</v>
      </c>
      <c r="L2626" s="3" t="str">
        <f>IF(K2626&lt;-5,"CRÍTICO",IF(K2626&lt;0,"ATENÇÃO",IF(K2626&lt;=5,"BOM","EXCELENTE")))</f>
        <v>ATENÇÃO</v>
      </c>
      <c r="M2626">
        <v>32</v>
      </c>
      <c r="N2626">
        <v>97.3</v>
      </c>
      <c r="O2626">
        <v>23.84769539078156</v>
      </c>
    </row>
    <row r="2627" spans="1:15" hidden="1" x14ac:dyDescent="0.25">
      <c r="A2627" s="11">
        <v>46084</v>
      </c>
      <c r="B2627" t="s">
        <v>15</v>
      </c>
      <c r="C2627" t="s">
        <v>16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>E2627+G2627+H2627</f>
        <v>8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8</v>
      </c>
      <c r="K2627" s="3">
        <f>I2627-J2627</f>
        <v>0</v>
      </c>
      <c r="L2627" s="3" t="str">
        <f>IF(K2627&lt;-5,"CRÍTICO",IF(K2627&lt;0,"ATENÇÃO",IF(K2627&lt;=5,"BOM","EXCELENTE")))</f>
        <v>BOM</v>
      </c>
      <c r="M2627">
        <v>6</v>
      </c>
      <c r="N2627">
        <v>100</v>
      </c>
      <c r="O2627">
        <v>25.268817204301079</v>
      </c>
    </row>
    <row r="2628" spans="1:15" hidden="1" x14ac:dyDescent="0.25">
      <c r="A2628" s="11">
        <v>46084</v>
      </c>
      <c r="B2628" t="s">
        <v>49</v>
      </c>
      <c r="C2628" t="s">
        <v>48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>E2628+G2628+H2628</f>
        <v>25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22</v>
      </c>
      <c r="K2628" s="3">
        <f>I2628-J2628</f>
        <v>3</v>
      </c>
      <c r="L2628" s="3" t="str">
        <f>IF(K2628&lt;-5,"CRÍTICO",IF(K2628&lt;0,"ATENÇÃO",IF(K2628&lt;=5,"BOM","EXCELENTE")))</f>
        <v>BOM</v>
      </c>
      <c r="M2628">
        <v>27</v>
      </c>
      <c r="N2628">
        <v>99.32</v>
      </c>
      <c r="O2628">
        <v>22.822822822822818</v>
      </c>
    </row>
    <row r="2629" spans="1:15" hidden="1" x14ac:dyDescent="0.25">
      <c r="A2629" s="11">
        <v>46084</v>
      </c>
      <c r="B2629" t="s">
        <v>50</v>
      </c>
      <c r="C2629" t="s">
        <v>48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>
        <v>0</v>
      </c>
      <c r="N2629">
        <v>100</v>
      </c>
      <c r="O2629">
        <v>27.966101694915249</v>
      </c>
    </row>
    <row r="2630" spans="1:15" hidden="1" x14ac:dyDescent="0.25">
      <c r="A2630" s="11">
        <v>46084</v>
      </c>
      <c r="B2630" t="s">
        <v>17</v>
      </c>
      <c r="C2630" t="s">
        <v>16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v>0</v>
      </c>
      <c r="J2630" s="3">
        <v>0</v>
      </c>
      <c r="K2630" s="3">
        <v>0</v>
      </c>
      <c r="L2630" s="3" t="str">
        <f>IF(K2630&lt;-5,"CRÍTICO",IF(K2630&lt;0,"ATENÇÃO",IF(K2630&lt;=5,"BOM","EXCELENTE")))</f>
        <v>BOM</v>
      </c>
      <c r="M2630">
        <v>0</v>
      </c>
      <c r="N2630">
        <v>100</v>
      </c>
      <c r="O2630">
        <v>30.434782608695659</v>
      </c>
    </row>
    <row r="2631" spans="1:15" hidden="1" x14ac:dyDescent="0.25">
      <c r="A2631" s="11">
        <v>46084</v>
      </c>
      <c r="B2631" t="s">
        <v>60</v>
      </c>
      <c r="C2631" t="s">
        <v>23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>E2631+G2631+H2631</f>
        <v>22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18</v>
      </c>
      <c r="K2631" s="3">
        <f>I2631-J2631</f>
        <v>4</v>
      </c>
      <c r="L2631" s="3" t="str">
        <f>IF(K2631&lt;-5,"CRÍTICO",IF(K2631&lt;0,"ATENÇÃO",IF(K2631&lt;=5,"BOM","EXCELENTE")))</f>
        <v>BOM</v>
      </c>
      <c r="M2631">
        <v>20</v>
      </c>
      <c r="N2631">
        <v>96.51</v>
      </c>
      <c r="O2631">
        <v>22.802850356294542</v>
      </c>
    </row>
    <row r="2632" spans="1:15" hidden="1" x14ac:dyDescent="0.25">
      <c r="A2632" s="11">
        <v>46084</v>
      </c>
      <c r="B2632" t="s">
        <v>34</v>
      </c>
      <c r="C2632" t="s">
        <v>32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>E2632+G2632+H2632</f>
        <v>34</v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>27</v>
      </c>
      <c r="K2632" s="3">
        <f>I2632-J2632</f>
        <v>7</v>
      </c>
      <c r="L2632" s="3" t="str">
        <f>IF(K2632&lt;-5,"CRÍTICO",IF(K2632&lt;0,"ATENÇÃO",IF(K2632&lt;=5,"BOM","EXCELENTE")))</f>
        <v>EXCELENTE</v>
      </c>
      <c r="M2632">
        <v>34</v>
      </c>
      <c r="N2632">
        <v>92.68</v>
      </c>
      <c r="O2632">
        <v>27.777777777777779</v>
      </c>
    </row>
    <row r="2633" spans="1:15" hidden="1" x14ac:dyDescent="0.25">
      <c r="A2633" s="11">
        <v>46084</v>
      </c>
      <c r="B2633" t="s">
        <v>51</v>
      </c>
      <c r="C2633" t="s">
        <v>48</v>
      </c>
      <c r="D2633">
        <v>27</v>
      </c>
      <c r="E2633">
        <v>25</v>
      </c>
      <c r="F2633">
        <v>25.36</v>
      </c>
      <c r="G2633">
        <v>0</v>
      </c>
      <c r="H2633">
        <v>0</v>
      </c>
      <c r="I2633" s="3">
        <v>0</v>
      </c>
      <c r="J2633" s="3">
        <v>0</v>
      </c>
      <c r="K2633" s="3">
        <v>0</v>
      </c>
      <c r="L2633" s="3" t="str">
        <f>IF(K2633&lt;-5,"CRÍTICO",IF(K2633&lt;0,"ATENÇÃO",IF(K2633&lt;=5,"BOM","EXCELENTE")))</f>
        <v>BOM</v>
      </c>
      <c r="M2633">
        <v>21</v>
      </c>
      <c r="N2633">
        <v>99.03</v>
      </c>
      <c r="O2633">
        <v>23.991507430997881</v>
      </c>
    </row>
    <row r="2634" spans="1:15" hidden="1" x14ac:dyDescent="0.25">
      <c r="A2634" s="11">
        <v>46084</v>
      </c>
      <c r="B2634" t="s">
        <v>61</v>
      </c>
      <c r="C2634" t="s">
        <v>23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>E2634+G2634+H2634</f>
        <v>34</v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>18</v>
      </c>
      <c r="K2634" s="3">
        <f>I2634-J2634</f>
        <v>16</v>
      </c>
      <c r="L2634" s="3" t="str">
        <f>IF(K2634&lt;-5,"CRÍTICO",IF(K2634&lt;0,"ATENÇÃO",IF(K2634&lt;=5,"BOM","EXCELENTE")))</f>
        <v>EXCELENTE</v>
      </c>
      <c r="M2634">
        <v>14</v>
      </c>
      <c r="N2634">
        <v>98.41</v>
      </c>
      <c r="O2634">
        <v>28.138528138528141</v>
      </c>
    </row>
    <row r="2635" spans="1:15" hidden="1" x14ac:dyDescent="0.25">
      <c r="A2635" s="11">
        <v>46084</v>
      </c>
      <c r="B2635" t="s">
        <v>35</v>
      </c>
      <c r="C2635" t="s">
        <v>32</v>
      </c>
      <c r="D2635">
        <v>32</v>
      </c>
      <c r="E2635">
        <v>32</v>
      </c>
      <c r="F2635">
        <v>24.12</v>
      </c>
      <c r="G2635">
        <v>0</v>
      </c>
      <c r="H2635">
        <v>0</v>
      </c>
      <c r="I2635" s="3">
        <v>0</v>
      </c>
      <c r="J2635" s="3">
        <v>0</v>
      </c>
      <c r="K2635" s="3">
        <v>0</v>
      </c>
      <c r="L2635" s="3" t="str">
        <f>IF(K2635&lt;-5,"CRÍTICO",IF(K2635&lt;0,"ATENÇÃO",IF(K2635&lt;=5,"BOM","EXCELENTE")))</f>
        <v>BOM</v>
      </c>
      <c r="M2635">
        <v>33</v>
      </c>
      <c r="N2635">
        <v>98.73</v>
      </c>
      <c r="O2635">
        <v>29.142857142857139</v>
      </c>
    </row>
    <row r="2636" spans="1:15" hidden="1" x14ac:dyDescent="0.25">
      <c r="A2636" s="11">
        <v>46084</v>
      </c>
      <c r="B2636" t="s">
        <v>18</v>
      </c>
      <c r="C2636" t="s">
        <v>16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>E2636+G2636+H2636</f>
        <v>5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8</v>
      </c>
      <c r="K2636" s="3">
        <f>I2636-J2636</f>
        <v>-3</v>
      </c>
      <c r="L2636" s="3" t="str">
        <f>IF(K2636&lt;-5,"CRÍTICO",IF(K2636&lt;0,"ATENÇÃO",IF(K2636&lt;=5,"BOM","EXCELENTE")))</f>
        <v>ATENÇÃO</v>
      </c>
      <c r="M2636">
        <v>3</v>
      </c>
      <c r="N2636">
        <v>90.48</v>
      </c>
      <c r="O2636">
        <v>20.68965517241379</v>
      </c>
    </row>
    <row r="2637" spans="1:15" hidden="1" x14ac:dyDescent="0.25">
      <c r="A2637" s="11">
        <v>46084</v>
      </c>
      <c r="B2637" t="s">
        <v>52</v>
      </c>
      <c r="C2637" t="s">
        <v>48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>E2637+G2637+H2637</f>
        <v>43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22</v>
      </c>
      <c r="K2637" s="3">
        <f>I2637-J2637</f>
        <v>21</v>
      </c>
      <c r="L2637" s="3" t="str">
        <f>IF(K2637&lt;-5,"CRÍTICO",IF(K2637&lt;0,"ATENÇÃO",IF(K2637&lt;=5,"BOM","EXCELENTE")))</f>
        <v>EXCELENTE</v>
      </c>
      <c r="M2637">
        <v>35</v>
      </c>
      <c r="N2637">
        <v>98.06</v>
      </c>
      <c r="O2637">
        <v>24.789915966386559</v>
      </c>
    </row>
    <row r="2638" spans="1:15" hidden="1" x14ac:dyDescent="0.25">
      <c r="A2638" s="11">
        <v>46084</v>
      </c>
      <c r="B2638" t="s">
        <v>36</v>
      </c>
      <c r="C2638" t="s">
        <v>32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>E2638+G2638+H2638</f>
        <v>18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27</v>
      </c>
      <c r="K2638" s="3">
        <f>I2638-J2638</f>
        <v>-9</v>
      </c>
      <c r="L2638" s="3" t="str">
        <f>IF(K2638&lt;-5,"CRÍTICO",IF(K2638&lt;0,"ATENÇÃO",IF(K2638&lt;=5,"BOM","EXCELENTE")))</f>
        <v>CRÍTICO</v>
      </c>
      <c r="M2638">
        <v>22</v>
      </c>
      <c r="N2638">
        <v>97.78</v>
      </c>
      <c r="O2638">
        <v>25.494071146245059</v>
      </c>
    </row>
    <row r="2639" spans="1:15" hidden="1" x14ac:dyDescent="0.25">
      <c r="A2639" s="11">
        <v>46084</v>
      </c>
      <c r="B2639" t="s">
        <v>53</v>
      </c>
      <c r="C2639" t="s">
        <v>48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>E2639+G2639+H2639</f>
        <v>34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22</v>
      </c>
      <c r="K2639" s="3">
        <f>I2639-J2639</f>
        <v>12</v>
      </c>
      <c r="L2639" s="3" t="str">
        <f>IF(K2639&lt;-5,"CRÍTICO",IF(K2639&lt;0,"ATENÇÃO",IF(K2639&lt;=5,"BOM","EXCELENTE")))</f>
        <v>EXCELENTE</v>
      </c>
      <c r="M2639">
        <v>31</v>
      </c>
      <c r="N2639">
        <v>98.02</v>
      </c>
      <c r="O2639">
        <v>23.484848484848481</v>
      </c>
    </row>
    <row r="2640" spans="1:15" hidden="1" x14ac:dyDescent="0.25">
      <c r="A2640" s="11">
        <v>46118</v>
      </c>
      <c r="B2640" t="s">
        <v>22</v>
      </c>
      <c r="C2640" t="s">
        <v>23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>E2640+G2640+H2640</f>
        <v>26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20</v>
      </c>
      <c r="K2640" s="3">
        <f>I2640-J2640</f>
        <v>6</v>
      </c>
      <c r="L2640" s="3" t="str">
        <f>IF(K2640&lt;-5,"CRÍTICO",IF(K2640&lt;0,"ATENÇÃO",IF(K2640&lt;=5,"OPORTUNO","MUITO BOM")))</f>
        <v>MUITO BOM</v>
      </c>
      <c r="M2640">
        <v>23</v>
      </c>
      <c r="N2640">
        <v>99.28</v>
      </c>
      <c r="O2640">
        <v>27.689243027888441</v>
      </c>
    </row>
    <row r="2641" spans="1:15" hidden="1" x14ac:dyDescent="0.25">
      <c r="A2641" s="11">
        <v>46084</v>
      </c>
      <c r="B2641" t="s">
        <v>54</v>
      </c>
      <c r="C2641" t="s">
        <v>48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>E2641+G2641+H2641</f>
        <v>31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22</v>
      </c>
      <c r="K2641" s="3">
        <f>I2641-J2641</f>
        <v>9</v>
      </c>
      <c r="L2641" s="3" t="str">
        <f>IF(K2641&lt;-5,"CRÍTICO",IF(K2641&lt;0,"ATENÇÃO",IF(K2641&lt;=5,"BOM","EXCELENTE")))</f>
        <v>EXCELENTE</v>
      </c>
      <c r="M2641">
        <v>28</v>
      </c>
      <c r="N2641">
        <v>100</v>
      </c>
      <c r="O2641">
        <v>27.04918032786885</v>
      </c>
    </row>
    <row r="2642" spans="1:15" hidden="1" x14ac:dyDescent="0.25">
      <c r="A2642" s="11">
        <v>46084</v>
      </c>
      <c r="B2642" t="s">
        <v>37</v>
      </c>
      <c r="C2642" t="s">
        <v>32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>E2642+G2642+H2642</f>
        <v>42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15</v>
      </c>
      <c r="L2642" s="3" t="str">
        <f>IF(K2642&lt;-5,"CRÍTICO",IF(K2642&lt;0,"ATENÇÃO",IF(K2642&lt;=5,"BOM","EXCELENTE")))</f>
        <v>EXCELENTE</v>
      </c>
      <c r="M2642">
        <v>41</v>
      </c>
      <c r="N2642">
        <v>97.83</v>
      </c>
      <c r="O2642">
        <v>26.315789473684209</v>
      </c>
    </row>
    <row r="2643" spans="1:15" hidden="1" x14ac:dyDescent="0.25">
      <c r="A2643" s="11">
        <v>46084</v>
      </c>
      <c r="B2643" t="s">
        <v>38</v>
      </c>
      <c r="C2643" t="s">
        <v>32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>E2643+G2643+H2643</f>
        <v>3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27</v>
      </c>
      <c r="K2643" s="3">
        <f>I2643-J2643</f>
        <v>-24</v>
      </c>
      <c r="L2643" s="3" t="str">
        <f>IF(K2643&lt;-5,"CRÍTICO",IF(K2643&lt;0,"ATENÇÃO",IF(K2643&lt;=5,"BOM","EXCELENTE")))</f>
        <v>CRÍTICO</v>
      </c>
      <c r="M2643">
        <v>6</v>
      </c>
      <c r="N2643">
        <v>100</v>
      </c>
      <c r="O2643">
        <v>26.701570680628269</v>
      </c>
    </row>
    <row r="2644" spans="1:15" hidden="1" x14ac:dyDescent="0.25">
      <c r="A2644" s="11">
        <v>46084</v>
      </c>
      <c r="B2644" t="s">
        <v>55</v>
      </c>
      <c r="C2644" t="s">
        <v>48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>E2644+G2644+H2644</f>
        <v>31</v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>22</v>
      </c>
      <c r="K2644" s="3">
        <f>I2644-J2644</f>
        <v>9</v>
      </c>
      <c r="L2644" s="3" t="str">
        <f>IF(K2644&lt;-5,"CRÍTICO",IF(K2644&lt;0,"ATENÇÃO",IF(K2644&lt;=5,"BOM","EXCELENTE")))</f>
        <v>EXCELENTE</v>
      </c>
      <c r="M2644">
        <v>29</v>
      </c>
      <c r="N2644">
        <v>97.47</v>
      </c>
      <c r="O2644">
        <v>22.887323943661968</v>
      </c>
    </row>
    <row r="2645" spans="1:15" hidden="1" x14ac:dyDescent="0.25">
      <c r="A2645" s="11">
        <v>46084</v>
      </c>
      <c r="B2645" t="s">
        <v>39</v>
      </c>
      <c r="C2645" t="s">
        <v>32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v>0</v>
      </c>
      <c r="J2645" s="3">
        <v>0</v>
      </c>
      <c r="K2645" s="3">
        <v>0</v>
      </c>
      <c r="L2645" s="3" t="str">
        <f>IF(K2645&lt;-5,"CRÍTICO",IF(K2645&lt;0,"ATENÇÃO",IF(K2645&lt;=5,"BOM","EXCELENTE")))</f>
        <v>BOM</v>
      </c>
      <c r="M2645">
        <v>0</v>
      </c>
      <c r="N2645">
        <v>0</v>
      </c>
      <c r="O2645">
        <v>0</v>
      </c>
    </row>
    <row r="2646" spans="1:15" hidden="1" x14ac:dyDescent="0.25">
      <c r="A2646" s="11">
        <v>46084</v>
      </c>
      <c r="B2646" t="s">
        <v>25</v>
      </c>
      <c r="C2646" t="s">
        <v>26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>E2646+G2646+H2646</f>
        <v>14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15</v>
      </c>
      <c r="K2646" s="3">
        <f>I2646-J2646</f>
        <v>-1</v>
      </c>
      <c r="L2646" s="3" t="str">
        <f>IF(K2646&lt;-5,"CRÍTICO",IF(K2646&lt;0,"ATENÇÃO",IF(K2646&lt;=5,"BOM","EXCELENTE")))</f>
        <v>ATENÇÃO</v>
      </c>
      <c r="M2646">
        <v>12</v>
      </c>
      <c r="N2646">
        <v>98.31</v>
      </c>
      <c r="O2646">
        <v>24.920127795527151</v>
      </c>
    </row>
    <row r="2647" spans="1:15" hidden="1" x14ac:dyDescent="0.25">
      <c r="A2647" s="11">
        <v>46084</v>
      </c>
      <c r="B2647" t="s">
        <v>40</v>
      </c>
      <c r="C2647" t="s">
        <v>32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>E2647+G2647+H2647</f>
        <v>2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27</v>
      </c>
      <c r="K2647" s="3">
        <f>I2647-J2647</f>
        <v>-25</v>
      </c>
      <c r="L2647" s="3" t="str">
        <f>IF(K2647&lt;-5,"CRÍTICO",IF(K2647&lt;0,"ATENÇÃO",IF(K2647&lt;=5,"BOM","EXCELENTE")))</f>
        <v>CRÍTICO</v>
      </c>
      <c r="M2647">
        <v>6</v>
      </c>
      <c r="N2647">
        <v>96.81</v>
      </c>
      <c r="O2647">
        <v>32.365145228215773</v>
      </c>
    </row>
    <row r="2648" spans="1:15" hidden="1" x14ac:dyDescent="0.25">
      <c r="A2648" s="11">
        <v>46084</v>
      </c>
      <c r="B2648" t="s">
        <v>27</v>
      </c>
      <c r="C2648" t="s">
        <v>26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v>0</v>
      </c>
      <c r="J2648" s="3">
        <v>0</v>
      </c>
      <c r="K2648" s="3">
        <v>0</v>
      </c>
      <c r="L2648" s="3" t="str">
        <f>IF(K2648&lt;-5,"CRÍTICO",IF(K2648&lt;0,"ATENÇÃO",IF(K2648&lt;=5,"BOM","EXCELENTE")))</f>
        <v>BOM</v>
      </c>
      <c r="M2648">
        <v>0</v>
      </c>
      <c r="N2648">
        <v>100</v>
      </c>
      <c r="O2648">
        <v>26.47058823529412</v>
      </c>
    </row>
    <row r="2649" spans="1:15" hidden="1" x14ac:dyDescent="0.25">
      <c r="A2649" s="11">
        <v>46084</v>
      </c>
      <c r="B2649" t="s">
        <v>41</v>
      </c>
      <c r="C2649" t="s">
        <v>32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>E2649+G2649+H2649</f>
        <v>4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27</v>
      </c>
      <c r="K2649" s="3">
        <f>I2649-J2649</f>
        <v>-23</v>
      </c>
      <c r="L2649" s="3" t="str">
        <f>IF(K2649&lt;-5,"CRÍTICO",IF(K2649&lt;0,"ATENÇÃO",IF(K2649&lt;=5,"BOM","EXCELENTE")))</f>
        <v>CRÍTICO</v>
      </c>
      <c r="M2649">
        <v>15</v>
      </c>
      <c r="N2649">
        <v>100</v>
      </c>
      <c r="O2649">
        <v>28.490028490028489</v>
      </c>
    </row>
    <row r="2650" spans="1:15" hidden="1" x14ac:dyDescent="0.25">
      <c r="A2650" s="11">
        <v>46084</v>
      </c>
      <c r="B2650" t="s">
        <v>56</v>
      </c>
      <c r="C2650" t="s">
        <v>48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>E2650+G2650+H2650</f>
        <v>25</v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>22</v>
      </c>
      <c r="K2650" s="3">
        <f>I2650-J2650</f>
        <v>3</v>
      </c>
      <c r="L2650" s="3" t="str">
        <f>IF(K2650&lt;-5,"CRÍTICO",IF(K2650&lt;0,"ATENÇÃO",IF(K2650&lt;=5,"BOM","EXCELENTE")))</f>
        <v>BOM</v>
      </c>
      <c r="M2650">
        <v>20</v>
      </c>
      <c r="N2650">
        <v>99.14</v>
      </c>
      <c r="O2650">
        <v>27.2289156626506</v>
      </c>
    </row>
    <row r="2651" spans="1:15" hidden="1" x14ac:dyDescent="0.25">
      <c r="A2651" s="11">
        <v>46084</v>
      </c>
      <c r="B2651" t="s">
        <v>57</v>
      </c>
      <c r="C2651" t="s">
        <v>48</v>
      </c>
      <c r="D2651">
        <v>32</v>
      </c>
      <c r="E2651">
        <v>30</v>
      </c>
      <c r="F2651">
        <v>21.56</v>
      </c>
      <c r="G2651">
        <v>0</v>
      </c>
      <c r="H2651">
        <v>0</v>
      </c>
      <c r="I2651" s="3">
        <v>0</v>
      </c>
      <c r="J2651" s="3">
        <v>0</v>
      </c>
      <c r="K2651" s="3">
        <v>0</v>
      </c>
      <c r="L2651" s="3" t="str">
        <f>IF(K2651&lt;-5,"CRÍTICO",IF(K2651&lt;0,"ATENÇÃO",IF(K2651&lt;=5,"BOM","EXCELENTE")))</f>
        <v>BOM</v>
      </c>
      <c r="M2651">
        <v>27</v>
      </c>
      <c r="N2651">
        <v>97.52</v>
      </c>
      <c r="O2651">
        <v>28.205128205128201</v>
      </c>
    </row>
    <row r="2652" spans="1:15" hidden="1" x14ac:dyDescent="0.25">
      <c r="A2652" s="11">
        <v>46084</v>
      </c>
      <c r="B2652" t="s">
        <v>42</v>
      </c>
      <c r="C2652" t="s">
        <v>32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>E2652+G2652+H2652</f>
        <v>38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27</v>
      </c>
      <c r="K2652" s="3">
        <f>I2652-J2652</f>
        <v>11</v>
      </c>
      <c r="L2652" s="3" t="str">
        <f>IF(K2652&lt;-5,"CRÍTICO",IF(K2652&lt;0,"ATENÇÃO",IF(K2652&lt;=5,"BOM","EXCELENTE")))</f>
        <v>EXCELENTE</v>
      </c>
      <c r="M2652">
        <v>19</v>
      </c>
      <c r="N2652">
        <v>90</v>
      </c>
      <c r="O2652">
        <v>24.186046511627911</v>
      </c>
    </row>
    <row r="2653" spans="1:15" hidden="1" x14ac:dyDescent="0.25">
      <c r="A2653" s="11">
        <v>46084</v>
      </c>
      <c r="B2653" t="s">
        <v>62</v>
      </c>
      <c r="C2653" t="s">
        <v>23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>E2653+G2653+H2653</f>
        <v>23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18</v>
      </c>
      <c r="K2653" s="3">
        <f>I2653-J2653</f>
        <v>5</v>
      </c>
      <c r="L2653" s="3" t="str">
        <f>IF(K2653&lt;-5,"CRÍTICO",IF(K2653&lt;0,"ATENÇÃO",IF(K2653&lt;=5,"BOM","EXCELENTE")))</f>
        <v>BOM</v>
      </c>
      <c r="M2653">
        <v>23</v>
      </c>
      <c r="N2653">
        <v>98.9</v>
      </c>
      <c r="O2653">
        <v>26.763990267639901</v>
      </c>
    </row>
    <row r="2654" spans="1:15" hidden="1" x14ac:dyDescent="0.25">
      <c r="A2654" s="11">
        <v>46084</v>
      </c>
      <c r="B2654" t="s">
        <v>19</v>
      </c>
      <c r="C2654" t="s">
        <v>16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>E2654+G2654+H2654</f>
        <v>7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8</v>
      </c>
      <c r="K2654" s="3">
        <f>I2654-J2654</f>
        <v>-1</v>
      </c>
      <c r="L2654" s="3" t="str">
        <f>IF(K2654&lt;-5,"CRÍTICO",IF(K2654&lt;0,"ATENÇÃO",IF(K2654&lt;=5,"BOM","EXCELENTE")))</f>
        <v>ATENÇÃO</v>
      </c>
      <c r="M2654">
        <v>7</v>
      </c>
      <c r="N2654">
        <v>88.89</v>
      </c>
      <c r="O2654">
        <v>25.263157894736839</v>
      </c>
    </row>
    <row r="2655" spans="1:15" hidden="1" x14ac:dyDescent="0.25">
      <c r="A2655" s="11">
        <v>46084</v>
      </c>
      <c r="B2655" t="s">
        <v>43</v>
      </c>
      <c r="C2655" t="s">
        <v>32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>E2655+G2655+H2655</f>
        <v>30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3</v>
      </c>
      <c r="L2655" s="3" t="str">
        <f>IF(K2655&lt;-5,"CRÍTICO",IF(K2655&lt;0,"ATENÇÃO",IF(K2655&lt;=5,"BOM","EXCELENTE")))</f>
        <v>BOM</v>
      </c>
      <c r="M2655">
        <v>31</v>
      </c>
      <c r="N2655">
        <v>98.86</v>
      </c>
      <c r="O2655">
        <v>28.959276018099551</v>
      </c>
    </row>
    <row r="2656" spans="1:15" hidden="1" x14ac:dyDescent="0.25">
      <c r="A2656" s="11">
        <v>46084</v>
      </c>
      <c r="B2656" t="s">
        <v>44</v>
      </c>
      <c r="C2656" t="s">
        <v>32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>E2656+G2656+H2656</f>
        <v>38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27</v>
      </c>
      <c r="K2656" s="3">
        <f>I2656-J2656</f>
        <v>11</v>
      </c>
      <c r="L2656" s="3" t="str">
        <f>IF(K2656&lt;-5,"CRÍTICO",IF(K2656&lt;0,"ATENÇÃO",IF(K2656&lt;=5,"BOM","EXCELENTE")))</f>
        <v>EXCELENTE</v>
      </c>
      <c r="M2656">
        <v>33</v>
      </c>
      <c r="N2656">
        <v>98.06</v>
      </c>
      <c r="O2656">
        <v>22.40566037735849</v>
      </c>
    </row>
    <row r="2657" spans="1:15" hidden="1" x14ac:dyDescent="0.25">
      <c r="A2657" s="11">
        <v>46084</v>
      </c>
      <c r="B2657" t="s">
        <v>20</v>
      </c>
      <c r="C2657" t="s">
        <v>16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>E2657+G2657+H2657</f>
        <v>13</v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>8</v>
      </c>
      <c r="K2657" s="3">
        <f>I2657-J2657</f>
        <v>5</v>
      </c>
      <c r="L2657" s="3" t="str">
        <f>IF(K2657&lt;-5,"CRÍTICO",IF(K2657&lt;0,"ATENÇÃO",IF(K2657&lt;=5,"BOM","EXCELENTE")))</f>
        <v>BOM</v>
      </c>
      <c r="M2657">
        <v>4</v>
      </c>
      <c r="N2657">
        <v>95.83</v>
      </c>
      <c r="O2657">
        <v>25.773195876288661</v>
      </c>
    </row>
    <row r="2658" spans="1:15" hidden="1" x14ac:dyDescent="0.25">
      <c r="A2658" s="11">
        <v>46084</v>
      </c>
      <c r="B2658" t="s">
        <v>28</v>
      </c>
      <c r="C2658" t="s">
        <v>26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v>0</v>
      </c>
      <c r="J2658" s="3">
        <v>0</v>
      </c>
      <c r="K2658" s="3">
        <v>0</v>
      </c>
      <c r="L2658" s="3" t="str">
        <f>IF(K2658&lt;-5,"CRÍTICO",IF(K2658&lt;0,"ATENÇÃO",IF(K2658&lt;=5,"BOM","EXCELENTE")))</f>
        <v>BOM</v>
      </c>
      <c r="M2658">
        <v>0</v>
      </c>
      <c r="N2658">
        <v>100</v>
      </c>
      <c r="O2658">
        <v>15.38461538461539</v>
      </c>
    </row>
    <row r="2659" spans="1:15" hidden="1" x14ac:dyDescent="0.25">
      <c r="A2659" s="11">
        <v>46084</v>
      </c>
      <c r="B2659" t="s">
        <v>58</v>
      </c>
      <c r="C2659" t="s">
        <v>48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>E2659+G2659+H2659</f>
        <v>24</v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22</v>
      </c>
      <c r="K2659" s="3">
        <f>I2659-J2659</f>
        <v>2</v>
      </c>
      <c r="L2659" s="3" t="str">
        <f>IF(K2659&lt;-5,"CRÍTICO",IF(K2659&lt;0,"ATENÇÃO",IF(K2659&lt;=5,"BOM","EXCELENTE")))</f>
        <v>BOM</v>
      </c>
      <c r="M2659">
        <v>18</v>
      </c>
      <c r="N2659">
        <v>100</v>
      </c>
      <c r="O2659">
        <v>27.514792899408281</v>
      </c>
    </row>
    <row r="2660" spans="1:15" hidden="1" x14ac:dyDescent="0.25">
      <c r="A2660" s="11">
        <v>46084</v>
      </c>
      <c r="B2660" t="s">
        <v>29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>
        <v>0</v>
      </c>
      <c r="N2660">
        <v>100</v>
      </c>
      <c r="O2660">
        <v>24.875621890547269</v>
      </c>
    </row>
    <row r="2661" spans="1:15" hidden="1" x14ac:dyDescent="0.25">
      <c r="A2661" s="11">
        <v>46084</v>
      </c>
      <c r="B2661" t="s">
        <v>30</v>
      </c>
      <c r="C2661" t="s">
        <v>26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>IF(K2661&lt;-5,"CRÍTICO",IF(K2661&lt;0,"ATENÇÃO",IF(K2661&lt;=5,"BOM","EXCELENTE")))</f>
        <v>BOM</v>
      </c>
      <c r="M2661">
        <v>0</v>
      </c>
      <c r="N2661">
        <v>100</v>
      </c>
      <c r="O2661">
        <v>28.108108108108109</v>
      </c>
    </row>
    <row r="2662" spans="1:15" hidden="1" x14ac:dyDescent="0.25">
      <c r="A2662" s="11">
        <v>46084</v>
      </c>
      <c r="B2662" t="s">
        <v>21</v>
      </c>
      <c r="C2662" t="s">
        <v>16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v>0</v>
      </c>
      <c r="J2662" s="3">
        <v>0</v>
      </c>
      <c r="K2662" s="3">
        <v>0</v>
      </c>
      <c r="L2662" s="3" t="str">
        <f>IF(K2662&lt;-5,"CRÍTICO",IF(K2662&lt;0,"ATENÇÃO",IF(K2662&lt;=5,"BOM","EXCELENTE")))</f>
        <v>BOM</v>
      </c>
      <c r="M2662">
        <v>0</v>
      </c>
      <c r="N2662">
        <v>100</v>
      </c>
      <c r="O2662">
        <v>35</v>
      </c>
    </row>
    <row r="2663" spans="1:15" hidden="1" x14ac:dyDescent="0.25">
      <c r="A2663" s="11">
        <v>46084</v>
      </c>
      <c r="B2663" t="s">
        <v>63</v>
      </c>
      <c r="C2663" t="s">
        <v>23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>E2663+G2663+H2663</f>
        <v>38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18</v>
      </c>
      <c r="K2663" s="3">
        <f>I2663-J2663</f>
        <v>20</v>
      </c>
      <c r="L2663" s="3" t="str">
        <f>IF(K2663&lt;-5,"CRÍTICO",IF(K2663&lt;0,"ATENÇÃO",IF(K2663&lt;=5,"BOM","EXCELENTE")))</f>
        <v>EXCELENTE</v>
      </c>
      <c r="M2663">
        <v>29</v>
      </c>
      <c r="N2663">
        <v>95.35</v>
      </c>
      <c r="O2663">
        <v>28.61538461538461</v>
      </c>
    </row>
    <row r="2664" spans="1:15" hidden="1" x14ac:dyDescent="0.25">
      <c r="A2664" s="11">
        <v>46084</v>
      </c>
      <c r="B2664" t="s">
        <v>45</v>
      </c>
      <c r="C2664" t="s">
        <v>32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>E2664+G2664+H2664</f>
        <v>36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27</v>
      </c>
      <c r="K2664" s="3">
        <f>I2664-J2664</f>
        <v>9</v>
      </c>
      <c r="L2664" s="3" t="str">
        <f>IF(K2664&lt;-5,"CRÍTICO",IF(K2664&lt;0,"ATENÇÃO",IF(K2664&lt;=5,"BOM","EXCELENTE")))</f>
        <v>EXCELENTE</v>
      </c>
      <c r="M2664">
        <v>32</v>
      </c>
      <c r="N2664">
        <v>98.26</v>
      </c>
      <c r="O2664">
        <v>27.54491017964072</v>
      </c>
    </row>
    <row r="2665" spans="1:15" hidden="1" x14ac:dyDescent="0.25">
      <c r="A2665" s="11">
        <v>46084</v>
      </c>
      <c r="B2665" t="s">
        <v>64</v>
      </c>
      <c r="C2665" t="s">
        <v>23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>E2665+G2665+H2665</f>
        <v>20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18</v>
      </c>
      <c r="K2665" s="3">
        <f>I2665-J2665</f>
        <v>2</v>
      </c>
      <c r="L2665" s="3" t="str">
        <f>IF(K2665&lt;-5,"CRÍTICO",IF(K2665&lt;0,"ATENÇÃO",IF(K2665&lt;=5,"BOM","EXCELENTE")))</f>
        <v>BOM</v>
      </c>
      <c r="M2665">
        <v>18</v>
      </c>
      <c r="N2665">
        <v>98.55</v>
      </c>
      <c r="O2665">
        <v>25.337837837837839</v>
      </c>
    </row>
    <row r="2666" spans="1:15" hidden="1" x14ac:dyDescent="0.25">
      <c r="A2666" s="11">
        <v>46084</v>
      </c>
      <c r="B2666" t="s">
        <v>46</v>
      </c>
      <c r="C2666" t="s">
        <v>32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>E2666+G2666+H2666</f>
        <v>30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27</v>
      </c>
      <c r="K2666" s="3">
        <f>I2666-J2666</f>
        <v>3</v>
      </c>
      <c r="L2666" s="3" t="str">
        <f>IF(K2666&lt;-5,"CRÍTICO",IF(K2666&lt;0,"ATENÇÃO",IF(K2666&lt;=5,"BOM","EXCELENTE")))</f>
        <v>BOM</v>
      </c>
      <c r="M2666">
        <v>31</v>
      </c>
      <c r="N2666">
        <v>98.39</v>
      </c>
      <c r="O2666">
        <v>25.563909774436091</v>
      </c>
    </row>
    <row r="2667" spans="1:15" hidden="1" x14ac:dyDescent="0.25">
      <c r="A2667" s="11">
        <v>46085</v>
      </c>
      <c r="B2667" t="s">
        <v>47</v>
      </c>
      <c r="C2667" t="s">
        <v>48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>E2667+G2667+H2667</f>
        <v>22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21</v>
      </c>
      <c r="K2667" s="3">
        <f>I2667-J2667</f>
        <v>1</v>
      </c>
      <c r="L2667" s="3" t="str">
        <f>IF(K2667&lt;-5,"CRÍTICO",IF(K2667&lt;0,"ATENÇÃO",IF(K2667&lt;=5,"BOM","EXCELENTE")))</f>
        <v>BOM</v>
      </c>
      <c r="M2667">
        <v>20</v>
      </c>
      <c r="N2667">
        <v>94.29</v>
      </c>
      <c r="O2667">
        <v>25.647668393782389</v>
      </c>
    </row>
    <row r="2668" spans="1:15" hidden="1" x14ac:dyDescent="0.25">
      <c r="A2668" s="11">
        <v>46085</v>
      </c>
      <c r="B2668" t="s">
        <v>31</v>
      </c>
      <c r="C2668" t="s">
        <v>32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v>0</v>
      </c>
      <c r="J2668" s="3">
        <v>0</v>
      </c>
      <c r="K2668" s="3">
        <v>0</v>
      </c>
      <c r="L2668" s="3" t="str">
        <f>IF(K2668&lt;-5,"CRÍTICO",IF(K2668&lt;0,"ATENÇÃO",IF(K2668&lt;=5,"BOM","EXCELENTE")))</f>
        <v>BOM</v>
      </c>
      <c r="M2668">
        <v>20</v>
      </c>
      <c r="N2668">
        <v>98.26</v>
      </c>
      <c r="O2668">
        <v>26.666666666666671</v>
      </c>
    </row>
    <row r="2669" spans="1:15" hidden="1" x14ac:dyDescent="0.25">
      <c r="A2669" s="11">
        <v>46085</v>
      </c>
      <c r="B2669" t="s">
        <v>59</v>
      </c>
      <c r="C2669" t="s">
        <v>23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>E2669+G2669+H2669</f>
        <v>20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17</v>
      </c>
      <c r="K2669" s="3">
        <f>I2669-J2669</f>
        <v>3</v>
      </c>
      <c r="L2669" s="3" t="str">
        <f>IF(K2669&lt;-5,"CRÍTICO",IF(K2669&lt;0,"ATENÇÃO",IF(K2669&lt;=5,"BOM","EXCELENTE")))</f>
        <v>BOM</v>
      </c>
      <c r="M2669">
        <v>20</v>
      </c>
      <c r="N2669">
        <v>98.2</v>
      </c>
      <c r="O2669">
        <v>23.37962962962963</v>
      </c>
    </row>
    <row r="2670" spans="1:15" hidden="1" x14ac:dyDescent="0.25">
      <c r="A2670" s="11">
        <v>46085</v>
      </c>
      <c r="B2670" t="s">
        <v>33</v>
      </c>
      <c r="C2670" t="s">
        <v>32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>E2670+G2670+H2670</f>
        <v>30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26</v>
      </c>
      <c r="K2670" s="3">
        <f>I2670-J2670</f>
        <v>4</v>
      </c>
      <c r="L2670" s="3" t="str">
        <f>IF(K2670&lt;-5,"CRÍTICO",IF(K2670&lt;0,"ATENÇÃO",IF(K2670&lt;=5,"BOM","EXCELENTE")))</f>
        <v>BOM</v>
      </c>
      <c r="M2670">
        <v>30</v>
      </c>
      <c r="N2670">
        <v>97.3</v>
      </c>
      <c r="O2670">
        <v>23.84769539078156</v>
      </c>
    </row>
    <row r="2671" spans="1:15" hidden="1" x14ac:dyDescent="0.25">
      <c r="A2671" s="11">
        <v>46085</v>
      </c>
      <c r="B2671" t="s">
        <v>15</v>
      </c>
      <c r="C2671" t="s">
        <v>16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>E2671+G2671+H2671</f>
        <v>6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8</v>
      </c>
      <c r="K2671" s="3">
        <f>I2671-J2671</f>
        <v>-2</v>
      </c>
      <c r="L2671" s="3" t="str">
        <f>IF(K2671&lt;-5,"CRÍTICO",IF(K2671&lt;0,"ATENÇÃO",IF(K2671&lt;=5,"BOM","EXCELENTE")))</f>
        <v>ATENÇÃO</v>
      </c>
      <c r="M2671">
        <v>6</v>
      </c>
      <c r="N2671">
        <v>100</v>
      </c>
      <c r="O2671">
        <v>25.268817204301079</v>
      </c>
    </row>
    <row r="2672" spans="1:15" hidden="1" x14ac:dyDescent="0.25">
      <c r="A2672" s="11">
        <v>46085</v>
      </c>
      <c r="B2672" t="s">
        <v>49</v>
      </c>
      <c r="C2672" t="s">
        <v>48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>E2672+G2672+H2672</f>
        <v>32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21</v>
      </c>
      <c r="K2672" s="3">
        <f>I2672-J2672</f>
        <v>11</v>
      </c>
      <c r="L2672" s="3" t="str">
        <f>IF(K2672&lt;-5,"CRÍTICO",IF(K2672&lt;0,"ATENÇÃO",IF(K2672&lt;=5,"BOM","EXCELENTE")))</f>
        <v>EXCELENTE</v>
      </c>
      <c r="M2672">
        <v>32</v>
      </c>
      <c r="N2672">
        <v>99.32</v>
      </c>
      <c r="O2672">
        <v>22.822822822822818</v>
      </c>
    </row>
    <row r="2673" spans="1:15" hidden="1" x14ac:dyDescent="0.25">
      <c r="A2673" s="11">
        <v>46085</v>
      </c>
      <c r="B2673" t="s">
        <v>50</v>
      </c>
      <c r="C2673" t="s">
        <v>48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>
        <v>0</v>
      </c>
      <c r="N2673">
        <v>100</v>
      </c>
      <c r="O2673">
        <v>27.966101694915249</v>
      </c>
    </row>
    <row r="2674" spans="1:15" hidden="1" x14ac:dyDescent="0.25">
      <c r="A2674" s="11">
        <v>46085</v>
      </c>
      <c r="B2674" t="s">
        <v>17</v>
      </c>
      <c r="C2674" t="s">
        <v>16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v>0</v>
      </c>
      <c r="J2674" s="3">
        <v>0</v>
      </c>
      <c r="K2674" s="3">
        <v>0</v>
      </c>
      <c r="L2674" s="3" t="str">
        <f>IF(K2674&lt;-5,"CRÍTICO",IF(K2674&lt;0,"ATENÇÃO",IF(K2674&lt;=5,"BOM","EXCELENTE")))</f>
        <v>BOM</v>
      </c>
      <c r="M2674">
        <v>0</v>
      </c>
      <c r="N2674">
        <v>100</v>
      </c>
      <c r="O2674">
        <v>30.434782608695659</v>
      </c>
    </row>
    <row r="2675" spans="1:15" hidden="1" x14ac:dyDescent="0.25">
      <c r="A2675" s="11">
        <v>46085</v>
      </c>
      <c r="B2675" t="s">
        <v>60</v>
      </c>
      <c r="C2675" t="s">
        <v>23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>E2675+G2675+H2675</f>
        <v>18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17</v>
      </c>
      <c r="K2675" s="3">
        <f>I2675-J2675</f>
        <v>1</v>
      </c>
      <c r="L2675" s="3" t="str">
        <f>IF(K2675&lt;-5,"CRÍTICO",IF(K2675&lt;0,"ATENÇÃO",IF(K2675&lt;=5,"BOM","EXCELENTE")))</f>
        <v>BOM</v>
      </c>
      <c r="M2675">
        <v>17</v>
      </c>
      <c r="N2675">
        <v>96.51</v>
      </c>
      <c r="O2675">
        <v>22.802850356294542</v>
      </c>
    </row>
    <row r="2676" spans="1:15" hidden="1" x14ac:dyDescent="0.25">
      <c r="A2676" s="11">
        <v>46085</v>
      </c>
      <c r="B2676" t="s">
        <v>34</v>
      </c>
      <c r="C2676" t="s">
        <v>32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>E2676+G2676+H2676</f>
        <v>38</v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>26</v>
      </c>
      <c r="K2676" s="3">
        <f>I2676-J2676</f>
        <v>12</v>
      </c>
      <c r="L2676" s="3" t="str">
        <f>IF(K2676&lt;-5,"CRÍTICO",IF(K2676&lt;0,"ATENÇÃO",IF(K2676&lt;=5,"BOM","EXCELENTE")))</f>
        <v>EXCELENTE</v>
      </c>
      <c r="M2676">
        <v>34</v>
      </c>
      <c r="N2676">
        <v>92.68</v>
      </c>
      <c r="O2676">
        <v>27.777777777777779</v>
      </c>
    </row>
    <row r="2677" spans="1:15" hidden="1" x14ac:dyDescent="0.25">
      <c r="A2677" s="11">
        <v>46085</v>
      </c>
      <c r="B2677" t="s">
        <v>51</v>
      </c>
      <c r="C2677" t="s">
        <v>48</v>
      </c>
      <c r="D2677">
        <v>34</v>
      </c>
      <c r="E2677">
        <v>34</v>
      </c>
      <c r="F2677">
        <v>20.57</v>
      </c>
      <c r="G2677">
        <v>0</v>
      </c>
      <c r="H2677">
        <v>0</v>
      </c>
      <c r="I2677" s="3">
        <v>0</v>
      </c>
      <c r="J2677" s="3">
        <v>0</v>
      </c>
      <c r="K2677" s="3">
        <v>0</v>
      </c>
      <c r="L2677" s="3" t="str">
        <f>IF(K2677&lt;-5,"CRÍTICO",IF(K2677&lt;0,"ATENÇÃO",IF(K2677&lt;=5,"BOM","EXCELENTE")))</f>
        <v>BOM</v>
      </c>
      <c r="M2677">
        <v>29</v>
      </c>
      <c r="N2677">
        <v>99.03</v>
      </c>
      <c r="O2677">
        <v>23.991507430997881</v>
      </c>
    </row>
    <row r="2678" spans="1:15" hidden="1" x14ac:dyDescent="0.25">
      <c r="A2678" s="11">
        <v>46085</v>
      </c>
      <c r="B2678" t="s">
        <v>61</v>
      </c>
      <c r="C2678" t="s">
        <v>23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>E2678+G2678+H2678</f>
        <v>25</v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>17</v>
      </c>
      <c r="K2678" s="3">
        <f>I2678-J2678</f>
        <v>8</v>
      </c>
      <c r="L2678" s="3" t="str">
        <f>IF(K2678&lt;-5,"CRÍTICO",IF(K2678&lt;0,"ATENÇÃO",IF(K2678&lt;=5,"BOM","EXCELENTE")))</f>
        <v>EXCELENTE</v>
      </c>
      <c r="M2678">
        <v>14</v>
      </c>
      <c r="N2678">
        <v>98.41</v>
      </c>
      <c r="O2678">
        <v>28.138528138528141</v>
      </c>
    </row>
    <row r="2679" spans="1:15" hidden="1" x14ac:dyDescent="0.25">
      <c r="A2679" s="11">
        <v>46085</v>
      </c>
      <c r="B2679" t="s">
        <v>35</v>
      </c>
      <c r="C2679" t="s">
        <v>32</v>
      </c>
      <c r="D2679">
        <v>33</v>
      </c>
      <c r="E2679">
        <v>31</v>
      </c>
      <c r="F2679">
        <v>23.38</v>
      </c>
      <c r="G2679">
        <v>0</v>
      </c>
      <c r="H2679">
        <v>0</v>
      </c>
      <c r="I2679" s="3">
        <v>0</v>
      </c>
      <c r="J2679" s="3">
        <v>0</v>
      </c>
      <c r="K2679" s="3">
        <v>0</v>
      </c>
      <c r="L2679" s="3" t="str">
        <f>IF(K2679&lt;-5,"CRÍTICO",IF(K2679&lt;0,"ATENÇÃO",IF(K2679&lt;=5,"BOM","EXCELENTE")))</f>
        <v>BOM</v>
      </c>
      <c r="M2679">
        <v>32</v>
      </c>
      <c r="N2679">
        <v>98.73</v>
      </c>
      <c r="O2679">
        <v>29.142857142857139</v>
      </c>
    </row>
    <row r="2680" spans="1:15" hidden="1" x14ac:dyDescent="0.25">
      <c r="A2680" s="11">
        <v>46085</v>
      </c>
      <c r="B2680" t="s">
        <v>18</v>
      </c>
      <c r="C2680" t="s">
        <v>16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>E2680+G2680+H2680</f>
        <v>10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8</v>
      </c>
      <c r="K2680" s="3">
        <f>I2680-J2680</f>
        <v>2</v>
      </c>
      <c r="L2680" s="3" t="str">
        <f>IF(K2680&lt;-5,"CRÍTICO",IF(K2680&lt;0,"ATENÇÃO",IF(K2680&lt;=5,"BOM","EXCELENTE")))</f>
        <v>BOM</v>
      </c>
      <c r="M2680">
        <v>7</v>
      </c>
      <c r="N2680">
        <v>90.48</v>
      </c>
      <c r="O2680">
        <v>20.68965517241379</v>
      </c>
    </row>
    <row r="2681" spans="1:15" hidden="1" x14ac:dyDescent="0.25">
      <c r="A2681" s="11">
        <v>46085</v>
      </c>
      <c r="B2681" t="s">
        <v>52</v>
      </c>
      <c r="C2681" t="s">
        <v>48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>E2681+G2681+H2681</f>
        <v>21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21</v>
      </c>
      <c r="K2681" s="3">
        <f>I2681-J2681</f>
        <v>0</v>
      </c>
      <c r="L2681" s="3" t="str">
        <f>IF(K2681&lt;-5,"CRÍTICO",IF(K2681&lt;0,"ATENÇÃO",IF(K2681&lt;=5,"BOM","EXCELENTE")))</f>
        <v>BOM</v>
      </c>
      <c r="M2681">
        <v>20</v>
      </c>
      <c r="N2681">
        <v>98.06</v>
      </c>
      <c r="O2681">
        <v>24.789915966386559</v>
      </c>
    </row>
    <row r="2682" spans="1:15" hidden="1" x14ac:dyDescent="0.25">
      <c r="A2682" s="11">
        <v>46085</v>
      </c>
      <c r="B2682" t="s">
        <v>36</v>
      </c>
      <c r="C2682" t="s">
        <v>32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>E2682+G2682+H2682</f>
        <v>29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26</v>
      </c>
      <c r="K2682" s="3">
        <f>I2682-J2682</f>
        <v>3</v>
      </c>
      <c r="L2682" s="3" t="str">
        <f>IF(K2682&lt;-5,"CRÍTICO",IF(K2682&lt;0,"ATENÇÃO",IF(K2682&lt;=5,"BOM","EXCELENTE")))</f>
        <v>BOM</v>
      </c>
      <c r="M2682">
        <v>33</v>
      </c>
      <c r="N2682">
        <v>97.78</v>
      </c>
      <c r="O2682">
        <v>25.494071146245059</v>
      </c>
    </row>
    <row r="2683" spans="1:15" hidden="1" x14ac:dyDescent="0.25">
      <c r="A2683" s="11">
        <v>46085</v>
      </c>
      <c r="B2683" t="s">
        <v>53</v>
      </c>
      <c r="C2683" t="s">
        <v>48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>E2683+G2683+H2683</f>
        <v>35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14</v>
      </c>
      <c r="L2683" s="3" t="str">
        <f>IF(K2683&lt;-5,"CRÍTICO",IF(K2683&lt;0,"ATENÇÃO",IF(K2683&lt;=5,"BOM","EXCELENTE")))</f>
        <v>EXCELENTE</v>
      </c>
      <c r="M2683">
        <v>34</v>
      </c>
      <c r="N2683">
        <v>98.02</v>
      </c>
      <c r="O2683">
        <v>23.484848484848481</v>
      </c>
    </row>
    <row r="2684" spans="1:15" hidden="1" x14ac:dyDescent="0.25">
      <c r="A2684" s="11">
        <v>46119</v>
      </c>
      <c r="B2684" t="s">
        <v>22</v>
      </c>
      <c r="C2684" t="s">
        <v>23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>E2684+G2684+H2684</f>
        <v>25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4</v>
      </c>
      <c r="L2684" s="3" t="str">
        <f>IF(K2684&lt;-5,"CRÍTICO",IF(K2684&lt;0,"ATENÇÃO",IF(K2684&lt;=5,"OPORTUNO","MUITO BOM")))</f>
        <v>OPORTUNO</v>
      </c>
      <c r="M2684">
        <v>23</v>
      </c>
      <c r="N2684">
        <v>99.28</v>
      </c>
      <c r="O2684">
        <v>27.689243027888441</v>
      </c>
    </row>
    <row r="2685" spans="1:15" hidden="1" x14ac:dyDescent="0.25">
      <c r="A2685" s="11">
        <v>46085</v>
      </c>
      <c r="B2685" t="s">
        <v>54</v>
      </c>
      <c r="C2685" t="s">
        <v>48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>E2685+G2685+H2685</f>
        <v>30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21</v>
      </c>
      <c r="K2685" s="3">
        <f>I2685-J2685</f>
        <v>9</v>
      </c>
      <c r="L2685" s="3" t="str">
        <f>IF(K2685&lt;-5,"CRÍTICO",IF(K2685&lt;0,"ATENÇÃO",IF(K2685&lt;=5,"BOM","EXCELENTE")))</f>
        <v>EXCELENTE</v>
      </c>
      <c r="M2685">
        <v>25</v>
      </c>
      <c r="N2685">
        <v>100</v>
      </c>
      <c r="O2685">
        <v>27.04918032786885</v>
      </c>
    </row>
    <row r="2686" spans="1:15" hidden="1" x14ac:dyDescent="0.25">
      <c r="A2686" s="11">
        <v>46085</v>
      </c>
      <c r="B2686" t="s">
        <v>37</v>
      </c>
      <c r="C2686" t="s">
        <v>32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>E2686+G2686+H2686</f>
        <v>40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14</v>
      </c>
      <c r="L2686" s="3" t="str">
        <f>IF(K2686&lt;-5,"CRÍTICO",IF(K2686&lt;0,"ATENÇÃO",IF(K2686&lt;=5,"BOM","EXCELENTE")))</f>
        <v>EXCELENTE</v>
      </c>
      <c r="M2686">
        <v>40</v>
      </c>
      <c r="N2686">
        <v>97.83</v>
      </c>
      <c r="O2686">
        <v>26.315789473684209</v>
      </c>
    </row>
    <row r="2687" spans="1:15" hidden="1" x14ac:dyDescent="0.25">
      <c r="A2687" s="11">
        <v>46085</v>
      </c>
      <c r="B2687" t="s">
        <v>38</v>
      </c>
      <c r="C2687" t="s">
        <v>32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>E2687+G2687+H2687</f>
        <v>15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26</v>
      </c>
      <c r="K2687" s="3">
        <f>I2687-J2687</f>
        <v>-11</v>
      </c>
      <c r="L2687" s="3" t="str">
        <f>IF(K2687&lt;-5,"CRÍTICO",IF(K2687&lt;0,"ATENÇÃO",IF(K2687&lt;=5,"BOM","EXCELENTE")))</f>
        <v>CRÍTICO</v>
      </c>
      <c r="M2687">
        <v>14</v>
      </c>
      <c r="N2687">
        <v>100</v>
      </c>
      <c r="O2687">
        <v>26.701570680628269</v>
      </c>
    </row>
    <row r="2688" spans="1:15" hidden="1" x14ac:dyDescent="0.25">
      <c r="A2688" s="11">
        <v>46085</v>
      </c>
      <c r="B2688" t="s">
        <v>55</v>
      </c>
      <c r="C2688" t="s">
        <v>48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>E2688+G2688+H2688</f>
        <v>26</v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>21</v>
      </c>
      <c r="K2688" s="3">
        <f>I2688-J2688</f>
        <v>5</v>
      </c>
      <c r="L2688" s="3" t="str">
        <f>IF(K2688&lt;-5,"CRÍTICO",IF(K2688&lt;0,"ATENÇÃO",IF(K2688&lt;=5,"BOM","EXCELENTE")))</f>
        <v>BOM</v>
      </c>
      <c r="M2688">
        <v>19</v>
      </c>
      <c r="N2688">
        <v>97.47</v>
      </c>
      <c r="O2688">
        <v>22.887323943661968</v>
      </c>
    </row>
    <row r="2689" spans="1:15" hidden="1" x14ac:dyDescent="0.25">
      <c r="A2689" s="11">
        <v>46085</v>
      </c>
      <c r="B2689" t="s">
        <v>39</v>
      </c>
      <c r="C2689" t="s">
        <v>32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v>0</v>
      </c>
      <c r="J2689" s="3">
        <v>0</v>
      </c>
      <c r="K2689" s="3">
        <v>0</v>
      </c>
      <c r="L2689" s="3" t="str">
        <f>IF(K2689&lt;-5,"CRÍTICO",IF(K2689&lt;0,"ATENÇÃO",IF(K2689&lt;=5,"BOM","EXCELENTE")))</f>
        <v>BOM</v>
      </c>
      <c r="M2689">
        <v>0</v>
      </c>
      <c r="N2689">
        <v>0</v>
      </c>
      <c r="O2689">
        <v>0</v>
      </c>
    </row>
    <row r="2690" spans="1:15" hidden="1" x14ac:dyDescent="0.25">
      <c r="A2690" s="11">
        <v>46085</v>
      </c>
      <c r="B2690" t="s">
        <v>25</v>
      </c>
      <c r="C2690" t="s">
        <v>26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>E2690+G2690+H2690</f>
        <v>18</v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>15</v>
      </c>
      <c r="K2690" s="3">
        <f>I2690-J2690</f>
        <v>3</v>
      </c>
      <c r="L2690" s="3" t="str">
        <f>IF(K2690&lt;-5,"CRÍTICO",IF(K2690&lt;0,"ATENÇÃO",IF(K2690&lt;=5,"BOM","EXCELENTE")))</f>
        <v>BOM</v>
      </c>
      <c r="M2690">
        <v>17</v>
      </c>
      <c r="N2690">
        <v>98.31</v>
      </c>
      <c r="O2690">
        <v>24.920127795527151</v>
      </c>
    </row>
    <row r="2691" spans="1:15" hidden="1" x14ac:dyDescent="0.25">
      <c r="A2691" s="11">
        <v>46085</v>
      </c>
      <c r="B2691" t="s">
        <v>40</v>
      </c>
      <c r="C2691" t="s">
        <v>32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>
        <v>14</v>
      </c>
      <c r="N2691">
        <v>96.81</v>
      </c>
      <c r="O2691">
        <v>32.365145228215773</v>
      </c>
    </row>
    <row r="2692" spans="1:15" hidden="1" x14ac:dyDescent="0.25">
      <c r="A2692" s="11">
        <v>46085</v>
      </c>
      <c r="B2692" t="s">
        <v>27</v>
      </c>
      <c r="C2692" t="s">
        <v>26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>
        <v>0</v>
      </c>
      <c r="N2692">
        <v>100</v>
      </c>
      <c r="O2692">
        <v>26.47058823529412</v>
      </c>
    </row>
    <row r="2693" spans="1:15" hidden="1" x14ac:dyDescent="0.25">
      <c r="A2693" s="11">
        <v>46085</v>
      </c>
      <c r="B2693" t="s">
        <v>41</v>
      </c>
      <c r="C2693" t="s">
        <v>32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v>0</v>
      </c>
      <c r="J2693" s="3">
        <v>0</v>
      </c>
      <c r="K2693" s="3">
        <v>0</v>
      </c>
      <c r="L2693" s="3" t="str">
        <f>IF(K2693&lt;-5,"CRÍTICO",IF(K2693&lt;0,"ATENÇÃO",IF(K2693&lt;=5,"BOM","EXCELENTE")))</f>
        <v>BOM</v>
      </c>
      <c r="M2693">
        <v>5</v>
      </c>
      <c r="N2693">
        <v>100</v>
      </c>
      <c r="O2693">
        <v>28.490028490028489</v>
      </c>
    </row>
    <row r="2694" spans="1:15" hidden="1" x14ac:dyDescent="0.25">
      <c r="A2694" s="11">
        <v>46085</v>
      </c>
      <c r="B2694" t="s">
        <v>56</v>
      </c>
      <c r="C2694" t="s">
        <v>48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>E2694+G2694+H2694</f>
        <v>19</v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>21</v>
      </c>
      <c r="K2694" s="3">
        <f>I2694-J2694</f>
        <v>-2</v>
      </c>
      <c r="L2694" s="3" t="str">
        <f>IF(K2694&lt;-5,"CRÍTICO",IF(K2694&lt;0,"ATENÇÃO",IF(K2694&lt;=5,"BOM","EXCELENTE")))</f>
        <v>ATENÇÃO</v>
      </c>
      <c r="M2694">
        <v>19</v>
      </c>
      <c r="N2694">
        <v>99.14</v>
      </c>
      <c r="O2694">
        <v>27.2289156626506</v>
      </c>
    </row>
    <row r="2695" spans="1:15" hidden="1" x14ac:dyDescent="0.25">
      <c r="A2695" s="11">
        <v>46085</v>
      </c>
      <c r="B2695" t="s">
        <v>57</v>
      </c>
      <c r="C2695" t="s">
        <v>48</v>
      </c>
      <c r="D2695">
        <v>23</v>
      </c>
      <c r="E2695">
        <v>23</v>
      </c>
      <c r="F2695">
        <v>30.42</v>
      </c>
      <c r="G2695">
        <v>0</v>
      </c>
      <c r="H2695">
        <v>0</v>
      </c>
      <c r="I2695" s="3">
        <v>0</v>
      </c>
      <c r="J2695" s="3">
        <v>0</v>
      </c>
      <c r="K2695" s="3">
        <v>0</v>
      </c>
      <c r="L2695" s="3" t="str">
        <f>IF(K2695&lt;-5,"CRÍTICO",IF(K2695&lt;0,"ATENÇÃO",IF(K2695&lt;=5,"BOM","EXCELENTE")))</f>
        <v>BOM</v>
      </c>
      <c r="M2695">
        <v>20</v>
      </c>
      <c r="N2695">
        <v>97.52</v>
      </c>
      <c r="O2695">
        <v>28.205128205128201</v>
      </c>
    </row>
    <row r="2696" spans="1:15" hidden="1" x14ac:dyDescent="0.25">
      <c r="A2696" s="11">
        <v>46085</v>
      </c>
      <c r="B2696" t="s">
        <v>42</v>
      </c>
      <c r="C2696" t="s">
        <v>32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>E2696+G2696+H2696</f>
        <v>43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26</v>
      </c>
      <c r="K2696" s="3">
        <f>I2696-J2696</f>
        <v>17</v>
      </c>
      <c r="L2696" s="3" t="str">
        <f>IF(K2696&lt;-5,"CRÍTICO",IF(K2696&lt;0,"ATENÇÃO",IF(K2696&lt;=5,"BOM","EXCELENTE")))</f>
        <v>EXCELENTE</v>
      </c>
      <c r="M2696">
        <v>22</v>
      </c>
      <c r="N2696">
        <v>90</v>
      </c>
      <c r="O2696">
        <v>24.186046511627911</v>
      </c>
    </row>
    <row r="2697" spans="1:15" hidden="1" x14ac:dyDescent="0.25">
      <c r="A2697" s="11">
        <v>46085</v>
      </c>
      <c r="B2697" t="s">
        <v>62</v>
      </c>
      <c r="C2697" t="s">
        <v>23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>E2697+G2697+H2697</f>
        <v>23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17</v>
      </c>
      <c r="K2697" s="3">
        <f>I2697-J2697</f>
        <v>6</v>
      </c>
      <c r="L2697" s="3" t="str">
        <f>IF(K2697&lt;-5,"CRÍTICO",IF(K2697&lt;0,"ATENÇÃO",IF(K2697&lt;=5,"BOM","EXCELENTE")))</f>
        <v>EXCELENTE</v>
      </c>
      <c r="M2697">
        <v>23</v>
      </c>
      <c r="N2697">
        <v>98.9</v>
      </c>
      <c r="O2697">
        <v>26.763990267639901</v>
      </c>
    </row>
    <row r="2698" spans="1:15" hidden="1" x14ac:dyDescent="0.25">
      <c r="A2698" s="11">
        <v>46085</v>
      </c>
      <c r="B2698" t="s">
        <v>19</v>
      </c>
      <c r="C2698" t="s">
        <v>16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>E2698+G2698+H2698</f>
        <v>37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8</v>
      </c>
      <c r="K2698" s="3">
        <f>I2698-J2698</f>
        <v>29</v>
      </c>
      <c r="L2698" s="3" t="str">
        <f>IF(K2698&lt;-5,"CRÍTICO",IF(K2698&lt;0,"ATENÇÃO",IF(K2698&lt;=5,"BOM","EXCELENTE")))</f>
        <v>EXCELENTE</v>
      </c>
      <c r="M2698">
        <v>0</v>
      </c>
      <c r="N2698">
        <v>88.89</v>
      </c>
      <c r="O2698">
        <v>25.263157894736839</v>
      </c>
    </row>
    <row r="2699" spans="1:15" hidden="1" x14ac:dyDescent="0.25">
      <c r="A2699" s="11">
        <v>46085</v>
      </c>
      <c r="B2699" t="s">
        <v>43</v>
      </c>
      <c r="C2699" t="s">
        <v>32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>E2699+G2699+H2699</f>
        <v>11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-15</v>
      </c>
      <c r="L2699" s="3" t="str">
        <f>IF(K2699&lt;-5,"CRÍTICO",IF(K2699&lt;0,"ATENÇÃO",IF(K2699&lt;=5,"BOM","EXCELENTE")))</f>
        <v>CRÍTICO</v>
      </c>
      <c r="M2699">
        <v>38</v>
      </c>
      <c r="N2699">
        <v>98.86</v>
      </c>
      <c r="O2699">
        <v>28.959276018099551</v>
      </c>
    </row>
    <row r="2700" spans="1:15" hidden="1" x14ac:dyDescent="0.25">
      <c r="A2700" s="11">
        <v>46085</v>
      </c>
      <c r="B2700" t="s">
        <v>44</v>
      </c>
      <c r="C2700" t="s">
        <v>32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>E2700+G2700+H2700</f>
        <v>35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26</v>
      </c>
      <c r="K2700" s="3">
        <f>I2700-J2700</f>
        <v>9</v>
      </c>
      <c r="L2700" s="3" t="str">
        <f>IF(K2700&lt;-5,"CRÍTICO",IF(K2700&lt;0,"ATENÇÃO",IF(K2700&lt;=5,"BOM","EXCELENTE")))</f>
        <v>EXCELENTE</v>
      </c>
      <c r="M2700">
        <v>30</v>
      </c>
      <c r="N2700">
        <v>98.06</v>
      </c>
      <c r="O2700">
        <v>22.40566037735849</v>
      </c>
    </row>
    <row r="2701" spans="1:15" hidden="1" x14ac:dyDescent="0.25">
      <c r="A2701" s="11">
        <v>46085</v>
      </c>
      <c r="B2701" t="s">
        <v>20</v>
      </c>
      <c r="C2701" t="s">
        <v>16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>E2701+G2701+H2701</f>
        <v>7</v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>8</v>
      </c>
      <c r="K2701" s="3">
        <f>I2701-J2701</f>
        <v>-1</v>
      </c>
      <c r="L2701" s="3" t="str">
        <f>IF(K2701&lt;-5,"CRÍTICO",IF(K2701&lt;0,"ATENÇÃO",IF(K2701&lt;=5,"BOM","EXCELENTE")))</f>
        <v>ATENÇÃO</v>
      </c>
      <c r="M2701">
        <v>2</v>
      </c>
      <c r="N2701">
        <v>95.83</v>
      </c>
      <c r="O2701">
        <v>25.773195876288661</v>
      </c>
    </row>
    <row r="2702" spans="1:15" hidden="1" x14ac:dyDescent="0.25">
      <c r="A2702" s="11">
        <v>46085</v>
      </c>
      <c r="B2702" t="s">
        <v>28</v>
      </c>
      <c r="C2702" t="s">
        <v>26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v>0</v>
      </c>
      <c r="J2702" s="3">
        <v>0</v>
      </c>
      <c r="K2702" s="3">
        <v>0</v>
      </c>
      <c r="L2702" s="3" t="str">
        <f>IF(K2702&lt;-5,"CRÍTICO",IF(K2702&lt;0,"ATENÇÃO",IF(K2702&lt;=5,"BOM","EXCELENTE")))</f>
        <v>BOM</v>
      </c>
      <c r="M2702">
        <v>0</v>
      </c>
      <c r="N2702">
        <v>100</v>
      </c>
      <c r="O2702">
        <v>15.38461538461539</v>
      </c>
    </row>
    <row r="2703" spans="1:15" hidden="1" x14ac:dyDescent="0.25">
      <c r="A2703" s="11">
        <v>46085</v>
      </c>
      <c r="B2703" t="s">
        <v>58</v>
      </c>
      <c r="C2703" t="s">
        <v>48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>E2703+G2703+H2703</f>
        <v>20</v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21</v>
      </c>
      <c r="K2703" s="3">
        <f>I2703-J2703</f>
        <v>-1</v>
      </c>
      <c r="L2703" s="3" t="str">
        <f>IF(K2703&lt;-5,"CRÍTICO",IF(K2703&lt;0,"ATENÇÃO",IF(K2703&lt;=5,"BOM","EXCELENTE")))</f>
        <v>ATENÇÃO</v>
      </c>
      <c r="M2703">
        <v>20</v>
      </c>
      <c r="N2703">
        <v>100</v>
      </c>
      <c r="O2703">
        <v>27.514792899408281</v>
      </c>
    </row>
    <row r="2704" spans="1:15" hidden="1" x14ac:dyDescent="0.25">
      <c r="A2704" s="11">
        <v>46085</v>
      </c>
      <c r="B2704" t="s">
        <v>29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>
        <v>0</v>
      </c>
      <c r="N2704">
        <v>100</v>
      </c>
      <c r="O2704">
        <v>24.875621890547269</v>
      </c>
    </row>
    <row r="2705" spans="1:15" hidden="1" x14ac:dyDescent="0.25">
      <c r="A2705" s="11">
        <v>46085</v>
      </c>
      <c r="B2705" t="s">
        <v>30</v>
      </c>
      <c r="C2705" t="s">
        <v>26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>IF(K2705&lt;-5,"CRÍTICO",IF(K2705&lt;0,"ATENÇÃO",IF(K2705&lt;=5,"BOM","EXCELENTE")))</f>
        <v>BOM</v>
      </c>
      <c r="M2705">
        <v>0</v>
      </c>
      <c r="N2705">
        <v>100</v>
      </c>
      <c r="O2705">
        <v>28.108108108108109</v>
      </c>
    </row>
    <row r="2706" spans="1:15" hidden="1" x14ac:dyDescent="0.25">
      <c r="A2706" s="11">
        <v>46085</v>
      </c>
      <c r="B2706" t="s">
        <v>21</v>
      </c>
      <c r="C2706" t="s">
        <v>16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v>0</v>
      </c>
      <c r="J2706" s="3">
        <v>0</v>
      </c>
      <c r="K2706" s="3">
        <v>0</v>
      </c>
      <c r="L2706" s="3" t="str">
        <f>IF(K2706&lt;-5,"CRÍTICO",IF(K2706&lt;0,"ATENÇÃO",IF(K2706&lt;=5,"BOM","EXCELENTE")))</f>
        <v>BOM</v>
      </c>
      <c r="M2706">
        <v>0</v>
      </c>
      <c r="N2706">
        <v>100</v>
      </c>
      <c r="O2706">
        <v>35</v>
      </c>
    </row>
    <row r="2707" spans="1:15" hidden="1" x14ac:dyDescent="0.25">
      <c r="A2707" s="11">
        <v>46085</v>
      </c>
      <c r="B2707" t="s">
        <v>63</v>
      </c>
      <c r="C2707" t="s">
        <v>23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>E2707+G2707+H2707</f>
        <v>23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17</v>
      </c>
      <c r="K2707" s="3">
        <f>I2707-J2707</f>
        <v>6</v>
      </c>
      <c r="L2707" s="3" t="str">
        <f>IF(K2707&lt;-5,"CRÍTICO",IF(K2707&lt;0,"ATENÇÃO",IF(K2707&lt;=5,"BOM","EXCELENTE")))</f>
        <v>EXCELENTE</v>
      </c>
      <c r="M2707">
        <v>18</v>
      </c>
      <c r="N2707">
        <v>95.35</v>
      </c>
      <c r="O2707">
        <v>28.61538461538461</v>
      </c>
    </row>
    <row r="2708" spans="1:15" hidden="1" x14ac:dyDescent="0.25">
      <c r="A2708" s="11">
        <v>46085</v>
      </c>
      <c r="B2708" t="s">
        <v>45</v>
      </c>
      <c r="C2708" t="s">
        <v>32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>E2708+G2708+H2708</f>
        <v>39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26</v>
      </c>
      <c r="K2708" s="3">
        <f>I2708-J2708</f>
        <v>13</v>
      </c>
      <c r="L2708" s="3" t="str">
        <f>IF(K2708&lt;-5,"CRÍTICO",IF(K2708&lt;0,"ATENÇÃO",IF(K2708&lt;=5,"BOM","EXCELENTE")))</f>
        <v>EXCELENTE</v>
      </c>
      <c r="M2708">
        <v>26</v>
      </c>
      <c r="N2708">
        <v>98.26</v>
      </c>
      <c r="O2708">
        <v>27.54491017964072</v>
      </c>
    </row>
    <row r="2709" spans="1:15" hidden="1" x14ac:dyDescent="0.25">
      <c r="A2709" s="11">
        <v>46085</v>
      </c>
      <c r="B2709" t="s">
        <v>64</v>
      </c>
      <c r="C2709" t="s">
        <v>23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>E2709+G2709+H2709</f>
        <v>15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17</v>
      </c>
      <c r="K2709" s="3">
        <f>I2709-J2709</f>
        <v>-2</v>
      </c>
      <c r="L2709" s="3" t="str">
        <f>IF(K2709&lt;-5,"CRÍTICO",IF(K2709&lt;0,"ATENÇÃO",IF(K2709&lt;=5,"BOM","EXCELENTE")))</f>
        <v>ATENÇÃO</v>
      </c>
      <c r="M2709">
        <v>15</v>
      </c>
      <c r="N2709">
        <v>98.55</v>
      </c>
      <c r="O2709">
        <v>25.337837837837839</v>
      </c>
    </row>
    <row r="2710" spans="1:15" hidden="1" x14ac:dyDescent="0.25">
      <c r="A2710" s="11">
        <v>46085</v>
      </c>
      <c r="B2710" t="s">
        <v>46</v>
      </c>
      <c r="C2710" t="s">
        <v>32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>E2710+G2710+H2710</f>
        <v>22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26</v>
      </c>
      <c r="K2710" s="3">
        <f>I2710-J2710</f>
        <v>-4</v>
      </c>
      <c r="L2710" s="3" t="str">
        <f>IF(K2710&lt;-5,"CRÍTICO",IF(K2710&lt;0,"ATENÇÃO",IF(K2710&lt;=5,"BOM","EXCELENTE")))</f>
        <v>ATENÇÃO</v>
      </c>
      <c r="M2710">
        <v>18</v>
      </c>
      <c r="N2710">
        <v>98.39</v>
      </c>
      <c r="O2710">
        <v>25.563909774436091</v>
      </c>
    </row>
    <row r="2711" spans="1:15" hidden="1" x14ac:dyDescent="0.25">
      <c r="A2711" s="11">
        <v>46086</v>
      </c>
      <c r="B2711" t="s">
        <v>47</v>
      </c>
      <c r="C2711" t="s">
        <v>48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>E2711+G2711+H2711</f>
        <v>24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23</v>
      </c>
      <c r="K2711" s="3">
        <f>I2711-J2711</f>
        <v>1</v>
      </c>
      <c r="L2711" s="3" t="str">
        <f>IF(K2711&lt;-5,"CRÍTICO",IF(K2711&lt;0,"ATENÇÃO",IF(K2711&lt;=5,"BOM","EXCELENTE")))</f>
        <v>BOM</v>
      </c>
      <c r="M2711">
        <v>15</v>
      </c>
      <c r="N2711">
        <v>94.29</v>
      </c>
      <c r="O2711">
        <v>25.647668393782389</v>
      </c>
    </row>
    <row r="2712" spans="1:15" hidden="1" x14ac:dyDescent="0.25">
      <c r="A2712" s="11">
        <v>46086</v>
      </c>
      <c r="B2712" t="s">
        <v>31</v>
      </c>
      <c r="C2712" t="s">
        <v>32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v>0</v>
      </c>
      <c r="J2712" s="3">
        <v>0</v>
      </c>
      <c r="K2712" s="3">
        <v>0</v>
      </c>
      <c r="L2712" s="3" t="str">
        <f>IF(K2712&lt;-5,"CRÍTICO",IF(K2712&lt;0,"ATENÇÃO",IF(K2712&lt;=5,"BOM","EXCELENTE")))</f>
        <v>BOM</v>
      </c>
      <c r="M2712">
        <v>24</v>
      </c>
      <c r="N2712">
        <v>98.26</v>
      </c>
      <c r="O2712">
        <v>26.666666666666671</v>
      </c>
    </row>
    <row r="2713" spans="1:15" hidden="1" x14ac:dyDescent="0.25">
      <c r="A2713" s="11">
        <v>46086</v>
      </c>
      <c r="B2713" t="s">
        <v>59</v>
      </c>
      <c r="C2713" t="s">
        <v>23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>E2713+G2713+H2713</f>
        <v>23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19</v>
      </c>
      <c r="K2713" s="3">
        <f>I2713-J2713</f>
        <v>4</v>
      </c>
      <c r="L2713" s="3" t="str">
        <f>IF(K2713&lt;-5,"CRÍTICO",IF(K2713&lt;0,"ATENÇÃO",IF(K2713&lt;=5,"BOM","EXCELENTE")))</f>
        <v>BOM</v>
      </c>
      <c r="M2713">
        <v>21</v>
      </c>
      <c r="N2713">
        <v>98.2</v>
      </c>
      <c r="O2713">
        <v>23.37962962962963</v>
      </c>
    </row>
    <row r="2714" spans="1:15" hidden="1" x14ac:dyDescent="0.25">
      <c r="A2714" s="11">
        <v>46086</v>
      </c>
      <c r="B2714" t="s">
        <v>33</v>
      </c>
      <c r="C2714" t="s">
        <v>32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>E2714+G2714+H2714</f>
        <v>26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28</v>
      </c>
      <c r="K2714" s="3">
        <f>I2714-J2714</f>
        <v>-2</v>
      </c>
      <c r="L2714" s="3" t="str">
        <f>IF(K2714&lt;-5,"CRÍTICO",IF(K2714&lt;0,"ATENÇÃO",IF(K2714&lt;=5,"BOM","EXCELENTE")))</f>
        <v>ATENÇÃO</v>
      </c>
      <c r="M2714">
        <v>22</v>
      </c>
      <c r="N2714">
        <v>97.3</v>
      </c>
      <c r="O2714">
        <v>23.84769539078156</v>
      </c>
    </row>
    <row r="2715" spans="1:15" hidden="1" x14ac:dyDescent="0.25">
      <c r="A2715" s="11">
        <v>46086</v>
      </c>
      <c r="B2715" t="s">
        <v>15</v>
      </c>
      <c r="C2715" t="s">
        <v>16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>E2715+G2715+H2715</f>
        <v>11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8</v>
      </c>
      <c r="K2715" s="3">
        <f>I2715-J2715</f>
        <v>3</v>
      </c>
      <c r="L2715" s="3" t="str">
        <f>IF(K2715&lt;-5,"CRÍTICO",IF(K2715&lt;0,"ATENÇÃO",IF(K2715&lt;=5,"BOM","EXCELENTE")))</f>
        <v>BOM</v>
      </c>
      <c r="M2715">
        <v>10</v>
      </c>
      <c r="N2715">
        <v>100</v>
      </c>
      <c r="O2715">
        <v>25.268817204301079</v>
      </c>
    </row>
    <row r="2716" spans="1:15" hidden="1" x14ac:dyDescent="0.25">
      <c r="A2716" s="11">
        <v>46086</v>
      </c>
      <c r="B2716" t="s">
        <v>49</v>
      </c>
      <c r="C2716" t="s">
        <v>48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>E2716+G2716+H2716</f>
        <v>24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1</v>
      </c>
      <c r="L2716" s="3" t="str">
        <f>IF(K2716&lt;-5,"CRÍTICO",IF(K2716&lt;0,"ATENÇÃO",IF(K2716&lt;=5,"BOM","EXCELENTE")))</f>
        <v>BOM</v>
      </c>
      <c r="M2716">
        <v>25</v>
      </c>
      <c r="N2716">
        <v>99.32</v>
      </c>
      <c r="O2716">
        <v>22.822822822822818</v>
      </c>
    </row>
    <row r="2717" spans="1:15" hidden="1" x14ac:dyDescent="0.25">
      <c r="A2717" s="11">
        <v>46086</v>
      </c>
      <c r="B2717" t="s">
        <v>50</v>
      </c>
      <c r="C2717" t="s">
        <v>48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>E2717+G2717+H2717</f>
        <v>16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23</v>
      </c>
      <c r="K2717" s="3">
        <f>I2717-J2717</f>
        <v>-7</v>
      </c>
      <c r="L2717" s="3" t="str">
        <f>IF(K2717&lt;-5,"CRÍTICO",IF(K2717&lt;0,"ATENÇÃO",IF(K2717&lt;=5,"BOM","EXCELENTE")))</f>
        <v>CRÍTICO</v>
      </c>
      <c r="M2717">
        <v>16</v>
      </c>
      <c r="N2717">
        <v>100</v>
      </c>
      <c r="O2717">
        <v>27.966101694915249</v>
      </c>
    </row>
    <row r="2718" spans="1:15" hidden="1" x14ac:dyDescent="0.25">
      <c r="A2718" s="11">
        <v>46086</v>
      </c>
      <c r="B2718" t="s">
        <v>17</v>
      </c>
      <c r="C2718" t="s">
        <v>16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v>0</v>
      </c>
      <c r="J2718" s="3">
        <v>0</v>
      </c>
      <c r="K2718" s="3">
        <v>0</v>
      </c>
      <c r="L2718" s="3" t="str">
        <f>IF(K2718&lt;-5,"CRÍTICO",IF(K2718&lt;0,"ATENÇÃO",IF(K2718&lt;=5,"BOM","EXCELENTE")))</f>
        <v>BOM</v>
      </c>
      <c r="M2718">
        <v>0</v>
      </c>
      <c r="N2718">
        <v>100</v>
      </c>
      <c r="O2718">
        <v>30.434782608695659</v>
      </c>
    </row>
    <row r="2719" spans="1:15" hidden="1" x14ac:dyDescent="0.25">
      <c r="A2719" s="11">
        <v>46086</v>
      </c>
      <c r="B2719" t="s">
        <v>60</v>
      </c>
      <c r="C2719" t="s">
        <v>23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>E2719+G2719+H2719</f>
        <v>19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19</v>
      </c>
      <c r="K2719" s="3">
        <f>I2719-J2719</f>
        <v>0</v>
      </c>
      <c r="L2719" s="3" t="str">
        <f>IF(K2719&lt;-5,"CRÍTICO",IF(K2719&lt;0,"ATENÇÃO",IF(K2719&lt;=5,"BOM","EXCELENTE")))</f>
        <v>BOM</v>
      </c>
      <c r="M2719">
        <v>18</v>
      </c>
      <c r="N2719">
        <v>96.51</v>
      </c>
      <c r="O2719">
        <v>22.802850356294542</v>
      </c>
    </row>
    <row r="2720" spans="1:15" hidden="1" x14ac:dyDescent="0.25">
      <c r="A2720" s="11">
        <v>46086</v>
      </c>
      <c r="B2720" t="s">
        <v>34</v>
      </c>
      <c r="C2720" t="s">
        <v>32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>E2720+G2720+H2720</f>
        <v>38</v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>28</v>
      </c>
      <c r="K2720" s="3">
        <f>I2720-J2720</f>
        <v>10</v>
      </c>
      <c r="L2720" s="3" t="str">
        <f>IF(K2720&lt;-5,"CRÍTICO",IF(K2720&lt;0,"ATENÇÃO",IF(K2720&lt;=5,"BOM","EXCELENTE")))</f>
        <v>EXCELENTE</v>
      </c>
      <c r="M2720">
        <v>35</v>
      </c>
      <c r="N2720">
        <v>92.68</v>
      </c>
      <c r="O2720">
        <v>27.777777777777779</v>
      </c>
    </row>
    <row r="2721" spans="1:15" hidden="1" x14ac:dyDescent="0.25">
      <c r="A2721" s="11">
        <v>46086</v>
      </c>
      <c r="B2721" t="s">
        <v>51</v>
      </c>
      <c r="C2721" t="s">
        <v>48</v>
      </c>
      <c r="D2721">
        <v>26</v>
      </c>
      <c r="E2721">
        <v>24</v>
      </c>
      <c r="F2721">
        <v>25.07</v>
      </c>
      <c r="G2721">
        <v>0</v>
      </c>
      <c r="H2721">
        <v>0</v>
      </c>
      <c r="I2721" s="3">
        <v>0</v>
      </c>
      <c r="J2721" s="3">
        <v>0</v>
      </c>
      <c r="K2721" s="3">
        <v>0</v>
      </c>
      <c r="L2721" s="3" t="str">
        <f>IF(K2721&lt;-5,"CRÍTICO",IF(K2721&lt;0,"ATENÇÃO",IF(K2721&lt;=5,"BOM","EXCELENTE")))</f>
        <v>BOM</v>
      </c>
      <c r="M2721">
        <v>20</v>
      </c>
      <c r="N2721">
        <v>99.03</v>
      </c>
      <c r="O2721">
        <v>23.991507430997881</v>
      </c>
    </row>
    <row r="2722" spans="1:15" hidden="1" x14ac:dyDescent="0.25">
      <c r="A2722" s="11">
        <v>46086</v>
      </c>
      <c r="B2722" t="s">
        <v>61</v>
      </c>
      <c r="C2722" t="s">
        <v>23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>E2722+G2722+H2722</f>
        <v>22</v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>19</v>
      </c>
      <c r="K2722" s="3">
        <f>I2722-J2722</f>
        <v>3</v>
      </c>
      <c r="L2722" s="3" t="str">
        <f>IF(K2722&lt;-5,"CRÍTICO",IF(K2722&lt;0,"ATENÇÃO",IF(K2722&lt;=5,"BOM","EXCELENTE")))</f>
        <v>BOM</v>
      </c>
      <c r="M2722">
        <v>15</v>
      </c>
      <c r="N2722">
        <v>98.41</v>
      </c>
      <c r="O2722">
        <v>28.138528138528141</v>
      </c>
    </row>
    <row r="2723" spans="1:15" hidden="1" x14ac:dyDescent="0.25">
      <c r="A2723" s="11">
        <v>46086</v>
      </c>
      <c r="B2723" t="s">
        <v>35</v>
      </c>
      <c r="C2723" t="s">
        <v>32</v>
      </c>
      <c r="D2723">
        <v>32</v>
      </c>
      <c r="E2723">
        <v>31</v>
      </c>
      <c r="F2723">
        <v>20.53</v>
      </c>
      <c r="G2723">
        <v>0</v>
      </c>
      <c r="H2723">
        <v>0</v>
      </c>
      <c r="I2723" s="3">
        <v>0</v>
      </c>
      <c r="J2723" s="3">
        <v>0</v>
      </c>
      <c r="K2723" s="3">
        <v>0</v>
      </c>
      <c r="L2723" s="3" t="str">
        <f>IF(K2723&lt;-5,"CRÍTICO",IF(K2723&lt;0,"ATENÇÃO",IF(K2723&lt;=5,"BOM","EXCELENTE")))</f>
        <v>BOM</v>
      </c>
      <c r="M2723">
        <v>31</v>
      </c>
      <c r="N2723">
        <v>98.73</v>
      </c>
      <c r="O2723">
        <v>29.142857142857139</v>
      </c>
    </row>
    <row r="2724" spans="1:15" hidden="1" x14ac:dyDescent="0.25">
      <c r="A2724" s="11">
        <v>46086</v>
      </c>
      <c r="B2724" t="s">
        <v>18</v>
      </c>
      <c r="C2724" t="s">
        <v>16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>E2724+G2724+H2724</f>
        <v>45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8</v>
      </c>
      <c r="K2724" s="3">
        <f>I2724-J2724</f>
        <v>37</v>
      </c>
      <c r="L2724" s="3" t="str">
        <f>IF(K2724&lt;-5,"CRÍTICO",IF(K2724&lt;0,"ATENÇÃO",IF(K2724&lt;=5,"BOM","EXCELENTE")))</f>
        <v>EXCELENTE</v>
      </c>
      <c r="M2724">
        <v>3</v>
      </c>
      <c r="N2724">
        <v>90.48</v>
      </c>
      <c r="O2724">
        <v>20.68965517241379</v>
      </c>
    </row>
    <row r="2725" spans="1:15" hidden="1" x14ac:dyDescent="0.25">
      <c r="A2725" s="11">
        <v>46086</v>
      </c>
      <c r="B2725" t="s">
        <v>52</v>
      </c>
      <c r="C2725" t="s">
        <v>48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>E2725+G2725+H2725</f>
        <v>31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23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>
        <v>29</v>
      </c>
      <c r="N2725">
        <v>98.06</v>
      </c>
      <c r="O2725">
        <v>24.789915966386559</v>
      </c>
    </row>
    <row r="2726" spans="1:15" hidden="1" x14ac:dyDescent="0.25">
      <c r="A2726" s="11">
        <v>46086</v>
      </c>
      <c r="B2726" t="s">
        <v>36</v>
      </c>
      <c r="C2726" t="s">
        <v>32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>E2726+G2726+H2726</f>
        <v>36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28</v>
      </c>
      <c r="K2726" s="3">
        <f>I2726-J2726</f>
        <v>8</v>
      </c>
      <c r="L2726" s="3" t="str">
        <f>IF(K2726&lt;-5,"CRÍTICO",IF(K2726&lt;0,"ATENÇÃO",IF(K2726&lt;=5,"BOM","EXCELENTE")))</f>
        <v>EXCELENTE</v>
      </c>
      <c r="M2726">
        <v>39</v>
      </c>
      <c r="N2726">
        <v>97.78</v>
      </c>
      <c r="O2726">
        <v>25.494071146245059</v>
      </c>
    </row>
    <row r="2727" spans="1:15" hidden="1" x14ac:dyDescent="0.25">
      <c r="A2727" s="11">
        <v>46086</v>
      </c>
      <c r="B2727" t="s">
        <v>53</v>
      </c>
      <c r="C2727" t="s">
        <v>48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>E2727+G2727+H2727</f>
        <v>17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23</v>
      </c>
      <c r="K2727" s="3">
        <f>I2727-J2727</f>
        <v>-6</v>
      </c>
      <c r="L2727" s="3" t="str">
        <f>IF(K2727&lt;-5,"CRÍTICO",IF(K2727&lt;0,"ATENÇÃO",IF(K2727&lt;=5,"BOM","EXCELENTE")))</f>
        <v>CRÍTICO</v>
      </c>
      <c r="M2727">
        <v>17</v>
      </c>
      <c r="N2727">
        <v>98.02</v>
      </c>
      <c r="O2727">
        <v>23.484848484848481</v>
      </c>
    </row>
    <row r="2728" spans="1:15" hidden="1" x14ac:dyDescent="0.25">
      <c r="A2728" s="11">
        <v>46120</v>
      </c>
      <c r="B2728" t="s">
        <v>22</v>
      </c>
      <c r="C2728" t="s">
        <v>23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20</v>
      </c>
      <c r="K2728" s="3">
        <f>I2728-J2728</f>
        <v>8</v>
      </c>
      <c r="L2728" s="3" t="str">
        <f>IF(K2728&lt;-5,"CRÍTICO",IF(K2728&lt;0,"ATENÇÃO",IF(K2728&lt;=5,"OPORTUNO","MUITO BOM")))</f>
        <v>MUITO BOM</v>
      </c>
      <c r="M2728">
        <v>26</v>
      </c>
      <c r="N2728">
        <v>99.28</v>
      </c>
      <c r="O2728">
        <v>27.689243027888441</v>
      </c>
    </row>
    <row r="2729" spans="1:15" hidden="1" x14ac:dyDescent="0.25">
      <c r="A2729" s="11">
        <v>46086</v>
      </c>
      <c r="B2729" t="s">
        <v>54</v>
      </c>
      <c r="C2729" t="s">
        <v>48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>E2729+G2729+H2729</f>
        <v>28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23</v>
      </c>
      <c r="K2729" s="3">
        <f>I2729-J2729</f>
        <v>5</v>
      </c>
      <c r="L2729" s="3" t="str">
        <f>IF(K2729&lt;-5,"CRÍTICO",IF(K2729&lt;0,"ATENÇÃO",IF(K2729&lt;=5,"BOM","EXCELENTE")))</f>
        <v>BOM</v>
      </c>
      <c r="M2729">
        <v>19</v>
      </c>
      <c r="N2729">
        <v>100</v>
      </c>
      <c r="O2729">
        <v>27.04918032786885</v>
      </c>
    </row>
    <row r="2730" spans="1:15" hidden="1" x14ac:dyDescent="0.25">
      <c r="A2730" s="11">
        <v>46086</v>
      </c>
      <c r="B2730" t="s">
        <v>37</v>
      </c>
      <c r="C2730" t="s">
        <v>32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>E2730+G2730+H2730</f>
        <v>47</v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>28</v>
      </c>
      <c r="K2730" s="3">
        <f>I2730-J2730</f>
        <v>19</v>
      </c>
      <c r="L2730" s="3" t="str">
        <f>IF(K2730&lt;-5,"CRÍTICO",IF(K2730&lt;0,"ATENÇÃO",IF(K2730&lt;=5,"BOM","EXCELENTE")))</f>
        <v>EXCELENTE</v>
      </c>
      <c r="M2730">
        <v>53</v>
      </c>
      <c r="N2730">
        <v>97.83</v>
      </c>
      <c r="O2730">
        <v>26.315789473684209</v>
      </c>
    </row>
    <row r="2731" spans="1:15" hidden="1" x14ac:dyDescent="0.25">
      <c r="A2731" s="11">
        <v>46086</v>
      </c>
      <c r="B2731" t="s">
        <v>38</v>
      </c>
      <c r="C2731" t="s">
        <v>32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v>0</v>
      </c>
      <c r="J2731" s="3">
        <v>0</v>
      </c>
      <c r="K2731" s="3">
        <v>0</v>
      </c>
      <c r="L2731" s="3" t="str">
        <f>IF(K2731&lt;-5,"CRÍTICO",IF(K2731&lt;0,"ATENÇÃO",IF(K2731&lt;=5,"BOM","EXCELENTE")))</f>
        <v>BOM</v>
      </c>
      <c r="M2731">
        <v>1</v>
      </c>
      <c r="N2731">
        <v>100</v>
      </c>
      <c r="O2731">
        <v>26.701570680628269</v>
      </c>
    </row>
    <row r="2732" spans="1:15" hidden="1" x14ac:dyDescent="0.25">
      <c r="A2732" s="11">
        <v>46086</v>
      </c>
      <c r="B2732" t="s">
        <v>55</v>
      </c>
      <c r="C2732" t="s">
        <v>48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>E2732+G2732+H2732</f>
        <v>29</v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>23</v>
      </c>
      <c r="K2732" s="3">
        <f>I2732-J2732</f>
        <v>6</v>
      </c>
      <c r="L2732" s="3" t="str">
        <f>IF(K2732&lt;-5,"CRÍTICO",IF(K2732&lt;0,"ATENÇÃO",IF(K2732&lt;=5,"BOM","EXCELENTE")))</f>
        <v>EXCELENTE</v>
      </c>
      <c r="M2732">
        <v>29</v>
      </c>
      <c r="N2732">
        <v>97.47</v>
      </c>
      <c r="O2732">
        <v>22.887323943661968</v>
      </c>
    </row>
    <row r="2733" spans="1:15" hidden="1" x14ac:dyDescent="0.25">
      <c r="A2733" s="11">
        <v>46086</v>
      </c>
      <c r="B2733" t="s">
        <v>39</v>
      </c>
      <c r="C2733" t="s">
        <v>32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v>0</v>
      </c>
      <c r="J2733" s="3">
        <v>0</v>
      </c>
      <c r="K2733" s="3">
        <v>0</v>
      </c>
      <c r="L2733" s="3" t="str">
        <f>IF(K2733&lt;-5,"CRÍTICO",IF(K2733&lt;0,"ATENÇÃO",IF(K2733&lt;=5,"BOM","EXCELENTE")))</f>
        <v>BOM</v>
      </c>
      <c r="M2733">
        <v>0</v>
      </c>
      <c r="N2733">
        <v>0</v>
      </c>
      <c r="O2733">
        <v>0</v>
      </c>
    </row>
    <row r="2734" spans="1:15" hidden="1" x14ac:dyDescent="0.25">
      <c r="A2734" s="11">
        <v>46086</v>
      </c>
      <c r="B2734" t="s">
        <v>25</v>
      </c>
      <c r="C2734" t="s">
        <v>26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>E2734+G2734+H2734</f>
        <v>17</v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>16</v>
      </c>
      <c r="K2734" s="3">
        <f>I2734-J2734</f>
        <v>1</v>
      </c>
      <c r="L2734" s="3" t="str">
        <f>IF(K2734&lt;-5,"CRÍTICO",IF(K2734&lt;0,"ATENÇÃO",IF(K2734&lt;=5,"BOM","EXCELENTE")))</f>
        <v>BOM</v>
      </c>
      <c r="M2734">
        <v>15</v>
      </c>
      <c r="N2734">
        <v>98.31</v>
      </c>
      <c r="O2734">
        <v>24.920127795527151</v>
      </c>
    </row>
    <row r="2735" spans="1:15" hidden="1" x14ac:dyDescent="0.25">
      <c r="A2735" s="11">
        <v>46086</v>
      </c>
      <c r="B2735" t="s">
        <v>40</v>
      </c>
      <c r="C2735" t="s">
        <v>32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v>0</v>
      </c>
      <c r="J2735" s="3">
        <v>0</v>
      </c>
      <c r="K2735" s="3">
        <v>0</v>
      </c>
      <c r="L2735" s="3" t="str">
        <f>IF(K2735&lt;-5,"CRÍTICO",IF(K2735&lt;0,"ATENÇÃO",IF(K2735&lt;=5,"BOM","EXCELENTE")))</f>
        <v>BOM</v>
      </c>
      <c r="M2735">
        <v>16</v>
      </c>
      <c r="N2735">
        <v>96.81</v>
      </c>
      <c r="O2735">
        <v>32.365145228215773</v>
      </c>
    </row>
    <row r="2736" spans="1:15" hidden="1" x14ac:dyDescent="0.25">
      <c r="A2736" s="11">
        <v>46086</v>
      </c>
      <c r="B2736" t="s">
        <v>27</v>
      </c>
      <c r="C2736" t="s">
        <v>26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>E2736+G2736+H2736</f>
        <v>6</v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>16</v>
      </c>
      <c r="K2736" s="3">
        <f>I2736-J2736</f>
        <v>-10</v>
      </c>
      <c r="L2736" s="3" t="str">
        <f>IF(K2736&lt;-5,"CRÍTICO",IF(K2736&lt;0,"ATENÇÃO",IF(K2736&lt;=5,"BOM","EXCELENTE")))</f>
        <v>CRÍTICO</v>
      </c>
      <c r="M2736">
        <v>6</v>
      </c>
      <c r="N2736">
        <v>100</v>
      </c>
      <c r="O2736">
        <v>26.47058823529412</v>
      </c>
    </row>
    <row r="2737" spans="1:15" hidden="1" x14ac:dyDescent="0.25">
      <c r="A2737" s="11">
        <v>46086</v>
      </c>
      <c r="B2737" t="s">
        <v>41</v>
      </c>
      <c r="C2737" t="s">
        <v>32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v>0</v>
      </c>
      <c r="J2737" s="3">
        <v>0</v>
      </c>
      <c r="K2737" s="3">
        <v>0</v>
      </c>
      <c r="L2737" s="3" t="str">
        <f>IF(K2737&lt;-5,"CRÍTICO",IF(K2737&lt;0,"ATENÇÃO",IF(K2737&lt;=5,"BOM","EXCELENTE")))</f>
        <v>BOM</v>
      </c>
      <c r="M2737">
        <v>9</v>
      </c>
      <c r="N2737">
        <v>100</v>
      </c>
      <c r="O2737">
        <v>28.490028490028489</v>
      </c>
    </row>
    <row r="2738" spans="1:15" hidden="1" x14ac:dyDescent="0.25">
      <c r="A2738" s="11">
        <v>46086</v>
      </c>
      <c r="B2738" t="s">
        <v>56</v>
      </c>
      <c r="C2738" t="s">
        <v>48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>E2738+G2738+H2738</f>
        <v>26</v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>23</v>
      </c>
      <c r="K2738" s="3">
        <f>I2738-J2738</f>
        <v>3</v>
      </c>
      <c r="L2738" s="3" t="str">
        <f>IF(K2738&lt;-5,"CRÍTICO",IF(K2738&lt;0,"ATENÇÃO",IF(K2738&lt;=5,"BOM","EXCELENTE")))</f>
        <v>BOM</v>
      </c>
      <c r="M2738">
        <v>12</v>
      </c>
      <c r="N2738">
        <v>99.14</v>
      </c>
      <c r="O2738">
        <v>27.2289156626506</v>
      </c>
    </row>
    <row r="2739" spans="1:15" hidden="1" x14ac:dyDescent="0.25">
      <c r="A2739" s="11">
        <v>46086</v>
      </c>
      <c r="B2739" t="s">
        <v>57</v>
      </c>
      <c r="C2739" t="s">
        <v>48</v>
      </c>
      <c r="D2739">
        <v>30</v>
      </c>
      <c r="E2739">
        <v>29</v>
      </c>
      <c r="F2739">
        <v>25.26</v>
      </c>
      <c r="G2739">
        <v>0</v>
      </c>
      <c r="H2739">
        <v>0</v>
      </c>
      <c r="I2739" s="3">
        <v>0</v>
      </c>
      <c r="J2739" s="3">
        <v>0</v>
      </c>
      <c r="K2739" s="3">
        <v>0</v>
      </c>
      <c r="L2739" s="3" t="str">
        <f>IF(K2739&lt;-5,"CRÍTICO",IF(K2739&lt;0,"ATENÇÃO",IF(K2739&lt;=5,"BOM","EXCELENTE")))</f>
        <v>BOM</v>
      </c>
      <c r="M2739">
        <v>26</v>
      </c>
      <c r="N2739">
        <v>97.52</v>
      </c>
      <c r="O2739">
        <v>28.205128205128201</v>
      </c>
    </row>
    <row r="2740" spans="1:15" hidden="1" x14ac:dyDescent="0.25">
      <c r="A2740" s="11">
        <v>46086</v>
      </c>
      <c r="B2740" t="s">
        <v>42</v>
      </c>
      <c r="C2740" t="s">
        <v>32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>E2740+G2740+H2740</f>
        <v>29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28</v>
      </c>
      <c r="K2740" s="3">
        <f>I2740-J2740</f>
        <v>1</v>
      </c>
      <c r="L2740" s="3" t="str">
        <f>IF(K2740&lt;-5,"CRÍTICO",IF(K2740&lt;0,"ATENÇÃO",IF(K2740&lt;=5,"BOM","EXCELENTE")))</f>
        <v>BOM</v>
      </c>
      <c r="M2740">
        <v>18</v>
      </c>
      <c r="N2740">
        <v>90</v>
      </c>
      <c r="O2740">
        <v>24.186046511627911</v>
      </c>
    </row>
    <row r="2741" spans="1:15" hidden="1" x14ac:dyDescent="0.25">
      <c r="A2741" s="11">
        <v>46086</v>
      </c>
      <c r="B2741" t="s">
        <v>62</v>
      </c>
      <c r="C2741" t="s">
        <v>23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>E2741+G2741+H2741</f>
        <v>25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19</v>
      </c>
      <c r="K2741" s="3">
        <f>I2741-J2741</f>
        <v>6</v>
      </c>
      <c r="L2741" s="3" t="str">
        <f>IF(K2741&lt;-5,"CRÍTICO",IF(K2741&lt;0,"ATENÇÃO",IF(K2741&lt;=5,"BOM","EXCELENTE")))</f>
        <v>EXCELENTE</v>
      </c>
      <c r="M2741">
        <v>22</v>
      </c>
      <c r="N2741">
        <v>98.9</v>
      </c>
      <c r="O2741">
        <v>26.763990267639901</v>
      </c>
    </row>
    <row r="2742" spans="1:15" hidden="1" x14ac:dyDescent="0.25">
      <c r="A2742" s="11">
        <v>46086</v>
      </c>
      <c r="B2742" t="s">
        <v>19</v>
      </c>
      <c r="C2742" t="s">
        <v>16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>E2742+G2742+H2742</f>
        <v>31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8</v>
      </c>
      <c r="K2742" s="3">
        <f>I2742-J2742</f>
        <v>23</v>
      </c>
      <c r="L2742" s="3" t="str">
        <f>IF(K2742&lt;-5,"CRÍTICO",IF(K2742&lt;0,"ATENÇÃO",IF(K2742&lt;=5,"BOM","EXCELENTE")))</f>
        <v>EXCELENTE</v>
      </c>
      <c r="M2742">
        <v>1</v>
      </c>
      <c r="N2742">
        <v>88.89</v>
      </c>
      <c r="O2742">
        <v>25.263157894736839</v>
      </c>
    </row>
    <row r="2743" spans="1:15" hidden="1" x14ac:dyDescent="0.25">
      <c r="A2743" s="11">
        <v>46086</v>
      </c>
      <c r="B2743" t="s">
        <v>43</v>
      </c>
      <c r="C2743" t="s">
        <v>32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>E2743+G2743+H2743</f>
        <v>7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-21</v>
      </c>
      <c r="L2743" s="3" t="str">
        <f>IF(K2743&lt;-5,"CRÍTICO",IF(K2743&lt;0,"ATENÇÃO",IF(K2743&lt;=5,"BOM","EXCELENTE")))</f>
        <v>CRÍTICO</v>
      </c>
      <c r="M2743">
        <v>52</v>
      </c>
      <c r="N2743">
        <v>98.86</v>
      </c>
      <c r="O2743">
        <v>28.959276018099551</v>
      </c>
    </row>
    <row r="2744" spans="1:15" hidden="1" x14ac:dyDescent="0.25">
      <c r="A2744" s="11">
        <v>46086</v>
      </c>
      <c r="B2744" t="s">
        <v>44</v>
      </c>
      <c r="C2744" t="s">
        <v>32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>E2744+G2744+H2744</f>
        <v>29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28</v>
      </c>
      <c r="K2744" s="3">
        <f>I2744-J2744</f>
        <v>1</v>
      </c>
      <c r="L2744" s="3" t="str">
        <f>IF(K2744&lt;-5,"CRÍTICO",IF(K2744&lt;0,"ATENÇÃO",IF(K2744&lt;=5,"BOM","EXCELENTE")))</f>
        <v>BOM</v>
      </c>
      <c r="M2744">
        <v>30</v>
      </c>
      <c r="N2744">
        <v>98.06</v>
      </c>
      <c r="O2744">
        <v>22.40566037735849</v>
      </c>
    </row>
    <row r="2745" spans="1:15" hidden="1" x14ac:dyDescent="0.25">
      <c r="A2745" s="11">
        <v>46086</v>
      </c>
      <c r="B2745" t="s">
        <v>20</v>
      </c>
      <c r="C2745" t="s">
        <v>16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>E2745+G2745+H2745</f>
        <v>14</v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>8</v>
      </c>
      <c r="K2745" s="3">
        <f>I2745-J2745</f>
        <v>6</v>
      </c>
      <c r="L2745" s="3" t="str">
        <f>IF(K2745&lt;-5,"CRÍTICO",IF(K2745&lt;0,"ATENÇÃO",IF(K2745&lt;=5,"BOM","EXCELENTE")))</f>
        <v>EXCELENTE</v>
      </c>
      <c r="M2745">
        <v>12</v>
      </c>
      <c r="N2745">
        <v>95.83</v>
      </c>
      <c r="O2745">
        <v>25.773195876288661</v>
      </c>
    </row>
    <row r="2746" spans="1:15" hidden="1" x14ac:dyDescent="0.25">
      <c r="A2746" s="11">
        <v>46086</v>
      </c>
      <c r="B2746" t="s">
        <v>28</v>
      </c>
      <c r="C2746" t="s">
        <v>26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v>0</v>
      </c>
      <c r="J2746" s="3">
        <v>0</v>
      </c>
      <c r="K2746" s="3">
        <v>0</v>
      </c>
      <c r="L2746" s="3" t="str">
        <f>IF(K2746&lt;-5,"CRÍTICO",IF(K2746&lt;0,"ATENÇÃO",IF(K2746&lt;=5,"BOM","EXCELENTE")))</f>
        <v>BOM</v>
      </c>
      <c r="M2746">
        <v>0</v>
      </c>
      <c r="N2746">
        <v>100</v>
      </c>
      <c r="O2746">
        <v>15.38461538461539</v>
      </c>
    </row>
    <row r="2747" spans="1:15" hidden="1" x14ac:dyDescent="0.25">
      <c r="A2747" s="11">
        <v>46086</v>
      </c>
      <c r="B2747" t="s">
        <v>58</v>
      </c>
      <c r="C2747" t="s">
        <v>48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>E2747+G2747+H2747</f>
        <v>25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23</v>
      </c>
      <c r="K2747" s="3">
        <f>I2747-J2747</f>
        <v>2</v>
      </c>
      <c r="L2747" s="3" t="str">
        <f>IF(K2747&lt;-5,"CRÍTICO",IF(K2747&lt;0,"ATENÇÃO",IF(K2747&lt;=5,"OPORTUNO","MUITO BOM")))</f>
        <v>OPORTUNO</v>
      </c>
      <c r="M2747">
        <v>23</v>
      </c>
      <c r="N2747">
        <v>100</v>
      </c>
      <c r="O2747">
        <v>27.514792899408281</v>
      </c>
    </row>
    <row r="2748" spans="1:15" hidden="1" x14ac:dyDescent="0.25">
      <c r="A2748" s="11">
        <v>46086</v>
      </c>
      <c r="B2748" t="s">
        <v>29</v>
      </c>
      <c r="C2748" t="s">
        <v>26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>E2748+G2748+H2748</f>
        <v>6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-10</v>
      </c>
      <c r="L2748" s="3" t="str">
        <f>IF(K2748&lt;-5,"CRÍTICO",IF(K2748&lt;0,"ATENÇÃO",IF(K2748&lt;=5,"OPORTUNO","MUITO BOM")))</f>
        <v>CRÍTICO</v>
      </c>
      <c r="M2748">
        <v>6</v>
      </c>
      <c r="N2748">
        <v>100</v>
      </c>
      <c r="O2748">
        <v>24.875621890547269</v>
      </c>
    </row>
    <row r="2749" spans="1:15" hidden="1" x14ac:dyDescent="0.25">
      <c r="A2749" s="11">
        <v>46086</v>
      </c>
      <c r="B2749" t="s">
        <v>30</v>
      </c>
      <c r="C2749" t="s">
        <v>26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>E2749+G2749+H2749</f>
        <v>5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16</v>
      </c>
      <c r="K2749" s="3">
        <f>I2749-J2749</f>
        <v>-11</v>
      </c>
      <c r="L2749" s="3" t="str">
        <f>IF(K2749&lt;-5,"CRÍTICO",IF(K2749&lt;0,"ATENÇÃO",IF(K2749&lt;=5,"OPORTUNO","MUITO BOM")))</f>
        <v>CRÍTICO</v>
      </c>
      <c r="M2749">
        <v>4</v>
      </c>
      <c r="N2749">
        <v>100</v>
      </c>
      <c r="O2749">
        <v>28.108108108108109</v>
      </c>
    </row>
    <row r="2750" spans="1:15" hidden="1" x14ac:dyDescent="0.25">
      <c r="A2750" s="11">
        <v>46086</v>
      </c>
      <c r="B2750" t="s">
        <v>21</v>
      </c>
      <c r="C2750" t="s">
        <v>16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v>0</v>
      </c>
      <c r="J2750" s="3">
        <v>0</v>
      </c>
      <c r="K2750" s="3">
        <v>0</v>
      </c>
      <c r="L2750" s="3" t="str">
        <f>IF(K2750&lt;-5,"CRÍTICO",IF(K2750&lt;0,"ATENÇÃO",IF(K2750&lt;=5,"OPORTUNO","MUITO BOM")))</f>
        <v>OPORTUNO</v>
      </c>
      <c r="M2750">
        <v>0</v>
      </c>
      <c r="N2750">
        <v>100</v>
      </c>
      <c r="O2750">
        <v>35</v>
      </c>
    </row>
    <row r="2751" spans="1:15" hidden="1" x14ac:dyDescent="0.25">
      <c r="A2751" s="11">
        <v>46086</v>
      </c>
      <c r="B2751" t="s">
        <v>63</v>
      </c>
      <c r="C2751" t="s">
        <v>23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>E2751+G2751+H2751</f>
        <v>23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19</v>
      </c>
      <c r="K2751" s="3">
        <f>I2751-J2751</f>
        <v>4</v>
      </c>
      <c r="L2751" s="3" t="str">
        <f>IF(K2751&lt;-5,"CRÍTICO",IF(K2751&lt;0,"ATENÇÃO",IF(K2751&lt;=5,"OPORTUNO","MUITO BOM")))</f>
        <v>OPORTUNO</v>
      </c>
      <c r="M2751">
        <v>20</v>
      </c>
      <c r="N2751">
        <v>95.35</v>
      </c>
      <c r="O2751">
        <v>28.61538461538461</v>
      </c>
    </row>
    <row r="2752" spans="1:15" hidden="1" x14ac:dyDescent="0.25">
      <c r="A2752" s="11">
        <v>46086</v>
      </c>
      <c r="B2752" t="s">
        <v>45</v>
      </c>
      <c r="C2752" t="s">
        <v>32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>E2752+G2752+H2752</f>
        <v>36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28</v>
      </c>
      <c r="K2752" s="3">
        <f>I2752-J2752</f>
        <v>8</v>
      </c>
      <c r="L2752" s="3" t="str">
        <f>IF(K2752&lt;-5,"CRÍTICO",IF(K2752&lt;0,"ATENÇÃO",IF(K2752&lt;=5,"OPORTUNO","MUITO BOM")))</f>
        <v>MUITO BOM</v>
      </c>
      <c r="M2752">
        <v>32</v>
      </c>
      <c r="N2752">
        <v>98.26</v>
      </c>
      <c r="O2752">
        <v>27.54491017964072</v>
      </c>
    </row>
    <row r="2753" spans="1:15" hidden="1" x14ac:dyDescent="0.25">
      <c r="A2753" s="11">
        <v>46086</v>
      </c>
      <c r="B2753" t="s">
        <v>64</v>
      </c>
      <c r="C2753" t="s">
        <v>23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>E2753+G2753+H2753</f>
        <v>21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19</v>
      </c>
      <c r="K2753" s="3">
        <f>I2753-J2753</f>
        <v>2</v>
      </c>
      <c r="L2753" s="3" t="str">
        <f>IF(K2753&lt;-5,"CRÍTICO",IF(K2753&lt;0,"ATENÇÃO",IF(K2753&lt;=5,"OPORTUNO","MUITO BOM")))</f>
        <v>OPORTUNO</v>
      </c>
      <c r="M2753">
        <v>22</v>
      </c>
      <c r="N2753">
        <v>98.55</v>
      </c>
      <c r="O2753">
        <v>25.337837837837839</v>
      </c>
    </row>
    <row r="2754" spans="1:15" hidden="1" x14ac:dyDescent="0.25">
      <c r="A2754" s="11">
        <v>46086</v>
      </c>
      <c r="B2754" t="s">
        <v>46</v>
      </c>
      <c r="C2754" t="s">
        <v>32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>E2754+G2754+H2754</f>
        <v>27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28</v>
      </c>
      <c r="K2754" s="3">
        <f>I2754-J2754</f>
        <v>-1</v>
      </c>
      <c r="L2754" s="3" t="str">
        <f>IF(K2754&lt;-5,"CRÍTICO",IF(K2754&lt;0,"ATENÇÃO",IF(K2754&lt;=5,"OPORTUNO","MUITO BOM")))</f>
        <v>ATENÇÃO</v>
      </c>
      <c r="M2754">
        <v>27</v>
      </c>
      <c r="N2754">
        <v>98.39</v>
      </c>
      <c r="O2754">
        <v>25.563909774436091</v>
      </c>
    </row>
    <row r="2755" spans="1:15" hidden="1" x14ac:dyDescent="0.25">
      <c r="A2755" s="11">
        <v>46087</v>
      </c>
      <c r="B2755" t="s">
        <v>47</v>
      </c>
      <c r="C2755" t="s">
        <v>48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>E2755+G2755+H2755</f>
        <v>33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22</v>
      </c>
      <c r="K2755" s="3">
        <f>I2755-J2755</f>
        <v>11</v>
      </c>
      <c r="L2755" s="3" t="str">
        <f>IF(K2755&lt;-5,"CRÍTICO",IF(K2755&lt;0,"ATENÇÃO",IF(K2755&lt;=5,"OPORTUNO","MUITO BOM")))</f>
        <v>MUITO BOM</v>
      </c>
      <c r="M2755">
        <v>16</v>
      </c>
      <c r="N2755">
        <v>94.29</v>
      </c>
      <c r="O2755">
        <v>25.647668393782389</v>
      </c>
    </row>
    <row r="2756" spans="1:15" hidden="1" x14ac:dyDescent="0.25">
      <c r="A2756" s="11">
        <v>46087</v>
      </c>
      <c r="B2756" t="s">
        <v>31</v>
      </c>
      <c r="C2756" t="s">
        <v>32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v>0</v>
      </c>
      <c r="J2756" s="3">
        <v>0</v>
      </c>
      <c r="K2756" s="3">
        <v>0</v>
      </c>
      <c r="L2756" s="3" t="str">
        <f>IF(K2756&lt;-5,"CRÍTICO",IF(K2756&lt;0,"ATENÇÃO",IF(K2756&lt;=5,"OPORTUNO","MUITO BOM")))</f>
        <v>OPORTUNO</v>
      </c>
      <c r="M2756">
        <v>27</v>
      </c>
      <c r="N2756">
        <v>98.26</v>
      </c>
      <c r="O2756">
        <v>26.666666666666671</v>
      </c>
    </row>
    <row r="2757" spans="1:15" hidden="1" x14ac:dyDescent="0.25">
      <c r="A2757" s="11">
        <v>46087</v>
      </c>
      <c r="B2757" t="s">
        <v>59</v>
      </c>
      <c r="C2757" t="s">
        <v>23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>E2757+G2757+H2757</f>
        <v>21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18</v>
      </c>
      <c r="K2757" s="3">
        <f>I2757-J2757</f>
        <v>3</v>
      </c>
      <c r="L2757" s="3" t="str">
        <f>IF(K2757&lt;-5,"CRÍTICO",IF(K2757&lt;0,"ATENÇÃO",IF(K2757&lt;=5,"OPORTUNO","MUITO BOM")))</f>
        <v>OPORTUNO</v>
      </c>
      <c r="M2757">
        <v>22</v>
      </c>
      <c r="N2757">
        <v>98.2</v>
      </c>
      <c r="O2757">
        <v>23.37962962962963</v>
      </c>
    </row>
    <row r="2758" spans="1:15" hidden="1" x14ac:dyDescent="0.25">
      <c r="A2758" s="11">
        <v>46087</v>
      </c>
      <c r="B2758" t="s">
        <v>33</v>
      </c>
      <c r="C2758" t="s">
        <v>32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>E2758+G2758+H2758</f>
        <v>25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27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>
        <v>27</v>
      </c>
      <c r="N2758">
        <v>97.3</v>
      </c>
      <c r="O2758">
        <v>23.84769539078156</v>
      </c>
    </row>
    <row r="2759" spans="1:15" hidden="1" x14ac:dyDescent="0.25">
      <c r="A2759" s="11">
        <v>46087</v>
      </c>
      <c r="B2759" t="s">
        <v>15</v>
      </c>
      <c r="C2759" t="s">
        <v>16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>E2759+G2759+H2759</f>
        <v>6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8</v>
      </c>
      <c r="K2759" s="3">
        <f>I2759-J2759</f>
        <v>-2</v>
      </c>
      <c r="L2759" s="3" t="str">
        <f>IF(K2759&lt;-5,"CRÍTICO",IF(K2759&lt;0,"ATENÇÃO",IF(K2759&lt;=5,"OPORTUNO","MUITO BOM")))</f>
        <v>ATENÇÃO</v>
      </c>
      <c r="M2759">
        <v>5</v>
      </c>
      <c r="N2759">
        <v>100</v>
      </c>
      <c r="O2759">
        <v>25.268817204301079</v>
      </c>
    </row>
    <row r="2760" spans="1:15" hidden="1" x14ac:dyDescent="0.25">
      <c r="A2760" s="11">
        <v>46087</v>
      </c>
      <c r="B2760" t="s">
        <v>49</v>
      </c>
      <c r="C2760" t="s">
        <v>48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>E2760+G2760+H2760</f>
        <v>43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21</v>
      </c>
      <c r="L2760" s="3" t="str">
        <f>IF(K2760&lt;-5,"CRÍTICO",IF(K2760&lt;0,"ATENÇÃO",IF(K2760&lt;=5,"OPORTUNO","MUITO BOM")))</f>
        <v>MUITO BOM</v>
      </c>
      <c r="M2760">
        <v>42</v>
      </c>
      <c r="N2760">
        <v>99.32</v>
      </c>
      <c r="O2760">
        <v>22.822822822822818</v>
      </c>
    </row>
    <row r="2761" spans="1:15" hidden="1" x14ac:dyDescent="0.25">
      <c r="A2761" s="11">
        <v>46087</v>
      </c>
      <c r="B2761" t="s">
        <v>50</v>
      </c>
      <c r="C2761" t="s">
        <v>48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>E2761+G2761+H2761</f>
        <v>23</v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>22</v>
      </c>
      <c r="K2761" s="3">
        <f>I2761-J2761</f>
        <v>1</v>
      </c>
      <c r="L2761" s="3" t="str">
        <f>IF(K2761&lt;-5,"CRÍTICO",IF(K2761&lt;0,"ATENÇÃO",IF(K2761&lt;=5,"OPORTUNO","MUITO BOM")))</f>
        <v>OPORTUNO</v>
      </c>
      <c r="M2761">
        <v>24</v>
      </c>
      <c r="N2761">
        <v>100</v>
      </c>
      <c r="O2761">
        <v>27.966101694915249</v>
      </c>
    </row>
    <row r="2762" spans="1:15" hidden="1" x14ac:dyDescent="0.25">
      <c r="A2762" s="11">
        <v>46087</v>
      </c>
      <c r="B2762" t="s">
        <v>17</v>
      </c>
      <c r="C2762" t="s">
        <v>16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v>0</v>
      </c>
      <c r="J2762" s="3">
        <v>0</v>
      </c>
      <c r="K2762" s="3">
        <v>0</v>
      </c>
      <c r="L2762" s="3" t="str">
        <f>IF(K2762&lt;-5,"CRÍTICO",IF(K2762&lt;0,"ATENÇÃO",IF(K2762&lt;=5,"OPORTUNO","MUITO BOM")))</f>
        <v>OPORTUNO</v>
      </c>
      <c r="M2762">
        <v>0</v>
      </c>
      <c r="N2762">
        <v>100</v>
      </c>
      <c r="O2762">
        <v>30.434782608695659</v>
      </c>
    </row>
    <row r="2763" spans="1:15" hidden="1" x14ac:dyDescent="0.25">
      <c r="A2763" s="11">
        <v>46087</v>
      </c>
      <c r="B2763" t="s">
        <v>60</v>
      </c>
      <c r="C2763" t="s">
        <v>23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>E2763+G2763+H2763</f>
        <v>18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18</v>
      </c>
      <c r="K2763" s="3">
        <f>I2763-J2763</f>
        <v>0</v>
      </c>
      <c r="L2763" s="3" t="str">
        <f>IF(K2763&lt;-5,"CRÍTICO",IF(K2763&lt;0,"ATENÇÃO",IF(K2763&lt;=5,"OPORTUNO","MUITO BOM")))</f>
        <v>OPORTUNO</v>
      </c>
      <c r="M2763">
        <v>15</v>
      </c>
      <c r="N2763">
        <v>96.51</v>
      </c>
      <c r="O2763">
        <v>22.802850356294542</v>
      </c>
    </row>
    <row r="2764" spans="1:15" hidden="1" x14ac:dyDescent="0.25">
      <c r="A2764" s="11">
        <v>46087</v>
      </c>
      <c r="B2764" t="s">
        <v>34</v>
      </c>
      <c r="C2764" t="s">
        <v>32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>
        <v>0</v>
      </c>
      <c r="N2764">
        <v>92.68</v>
      </c>
      <c r="O2764">
        <v>27.777777777777779</v>
      </c>
    </row>
    <row r="2765" spans="1:15" hidden="1" x14ac:dyDescent="0.25">
      <c r="A2765" s="11">
        <v>46087</v>
      </c>
      <c r="B2765" t="s">
        <v>51</v>
      </c>
      <c r="C2765" t="s">
        <v>48</v>
      </c>
      <c r="D2765">
        <v>31</v>
      </c>
      <c r="E2765">
        <v>27</v>
      </c>
      <c r="F2765">
        <v>23.43</v>
      </c>
      <c r="G2765">
        <v>0</v>
      </c>
      <c r="H2765">
        <v>0</v>
      </c>
      <c r="I2765" s="3">
        <v>0</v>
      </c>
      <c r="J2765" s="3">
        <v>0</v>
      </c>
      <c r="K2765" s="3">
        <v>0</v>
      </c>
      <c r="L2765" s="3" t="str">
        <f>IF(K2765&lt;-5,"CRÍTICO",IF(K2765&lt;0,"ATENÇÃO",IF(K2765&lt;=5,"OPORTUNO","MUITO BOM")))</f>
        <v>OPORTUNO</v>
      </c>
      <c r="M2765">
        <v>27</v>
      </c>
      <c r="N2765">
        <v>99.03</v>
      </c>
      <c r="O2765">
        <v>23.991507430997881</v>
      </c>
    </row>
    <row r="2766" spans="1:15" hidden="1" x14ac:dyDescent="0.25">
      <c r="A2766" s="11">
        <v>46087</v>
      </c>
      <c r="B2766" t="s">
        <v>61</v>
      </c>
      <c r="C2766" t="s">
        <v>23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>E2766+G2766+H2766</f>
        <v>21</v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>18</v>
      </c>
      <c r="K2766" s="3">
        <f>I2766-J2766</f>
        <v>3</v>
      </c>
      <c r="L2766" s="3" t="str">
        <f>IF(K2766&lt;-5,"CRÍTICO",IF(K2766&lt;0,"ATENÇÃO",IF(K2766&lt;=5,"OPORTUNO","MUITO BOM")))</f>
        <v>OPORTUNO</v>
      </c>
      <c r="M2766">
        <v>17</v>
      </c>
      <c r="N2766">
        <v>98.41</v>
      </c>
      <c r="O2766">
        <v>28.138528138528141</v>
      </c>
    </row>
    <row r="2767" spans="1:15" hidden="1" x14ac:dyDescent="0.25">
      <c r="A2767" s="11">
        <v>46087</v>
      </c>
      <c r="B2767" t="s">
        <v>35</v>
      </c>
      <c r="C2767" t="s">
        <v>32</v>
      </c>
      <c r="D2767">
        <v>29</v>
      </c>
      <c r="E2767">
        <v>29</v>
      </c>
      <c r="F2767">
        <v>22.2</v>
      </c>
      <c r="G2767">
        <v>0</v>
      </c>
      <c r="H2767">
        <v>0</v>
      </c>
      <c r="I2767" s="3">
        <v>0</v>
      </c>
      <c r="J2767" s="3">
        <v>0</v>
      </c>
      <c r="K2767" s="3">
        <v>0</v>
      </c>
      <c r="L2767" s="3" t="str">
        <f>IF(K2767&lt;-5,"CRÍTICO",IF(K2767&lt;0,"ATENÇÃO",IF(K2767&lt;=5,"OPORTUNO","MUITO BOM")))</f>
        <v>OPORTUNO</v>
      </c>
      <c r="M2767">
        <v>29</v>
      </c>
      <c r="N2767">
        <v>98.73</v>
      </c>
      <c r="O2767">
        <v>29.142857142857139</v>
      </c>
    </row>
    <row r="2768" spans="1:15" hidden="1" x14ac:dyDescent="0.25">
      <c r="A2768" s="11">
        <v>46087</v>
      </c>
      <c r="B2768" t="s">
        <v>18</v>
      </c>
      <c r="C2768" t="s">
        <v>16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>E2768+G2768+H2768</f>
        <v>35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8</v>
      </c>
      <c r="K2768" s="3">
        <f>I2768-J2768</f>
        <v>27</v>
      </c>
      <c r="L2768" s="3" t="str">
        <f>IF(K2768&lt;-5,"CRÍTICO",IF(K2768&lt;0,"ATENÇÃO",IF(K2768&lt;=5,"OPORTUNO","MUITO BOM")))</f>
        <v>MUITO BOM</v>
      </c>
      <c r="M2768">
        <v>5</v>
      </c>
      <c r="N2768">
        <v>90.48</v>
      </c>
      <c r="O2768">
        <v>20.68965517241379</v>
      </c>
    </row>
    <row r="2769" spans="1:15" hidden="1" x14ac:dyDescent="0.25">
      <c r="A2769" s="11">
        <v>46087</v>
      </c>
      <c r="B2769" t="s">
        <v>52</v>
      </c>
      <c r="C2769" t="s">
        <v>48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>E2769+G2769+H2769</f>
        <v>26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22</v>
      </c>
      <c r="K2769" s="3">
        <f>I2769-J2769</f>
        <v>4</v>
      </c>
      <c r="L2769" s="3" t="str">
        <f>IF(K2769&lt;-5,"CRÍTICO",IF(K2769&lt;0,"ATENÇÃO",IF(K2769&lt;=5,"OPORTUNO","MUITO BOM")))</f>
        <v>OPORTUNO</v>
      </c>
      <c r="M2769">
        <v>22</v>
      </c>
      <c r="N2769">
        <v>98.06</v>
      </c>
      <c r="O2769">
        <v>24.789915966386559</v>
      </c>
    </row>
    <row r="2770" spans="1:15" hidden="1" x14ac:dyDescent="0.25">
      <c r="A2770" s="11">
        <v>46087</v>
      </c>
      <c r="B2770" t="s">
        <v>36</v>
      </c>
      <c r="C2770" t="s">
        <v>32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>E2770+G2770+H2770</f>
        <v>19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27</v>
      </c>
      <c r="K2770" s="3">
        <f>I2770-J2770</f>
        <v>-8</v>
      </c>
      <c r="L2770" s="3" t="str">
        <f>IF(K2770&lt;-5,"CRÍTICO",IF(K2770&lt;0,"ATENÇÃO",IF(K2770&lt;=5,"OPORTUNO","MUITO BOM")))</f>
        <v>CRÍTICO</v>
      </c>
      <c r="M2770">
        <v>21</v>
      </c>
      <c r="N2770">
        <v>97.78</v>
      </c>
      <c r="O2770">
        <v>25.494071146245059</v>
      </c>
    </row>
    <row r="2771" spans="1:15" hidden="1" x14ac:dyDescent="0.25">
      <c r="A2771" s="11">
        <v>46087</v>
      </c>
      <c r="B2771" t="s">
        <v>53</v>
      </c>
      <c r="C2771" t="s">
        <v>48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>E2771+G2771+H2771</f>
        <v>26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22</v>
      </c>
      <c r="K2771" s="3">
        <f>I2771-J2771</f>
        <v>4</v>
      </c>
      <c r="L2771" s="3" t="str">
        <f>IF(K2771&lt;-5,"CRÍTICO",IF(K2771&lt;0,"ATENÇÃO",IF(K2771&lt;=5,"OPORTUNO","MUITO BOM")))</f>
        <v>OPORTUNO</v>
      </c>
      <c r="M2771">
        <v>27</v>
      </c>
      <c r="N2771">
        <v>98.02</v>
      </c>
      <c r="O2771">
        <v>23.484848484848481</v>
      </c>
    </row>
    <row r="2772" spans="1:15" hidden="1" x14ac:dyDescent="0.25">
      <c r="A2772" s="11">
        <v>46121</v>
      </c>
      <c r="B2772" t="s">
        <v>22</v>
      </c>
      <c r="C2772" t="s">
        <v>23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>E2772+G2772+H2772</f>
        <v>25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17</v>
      </c>
      <c r="K2772" s="3">
        <f>I2772-J2772</f>
        <v>8</v>
      </c>
      <c r="L2772" s="3" t="str">
        <f>IF(K2772&lt;-5,"CRÍTICO",IF(K2772&lt;0,"ATENÇÃO",IF(K2772&lt;=5,"OPORTUNO","MUITO BOM")))</f>
        <v>MUITO BOM</v>
      </c>
      <c r="M2772">
        <v>22</v>
      </c>
      <c r="N2772">
        <v>99.28</v>
      </c>
      <c r="O2772">
        <v>27.689243027888441</v>
      </c>
    </row>
    <row r="2773" spans="1:15" hidden="1" x14ac:dyDescent="0.25">
      <c r="A2773" s="11">
        <v>46087</v>
      </c>
      <c r="B2773" t="s">
        <v>54</v>
      </c>
      <c r="C2773" t="s">
        <v>48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>E2773+G2773+H2773</f>
        <v>29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22</v>
      </c>
      <c r="K2773" s="3">
        <f>I2773-J2773</f>
        <v>7</v>
      </c>
      <c r="L2773" s="3" t="str">
        <f>IF(K2773&lt;-5,"CRÍTICO",IF(K2773&lt;0,"ATENÇÃO",IF(K2773&lt;=5,"OPORTUNO","MUITO BOM")))</f>
        <v>MUITO BOM</v>
      </c>
      <c r="M2773">
        <v>26</v>
      </c>
      <c r="N2773">
        <v>100</v>
      </c>
      <c r="O2773">
        <v>27.04918032786885</v>
      </c>
    </row>
    <row r="2774" spans="1:15" hidden="1" x14ac:dyDescent="0.25">
      <c r="A2774" s="11">
        <v>46087</v>
      </c>
      <c r="B2774" t="s">
        <v>37</v>
      </c>
      <c r="C2774" t="s">
        <v>32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>E2774+G2774+H2774</f>
        <v>46</v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>27</v>
      </c>
      <c r="K2774" s="3">
        <f>I2774-J2774</f>
        <v>19</v>
      </c>
      <c r="L2774" s="3" t="str">
        <f>IF(K2774&lt;-5,"CRÍTICO",IF(K2774&lt;0,"ATENÇÃO",IF(K2774&lt;=5,"OPORTUNO","MUITO BOM")))</f>
        <v>MUITO BOM</v>
      </c>
      <c r="M2774">
        <v>48</v>
      </c>
      <c r="N2774">
        <v>97.83</v>
      </c>
      <c r="O2774">
        <v>26.315789473684209</v>
      </c>
    </row>
    <row r="2775" spans="1:15" hidden="1" x14ac:dyDescent="0.25">
      <c r="A2775" s="11">
        <v>46087</v>
      </c>
      <c r="B2775" t="s">
        <v>38</v>
      </c>
      <c r="C2775" t="s">
        <v>32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v>0</v>
      </c>
      <c r="J2775" s="3">
        <v>0</v>
      </c>
      <c r="K2775" s="3">
        <v>0</v>
      </c>
      <c r="L2775" s="3" t="str">
        <f>IF(K2775&lt;-5,"CRÍTICO",IF(K2775&lt;0,"ATENÇÃO",IF(K2775&lt;=5,"OPORTUNO","MUITO BOM")))</f>
        <v>OPORTUNO</v>
      </c>
      <c r="M2775">
        <v>6</v>
      </c>
      <c r="N2775">
        <v>100</v>
      </c>
      <c r="O2775">
        <v>26.701570680628269</v>
      </c>
    </row>
    <row r="2776" spans="1:15" hidden="1" x14ac:dyDescent="0.25">
      <c r="A2776" s="11">
        <v>46087</v>
      </c>
      <c r="B2776" t="s">
        <v>55</v>
      </c>
      <c r="C2776" t="s">
        <v>48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>E2776+G2776+H2776</f>
        <v>34</v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>22</v>
      </c>
      <c r="K2776" s="3">
        <f>I2776-J2776</f>
        <v>12</v>
      </c>
      <c r="L2776" s="3" t="str">
        <f>IF(K2776&lt;-5,"CRÍTICO",IF(K2776&lt;0,"ATENÇÃO",IF(K2776&lt;=5,"OPORTUNO","MUITO BOM")))</f>
        <v>MUITO BOM</v>
      </c>
      <c r="M2776">
        <v>29</v>
      </c>
      <c r="N2776">
        <v>97.47</v>
      </c>
      <c r="O2776">
        <v>22.887323943661968</v>
      </c>
    </row>
    <row r="2777" spans="1:15" hidden="1" x14ac:dyDescent="0.25">
      <c r="A2777" s="11">
        <v>46087</v>
      </c>
      <c r="B2777" t="s">
        <v>39</v>
      </c>
      <c r="C2777" t="s">
        <v>32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v>0</v>
      </c>
      <c r="J2777" s="3">
        <v>0</v>
      </c>
      <c r="K2777" s="3">
        <v>0</v>
      </c>
      <c r="L2777" s="3" t="str">
        <f>IF(K2777&lt;-5,"CRÍTICO",IF(K2777&lt;0,"ATENÇÃO",IF(K2777&lt;=5,"OPORTUNO","MUITO BOM")))</f>
        <v>OPORTUNO</v>
      </c>
      <c r="M2777">
        <v>0</v>
      </c>
      <c r="N2777">
        <v>0</v>
      </c>
      <c r="O2777">
        <v>0</v>
      </c>
    </row>
    <row r="2778" spans="1:15" hidden="1" x14ac:dyDescent="0.25">
      <c r="A2778" s="11">
        <v>46087</v>
      </c>
      <c r="B2778" t="s">
        <v>25</v>
      </c>
      <c r="C2778" t="s">
        <v>26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>E2778+G2778+H2778</f>
        <v>23</v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>16</v>
      </c>
      <c r="K2778" s="3">
        <f>I2778-J2778</f>
        <v>7</v>
      </c>
      <c r="L2778" s="3" t="str">
        <f>IF(K2778&lt;-5,"CRÍTICO",IF(K2778&lt;0,"ATENÇÃO",IF(K2778&lt;=5,"OPORTUNO","MUITO BOM")))</f>
        <v>MUITO BOM</v>
      </c>
      <c r="M2778">
        <v>22</v>
      </c>
      <c r="N2778">
        <v>98.31</v>
      </c>
      <c r="O2778">
        <v>24.920127795527151</v>
      </c>
    </row>
    <row r="2779" spans="1:15" hidden="1" x14ac:dyDescent="0.25">
      <c r="A2779" s="11">
        <v>46087</v>
      </c>
      <c r="B2779" t="s">
        <v>40</v>
      </c>
      <c r="C2779" t="s">
        <v>32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v>0</v>
      </c>
      <c r="J2779" s="3">
        <v>0</v>
      </c>
      <c r="K2779" s="3">
        <v>0</v>
      </c>
      <c r="L2779" s="3" t="str">
        <f>IF(K2779&lt;-5,"CRÍTICO",IF(K2779&lt;0,"ATENÇÃO",IF(K2779&lt;=5,"OPORTUNO","MUITO BOM")))</f>
        <v>OPORTUNO</v>
      </c>
      <c r="M2779">
        <v>9</v>
      </c>
      <c r="N2779">
        <v>96.81</v>
      </c>
      <c r="O2779">
        <v>32.365145228215773</v>
      </c>
    </row>
    <row r="2780" spans="1:15" hidden="1" x14ac:dyDescent="0.25">
      <c r="A2780" s="11">
        <v>46087</v>
      </c>
      <c r="B2780" t="s">
        <v>27</v>
      </c>
      <c r="C2780" t="s">
        <v>26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>E2780+G2780+H2780</f>
        <v>9</v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>16</v>
      </c>
      <c r="K2780" s="3">
        <f>I2780-J2780</f>
        <v>-7</v>
      </c>
      <c r="L2780" s="3" t="str">
        <f>IF(K2780&lt;-5,"CRÍTICO",IF(K2780&lt;0,"ATENÇÃO",IF(K2780&lt;=5,"OPORTUNO","MUITO BOM")))</f>
        <v>CRÍTICO</v>
      </c>
      <c r="M2780">
        <v>9</v>
      </c>
      <c r="N2780">
        <v>100</v>
      </c>
      <c r="O2780">
        <v>26.47058823529412</v>
      </c>
    </row>
    <row r="2781" spans="1:15" hidden="1" x14ac:dyDescent="0.25">
      <c r="A2781" s="11">
        <v>46087</v>
      </c>
      <c r="B2781" t="s">
        <v>41</v>
      </c>
      <c r="C2781" t="s">
        <v>32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v>0</v>
      </c>
      <c r="J2781" s="3">
        <v>0</v>
      </c>
      <c r="K2781" s="3">
        <v>0</v>
      </c>
      <c r="L2781" s="3" t="str">
        <f>IF(K2781&lt;-5,"CRÍTICO",IF(K2781&lt;0,"ATENÇÃO",IF(K2781&lt;=5,"OPORTUNO","MUITO BOM")))</f>
        <v>OPORTUNO</v>
      </c>
      <c r="M2781">
        <v>5</v>
      </c>
      <c r="N2781">
        <v>100</v>
      </c>
      <c r="O2781">
        <v>28.490028490028489</v>
      </c>
    </row>
    <row r="2782" spans="1:15" hidden="1" x14ac:dyDescent="0.25">
      <c r="A2782" s="11">
        <v>46087</v>
      </c>
      <c r="B2782" t="s">
        <v>56</v>
      </c>
      <c r="C2782" t="s">
        <v>48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>E2782+G2782+H2782</f>
        <v>29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22</v>
      </c>
      <c r="K2782" s="3">
        <f>I2782-J2782</f>
        <v>7</v>
      </c>
      <c r="L2782" s="3" t="str">
        <f>IF(K2782&lt;-5,"CRÍTICO",IF(K2782&lt;0,"ATENÇÃO",IF(K2782&lt;=5,"OPORTUNO","MUITO BOM")))</f>
        <v>MUITO BOM</v>
      </c>
      <c r="M2782">
        <v>19</v>
      </c>
      <c r="N2782">
        <v>99.14</v>
      </c>
      <c r="O2782">
        <v>27.2289156626506</v>
      </c>
    </row>
    <row r="2783" spans="1:15" hidden="1" x14ac:dyDescent="0.25">
      <c r="A2783" s="11">
        <v>46087</v>
      </c>
      <c r="B2783" t="s">
        <v>57</v>
      </c>
      <c r="C2783" t="s">
        <v>48</v>
      </c>
      <c r="D2783">
        <v>29</v>
      </c>
      <c r="E2783">
        <v>26</v>
      </c>
      <c r="F2783">
        <v>20.02</v>
      </c>
      <c r="G2783">
        <v>0</v>
      </c>
      <c r="H2783">
        <v>0</v>
      </c>
      <c r="I2783" s="3">
        <v>0</v>
      </c>
      <c r="J2783" s="3">
        <v>0</v>
      </c>
      <c r="K2783" s="3">
        <v>0</v>
      </c>
      <c r="L2783" s="3" t="str">
        <f>IF(K2783&lt;-5,"CRÍTICO",IF(K2783&lt;0,"ATENÇÃO",IF(K2783&lt;=5,"OPORTUNO","MUITO BOM")))</f>
        <v>OPORTUNO</v>
      </c>
      <c r="M2783">
        <v>25</v>
      </c>
      <c r="N2783">
        <v>97.52</v>
      </c>
      <c r="O2783">
        <v>28.205128205128201</v>
      </c>
    </row>
    <row r="2784" spans="1:15" hidden="1" x14ac:dyDescent="0.25">
      <c r="A2784" s="11">
        <v>46087</v>
      </c>
      <c r="B2784" t="s">
        <v>42</v>
      </c>
      <c r="C2784" t="s">
        <v>32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>E2784+G2784+H2784</f>
        <v>32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27</v>
      </c>
      <c r="K2784" s="3">
        <f>I2784-J2784</f>
        <v>5</v>
      </c>
      <c r="L2784" s="3" t="str">
        <f>IF(K2784&lt;-5,"CRÍTICO",IF(K2784&lt;0,"ATENÇÃO",IF(K2784&lt;=5,"OPORTUNO","MUITO BOM")))</f>
        <v>OPORTUNO</v>
      </c>
      <c r="M2784">
        <v>19</v>
      </c>
      <c r="N2784">
        <v>90</v>
      </c>
      <c r="O2784">
        <v>24.186046511627911</v>
      </c>
    </row>
    <row r="2785" spans="1:15" hidden="1" x14ac:dyDescent="0.25">
      <c r="A2785" s="11">
        <v>46087</v>
      </c>
      <c r="B2785" t="s">
        <v>62</v>
      </c>
      <c r="C2785" t="s">
        <v>23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>E2785+G2785+H2785</f>
        <v>20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18</v>
      </c>
      <c r="K2785" s="3">
        <f>I2785-J2785</f>
        <v>2</v>
      </c>
      <c r="L2785" s="3" t="str">
        <f>IF(K2785&lt;-5,"CRÍTICO",IF(K2785&lt;0,"ATENÇÃO",IF(K2785&lt;=5,"OPORTUNO","MUITO BOM")))</f>
        <v>OPORTUNO</v>
      </c>
      <c r="M2785">
        <v>20</v>
      </c>
      <c r="N2785">
        <v>98.9</v>
      </c>
      <c r="O2785">
        <v>26.763990267639901</v>
      </c>
    </row>
    <row r="2786" spans="1:15" hidden="1" x14ac:dyDescent="0.25">
      <c r="A2786" s="11">
        <v>46087</v>
      </c>
      <c r="B2786" t="s">
        <v>19</v>
      </c>
      <c r="C2786" t="s">
        <v>16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>E2786+G2786+H2786</f>
        <v>28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8</v>
      </c>
      <c r="K2786" s="3">
        <f>I2786-J2786</f>
        <v>20</v>
      </c>
      <c r="L2786" s="3" t="str">
        <f>IF(K2786&lt;-5,"CRÍTICO",IF(K2786&lt;0,"ATENÇÃO",IF(K2786&lt;=5,"OPORTUNO","MUITO BOM")))</f>
        <v>MUITO BOM</v>
      </c>
      <c r="M2786">
        <v>1</v>
      </c>
      <c r="N2786">
        <v>88.89</v>
      </c>
      <c r="O2786">
        <v>25.263157894736839</v>
      </c>
    </row>
    <row r="2787" spans="1:15" hidden="1" x14ac:dyDescent="0.25">
      <c r="A2787" s="11">
        <v>46087</v>
      </c>
      <c r="B2787" t="s">
        <v>43</v>
      </c>
      <c r="C2787" t="s">
        <v>32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>E2787+G2787+H2787</f>
        <v>10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-17</v>
      </c>
      <c r="L2787" s="3" t="str">
        <f>IF(K2787&lt;-5,"CRÍTICO",IF(K2787&lt;0,"ATENÇÃO",IF(K2787&lt;=5,"OPORTUNO","MUITO BOM")))</f>
        <v>CRÍTICO</v>
      </c>
      <c r="M2787">
        <v>48</v>
      </c>
      <c r="N2787">
        <v>98.86</v>
      </c>
      <c r="O2787">
        <v>28.959276018099551</v>
      </c>
    </row>
    <row r="2788" spans="1:15" hidden="1" x14ac:dyDescent="0.25">
      <c r="A2788" s="11">
        <v>46087</v>
      </c>
      <c r="B2788" t="s">
        <v>44</v>
      </c>
      <c r="C2788" t="s">
        <v>32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>E2788+G2788+H2788</f>
        <v>29</v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>27</v>
      </c>
      <c r="K2788" s="3">
        <f>I2788-J2788</f>
        <v>2</v>
      </c>
      <c r="L2788" s="3" t="str">
        <f>IF(K2788&lt;-5,"CRÍTICO",IF(K2788&lt;0,"ATENÇÃO",IF(K2788&lt;=5,"OPORTUNO","MUITO BOM")))</f>
        <v>OPORTUNO</v>
      </c>
      <c r="M2788">
        <v>26</v>
      </c>
      <c r="N2788">
        <v>98.06</v>
      </c>
      <c r="O2788">
        <v>22.40566037735849</v>
      </c>
    </row>
    <row r="2789" spans="1:15" hidden="1" x14ac:dyDescent="0.25">
      <c r="A2789" s="11">
        <v>46087</v>
      </c>
      <c r="B2789" t="s">
        <v>20</v>
      </c>
      <c r="C2789" t="s">
        <v>16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>E2789+G2789+H2789</f>
        <v>4</v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>8</v>
      </c>
      <c r="K2789" s="3">
        <f>I2789-J2789</f>
        <v>-4</v>
      </c>
      <c r="L2789" s="3" t="str">
        <f>IF(K2789&lt;-5,"CRÍTICO",IF(K2789&lt;0,"ATENÇÃO",IF(K2789&lt;=5,"OPORTUNO","MUITO BOM")))</f>
        <v>ATENÇÃO</v>
      </c>
      <c r="M2789">
        <v>2</v>
      </c>
      <c r="N2789">
        <v>95.83</v>
      </c>
      <c r="O2789">
        <v>25.773195876288661</v>
      </c>
    </row>
    <row r="2790" spans="1:15" hidden="1" x14ac:dyDescent="0.25">
      <c r="A2790" s="11">
        <v>46087</v>
      </c>
      <c r="B2790" t="s">
        <v>28</v>
      </c>
      <c r="C2790" t="s">
        <v>26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v>0</v>
      </c>
      <c r="J2790" s="3">
        <v>0</v>
      </c>
      <c r="K2790" s="3">
        <v>0</v>
      </c>
      <c r="L2790" s="3" t="str">
        <f>IF(K2790&lt;-5,"CRÍTICO",IF(K2790&lt;0,"ATENÇÃO",IF(K2790&lt;=5,"OPORTUNO","MUITO BOM")))</f>
        <v>OPORTUNO</v>
      </c>
      <c r="M2790">
        <v>0</v>
      </c>
      <c r="N2790">
        <v>100</v>
      </c>
      <c r="O2790">
        <v>15.38461538461539</v>
      </c>
    </row>
    <row r="2791" spans="1:15" hidden="1" x14ac:dyDescent="0.25">
      <c r="A2791" s="11">
        <v>46087</v>
      </c>
      <c r="B2791" t="s">
        <v>58</v>
      </c>
      <c r="C2791" t="s">
        <v>48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>E2791+G2791+H2791</f>
        <v>30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22</v>
      </c>
      <c r="K2791" s="3">
        <f>I2791-J2791</f>
        <v>8</v>
      </c>
      <c r="L2791" s="3" t="str">
        <f>IF(K2791&lt;-5,"CRÍTICO",IF(K2791&lt;0,"ATENÇÃO",IF(K2791&lt;=5,"OPORTUNO","MUITO BOM")))</f>
        <v>MUITO BOM</v>
      </c>
      <c r="M2791">
        <v>26</v>
      </c>
      <c r="N2791">
        <v>100</v>
      </c>
      <c r="O2791">
        <v>27.514792899408281</v>
      </c>
    </row>
    <row r="2792" spans="1:15" hidden="1" x14ac:dyDescent="0.25">
      <c r="A2792" s="11">
        <v>46087</v>
      </c>
      <c r="B2792" t="s">
        <v>29</v>
      </c>
      <c r="C2792" t="s">
        <v>26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>E2792+G2792+H2792</f>
        <v>15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-1</v>
      </c>
      <c r="L2792" s="3" t="str">
        <f>IF(K2792&lt;-5,"CRÍTICO",IF(K2792&lt;0,"ATENÇÃO",IF(K2792&lt;=5,"OPORTUNO","MUITO BOM")))</f>
        <v>ATENÇÃO</v>
      </c>
      <c r="M2792">
        <v>14</v>
      </c>
      <c r="N2792">
        <v>100</v>
      </c>
      <c r="O2792">
        <v>24.875621890547269</v>
      </c>
    </row>
    <row r="2793" spans="1:15" hidden="1" x14ac:dyDescent="0.25">
      <c r="A2793" s="11">
        <v>46087</v>
      </c>
      <c r="B2793" t="s">
        <v>30</v>
      </c>
      <c r="C2793" t="s">
        <v>26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>E2793+G2793+H2793</f>
        <v>8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16</v>
      </c>
      <c r="K2793" s="3">
        <f>I2793-J2793</f>
        <v>-8</v>
      </c>
      <c r="L2793" s="3" t="str">
        <f>IF(K2793&lt;-5,"CRÍTICO",IF(K2793&lt;0,"ATENÇÃO",IF(K2793&lt;=5,"OPORTUNO","MUITO BOM")))</f>
        <v>CRÍTICO</v>
      </c>
      <c r="M2793">
        <v>4</v>
      </c>
      <c r="N2793">
        <v>100</v>
      </c>
      <c r="O2793">
        <v>28.108108108108109</v>
      </c>
    </row>
    <row r="2794" spans="1:15" hidden="1" x14ac:dyDescent="0.25">
      <c r="A2794" s="11">
        <v>46087</v>
      </c>
      <c r="B2794" t="s">
        <v>21</v>
      </c>
      <c r="C2794" t="s">
        <v>16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v>0</v>
      </c>
      <c r="J2794" s="3">
        <v>0</v>
      </c>
      <c r="K2794" s="3">
        <v>0</v>
      </c>
      <c r="L2794" s="3" t="str">
        <f>IF(K2794&lt;-5,"CRÍTICO",IF(K2794&lt;0,"ATENÇÃO",IF(K2794&lt;=5,"OPORTUNO","MUITO BOM")))</f>
        <v>OPORTUNO</v>
      </c>
      <c r="M2794">
        <v>0</v>
      </c>
      <c r="N2794">
        <v>100</v>
      </c>
      <c r="O2794">
        <v>35</v>
      </c>
    </row>
    <row r="2795" spans="1:15" hidden="1" x14ac:dyDescent="0.25">
      <c r="A2795" s="11">
        <v>46087</v>
      </c>
      <c r="B2795" t="s">
        <v>63</v>
      </c>
      <c r="C2795" t="s">
        <v>23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>E2795+G2795+H2795</f>
        <v>18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18</v>
      </c>
      <c r="K2795" s="3">
        <f>I2795-J2795</f>
        <v>0</v>
      </c>
      <c r="L2795" s="3" t="str">
        <f>IF(K2795&lt;-5,"CRÍTICO",IF(K2795&lt;0,"ATENÇÃO",IF(K2795&lt;=5,"OPORTUNO","MUITO BOM")))</f>
        <v>OPORTUNO</v>
      </c>
      <c r="M2795">
        <v>14</v>
      </c>
      <c r="N2795">
        <v>95.35</v>
      </c>
      <c r="O2795">
        <v>28.61538461538461</v>
      </c>
    </row>
    <row r="2796" spans="1:15" hidden="1" x14ac:dyDescent="0.25">
      <c r="A2796" s="11">
        <v>46087</v>
      </c>
      <c r="B2796" t="s">
        <v>45</v>
      </c>
      <c r="C2796" t="s">
        <v>32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>E2796+G2796+H2796</f>
        <v>42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27</v>
      </c>
      <c r="K2796" s="3">
        <f>I2796-J2796</f>
        <v>15</v>
      </c>
      <c r="L2796" s="3" t="str">
        <f>IF(K2796&lt;-5,"CRÍTICO",IF(K2796&lt;0,"ATENÇÃO",IF(K2796&lt;=5,"OPORTUNO","MUITO BOM")))</f>
        <v>MUITO BOM</v>
      </c>
      <c r="M2796">
        <v>39</v>
      </c>
      <c r="N2796">
        <v>98.26</v>
      </c>
      <c r="O2796">
        <v>27.54491017964072</v>
      </c>
    </row>
    <row r="2797" spans="1:15" hidden="1" x14ac:dyDescent="0.25">
      <c r="A2797" s="11">
        <v>46087</v>
      </c>
      <c r="B2797" t="s">
        <v>64</v>
      </c>
      <c r="C2797" t="s">
        <v>23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>E2797+G2797+H2797</f>
        <v>14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18</v>
      </c>
      <c r="K2797" s="3">
        <f>I2797-J2797</f>
        <v>-4</v>
      </c>
      <c r="L2797" s="3" t="str">
        <f>IF(K2797&lt;-5,"CRÍTICO",IF(K2797&lt;0,"ATENÇÃO",IF(K2797&lt;=5,"OPORTUNO","MUITO BOM")))</f>
        <v>ATENÇÃO</v>
      </c>
      <c r="M2797">
        <v>13</v>
      </c>
      <c r="N2797">
        <v>98.55</v>
      </c>
      <c r="O2797">
        <v>25.337837837837839</v>
      </c>
    </row>
    <row r="2798" spans="1:15" hidden="1" x14ac:dyDescent="0.25">
      <c r="A2798" s="11">
        <v>46087</v>
      </c>
      <c r="B2798" t="s">
        <v>46</v>
      </c>
      <c r="C2798" t="s">
        <v>32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>E2798+G2798+H2798</f>
        <v>37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27</v>
      </c>
      <c r="K2798" s="3">
        <f>I2798-J2798</f>
        <v>10</v>
      </c>
      <c r="L2798" s="3" t="str">
        <f>IF(K2798&lt;-5,"CRÍTICO",IF(K2798&lt;0,"ATENÇÃO",IF(K2798&lt;=5,"OPORTUNO","MUITO BOM")))</f>
        <v>MUITO BOM</v>
      </c>
      <c r="M2798">
        <v>29</v>
      </c>
      <c r="N2798">
        <v>98.39</v>
      </c>
      <c r="O2798">
        <v>25.563909774436091</v>
      </c>
    </row>
    <row r="2799" spans="1:15" hidden="1" x14ac:dyDescent="0.25">
      <c r="A2799" s="11">
        <v>46090</v>
      </c>
      <c r="B2799" t="s">
        <v>47</v>
      </c>
      <c r="C2799" t="s">
        <v>48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>E2799+G2799+H2799</f>
        <v>20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17</v>
      </c>
      <c r="K2799" s="3">
        <f>I2799-J2799</f>
        <v>3</v>
      </c>
      <c r="L2799" s="3" t="str">
        <f>IF(K2799&lt;-5,"CRÍTICO",IF(K2799&lt;0,"ATENÇÃO",IF(K2799&lt;=5,"OPORTUNO","MUITO BOM")))</f>
        <v>OPORTUNO</v>
      </c>
      <c r="M2799">
        <v>18</v>
      </c>
      <c r="N2799">
        <v>94.29</v>
      </c>
      <c r="O2799">
        <v>25.647668393782389</v>
      </c>
    </row>
    <row r="2800" spans="1:15" hidden="1" x14ac:dyDescent="0.25">
      <c r="A2800" s="11">
        <v>46090</v>
      </c>
      <c r="B2800" t="s">
        <v>31</v>
      </c>
      <c r="C2800" t="s">
        <v>32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v>0</v>
      </c>
      <c r="J2800" s="3">
        <v>0</v>
      </c>
      <c r="K2800" s="3">
        <v>0</v>
      </c>
      <c r="L2800" s="3" t="str">
        <f>IF(K2800&lt;-5,"CRÍTICO",IF(K2800&lt;0,"ATENÇÃO",IF(K2800&lt;=5,"OPORTUNO","MUITO BOM")))</f>
        <v>OPORTUNO</v>
      </c>
      <c r="M2800">
        <v>24</v>
      </c>
      <c r="N2800">
        <v>98.26</v>
      </c>
      <c r="O2800">
        <v>26.666666666666671</v>
      </c>
    </row>
    <row r="2801" spans="1:15" hidden="1" x14ac:dyDescent="0.25">
      <c r="A2801" s="11">
        <v>46090</v>
      </c>
      <c r="B2801" t="s">
        <v>59</v>
      </c>
      <c r="C2801" t="s">
        <v>23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>E2801+G2801+H2801</f>
        <v>19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14</v>
      </c>
      <c r="K2801" s="3">
        <f>I2801-J2801</f>
        <v>5</v>
      </c>
      <c r="L2801" s="3" t="str">
        <f>IF(K2801&lt;-5,"CRÍTICO",IF(K2801&lt;0,"ATENÇÃO",IF(K2801&lt;=5,"OPORTUNO","MUITO BOM")))</f>
        <v>OPORTUNO</v>
      </c>
      <c r="M2801">
        <v>18</v>
      </c>
      <c r="N2801">
        <v>98.2</v>
      </c>
      <c r="O2801">
        <v>23.37962962962963</v>
      </c>
    </row>
    <row r="2802" spans="1:15" hidden="1" x14ac:dyDescent="0.25">
      <c r="A2802" s="11">
        <v>46090</v>
      </c>
      <c r="B2802" t="s">
        <v>33</v>
      </c>
      <c r="C2802" t="s">
        <v>32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>E2802+G2802+H2802</f>
        <v>23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21</v>
      </c>
      <c r="K2802" s="3">
        <f>I2802-J2802</f>
        <v>2</v>
      </c>
      <c r="L2802" s="3" t="str">
        <f>IF(K2802&lt;-5,"CRÍTICO",IF(K2802&lt;0,"ATENÇÃO",IF(K2802&lt;=5,"OPORTUNO","MUITO BOM")))</f>
        <v>OPORTUNO</v>
      </c>
      <c r="M2802">
        <v>19</v>
      </c>
      <c r="N2802">
        <v>97.3</v>
      </c>
      <c r="O2802">
        <v>23.84769539078156</v>
      </c>
    </row>
    <row r="2803" spans="1:15" hidden="1" x14ac:dyDescent="0.25">
      <c r="A2803" s="11">
        <v>46090</v>
      </c>
      <c r="B2803" t="s">
        <v>15</v>
      </c>
      <c r="C2803" t="s">
        <v>16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>E2803+G2803+H2803</f>
        <v>9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6</v>
      </c>
      <c r="K2803" s="3">
        <f>I2803-J2803</f>
        <v>3</v>
      </c>
      <c r="L2803" s="3" t="str">
        <f>IF(K2803&lt;-5,"CRÍTICO",IF(K2803&lt;0,"ATENÇÃO",IF(K2803&lt;=5,"OPORTUNO","MUITO BOM")))</f>
        <v>OPORTUNO</v>
      </c>
      <c r="M2803">
        <v>8</v>
      </c>
      <c r="N2803">
        <v>100</v>
      </c>
      <c r="O2803">
        <v>25.268817204301079</v>
      </c>
    </row>
    <row r="2804" spans="1:15" hidden="1" x14ac:dyDescent="0.25">
      <c r="A2804" s="11">
        <v>46090</v>
      </c>
      <c r="B2804" t="s">
        <v>49</v>
      </c>
      <c r="C2804" t="s">
        <v>48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>E2804+G2804+H2804</f>
        <v>36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19</v>
      </c>
      <c r="L2804" s="3" t="str">
        <f>IF(K2804&lt;-5,"CRÍTICO",IF(K2804&lt;0,"ATENÇÃO",IF(K2804&lt;=5,"OPORTUNO","MUITO BOM")))</f>
        <v>MUITO BOM</v>
      </c>
      <c r="M2804">
        <v>36</v>
      </c>
      <c r="N2804">
        <v>99.32</v>
      </c>
      <c r="O2804">
        <v>22.822822822822818</v>
      </c>
    </row>
    <row r="2805" spans="1:15" hidden="1" x14ac:dyDescent="0.25">
      <c r="A2805" s="11">
        <v>46090</v>
      </c>
      <c r="B2805" t="s">
        <v>50</v>
      </c>
      <c r="C2805" t="s">
        <v>48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>E2805+G2805+H2805</f>
        <v>7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17</v>
      </c>
      <c r="K2805" s="3">
        <f>I2805-J2805</f>
        <v>-10</v>
      </c>
      <c r="L2805" s="3" t="str">
        <f>IF(K2805&lt;-5,"CRÍTICO",IF(K2805&lt;0,"ATENÇÃO",IF(K2805&lt;=5,"OPORTUNO","MUITO BOM")))</f>
        <v>CRÍTICO</v>
      </c>
      <c r="M2805">
        <v>9</v>
      </c>
      <c r="N2805">
        <v>100</v>
      </c>
      <c r="O2805">
        <v>27.966101694915249</v>
      </c>
    </row>
    <row r="2806" spans="1:15" hidden="1" x14ac:dyDescent="0.25">
      <c r="A2806" s="11">
        <v>46090</v>
      </c>
      <c r="B2806" t="s">
        <v>17</v>
      </c>
      <c r="C2806" t="s">
        <v>16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v>0</v>
      </c>
      <c r="J2806" s="3">
        <v>0</v>
      </c>
      <c r="K2806" s="3">
        <v>0</v>
      </c>
      <c r="L2806" s="3" t="str">
        <f>IF(K2806&lt;-5,"CRÍTICO",IF(K2806&lt;0,"ATENÇÃO",IF(K2806&lt;=5,"OPORTUNO","MUITO BOM")))</f>
        <v>OPORTUNO</v>
      </c>
      <c r="M2806">
        <v>0</v>
      </c>
      <c r="N2806">
        <v>100</v>
      </c>
      <c r="O2806">
        <v>30.434782608695659</v>
      </c>
    </row>
    <row r="2807" spans="1:15" hidden="1" x14ac:dyDescent="0.25">
      <c r="A2807" s="11">
        <v>46090</v>
      </c>
      <c r="B2807" t="s">
        <v>60</v>
      </c>
      <c r="C2807" t="s">
        <v>23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14</v>
      </c>
      <c r="K2807" s="3">
        <f>I2807-J2807</f>
        <v>5</v>
      </c>
      <c r="L2807" s="3" t="str">
        <f>IF(K2807&lt;-5,"CRÍTICO",IF(K2807&lt;0,"ATENÇÃO",IF(K2807&lt;=5,"OPORTUNO","MUITO BOM")))</f>
        <v>OPORTUNO</v>
      </c>
      <c r="M2807">
        <v>18</v>
      </c>
      <c r="N2807">
        <v>96.51</v>
      </c>
      <c r="O2807">
        <v>22.802850356294542</v>
      </c>
    </row>
    <row r="2808" spans="1:15" hidden="1" x14ac:dyDescent="0.25">
      <c r="A2808" s="11">
        <v>46090</v>
      </c>
      <c r="B2808" t="s">
        <v>34</v>
      </c>
      <c r="C2808" t="s">
        <v>32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>E2808+G2808+H2808</f>
        <v>33</v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>21</v>
      </c>
      <c r="K2808" s="3">
        <f>I2808-J2808</f>
        <v>12</v>
      </c>
      <c r="L2808" s="3" t="str">
        <f>IF(K2808&lt;-5,"CRÍTICO",IF(K2808&lt;0,"ATENÇÃO",IF(K2808&lt;=5,"OPORTUNO","MUITO BOM")))</f>
        <v>MUITO BOM</v>
      </c>
      <c r="M2808">
        <v>29</v>
      </c>
      <c r="N2808">
        <v>92.68</v>
      </c>
      <c r="O2808">
        <v>27.777777777777779</v>
      </c>
    </row>
    <row r="2809" spans="1:15" hidden="1" x14ac:dyDescent="0.25">
      <c r="A2809" s="11">
        <v>46090</v>
      </c>
      <c r="B2809" t="s">
        <v>51</v>
      </c>
      <c r="C2809" t="s">
        <v>48</v>
      </c>
      <c r="D2809">
        <v>30</v>
      </c>
      <c r="E2809">
        <v>28</v>
      </c>
      <c r="F2809">
        <v>27.06</v>
      </c>
      <c r="G2809">
        <v>0</v>
      </c>
      <c r="H2809">
        <v>0</v>
      </c>
      <c r="I2809" s="3">
        <v>0</v>
      </c>
      <c r="J2809" s="3">
        <v>0</v>
      </c>
      <c r="K2809" s="3">
        <v>0</v>
      </c>
      <c r="L2809" s="3" t="str">
        <f>IF(K2809&lt;-5,"CRÍTICO",IF(K2809&lt;0,"ATENÇÃO",IF(K2809&lt;=5,"OPORTUNO","MUITO BOM")))</f>
        <v>OPORTUNO</v>
      </c>
      <c r="M2809">
        <v>21</v>
      </c>
      <c r="N2809">
        <v>99.03</v>
      </c>
      <c r="O2809">
        <v>23.991507430997881</v>
      </c>
    </row>
    <row r="2810" spans="1:15" hidden="1" x14ac:dyDescent="0.25">
      <c r="A2810" s="11">
        <v>46090</v>
      </c>
      <c r="B2810" t="s">
        <v>61</v>
      </c>
      <c r="C2810" t="s">
        <v>23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>E2810+G2810+H2810</f>
        <v>19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14</v>
      </c>
      <c r="K2810" s="3">
        <f>I2810-J2810</f>
        <v>5</v>
      </c>
      <c r="L2810" s="3" t="str">
        <f>IF(K2810&lt;-5,"CRÍTICO",IF(K2810&lt;0,"ATENÇÃO",IF(K2810&lt;=5,"OPORTUNO","MUITO BOM")))</f>
        <v>OPORTUNO</v>
      </c>
      <c r="M2810">
        <v>12</v>
      </c>
      <c r="N2810">
        <v>98.41</v>
      </c>
      <c r="O2810">
        <v>28.138528138528141</v>
      </c>
    </row>
    <row r="2811" spans="1:15" hidden="1" x14ac:dyDescent="0.25">
      <c r="A2811" s="11">
        <v>46090</v>
      </c>
      <c r="B2811" t="s">
        <v>35</v>
      </c>
      <c r="C2811" t="s">
        <v>32</v>
      </c>
      <c r="D2811">
        <v>18</v>
      </c>
      <c r="E2811">
        <v>17</v>
      </c>
      <c r="F2811">
        <v>30.04</v>
      </c>
      <c r="G2811">
        <v>0</v>
      </c>
      <c r="H2811">
        <v>0</v>
      </c>
      <c r="I2811" s="3">
        <v>0</v>
      </c>
      <c r="J2811" s="3">
        <v>0</v>
      </c>
      <c r="K2811" s="3">
        <v>0</v>
      </c>
      <c r="L2811" s="3" t="str">
        <f>IF(K2811&lt;-5,"CRÍTICO",IF(K2811&lt;0,"ATENÇÃO",IF(K2811&lt;=5,"OPORTUNO","MUITO BOM")))</f>
        <v>OPORTUNO</v>
      </c>
      <c r="M2811">
        <v>18</v>
      </c>
      <c r="N2811">
        <v>98.73</v>
      </c>
      <c r="O2811">
        <v>29.142857142857139</v>
      </c>
    </row>
    <row r="2812" spans="1:15" hidden="1" x14ac:dyDescent="0.25">
      <c r="A2812" s="11">
        <v>46090</v>
      </c>
      <c r="B2812" t="s">
        <v>18</v>
      </c>
      <c r="C2812" t="s">
        <v>16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>E2812+G2812+H2812</f>
        <v>8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6</v>
      </c>
      <c r="K2812" s="3">
        <f>I2812-J2812</f>
        <v>2</v>
      </c>
      <c r="L2812" s="3" t="str">
        <f>IF(K2812&lt;-5,"CRÍTICO",IF(K2812&lt;0,"ATENÇÃO",IF(K2812&lt;=5,"OPORTUNO","MUITO BOM")))</f>
        <v>OPORTUNO</v>
      </c>
      <c r="M2812">
        <v>4</v>
      </c>
      <c r="N2812">
        <v>90.48</v>
      </c>
      <c r="O2812">
        <v>20.68965517241379</v>
      </c>
    </row>
    <row r="2813" spans="1:15" hidden="1" x14ac:dyDescent="0.25">
      <c r="A2813" s="11">
        <v>46090</v>
      </c>
      <c r="B2813" t="s">
        <v>52</v>
      </c>
      <c r="C2813" t="s">
        <v>48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>E2813+G2813+H2813</f>
        <v>25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17</v>
      </c>
      <c r="K2813" s="3">
        <f>I2813-J2813</f>
        <v>8</v>
      </c>
      <c r="L2813" s="3" t="str">
        <f>IF(K2813&lt;-5,"CRÍTICO",IF(K2813&lt;0,"ATENÇÃO",IF(K2813&lt;=5,"OPORTUNO","MUITO BOM")))</f>
        <v>MUITO BOM</v>
      </c>
      <c r="M2813">
        <v>23</v>
      </c>
      <c r="N2813">
        <v>98.06</v>
      </c>
      <c r="O2813">
        <v>24.789915966386559</v>
      </c>
    </row>
    <row r="2814" spans="1:15" hidden="1" x14ac:dyDescent="0.25">
      <c r="A2814" s="11">
        <v>46090</v>
      </c>
      <c r="B2814" t="s">
        <v>36</v>
      </c>
      <c r="C2814" t="s">
        <v>32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>E2814+G2814+H2814</f>
        <v>26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21</v>
      </c>
      <c r="K2814" s="3">
        <f>I2814-J2814</f>
        <v>5</v>
      </c>
      <c r="L2814" s="3" t="str">
        <f>IF(K2814&lt;-5,"CRÍTICO",IF(K2814&lt;0,"ATENÇÃO",IF(K2814&lt;=5,"OPORTUNO","MUITO BOM")))</f>
        <v>OPORTUNO</v>
      </c>
      <c r="M2814">
        <v>23</v>
      </c>
      <c r="N2814">
        <v>97.78</v>
      </c>
      <c r="O2814">
        <v>25.494071146245059</v>
      </c>
    </row>
    <row r="2815" spans="1:15" hidden="1" x14ac:dyDescent="0.25">
      <c r="A2815" s="11">
        <v>46090</v>
      </c>
      <c r="B2815" t="s">
        <v>53</v>
      </c>
      <c r="C2815" t="s">
        <v>48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v>0</v>
      </c>
      <c r="J2815" s="3">
        <v>0</v>
      </c>
      <c r="K2815" s="3">
        <v>0</v>
      </c>
      <c r="L2815" s="3" t="str">
        <f>IF(K2815&lt;-5,"CRÍTICO",IF(K2815&lt;0,"ATENÇÃO",IF(K2815&lt;=5,"OPORTUNO","MUITO BOM")))</f>
        <v>OPORTUNO</v>
      </c>
      <c r="M2815">
        <v>0</v>
      </c>
      <c r="N2815">
        <v>98.02</v>
      </c>
      <c r="O2815">
        <v>23.484848484848481</v>
      </c>
    </row>
    <row r="2816" spans="1:15" hidden="1" x14ac:dyDescent="0.25">
      <c r="A2816" s="11">
        <v>46122</v>
      </c>
      <c r="B2816" t="s">
        <v>22</v>
      </c>
      <c r="C2816" t="s">
        <v>23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>E2816+G2816+H2816</f>
        <v>21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4</v>
      </c>
      <c r="L2816" s="3" t="str">
        <f>IF(K2816&lt;-5,"CRÍTICO",IF(K2816&lt;0,"ATENÇÃO",IF(K2816&lt;=5,"OPORTUNO","MUITO BOM")))</f>
        <v>OPORTUNO</v>
      </c>
      <c r="M2816">
        <v>18</v>
      </c>
      <c r="N2816">
        <v>99.28</v>
      </c>
      <c r="O2816">
        <v>27.689243027888441</v>
      </c>
    </row>
    <row r="2817" spans="1:15" hidden="1" x14ac:dyDescent="0.25">
      <c r="A2817" s="11">
        <v>46090</v>
      </c>
      <c r="B2817" t="s">
        <v>54</v>
      </c>
      <c r="C2817" t="s">
        <v>48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>E2817+G2817+H2817</f>
        <v>17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17</v>
      </c>
      <c r="K2817" s="3">
        <f>I2817-J2817</f>
        <v>0</v>
      </c>
      <c r="L2817" s="3" t="str">
        <f>IF(K2817&lt;-5,"CRÍTICO",IF(K2817&lt;0,"ATENÇÃO",IF(K2817&lt;=5,"OPORTUNO","MUITO BOM")))</f>
        <v>OPORTUNO</v>
      </c>
      <c r="M2817">
        <v>16</v>
      </c>
      <c r="N2817">
        <v>100</v>
      </c>
      <c r="O2817">
        <v>27.04918032786885</v>
      </c>
    </row>
    <row r="2818" spans="1:15" hidden="1" x14ac:dyDescent="0.25">
      <c r="A2818" s="11">
        <v>46090</v>
      </c>
      <c r="B2818" t="s">
        <v>37</v>
      </c>
      <c r="C2818" t="s">
        <v>32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>E2818+G2818+H2818</f>
        <v>39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18</v>
      </c>
      <c r="L2818" s="3" t="str">
        <f>IF(K2818&lt;-5,"CRÍTICO",IF(K2818&lt;0,"ATENÇÃO",IF(K2818&lt;=5,"OPORTUNO","MUITO BOM")))</f>
        <v>MUITO BOM</v>
      </c>
      <c r="M2818">
        <v>41</v>
      </c>
      <c r="N2818">
        <v>97.83</v>
      </c>
      <c r="O2818">
        <v>26.315789473684209</v>
      </c>
    </row>
    <row r="2819" spans="1:15" hidden="1" x14ac:dyDescent="0.25">
      <c r="A2819" s="11">
        <v>46090</v>
      </c>
      <c r="B2819" t="s">
        <v>38</v>
      </c>
      <c r="C2819" t="s">
        <v>32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>E2819+G2819+H2819</f>
        <v>3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21</v>
      </c>
      <c r="K2819" s="3">
        <f>I2819-J2819</f>
        <v>-18</v>
      </c>
      <c r="L2819" s="3" t="str">
        <f>IF(K2819&lt;-5,"CRÍTICO",IF(K2819&lt;0,"ATENÇÃO",IF(K2819&lt;=5,"OPORTUNO","MUITO BOM")))</f>
        <v>CRÍTICO</v>
      </c>
      <c r="M2819">
        <v>6</v>
      </c>
      <c r="N2819">
        <v>100</v>
      </c>
      <c r="O2819">
        <v>26.701570680628269</v>
      </c>
    </row>
    <row r="2820" spans="1:15" hidden="1" x14ac:dyDescent="0.25">
      <c r="A2820" s="11">
        <v>46090</v>
      </c>
      <c r="B2820" t="s">
        <v>55</v>
      </c>
      <c r="C2820" t="s">
        <v>48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>E2820+G2820+H2820</f>
        <v>26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17</v>
      </c>
      <c r="K2820" s="3">
        <f>I2820-J2820</f>
        <v>9</v>
      </c>
      <c r="L2820" s="3" t="str">
        <f>IF(K2820&lt;-5,"CRÍTICO",IF(K2820&lt;0,"ATENÇÃO",IF(K2820&lt;=5,"OPORTUNO","MUITO BOM")))</f>
        <v>MUITO BOM</v>
      </c>
      <c r="M2820">
        <v>24</v>
      </c>
      <c r="N2820">
        <v>97.47</v>
      </c>
      <c r="O2820">
        <v>22.887323943661968</v>
      </c>
    </row>
    <row r="2821" spans="1:15" hidden="1" x14ac:dyDescent="0.25">
      <c r="A2821" s="11">
        <v>46090</v>
      </c>
      <c r="B2821" t="s">
        <v>39</v>
      </c>
      <c r="C2821" t="s">
        <v>32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v>0</v>
      </c>
      <c r="J2821" s="3">
        <v>0</v>
      </c>
      <c r="K2821" s="3">
        <v>0</v>
      </c>
      <c r="L2821" s="3" t="str">
        <f>IF(K2821&lt;-5,"CRÍTICO",IF(K2821&lt;0,"ATENÇÃO",IF(K2821&lt;=5,"OPORTUNO","MUITO BOM")))</f>
        <v>OPORTUNO</v>
      </c>
      <c r="M2821">
        <v>0</v>
      </c>
      <c r="N2821">
        <v>0</v>
      </c>
      <c r="O2821">
        <v>0</v>
      </c>
    </row>
    <row r="2822" spans="1:15" hidden="1" x14ac:dyDescent="0.25">
      <c r="A2822" s="11">
        <v>46090</v>
      </c>
      <c r="B2822" t="s">
        <v>25</v>
      </c>
      <c r="C2822" t="s">
        <v>26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>E2822+G2822+H2822</f>
        <v>8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12</v>
      </c>
      <c r="K2822" s="3">
        <f>I2822-J2822</f>
        <v>-4</v>
      </c>
      <c r="L2822" s="3" t="str">
        <f>IF(K2822&lt;-5,"CRÍTICO",IF(K2822&lt;0,"ATENÇÃO",IF(K2822&lt;=5,"OPORTUNO","MUITO BOM")))</f>
        <v>ATENÇÃO</v>
      </c>
      <c r="M2822">
        <v>9</v>
      </c>
      <c r="N2822">
        <v>98.31</v>
      </c>
      <c r="O2822">
        <v>24.920127795527151</v>
      </c>
    </row>
    <row r="2823" spans="1:15" hidden="1" x14ac:dyDescent="0.25">
      <c r="A2823" s="11">
        <v>46090</v>
      </c>
      <c r="B2823" t="s">
        <v>40</v>
      </c>
      <c r="C2823" t="s">
        <v>32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>E2823+G2823+H2823</f>
        <v>14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21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>
        <v>12</v>
      </c>
      <c r="N2823">
        <v>96.81</v>
      </c>
      <c r="O2823">
        <v>32.365145228215773</v>
      </c>
    </row>
    <row r="2824" spans="1:15" hidden="1" x14ac:dyDescent="0.25">
      <c r="A2824" s="11">
        <v>46090</v>
      </c>
      <c r="B2824" t="s">
        <v>27</v>
      </c>
      <c r="C2824" t="s">
        <v>26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>E2824+G2824+H2824</f>
        <v>5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12</v>
      </c>
      <c r="K2824" s="3">
        <f>I2824-J2824</f>
        <v>-7</v>
      </c>
      <c r="L2824" s="3" t="str">
        <f>IF(K2824&lt;-5,"CRÍTICO",IF(K2824&lt;0,"ATENÇÃO",IF(K2824&lt;=5,"OPORTUNO","MUITO BOM")))</f>
        <v>CRÍTICO</v>
      </c>
      <c r="M2824">
        <v>3</v>
      </c>
      <c r="N2824">
        <v>100</v>
      </c>
      <c r="O2824">
        <v>26.47058823529412</v>
      </c>
    </row>
    <row r="2825" spans="1:15" hidden="1" x14ac:dyDescent="0.25">
      <c r="A2825" s="11">
        <v>46090</v>
      </c>
      <c r="B2825" t="s">
        <v>41</v>
      </c>
      <c r="C2825" t="s">
        <v>32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>E2825+G2825+H2825</f>
        <v>7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21</v>
      </c>
      <c r="K2825" s="3">
        <f>I2825-J2825</f>
        <v>-14</v>
      </c>
      <c r="L2825" s="3" t="str">
        <f>IF(K2825&lt;-5,"CRÍTICO",IF(K2825&lt;0,"ATENÇÃO",IF(K2825&lt;=5,"OPORTUNO","MUITO BOM")))</f>
        <v>CRÍTICO</v>
      </c>
      <c r="M2825">
        <v>13</v>
      </c>
      <c r="N2825">
        <v>100</v>
      </c>
      <c r="O2825">
        <v>28.490028490028489</v>
      </c>
    </row>
    <row r="2826" spans="1:15" hidden="1" x14ac:dyDescent="0.25">
      <c r="A2826" s="11">
        <v>46090</v>
      </c>
      <c r="B2826" t="s">
        <v>56</v>
      </c>
      <c r="C2826" t="s">
        <v>48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>E2826+G2826+H2826</f>
        <v>21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17</v>
      </c>
      <c r="K2826" s="3">
        <f>I2826-J2826</f>
        <v>4</v>
      </c>
      <c r="L2826" s="3" t="str">
        <f>IF(K2826&lt;-5,"CRÍTICO",IF(K2826&lt;0,"ATENÇÃO",IF(K2826&lt;=5,"OPORTUNO","MUITO BOM")))</f>
        <v>OPORTUNO</v>
      </c>
      <c r="M2826">
        <v>12</v>
      </c>
      <c r="N2826">
        <v>99.14</v>
      </c>
      <c r="O2826">
        <v>27.2289156626506</v>
      </c>
    </row>
    <row r="2827" spans="1:15" hidden="1" x14ac:dyDescent="0.25">
      <c r="A2827" s="11">
        <v>46090</v>
      </c>
      <c r="B2827" t="s">
        <v>57</v>
      </c>
      <c r="C2827" t="s">
        <v>48</v>
      </c>
      <c r="D2827">
        <v>9</v>
      </c>
      <c r="E2827">
        <v>8</v>
      </c>
      <c r="F2827">
        <v>32.04</v>
      </c>
      <c r="G2827">
        <v>0</v>
      </c>
      <c r="H2827">
        <v>0</v>
      </c>
      <c r="I2827" s="3">
        <v>0</v>
      </c>
      <c r="J2827" s="3">
        <v>0</v>
      </c>
      <c r="K2827" s="3">
        <v>0</v>
      </c>
      <c r="L2827" s="3" t="str">
        <f>IF(K2827&lt;-5,"CRÍTICO",IF(K2827&lt;0,"ATENÇÃO",IF(K2827&lt;=5,"OPORTUNO","MUITO BOM")))</f>
        <v>OPORTUNO</v>
      </c>
      <c r="M2827">
        <v>8</v>
      </c>
      <c r="N2827">
        <v>97.52</v>
      </c>
      <c r="O2827">
        <v>28.205128205128201</v>
      </c>
    </row>
    <row r="2828" spans="1:15" hidden="1" x14ac:dyDescent="0.25">
      <c r="A2828" s="11">
        <v>46090</v>
      </c>
      <c r="B2828" t="s">
        <v>42</v>
      </c>
      <c r="C2828" t="s">
        <v>32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>E2828+G2828+H2828</f>
        <v>24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21</v>
      </c>
      <c r="K2828" s="3">
        <f>I2828-J2828</f>
        <v>3</v>
      </c>
      <c r="L2828" s="3" t="str">
        <f>IF(K2828&lt;-5,"CRÍTICO",IF(K2828&lt;0,"ATENÇÃO",IF(K2828&lt;=5,"OPORTUNO","MUITO BOM")))</f>
        <v>OPORTUNO</v>
      </c>
      <c r="M2828">
        <v>15</v>
      </c>
      <c r="N2828">
        <v>90</v>
      </c>
      <c r="O2828">
        <v>24.186046511627911</v>
      </c>
    </row>
    <row r="2829" spans="1:15" hidden="1" x14ac:dyDescent="0.25">
      <c r="A2829" s="11">
        <v>46090</v>
      </c>
      <c r="B2829" t="s">
        <v>62</v>
      </c>
      <c r="C2829" t="s">
        <v>23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14</v>
      </c>
      <c r="K2829" s="3">
        <f>I2829-J2829</f>
        <v>9</v>
      </c>
      <c r="L2829" s="3" t="str">
        <f>IF(K2829&lt;-5,"CRÍTICO",IF(K2829&lt;0,"ATENÇÃO",IF(K2829&lt;=5,"OPORTUNO","MUITO BOM")))</f>
        <v>MUITO BOM</v>
      </c>
      <c r="M2829">
        <v>18</v>
      </c>
      <c r="N2829">
        <v>98.9</v>
      </c>
      <c r="O2829">
        <v>26.763990267639901</v>
      </c>
    </row>
    <row r="2830" spans="1:15" hidden="1" x14ac:dyDescent="0.25">
      <c r="A2830" s="11">
        <v>46090</v>
      </c>
      <c r="B2830" t="s">
        <v>19</v>
      </c>
      <c r="C2830" t="s">
        <v>16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v>0</v>
      </c>
      <c r="J2830" s="3">
        <v>0</v>
      </c>
      <c r="K2830" s="3">
        <v>0</v>
      </c>
      <c r="L2830" s="3" t="str">
        <f>IF(K2830&lt;-5,"CRÍTICO",IF(K2830&lt;0,"ATENÇÃO",IF(K2830&lt;=5,"OPORTUNO","MUITO BOM")))</f>
        <v>OPORTUNO</v>
      </c>
      <c r="M2830">
        <v>0</v>
      </c>
      <c r="N2830">
        <v>88.89</v>
      </c>
      <c r="O2830">
        <v>25.263157894736839</v>
      </c>
    </row>
    <row r="2831" spans="1:15" hidden="1" x14ac:dyDescent="0.25">
      <c r="A2831" s="11">
        <v>46090</v>
      </c>
      <c r="B2831" t="s">
        <v>43</v>
      </c>
      <c r="C2831" t="s">
        <v>32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>E2831+G2831+H2831</f>
        <v>35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14</v>
      </c>
      <c r="L2831" s="3" t="str">
        <f>IF(K2831&lt;-5,"CRÍTICO",IF(K2831&lt;0,"ATENÇÃO",IF(K2831&lt;=5,"OPORTUNO","MUITO BOM")))</f>
        <v>MUITO BOM</v>
      </c>
      <c r="M2831">
        <v>30</v>
      </c>
      <c r="N2831">
        <v>98.86</v>
      </c>
      <c r="O2831">
        <v>28.959276018099551</v>
      </c>
    </row>
    <row r="2832" spans="1:15" hidden="1" x14ac:dyDescent="0.25">
      <c r="A2832" s="11">
        <v>46090</v>
      </c>
      <c r="B2832" t="s">
        <v>44</v>
      </c>
      <c r="C2832" t="s">
        <v>32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>E2832+G2832+H2832</f>
        <v>23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21</v>
      </c>
      <c r="K2832" s="3">
        <f>I2832-J2832</f>
        <v>2</v>
      </c>
      <c r="L2832" s="3" t="str">
        <f>IF(K2832&lt;-5,"CRÍTICO",IF(K2832&lt;0,"ATENÇÃO",IF(K2832&lt;=5,"OPORTUNO","MUITO BOM")))</f>
        <v>OPORTUNO</v>
      </c>
      <c r="M2832">
        <v>20</v>
      </c>
      <c r="N2832">
        <v>98.06</v>
      </c>
      <c r="O2832">
        <v>22.40566037735849</v>
      </c>
    </row>
    <row r="2833" spans="1:15" hidden="1" x14ac:dyDescent="0.25">
      <c r="A2833" s="11">
        <v>46090</v>
      </c>
      <c r="B2833" t="s">
        <v>20</v>
      </c>
      <c r="C2833" t="s">
        <v>16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>E2833+G2833+H2833</f>
        <v>3</v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>6</v>
      </c>
      <c r="K2833" s="3">
        <f>I2833-J2833</f>
        <v>-3</v>
      </c>
      <c r="L2833" s="3" t="str">
        <f>IF(K2833&lt;-5,"CRÍTICO",IF(K2833&lt;0,"ATENÇÃO",IF(K2833&lt;=5,"OPORTUNO","MUITO BOM")))</f>
        <v>ATENÇÃO</v>
      </c>
      <c r="M2833">
        <v>3</v>
      </c>
      <c r="N2833">
        <v>95.83</v>
      </c>
      <c r="O2833">
        <v>25.773195876288661</v>
      </c>
    </row>
    <row r="2834" spans="1:15" hidden="1" x14ac:dyDescent="0.25">
      <c r="A2834" s="11">
        <v>46090</v>
      </c>
      <c r="B2834" t="s">
        <v>28</v>
      </c>
      <c r="C2834" t="s">
        <v>26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v>0</v>
      </c>
      <c r="J2834" s="3">
        <v>0</v>
      </c>
      <c r="K2834" s="3">
        <v>0</v>
      </c>
      <c r="L2834" s="3" t="str">
        <f>IF(K2834&lt;-5,"CRÍTICO",IF(K2834&lt;0,"ATENÇÃO",IF(K2834&lt;=5,"OPORTUNO","MUITO BOM")))</f>
        <v>OPORTUNO</v>
      </c>
      <c r="M2834">
        <v>0</v>
      </c>
      <c r="N2834">
        <v>100</v>
      </c>
      <c r="O2834">
        <v>15.38461538461539</v>
      </c>
    </row>
    <row r="2835" spans="1:15" hidden="1" x14ac:dyDescent="0.25">
      <c r="A2835" s="11">
        <v>46090</v>
      </c>
      <c r="B2835" t="s">
        <v>58</v>
      </c>
      <c r="C2835" t="s">
        <v>48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>E2835+G2835+H2835</f>
        <v>14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17</v>
      </c>
      <c r="K2835" s="3">
        <f>I2835-J2835</f>
        <v>-3</v>
      </c>
      <c r="L2835" s="3" t="str">
        <f>IF(K2835&lt;-5,"CRÍTICO",IF(K2835&lt;0,"ATENÇÃO",IF(K2835&lt;=5,"OPORTUNO","MUITO BOM")))</f>
        <v>ATENÇÃO</v>
      </c>
      <c r="M2835">
        <v>11</v>
      </c>
      <c r="N2835">
        <v>100</v>
      </c>
      <c r="O2835">
        <v>27.514792899408281</v>
      </c>
    </row>
    <row r="2836" spans="1:15" hidden="1" x14ac:dyDescent="0.25">
      <c r="A2836" s="11">
        <v>46090</v>
      </c>
      <c r="B2836" t="s">
        <v>29</v>
      </c>
      <c r="C2836" t="s">
        <v>26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>E2836+G2836+H2836</f>
        <v>4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-8</v>
      </c>
      <c r="L2836" s="3" t="str">
        <f>IF(K2836&lt;-5,"CRÍTICO",IF(K2836&lt;0,"ATENÇÃO",IF(K2836&lt;=5,"OPORTUNO","MUITO BOM")))</f>
        <v>CRÍTICO</v>
      </c>
      <c r="M2836">
        <v>3</v>
      </c>
      <c r="N2836">
        <v>100</v>
      </c>
      <c r="O2836">
        <v>24.875621890547269</v>
      </c>
    </row>
    <row r="2837" spans="1:15" hidden="1" x14ac:dyDescent="0.25">
      <c r="A2837" s="11">
        <v>46090</v>
      </c>
      <c r="B2837" t="s">
        <v>30</v>
      </c>
      <c r="C2837" t="s">
        <v>26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>E2837+G2837+H2837</f>
        <v>7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12</v>
      </c>
      <c r="K2837" s="3">
        <f>I2837-J2837</f>
        <v>-5</v>
      </c>
      <c r="L2837" s="3" t="str">
        <f>IF(K2837&lt;-5,"CRÍTICO",IF(K2837&lt;0,"ATENÇÃO",IF(K2837&lt;=5,"OPORTUNO","MUITO BOM")))</f>
        <v>ATENÇÃO</v>
      </c>
      <c r="M2837">
        <v>4</v>
      </c>
      <c r="N2837">
        <v>100</v>
      </c>
      <c r="O2837">
        <v>28.108108108108109</v>
      </c>
    </row>
    <row r="2838" spans="1:15" hidden="1" x14ac:dyDescent="0.25">
      <c r="A2838" s="11">
        <v>46090</v>
      </c>
      <c r="B2838" t="s">
        <v>21</v>
      </c>
      <c r="C2838" t="s">
        <v>16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v>0</v>
      </c>
      <c r="J2838" s="3">
        <v>0</v>
      </c>
      <c r="K2838" s="3">
        <v>0</v>
      </c>
      <c r="L2838" s="3" t="str">
        <f>IF(K2838&lt;-5,"CRÍTICO",IF(K2838&lt;0,"ATENÇÃO",IF(K2838&lt;=5,"OPORTUNO","MUITO BOM")))</f>
        <v>OPORTUNO</v>
      </c>
      <c r="M2838">
        <v>0</v>
      </c>
      <c r="N2838">
        <v>100</v>
      </c>
      <c r="O2838">
        <v>35</v>
      </c>
    </row>
    <row r="2839" spans="1:15" hidden="1" x14ac:dyDescent="0.25">
      <c r="A2839" s="11">
        <v>46090</v>
      </c>
      <c r="B2839" t="s">
        <v>63</v>
      </c>
      <c r="C2839" t="s">
        <v>23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>E2839+G2839+H2839</f>
        <v>1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14</v>
      </c>
      <c r="K2839" s="3">
        <f>I2839-J2839</f>
        <v>-13</v>
      </c>
      <c r="L2839" s="3" t="str">
        <f>IF(K2839&lt;-5,"CRÍTICO",IF(K2839&lt;0,"ATENÇÃO",IF(K2839&lt;=5,"OPORTUNO","MUITO BOM")))</f>
        <v>CRÍTICO</v>
      </c>
      <c r="M2839">
        <v>0</v>
      </c>
      <c r="N2839">
        <v>95.35</v>
      </c>
      <c r="O2839">
        <v>28.61538461538461</v>
      </c>
    </row>
    <row r="2840" spans="1:15" hidden="1" x14ac:dyDescent="0.25">
      <c r="A2840" s="11">
        <v>46090</v>
      </c>
      <c r="B2840" t="s">
        <v>45</v>
      </c>
      <c r="C2840" t="s">
        <v>32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>E2840+G2840+H2840</f>
        <v>32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21</v>
      </c>
      <c r="K2840" s="3">
        <f>I2840-J2840</f>
        <v>11</v>
      </c>
      <c r="L2840" s="3" t="str">
        <f>IF(K2840&lt;-5,"CRÍTICO",IF(K2840&lt;0,"ATENÇÃO",IF(K2840&lt;=5,"OPORTUNO","MUITO BOM")))</f>
        <v>MUITO BOM</v>
      </c>
      <c r="M2840">
        <v>32</v>
      </c>
      <c r="N2840">
        <v>98.26</v>
      </c>
      <c r="O2840">
        <v>27.54491017964072</v>
      </c>
    </row>
    <row r="2841" spans="1:15" hidden="1" x14ac:dyDescent="0.25">
      <c r="A2841" s="11">
        <v>46090</v>
      </c>
      <c r="B2841" t="s">
        <v>64</v>
      </c>
      <c r="C2841" t="s">
        <v>23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>E2841+G2841+H2841</f>
        <v>9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14</v>
      </c>
      <c r="K2841" s="3">
        <f>I2841-J2841</f>
        <v>-5</v>
      </c>
      <c r="L2841" s="3" t="str">
        <f>IF(K2841&lt;-5,"CRÍTICO",IF(K2841&lt;0,"ATENÇÃO",IF(K2841&lt;=5,"OPORTUNO","MUITO BOM")))</f>
        <v>ATENÇÃO</v>
      </c>
      <c r="M2841">
        <v>8</v>
      </c>
      <c r="N2841">
        <v>98.55</v>
      </c>
      <c r="O2841">
        <v>25.337837837837839</v>
      </c>
    </row>
    <row r="2842" spans="1:15" hidden="1" x14ac:dyDescent="0.25">
      <c r="A2842" s="11">
        <v>46090</v>
      </c>
      <c r="B2842" t="s">
        <v>46</v>
      </c>
      <c r="C2842" t="s">
        <v>32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>E2842+G2842+H2842</f>
        <v>22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21</v>
      </c>
      <c r="K2842" s="3">
        <f>I2842-J2842</f>
        <v>1</v>
      </c>
      <c r="L2842" s="3" t="str">
        <f>IF(K2842&lt;-5,"CRÍTICO",IF(K2842&lt;0,"ATENÇÃO",IF(K2842&lt;=5,"OPORTUNO","MUITO BOM")))</f>
        <v>OPORTUNO</v>
      </c>
      <c r="M2842">
        <v>22</v>
      </c>
      <c r="N2842">
        <v>98.39</v>
      </c>
      <c r="O2842">
        <v>25.563909774436091</v>
      </c>
    </row>
    <row r="2843" spans="1:15" hidden="1" x14ac:dyDescent="0.25">
      <c r="A2843" s="11">
        <v>46091</v>
      </c>
      <c r="B2843" t="s">
        <v>47</v>
      </c>
      <c r="C2843" t="s">
        <v>48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>E2843+G2843+H2843</f>
        <v>32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17</v>
      </c>
      <c r="K2843" s="3">
        <f>I2843-J2843</f>
        <v>15</v>
      </c>
      <c r="L2843" s="3" t="str">
        <f>IF(K2843&lt;-5,"CRÍTICO",IF(K2843&lt;0,"ATENÇÃO",IF(K2843&lt;=5,"OPORTUNO","MUITO BOM")))</f>
        <v>MUITO BOM</v>
      </c>
      <c r="M2843">
        <v>20</v>
      </c>
      <c r="N2843">
        <v>94.29</v>
      </c>
      <c r="O2843">
        <v>25.647668393782389</v>
      </c>
    </row>
    <row r="2844" spans="1:15" hidden="1" x14ac:dyDescent="0.25">
      <c r="A2844" s="11">
        <v>46091</v>
      </c>
      <c r="B2844" t="s">
        <v>31</v>
      </c>
      <c r="C2844" t="s">
        <v>32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v>0</v>
      </c>
      <c r="J2844" s="3">
        <v>0</v>
      </c>
      <c r="K2844" s="3">
        <v>0</v>
      </c>
      <c r="L2844" s="3" t="str">
        <f>IF(K2844&lt;-5,"CRÍTICO",IF(K2844&lt;0,"ATENÇÃO",IF(K2844&lt;=5,"OPORTUNO","MUITO BOM")))</f>
        <v>OPORTUNO</v>
      </c>
      <c r="M2844">
        <v>24</v>
      </c>
      <c r="N2844">
        <v>98.26</v>
      </c>
      <c r="O2844">
        <v>26.666666666666671</v>
      </c>
    </row>
    <row r="2845" spans="1:15" hidden="1" x14ac:dyDescent="0.25">
      <c r="A2845" s="11">
        <v>46091</v>
      </c>
      <c r="B2845" t="s">
        <v>59</v>
      </c>
      <c r="C2845" t="s">
        <v>23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>E2845+G2845+H2845</f>
        <v>18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14</v>
      </c>
      <c r="K2845" s="3">
        <f>I2845-J2845</f>
        <v>4</v>
      </c>
      <c r="L2845" s="3" t="str">
        <f>IF(K2845&lt;-5,"CRÍTICO",IF(K2845&lt;0,"ATENÇÃO",IF(K2845&lt;=5,"OPORTUNO","MUITO BOM")))</f>
        <v>OPORTUNO</v>
      </c>
      <c r="M2845">
        <v>17</v>
      </c>
      <c r="N2845">
        <v>98.2</v>
      </c>
      <c r="O2845">
        <v>23.37962962962963</v>
      </c>
    </row>
    <row r="2846" spans="1:15" hidden="1" x14ac:dyDescent="0.25">
      <c r="A2846" s="11">
        <v>46091</v>
      </c>
      <c r="B2846" t="s">
        <v>33</v>
      </c>
      <c r="C2846" t="s">
        <v>32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>E2846+G2846+H2846</f>
        <v>19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21</v>
      </c>
      <c r="K2846" s="3">
        <f>I2846-J2846</f>
        <v>-2</v>
      </c>
      <c r="L2846" s="3" t="str">
        <f>IF(K2846&lt;-5,"CRÍTICO",IF(K2846&lt;0,"ATENÇÃO",IF(K2846&lt;=5,"OPORTUNO","MUITO BOM")))</f>
        <v>ATENÇÃO</v>
      </c>
      <c r="M2846">
        <v>17</v>
      </c>
      <c r="N2846">
        <v>97.3</v>
      </c>
      <c r="O2846">
        <v>23.84769539078156</v>
      </c>
    </row>
    <row r="2847" spans="1:15" hidden="1" x14ac:dyDescent="0.25">
      <c r="A2847" s="11">
        <v>46091</v>
      </c>
      <c r="B2847" t="s">
        <v>15</v>
      </c>
      <c r="C2847" t="s">
        <v>16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>E2847+G2847+H2847</f>
        <v>10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6</v>
      </c>
      <c r="K2847" s="3">
        <f>I2847-J2847</f>
        <v>4</v>
      </c>
      <c r="L2847" s="3" t="str">
        <f>IF(K2847&lt;-5,"CRÍTICO",IF(K2847&lt;0,"ATENÇÃO",IF(K2847&lt;=5,"OPORTUNO","MUITO BOM")))</f>
        <v>OPORTUNO</v>
      </c>
      <c r="M2847">
        <v>7</v>
      </c>
      <c r="N2847">
        <v>100</v>
      </c>
      <c r="O2847">
        <v>25.268817204301079</v>
      </c>
    </row>
    <row r="2848" spans="1:15" hidden="1" x14ac:dyDescent="0.25">
      <c r="A2848" s="11">
        <v>46091</v>
      </c>
      <c r="B2848" t="s">
        <v>49</v>
      </c>
      <c r="C2848" t="s">
        <v>48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>E2848+G2848+H2848</f>
        <v>34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17</v>
      </c>
      <c r="L2848" s="3" t="str">
        <f>IF(K2848&lt;-5,"CRÍTICO",IF(K2848&lt;0,"ATENÇÃO",IF(K2848&lt;=5,"OPORTUNO","MUITO BOM")))</f>
        <v>MUITO BOM</v>
      </c>
      <c r="M2848">
        <v>33</v>
      </c>
      <c r="N2848">
        <v>99.32</v>
      </c>
      <c r="O2848">
        <v>22.822822822822818</v>
      </c>
    </row>
    <row r="2849" spans="1:15" hidden="1" x14ac:dyDescent="0.25">
      <c r="A2849" s="11">
        <v>46091</v>
      </c>
      <c r="B2849" t="s">
        <v>50</v>
      </c>
      <c r="C2849" t="s">
        <v>48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17</v>
      </c>
      <c r="K2849" s="3">
        <f>I2849-J2849</f>
        <v>-2</v>
      </c>
      <c r="L2849" s="3" t="str">
        <f>IF(K2849&lt;-5,"CRÍTICO",IF(K2849&lt;0,"ATENÇÃO",IF(K2849&lt;=5,"OPORTUNO","MUITO BOM")))</f>
        <v>ATENÇÃO</v>
      </c>
      <c r="M2849">
        <v>18</v>
      </c>
      <c r="N2849">
        <v>100</v>
      </c>
      <c r="O2849">
        <v>27.966101694915249</v>
      </c>
    </row>
    <row r="2850" spans="1:15" hidden="1" x14ac:dyDescent="0.25">
      <c r="A2850" s="11">
        <v>46091</v>
      </c>
      <c r="B2850" t="s">
        <v>17</v>
      </c>
      <c r="C2850" t="s">
        <v>16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v>0</v>
      </c>
      <c r="J2850" s="3">
        <v>0</v>
      </c>
      <c r="K2850" s="3">
        <v>0</v>
      </c>
      <c r="L2850" s="3" t="str">
        <f>IF(K2850&lt;-5,"CRÍTICO",IF(K2850&lt;0,"ATENÇÃO",IF(K2850&lt;=5,"OPORTUNO","MUITO BOM")))</f>
        <v>OPORTUNO</v>
      </c>
      <c r="M2850">
        <v>0</v>
      </c>
      <c r="N2850">
        <v>100</v>
      </c>
      <c r="O2850">
        <v>30.434782608695659</v>
      </c>
    </row>
    <row r="2851" spans="1:15" hidden="1" x14ac:dyDescent="0.25">
      <c r="A2851" s="11">
        <v>46091</v>
      </c>
      <c r="B2851" t="s">
        <v>60</v>
      </c>
      <c r="C2851" t="s">
        <v>23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>E2851+G2851+H2851</f>
        <v>24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14</v>
      </c>
      <c r="K2851" s="3">
        <f>I2851-J2851</f>
        <v>10</v>
      </c>
      <c r="L2851" s="3" t="str">
        <f>IF(K2851&lt;-5,"CRÍTICO",IF(K2851&lt;0,"ATENÇÃO",IF(K2851&lt;=5,"OPORTUNO","MUITO BOM")))</f>
        <v>MUITO BOM</v>
      </c>
      <c r="M2851">
        <v>23</v>
      </c>
      <c r="N2851">
        <v>96.51</v>
      </c>
      <c r="O2851">
        <v>22.802850356294542</v>
      </c>
    </row>
    <row r="2852" spans="1:15" hidden="1" x14ac:dyDescent="0.25">
      <c r="A2852" s="11">
        <v>46091</v>
      </c>
      <c r="B2852" t="s">
        <v>34</v>
      </c>
      <c r="C2852" t="s">
        <v>32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>E2852+G2852+H2852</f>
        <v>15</v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>21</v>
      </c>
      <c r="K2852" s="3">
        <f>I2852-J2852</f>
        <v>-6</v>
      </c>
      <c r="L2852" s="3" t="str">
        <f>IF(K2852&lt;-5,"CRÍTICO",IF(K2852&lt;0,"ATENÇÃO",IF(K2852&lt;=5,"OPORTUNO","MUITO BOM")))</f>
        <v>CRÍTICO</v>
      </c>
      <c r="M2852">
        <v>20</v>
      </c>
      <c r="N2852">
        <v>92.68</v>
      </c>
      <c r="O2852">
        <v>27.777777777777779</v>
      </c>
    </row>
    <row r="2853" spans="1:15" hidden="1" x14ac:dyDescent="0.25">
      <c r="A2853" s="11">
        <v>46091</v>
      </c>
      <c r="B2853" t="s">
        <v>51</v>
      </c>
      <c r="C2853" t="s">
        <v>48</v>
      </c>
      <c r="D2853">
        <v>18</v>
      </c>
      <c r="E2853">
        <v>18</v>
      </c>
      <c r="F2853">
        <v>23.31</v>
      </c>
      <c r="G2853">
        <v>0</v>
      </c>
      <c r="H2853">
        <v>0</v>
      </c>
      <c r="I2853" s="3">
        <v>0</v>
      </c>
      <c r="J2853" s="3">
        <v>0</v>
      </c>
      <c r="K2853" s="3">
        <v>0</v>
      </c>
      <c r="L2853" s="3" t="str">
        <f>IF(K2853&lt;-5,"CRÍTICO",IF(K2853&lt;0,"ATENÇÃO",IF(K2853&lt;=5,"OPORTUNO","MUITO BOM")))</f>
        <v>OPORTUNO</v>
      </c>
      <c r="M2853">
        <v>19</v>
      </c>
      <c r="N2853">
        <v>99.03</v>
      </c>
      <c r="O2853">
        <v>23.991507430997881</v>
      </c>
    </row>
    <row r="2854" spans="1:15" hidden="1" x14ac:dyDescent="0.25">
      <c r="A2854" s="11">
        <v>46091</v>
      </c>
      <c r="B2854" t="s">
        <v>61</v>
      </c>
      <c r="C2854" t="s">
        <v>23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>E2854+G2854+H2854</f>
        <v>22</v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>14</v>
      </c>
      <c r="K2854" s="3">
        <f>I2854-J2854</f>
        <v>8</v>
      </c>
      <c r="L2854" s="3" t="str">
        <f>IF(K2854&lt;-5,"CRÍTICO",IF(K2854&lt;0,"ATENÇÃO",IF(K2854&lt;=5,"OPORTUNO","MUITO BOM")))</f>
        <v>MUITO BOM</v>
      </c>
      <c r="M2854">
        <v>12</v>
      </c>
      <c r="N2854">
        <v>98.41</v>
      </c>
      <c r="O2854">
        <v>28.138528138528141</v>
      </c>
    </row>
    <row r="2855" spans="1:15" hidden="1" x14ac:dyDescent="0.25">
      <c r="A2855" s="11">
        <v>46091</v>
      </c>
      <c r="B2855" t="s">
        <v>35</v>
      </c>
      <c r="C2855" t="s">
        <v>32</v>
      </c>
      <c r="D2855">
        <v>28</v>
      </c>
      <c r="E2855">
        <v>28</v>
      </c>
      <c r="F2855">
        <v>22.2</v>
      </c>
      <c r="G2855">
        <v>0</v>
      </c>
      <c r="H2855">
        <v>0</v>
      </c>
      <c r="I2855" s="3">
        <v>0</v>
      </c>
      <c r="J2855" s="3">
        <v>0</v>
      </c>
      <c r="K2855" s="3">
        <v>0</v>
      </c>
      <c r="L2855" s="3" t="str">
        <f>IF(K2855&lt;-5,"CRÍTICO",IF(K2855&lt;0,"ATENÇÃO",IF(K2855&lt;=5,"OPORTUNO","MUITO BOM")))</f>
        <v>OPORTUNO</v>
      </c>
      <c r="M2855">
        <v>31</v>
      </c>
      <c r="N2855">
        <v>98.73</v>
      </c>
      <c r="O2855">
        <v>29.142857142857139</v>
      </c>
    </row>
    <row r="2856" spans="1:15" hidden="1" x14ac:dyDescent="0.25">
      <c r="A2856" s="11">
        <v>46091</v>
      </c>
      <c r="B2856" t="s">
        <v>18</v>
      </c>
      <c r="C2856" t="s">
        <v>16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>E2856+G2856+H2856</f>
        <v>6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6</v>
      </c>
      <c r="K2856" s="3">
        <f>I2856-J2856</f>
        <v>0</v>
      </c>
      <c r="L2856" s="3" t="str">
        <f>IF(K2856&lt;-5,"CRÍTICO",IF(K2856&lt;0,"ATENÇÃO",IF(K2856&lt;=5,"OPORTUNO","MUITO BOM")))</f>
        <v>OPORTUNO</v>
      </c>
      <c r="M2856">
        <v>5</v>
      </c>
      <c r="N2856">
        <v>90.48</v>
      </c>
      <c r="O2856">
        <v>20.68965517241379</v>
      </c>
    </row>
    <row r="2857" spans="1:15" hidden="1" x14ac:dyDescent="0.25">
      <c r="A2857" s="11">
        <v>46091</v>
      </c>
      <c r="B2857" t="s">
        <v>52</v>
      </c>
      <c r="C2857" t="s">
        <v>48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>E2857+G2857+H2857</f>
        <v>15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17</v>
      </c>
      <c r="K2857" s="3">
        <f>I2857-J2857</f>
        <v>-2</v>
      </c>
      <c r="L2857" s="3" t="str">
        <f>IF(K2857&lt;-5,"CRÍTICO",IF(K2857&lt;0,"ATENÇÃO",IF(K2857&lt;=5,"OPORTUNO","MUITO BOM")))</f>
        <v>ATENÇÃO</v>
      </c>
      <c r="M2857">
        <v>14</v>
      </c>
      <c r="N2857">
        <v>98.06</v>
      </c>
      <c r="O2857">
        <v>24.789915966386559</v>
      </c>
    </row>
    <row r="2858" spans="1:15" hidden="1" x14ac:dyDescent="0.25">
      <c r="A2858" s="11">
        <v>46091</v>
      </c>
      <c r="B2858" t="s">
        <v>36</v>
      </c>
      <c r="C2858" t="s">
        <v>32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>E2858+G2858+H2858</f>
        <v>12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21</v>
      </c>
      <c r="K2858" s="3">
        <f>I2858-J2858</f>
        <v>-9</v>
      </c>
      <c r="L2858" s="3" t="str">
        <f>IF(K2858&lt;-5,"CRÍTICO",IF(K2858&lt;0,"ATENÇÃO",IF(K2858&lt;=5,"OPORTUNO","MUITO BOM")))</f>
        <v>CRÍTICO</v>
      </c>
      <c r="M2858">
        <v>12</v>
      </c>
      <c r="N2858">
        <v>97.78</v>
      </c>
      <c r="O2858">
        <v>25.494071146245059</v>
      </c>
    </row>
    <row r="2859" spans="1:15" hidden="1" x14ac:dyDescent="0.25">
      <c r="A2859" s="11">
        <v>46091</v>
      </c>
      <c r="B2859" t="s">
        <v>53</v>
      </c>
      <c r="C2859" t="s">
        <v>48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>E2859+G2859+H2859</f>
        <v>15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-2</v>
      </c>
      <c r="L2859" s="3" t="str">
        <f>IF(K2859&lt;-5,"CRÍTICO",IF(K2859&lt;0,"ATENÇÃO",IF(K2859&lt;=5,"OPORTUNO","MUITO BOM")))</f>
        <v>ATENÇÃO</v>
      </c>
      <c r="M2859">
        <v>14</v>
      </c>
      <c r="N2859">
        <v>98.02</v>
      </c>
      <c r="O2859">
        <v>23.484848484848481</v>
      </c>
    </row>
    <row r="2860" spans="1:15" hidden="1" x14ac:dyDescent="0.25">
      <c r="A2860" s="11">
        <v>46125</v>
      </c>
      <c r="B2860" t="s">
        <v>22</v>
      </c>
      <c r="C2860" t="s">
        <v>23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>
        <v>22</v>
      </c>
      <c r="N2860">
        <v>99.28</v>
      </c>
      <c r="O2860">
        <v>27.689243027888441</v>
      </c>
    </row>
    <row r="2861" spans="1:15" hidden="1" x14ac:dyDescent="0.25">
      <c r="A2861" s="11">
        <v>46091</v>
      </c>
      <c r="B2861" t="s">
        <v>54</v>
      </c>
      <c r="C2861" t="s">
        <v>48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>E2861+G2861+H2861</f>
        <v>24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17</v>
      </c>
      <c r="K2861" s="3">
        <f>I2861-J2861</f>
        <v>7</v>
      </c>
      <c r="L2861" s="3" t="str">
        <f>IF(K2861&lt;-5,"CRÍTICO",IF(K2861&lt;0,"ATENÇÃO",IF(K2861&lt;=5,"OPORTUNO","MUITO BOM")))</f>
        <v>MUITO BOM</v>
      </c>
      <c r="M2861">
        <v>23</v>
      </c>
      <c r="N2861">
        <v>100</v>
      </c>
      <c r="O2861">
        <v>27.04918032786885</v>
      </c>
    </row>
    <row r="2862" spans="1:15" hidden="1" x14ac:dyDescent="0.25">
      <c r="A2862" s="11">
        <v>46091</v>
      </c>
      <c r="B2862" t="s">
        <v>37</v>
      </c>
      <c r="C2862" t="s">
        <v>32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>E2862+G2862+H2862</f>
        <v>36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15</v>
      </c>
      <c r="L2862" s="3" t="str">
        <f>IF(K2862&lt;-5,"CRÍTICO",IF(K2862&lt;0,"ATENÇÃO",IF(K2862&lt;=5,"OPORTUNO","MUITO BOM")))</f>
        <v>MUITO BOM</v>
      </c>
      <c r="M2862">
        <v>35</v>
      </c>
      <c r="N2862">
        <v>97.83</v>
      </c>
      <c r="O2862">
        <v>26.315789473684209</v>
      </c>
    </row>
    <row r="2863" spans="1:15" hidden="1" x14ac:dyDescent="0.25">
      <c r="A2863" s="11">
        <v>46091</v>
      </c>
      <c r="B2863" t="s">
        <v>38</v>
      </c>
      <c r="C2863" t="s">
        <v>32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>E2863+G2863+H2863</f>
        <v>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21</v>
      </c>
      <c r="K2863" s="3">
        <f>I2863-J2863</f>
        <v>-12</v>
      </c>
      <c r="L2863" s="3" t="str">
        <f>IF(K2863&lt;-5,"CRÍTICO",IF(K2863&lt;0,"ATENÇÃO",IF(K2863&lt;=5,"OPORTUNO","MUITO BOM")))</f>
        <v>CRÍTICO</v>
      </c>
      <c r="M2863">
        <v>10</v>
      </c>
      <c r="N2863">
        <v>100</v>
      </c>
      <c r="O2863">
        <v>26.701570680628269</v>
      </c>
    </row>
    <row r="2864" spans="1:15" hidden="1" x14ac:dyDescent="0.25">
      <c r="A2864" s="11">
        <v>46091</v>
      </c>
      <c r="B2864" t="s">
        <v>55</v>
      </c>
      <c r="C2864" t="s">
        <v>48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>E2864+G2864+H2864</f>
        <v>19</v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>17</v>
      </c>
      <c r="K2864" s="3">
        <f>I2864-J2864</f>
        <v>2</v>
      </c>
      <c r="L2864" s="3" t="str">
        <f>IF(K2864&lt;-5,"CRÍTICO",IF(K2864&lt;0,"ATENÇÃO",IF(K2864&lt;=5,"OPORTUNO","MUITO BOM")))</f>
        <v>OPORTUNO</v>
      </c>
      <c r="M2864">
        <v>16</v>
      </c>
      <c r="N2864">
        <v>97.47</v>
      </c>
      <c r="O2864">
        <v>22.887323943661968</v>
      </c>
    </row>
    <row r="2865" spans="1:15" hidden="1" x14ac:dyDescent="0.25">
      <c r="A2865" s="11">
        <v>46091</v>
      </c>
      <c r="B2865" t="s">
        <v>39</v>
      </c>
      <c r="C2865" t="s">
        <v>32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v>0</v>
      </c>
      <c r="J2865" s="3">
        <v>0</v>
      </c>
      <c r="K2865" s="3">
        <v>0</v>
      </c>
      <c r="L2865" s="3" t="str">
        <f>IF(K2865&lt;-5,"CRÍTICO",IF(K2865&lt;0,"ATENÇÃO",IF(K2865&lt;=5,"OPORTUNO","MUITO BOM")))</f>
        <v>OPORTUNO</v>
      </c>
      <c r="M2865">
        <v>0</v>
      </c>
      <c r="N2865">
        <v>0</v>
      </c>
      <c r="O2865">
        <v>0</v>
      </c>
    </row>
    <row r="2866" spans="1:15" hidden="1" x14ac:dyDescent="0.25">
      <c r="A2866" s="11">
        <v>46091</v>
      </c>
      <c r="B2866" t="s">
        <v>25</v>
      </c>
      <c r="C2866" t="s">
        <v>26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>E2866+G2866+H2866</f>
        <v>8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12</v>
      </c>
      <c r="K2866" s="3">
        <f>I2866-J2866</f>
        <v>-4</v>
      </c>
      <c r="L2866" s="3" t="str">
        <f>IF(K2866&lt;-5,"CRÍTICO",IF(K2866&lt;0,"ATENÇÃO",IF(K2866&lt;=5,"OPORTUNO","MUITO BOM")))</f>
        <v>ATENÇÃO</v>
      </c>
      <c r="M2866">
        <v>8</v>
      </c>
      <c r="N2866">
        <v>98.31</v>
      </c>
      <c r="O2866">
        <v>24.920127795527151</v>
      </c>
    </row>
    <row r="2867" spans="1:15" hidden="1" x14ac:dyDescent="0.25">
      <c r="A2867" s="11">
        <v>46091</v>
      </c>
      <c r="B2867" t="s">
        <v>40</v>
      </c>
      <c r="C2867" t="s">
        <v>32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>E2867+G2867+H2867</f>
        <v>1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21</v>
      </c>
      <c r="K2867" s="3">
        <f>I2867-J2867</f>
        <v>-20</v>
      </c>
      <c r="L2867" s="3" t="str">
        <f>IF(K2867&lt;-5,"CRÍTICO",IF(K2867&lt;0,"ATENÇÃO",IF(K2867&lt;=5,"OPORTUNO","MUITO BOM")))</f>
        <v>CRÍTICO</v>
      </c>
      <c r="M2867">
        <v>14</v>
      </c>
      <c r="N2867">
        <v>96.81</v>
      </c>
      <c r="O2867">
        <v>32.365145228215773</v>
      </c>
    </row>
    <row r="2868" spans="1:15" hidden="1" x14ac:dyDescent="0.25">
      <c r="A2868" s="11">
        <v>46091</v>
      </c>
      <c r="B2868" t="s">
        <v>27</v>
      </c>
      <c r="C2868" t="s">
        <v>26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>E2868+G2868+H2868</f>
        <v>12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12</v>
      </c>
      <c r="K2868" s="3">
        <f>I2868-J2868</f>
        <v>0</v>
      </c>
      <c r="L2868" s="3" t="str">
        <f>IF(K2868&lt;-5,"CRÍTICO",IF(K2868&lt;0,"ATENÇÃO",IF(K2868&lt;=5,"OPORTUNO","MUITO BOM")))</f>
        <v>OPORTUNO</v>
      </c>
      <c r="M2868">
        <v>10</v>
      </c>
      <c r="N2868">
        <v>100</v>
      </c>
      <c r="O2868">
        <v>26.47058823529412</v>
      </c>
    </row>
    <row r="2869" spans="1:15" hidden="1" x14ac:dyDescent="0.25">
      <c r="A2869" s="11">
        <v>46091</v>
      </c>
      <c r="B2869" t="s">
        <v>41</v>
      </c>
      <c r="C2869" t="s">
        <v>32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>E2869+G2869+H2869</f>
        <v>13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21</v>
      </c>
      <c r="K2869" s="3">
        <f>I2869-J2869</f>
        <v>-8</v>
      </c>
      <c r="L2869" s="3" t="str">
        <f>IF(K2869&lt;-5,"CRÍTICO",IF(K2869&lt;0,"ATENÇÃO",IF(K2869&lt;=5,"OPORTUNO","MUITO BOM")))</f>
        <v>CRÍTICO</v>
      </c>
      <c r="M2869">
        <v>19</v>
      </c>
      <c r="N2869">
        <v>100</v>
      </c>
      <c r="O2869">
        <v>28.490028490028489</v>
      </c>
    </row>
    <row r="2870" spans="1:15" hidden="1" x14ac:dyDescent="0.25">
      <c r="A2870" s="11">
        <v>46091</v>
      </c>
      <c r="B2870" t="s">
        <v>56</v>
      </c>
      <c r="C2870" t="s">
        <v>48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>E2870+G2870+H2870</f>
        <v>22</v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>17</v>
      </c>
      <c r="K2870" s="3">
        <f>I2870-J2870</f>
        <v>5</v>
      </c>
      <c r="L2870" s="3" t="str">
        <f>IF(K2870&lt;-5,"CRÍTICO",IF(K2870&lt;0,"ATENÇÃO",IF(K2870&lt;=5,"OPORTUNO","MUITO BOM")))</f>
        <v>OPORTUNO</v>
      </c>
      <c r="M2870">
        <v>16</v>
      </c>
      <c r="N2870">
        <v>99.14</v>
      </c>
      <c r="O2870">
        <v>27.2289156626506</v>
      </c>
    </row>
    <row r="2871" spans="1:15" hidden="1" x14ac:dyDescent="0.25">
      <c r="A2871" s="11">
        <v>46091</v>
      </c>
      <c r="B2871" t="s">
        <v>57</v>
      </c>
      <c r="C2871" t="s">
        <v>48</v>
      </c>
      <c r="D2871">
        <v>30</v>
      </c>
      <c r="E2871">
        <v>29</v>
      </c>
      <c r="F2871">
        <v>21.51</v>
      </c>
      <c r="G2871">
        <v>0</v>
      </c>
      <c r="H2871">
        <v>0</v>
      </c>
      <c r="I2871" s="3">
        <v>0</v>
      </c>
      <c r="J2871" s="3">
        <v>0</v>
      </c>
      <c r="K2871" s="3">
        <v>0</v>
      </c>
      <c r="L2871" s="3" t="str">
        <f>IF(K2871&lt;-5,"CRÍTICO",IF(K2871&lt;0,"ATENÇÃO",IF(K2871&lt;=5,"OPORTUNO","MUITO BOM")))</f>
        <v>OPORTUNO</v>
      </c>
      <c r="M2871">
        <v>27</v>
      </c>
      <c r="N2871">
        <v>97.52</v>
      </c>
      <c r="O2871">
        <v>28.205128205128201</v>
      </c>
    </row>
    <row r="2872" spans="1:15" hidden="1" x14ac:dyDescent="0.25">
      <c r="A2872" s="11">
        <v>46091</v>
      </c>
      <c r="B2872" t="s">
        <v>42</v>
      </c>
      <c r="C2872" t="s">
        <v>32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>E2872+G2872+H2872</f>
        <v>30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21</v>
      </c>
      <c r="K2872" s="3">
        <f>I2872-J2872</f>
        <v>9</v>
      </c>
      <c r="L2872" s="3" t="str">
        <f>IF(K2872&lt;-5,"CRÍTICO",IF(K2872&lt;0,"ATENÇÃO",IF(K2872&lt;=5,"OPORTUNO","MUITO BOM")))</f>
        <v>MUITO BOM</v>
      </c>
      <c r="M2872">
        <v>17</v>
      </c>
      <c r="N2872">
        <v>90</v>
      </c>
      <c r="O2872">
        <v>24.186046511627911</v>
      </c>
    </row>
    <row r="2873" spans="1:15" hidden="1" x14ac:dyDescent="0.25">
      <c r="A2873" s="11">
        <v>46091</v>
      </c>
      <c r="B2873" t="s">
        <v>62</v>
      </c>
      <c r="C2873" t="s">
        <v>23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>E2873+G2873+H2873</f>
        <v>19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14</v>
      </c>
      <c r="K2873" s="3">
        <f>I2873-J2873</f>
        <v>5</v>
      </c>
      <c r="L2873" s="3" t="str">
        <f>IF(K2873&lt;-5,"CRÍTICO",IF(K2873&lt;0,"ATENÇÃO",IF(K2873&lt;=5,"OPORTUNO","MUITO BOM")))</f>
        <v>OPORTUNO</v>
      </c>
      <c r="M2873">
        <v>17</v>
      </c>
      <c r="N2873">
        <v>98.9</v>
      </c>
      <c r="O2873">
        <v>26.763990267639901</v>
      </c>
    </row>
    <row r="2874" spans="1:15" hidden="1" x14ac:dyDescent="0.25">
      <c r="A2874" s="11">
        <v>46091</v>
      </c>
      <c r="B2874" t="s">
        <v>19</v>
      </c>
      <c r="C2874" t="s">
        <v>16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>E2874+G2874+H2874</f>
        <v>8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6</v>
      </c>
      <c r="K2874" s="3">
        <f>I2874-J2874</f>
        <v>2</v>
      </c>
      <c r="L2874" s="3" t="str">
        <f>IF(K2874&lt;-5,"CRÍTICO",IF(K2874&lt;0,"ATENÇÃO",IF(K2874&lt;=5,"OPORTUNO","MUITO BOM")))</f>
        <v>OPORTUNO</v>
      </c>
      <c r="M2874">
        <v>6</v>
      </c>
      <c r="N2874">
        <v>88.89</v>
      </c>
      <c r="O2874">
        <v>25.263157894736839</v>
      </c>
    </row>
    <row r="2875" spans="1:15" hidden="1" x14ac:dyDescent="0.25">
      <c r="A2875" s="11">
        <v>46091</v>
      </c>
      <c r="B2875" t="s">
        <v>43</v>
      </c>
      <c r="C2875" t="s">
        <v>32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>E2875+G2875+H2875</f>
        <v>24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3</v>
      </c>
      <c r="L2875" s="3" t="str">
        <f>IF(K2875&lt;-5,"CRÍTICO",IF(K2875&lt;0,"ATENÇÃO",IF(K2875&lt;=5,"OPORTUNO","MUITO BOM")))</f>
        <v>OPORTUNO</v>
      </c>
      <c r="M2875">
        <v>22</v>
      </c>
      <c r="N2875">
        <v>98.86</v>
      </c>
      <c r="O2875">
        <v>28.959276018099551</v>
      </c>
    </row>
    <row r="2876" spans="1:15" hidden="1" x14ac:dyDescent="0.25">
      <c r="A2876" s="11">
        <v>46091</v>
      </c>
      <c r="B2876" t="s">
        <v>44</v>
      </c>
      <c r="C2876" t="s">
        <v>32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>E2876+G2876+H2876</f>
        <v>30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21</v>
      </c>
      <c r="K2876" s="3">
        <f>I2876-J2876</f>
        <v>9</v>
      </c>
      <c r="L2876" s="3" t="str">
        <f>IF(K2876&lt;-5,"CRÍTICO",IF(K2876&lt;0,"ATENÇÃO",IF(K2876&lt;=5,"OPORTUNO","MUITO BOM")))</f>
        <v>MUITO BOM</v>
      </c>
      <c r="M2876">
        <v>24</v>
      </c>
      <c r="N2876">
        <v>98.06</v>
      </c>
      <c r="O2876">
        <v>22.40566037735849</v>
      </c>
    </row>
    <row r="2877" spans="1:15" hidden="1" x14ac:dyDescent="0.25">
      <c r="A2877" s="11">
        <v>46091</v>
      </c>
      <c r="B2877" t="s">
        <v>20</v>
      </c>
      <c r="C2877" t="s">
        <v>16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>E2877+G2877+H2877</f>
        <v>4</v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>6</v>
      </c>
      <c r="K2877" s="3">
        <f>I2877-J2877</f>
        <v>-2</v>
      </c>
      <c r="L2877" s="3" t="str">
        <f>IF(K2877&lt;-5,"CRÍTICO",IF(K2877&lt;0,"ATENÇÃO",IF(K2877&lt;=5,"OPORTUNO","MUITO BOM")))</f>
        <v>ATENÇÃO</v>
      </c>
      <c r="M2877">
        <v>3</v>
      </c>
      <c r="N2877">
        <v>95.83</v>
      </c>
      <c r="O2877">
        <v>25.773195876288661</v>
      </c>
    </row>
    <row r="2878" spans="1:15" hidden="1" x14ac:dyDescent="0.25">
      <c r="A2878" s="11">
        <v>46091</v>
      </c>
      <c r="B2878" t="s">
        <v>28</v>
      </c>
      <c r="C2878" t="s">
        <v>26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v>0</v>
      </c>
      <c r="J2878" s="3">
        <v>0</v>
      </c>
      <c r="K2878" s="3">
        <v>0</v>
      </c>
      <c r="L2878" s="3" t="str">
        <f>IF(K2878&lt;-5,"CRÍTICO",IF(K2878&lt;0,"ATENÇÃO",IF(K2878&lt;=5,"OPORTUNO","MUITO BOM")))</f>
        <v>OPORTUNO</v>
      </c>
      <c r="M2878">
        <v>0</v>
      </c>
      <c r="N2878">
        <v>100</v>
      </c>
      <c r="O2878">
        <v>15.38461538461539</v>
      </c>
    </row>
    <row r="2879" spans="1:15" hidden="1" x14ac:dyDescent="0.25">
      <c r="A2879" s="11">
        <v>46091</v>
      </c>
      <c r="B2879" t="s">
        <v>58</v>
      </c>
      <c r="C2879" t="s">
        <v>48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>E2879+G2879+H2879</f>
        <v>22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17</v>
      </c>
      <c r="K2879" s="3">
        <f>I2879-J2879</f>
        <v>5</v>
      </c>
      <c r="L2879" s="3" t="str">
        <f>IF(K2879&lt;-5,"CRÍTICO",IF(K2879&lt;0,"ATENÇÃO",IF(K2879&lt;=5,"OPORTUNO","MUITO BOM")))</f>
        <v>OPORTUNO</v>
      </c>
      <c r="M2879">
        <v>16</v>
      </c>
      <c r="N2879">
        <v>100</v>
      </c>
      <c r="O2879">
        <v>27.514792899408281</v>
      </c>
    </row>
    <row r="2880" spans="1:15" hidden="1" x14ac:dyDescent="0.25">
      <c r="A2880" s="11">
        <v>46091</v>
      </c>
      <c r="B2880" t="s">
        <v>29</v>
      </c>
      <c r="C2880" t="s">
        <v>26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>E2880+G2880+H2880</f>
        <v>6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-6</v>
      </c>
      <c r="L2880" s="3" t="str">
        <f>IF(K2880&lt;-5,"CRÍTICO",IF(K2880&lt;0,"ATENÇÃO",IF(K2880&lt;=5,"OPORTUNO","MUITO BOM")))</f>
        <v>CRÍTICO</v>
      </c>
      <c r="M2880">
        <v>6</v>
      </c>
      <c r="N2880">
        <v>100</v>
      </c>
      <c r="O2880">
        <v>24.875621890547269</v>
      </c>
    </row>
    <row r="2881" spans="1:15" hidden="1" x14ac:dyDescent="0.25">
      <c r="A2881" s="11">
        <v>46091</v>
      </c>
      <c r="B2881" t="s">
        <v>30</v>
      </c>
      <c r="C2881" t="s">
        <v>26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>E2881+G2881+H2881</f>
        <v>8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12</v>
      </c>
      <c r="K2881" s="3">
        <f>I2881-J2881</f>
        <v>-4</v>
      </c>
      <c r="L2881" s="3" t="str">
        <f>IF(K2881&lt;-5,"CRÍTICO",IF(K2881&lt;0,"ATENÇÃO",IF(K2881&lt;=5,"OPORTUNO","MUITO BOM")))</f>
        <v>ATENÇÃO</v>
      </c>
      <c r="M2881">
        <v>8</v>
      </c>
      <c r="N2881">
        <v>100</v>
      </c>
      <c r="O2881">
        <v>28.108108108108109</v>
      </c>
    </row>
    <row r="2882" spans="1:15" hidden="1" x14ac:dyDescent="0.25">
      <c r="A2882" s="11">
        <v>46091</v>
      </c>
      <c r="B2882" t="s">
        <v>21</v>
      </c>
      <c r="C2882" t="s">
        <v>16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>
        <v>0</v>
      </c>
      <c r="N2882">
        <v>100</v>
      </c>
      <c r="O2882">
        <v>35</v>
      </c>
    </row>
    <row r="2883" spans="1:15" hidden="1" x14ac:dyDescent="0.25">
      <c r="A2883" s="11">
        <v>46091</v>
      </c>
      <c r="B2883" t="s">
        <v>63</v>
      </c>
      <c r="C2883" t="s">
        <v>23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v>0</v>
      </c>
      <c r="J2883" s="3">
        <v>0</v>
      </c>
      <c r="K2883" s="3">
        <v>0</v>
      </c>
      <c r="L2883" s="3" t="str">
        <f>IF(K2883&lt;-5,"CRÍTICO",IF(K2883&lt;0,"ATENÇÃO",IF(K2883&lt;=5,"OPORTUNO","MUITO BOM")))</f>
        <v>OPORTUNO</v>
      </c>
      <c r="M2883">
        <v>0</v>
      </c>
      <c r="N2883">
        <v>95.35</v>
      </c>
      <c r="O2883">
        <v>28.61538461538461</v>
      </c>
    </row>
    <row r="2884" spans="1:15" hidden="1" x14ac:dyDescent="0.25">
      <c r="A2884" s="11">
        <v>46091</v>
      </c>
      <c r="B2884" t="s">
        <v>45</v>
      </c>
      <c r="C2884" t="s">
        <v>32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>E2884+G2884+H2884</f>
        <v>39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21</v>
      </c>
      <c r="K2884" s="3">
        <f>I2884-J2884</f>
        <v>18</v>
      </c>
      <c r="L2884" s="3" t="str">
        <f>IF(K2884&lt;-5,"CRÍTICO",IF(K2884&lt;0,"ATENÇÃO",IF(K2884&lt;=5,"OPORTUNO","MUITO BOM")))</f>
        <v>MUITO BOM</v>
      </c>
      <c r="M2884">
        <v>38</v>
      </c>
      <c r="N2884">
        <v>98.26</v>
      </c>
      <c r="O2884">
        <v>27.54491017964072</v>
      </c>
    </row>
    <row r="2885" spans="1:15" hidden="1" x14ac:dyDescent="0.25">
      <c r="A2885" s="11">
        <v>46091</v>
      </c>
      <c r="B2885" t="s">
        <v>64</v>
      </c>
      <c r="C2885" t="s">
        <v>23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>E2885+G2885+H2885</f>
        <v>14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14</v>
      </c>
      <c r="K2885" s="3">
        <f>I2885-J2885</f>
        <v>0</v>
      </c>
      <c r="L2885" s="3" t="str">
        <f>IF(K2885&lt;-5,"CRÍTICO",IF(K2885&lt;0,"ATENÇÃO",IF(K2885&lt;=5,"OPORTUNO","MUITO BOM")))</f>
        <v>OPORTUNO</v>
      </c>
      <c r="M2885">
        <v>14</v>
      </c>
      <c r="N2885">
        <v>98.55</v>
      </c>
      <c r="O2885">
        <v>25.337837837837839</v>
      </c>
    </row>
    <row r="2886" spans="1:15" hidden="1" x14ac:dyDescent="0.25">
      <c r="A2886" s="11">
        <v>46091</v>
      </c>
      <c r="B2886" t="s">
        <v>46</v>
      </c>
      <c r="C2886" t="s">
        <v>32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>E2886+G2886+H2886</f>
        <v>22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21</v>
      </c>
      <c r="K2886" s="3">
        <f>I2886-J2886</f>
        <v>1</v>
      </c>
      <c r="L2886" s="3" t="str">
        <f>IF(K2886&lt;-5,"CRÍTICO",IF(K2886&lt;0,"ATENÇÃO",IF(K2886&lt;=5,"OPORTUNO","MUITO BOM")))</f>
        <v>OPORTUNO</v>
      </c>
      <c r="M2886">
        <v>18</v>
      </c>
      <c r="N2886">
        <v>98.39</v>
      </c>
      <c r="O2886">
        <v>25.563909774436091</v>
      </c>
    </row>
    <row r="2887" spans="1:15" hidden="1" x14ac:dyDescent="0.25">
      <c r="A2887" s="11">
        <v>46092</v>
      </c>
      <c r="B2887" t="s">
        <v>47</v>
      </c>
      <c r="C2887" t="s">
        <v>48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>E2887+G2887+H2887</f>
        <v>33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20</v>
      </c>
      <c r="K2887" s="3">
        <f>I2887-J2887</f>
        <v>13</v>
      </c>
      <c r="L2887" s="3" t="str">
        <f>IF(K2887&lt;-5,"CRÍTICO",IF(K2887&lt;0,"ATENÇÃO",IF(K2887&lt;=5,"OPORTUNO","MUITO BOM")))</f>
        <v>MUITO BOM</v>
      </c>
      <c r="M2887">
        <v>24</v>
      </c>
      <c r="N2887">
        <v>94.29</v>
      </c>
      <c r="O2887">
        <v>25.647668393782389</v>
      </c>
    </row>
    <row r="2888" spans="1:15" hidden="1" x14ac:dyDescent="0.25">
      <c r="A2888" s="11">
        <v>46092</v>
      </c>
      <c r="B2888" t="s">
        <v>31</v>
      </c>
      <c r="C2888" t="s">
        <v>32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v>0</v>
      </c>
      <c r="J2888" s="3">
        <v>0</v>
      </c>
      <c r="K2888" s="3">
        <v>0</v>
      </c>
      <c r="L2888" s="3" t="str">
        <f>IF(K2888&lt;-5,"CRÍTICO",IF(K2888&lt;0,"ATENÇÃO",IF(K2888&lt;=5,"OPORTUNO","MUITO BOM")))</f>
        <v>OPORTUNO</v>
      </c>
      <c r="M2888">
        <v>18</v>
      </c>
      <c r="N2888">
        <v>98.26</v>
      </c>
      <c r="O2888">
        <v>26.666666666666671</v>
      </c>
    </row>
    <row r="2889" spans="1:15" hidden="1" x14ac:dyDescent="0.25">
      <c r="A2889" s="11">
        <v>46092</v>
      </c>
      <c r="B2889" t="s">
        <v>59</v>
      </c>
      <c r="C2889" t="s">
        <v>23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>E2889+G2889+H2889</f>
        <v>17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16</v>
      </c>
      <c r="K2889" s="3">
        <f>I2889-J2889</f>
        <v>1</v>
      </c>
      <c r="L2889" s="3" t="str">
        <f>IF(K2889&lt;-5,"CRÍTICO",IF(K2889&lt;0,"ATENÇÃO",IF(K2889&lt;=5,"OPORTUNO","MUITO BOM")))</f>
        <v>OPORTUNO</v>
      </c>
      <c r="M2889">
        <v>16</v>
      </c>
      <c r="N2889">
        <v>98.2</v>
      </c>
      <c r="O2889">
        <v>23.37962962962963</v>
      </c>
    </row>
    <row r="2890" spans="1:15" hidden="1" x14ac:dyDescent="0.25">
      <c r="A2890" s="11">
        <v>46092</v>
      </c>
      <c r="B2890" t="s">
        <v>33</v>
      </c>
      <c r="C2890" t="s">
        <v>32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>E2890+G2890+H2890</f>
        <v>29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25</v>
      </c>
      <c r="K2890" s="3">
        <f>I2890-J2890</f>
        <v>4</v>
      </c>
      <c r="L2890" s="3" t="str">
        <f>IF(K2890&lt;-5,"CRÍTICO",IF(K2890&lt;0,"ATENÇÃO",IF(K2890&lt;=5,"OPORTUNO","MUITO BOM")))</f>
        <v>OPORTUNO</v>
      </c>
      <c r="M2890">
        <v>24</v>
      </c>
      <c r="N2890">
        <v>97.3</v>
      </c>
      <c r="O2890">
        <v>23.84769539078156</v>
      </c>
    </row>
    <row r="2891" spans="1:15" hidden="1" x14ac:dyDescent="0.25">
      <c r="A2891" s="11">
        <v>46092</v>
      </c>
      <c r="B2891" t="s">
        <v>15</v>
      </c>
      <c r="C2891" t="s">
        <v>16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>E2891+G2891+H2891</f>
        <v>8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7</v>
      </c>
      <c r="K2891" s="3">
        <f>I2891-J2891</f>
        <v>1</v>
      </c>
      <c r="L2891" s="3" t="str">
        <f>IF(K2891&lt;-5,"CRÍTICO",IF(K2891&lt;0,"ATENÇÃO",IF(K2891&lt;=5,"OPORTUNO","MUITO BOM")))</f>
        <v>OPORTUNO</v>
      </c>
      <c r="M2891">
        <v>7</v>
      </c>
      <c r="N2891">
        <v>100</v>
      </c>
      <c r="O2891">
        <v>25.268817204301079</v>
      </c>
    </row>
    <row r="2892" spans="1:15" hidden="1" x14ac:dyDescent="0.25">
      <c r="A2892" s="11">
        <v>46092</v>
      </c>
      <c r="B2892" t="s">
        <v>49</v>
      </c>
      <c r="C2892" t="s">
        <v>48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>E2892+G2892+H2892</f>
        <v>33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13</v>
      </c>
      <c r="L2892" s="3" t="str">
        <f>IF(K2892&lt;-5,"CRÍTICO",IF(K2892&lt;0,"ATENÇÃO",IF(K2892&lt;=5,"OPORTUNO","MUITO BOM")))</f>
        <v>MUITO BOM</v>
      </c>
      <c r="M2892">
        <v>33</v>
      </c>
      <c r="N2892">
        <v>99.32</v>
      </c>
      <c r="O2892">
        <v>22.822822822822818</v>
      </c>
    </row>
    <row r="2893" spans="1:15" hidden="1" x14ac:dyDescent="0.25">
      <c r="A2893" s="11">
        <v>46092</v>
      </c>
      <c r="B2893" t="s">
        <v>50</v>
      </c>
      <c r="C2893" t="s">
        <v>48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>E2893+G2893+H2893</f>
        <v>11</v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>20</v>
      </c>
      <c r="K2893" s="3">
        <f>I2893-J2893</f>
        <v>-9</v>
      </c>
      <c r="L2893" s="3" t="str">
        <f>IF(K2893&lt;-5,"CRÍTICO",IF(K2893&lt;0,"ATENÇÃO",IF(K2893&lt;=5,"OPORTUNO","MUITO BOM")))</f>
        <v>CRÍTICO</v>
      </c>
      <c r="M2893">
        <v>11</v>
      </c>
      <c r="N2893">
        <v>100</v>
      </c>
      <c r="O2893">
        <v>27.966101694915249</v>
      </c>
    </row>
    <row r="2894" spans="1:15" hidden="1" x14ac:dyDescent="0.25">
      <c r="A2894" s="11">
        <v>46092</v>
      </c>
      <c r="B2894" t="s">
        <v>17</v>
      </c>
      <c r="C2894" t="s">
        <v>16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v>0</v>
      </c>
      <c r="J2894" s="3">
        <v>0</v>
      </c>
      <c r="K2894" s="3">
        <v>0</v>
      </c>
      <c r="L2894" s="3" t="str">
        <f>IF(K2894&lt;-5,"CRÍTICO",IF(K2894&lt;0,"ATENÇÃO",IF(K2894&lt;=5,"OPORTUNO","MUITO BOM")))</f>
        <v>OPORTUNO</v>
      </c>
      <c r="M2894">
        <v>0</v>
      </c>
      <c r="N2894">
        <v>100</v>
      </c>
      <c r="O2894">
        <v>30.434782608695659</v>
      </c>
    </row>
    <row r="2895" spans="1:15" hidden="1" x14ac:dyDescent="0.25">
      <c r="A2895" s="11">
        <v>46092</v>
      </c>
      <c r="B2895" t="s">
        <v>60</v>
      </c>
      <c r="C2895" t="s">
        <v>23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>E2895+G2895+H2895</f>
        <v>18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16</v>
      </c>
      <c r="K2895" s="3">
        <f>I2895-J2895</f>
        <v>2</v>
      </c>
      <c r="L2895" s="3" t="str">
        <f>IF(K2895&lt;-5,"CRÍTICO",IF(K2895&lt;0,"ATENÇÃO",IF(K2895&lt;=5,"OPORTUNO","MUITO BOM")))</f>
        <v>OPORTUNO</v>
      </c>
      <c r="M2895">
        <v>17</v>
      </c>
      <c r="N2895">
        <v>96.51</v>
      </c>
      <c r="O2895">
        <v>22.802850356294542</v>
      </c>
    </row>
    <row r="2896" spans="1:15" hidden="1" x14ac:dyDescent="0.25">
      <c r="A2896" s="11">
        <v>46092</v>
      </c>
      <c r="B2896" t="s">
        <v>34</v>
      </c>
      <c r="C2896" t="s">
        <v>32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>
        <v>12</v>
      </c>
      <c r="N2896">
        <v>92.68</v>
      </c>
      <c r="O2896">
        <v>27.777777777777779</v>
      </c>
    </row>
    <row r="2897" spans="1:15" hidden="1" x14ac:dyDescent="0.25">
      <c r="A2897" s="11">
        <v>46092</v>
      </c>
      <c r="B2897" t="s">
        <v>51</v>
      </c>
      <c r="C2897" t="s">
        <v>48</v>
      </c>
      <c r="D2897">
        <v>25</v>
      </c>
      <c r="E2897">
        <v>22</v>
      </c>
      <c r="F2897">
        <v>24.08</v>
      </c>
      <c r="G2897">
        <v>0</v>
      </c>
      <c r="H2897">
        <v>0</v>
      </c>
      <c r="I2897" s="3">
        <v>0</v>
      </c>
      <c r="J2897" s="3">
        <v>0</v>
      </c>
      <c r="K2897" s="3">
        <v>0</v>
      </c>
      <c r="L2897" s="3" t="str">
        <f>IF(K2897&lt;-5,"CRÍTICO",IF(K2897&lt;0,"ATENÇÃO",IF(K2897&lt;=5,"OPORTUNO","MUITO BOM")))</f>
        <v>OPORTUNO</v>
      </c>
      <c r="M2897">
        <v>18</v>
      </c>
      <c r="N2897">
        <v>99.03</v>
      </c>
      <c r="O2897">
        <v>23.991507430997881</v>
      </c>
    </row>
    <row r="2898" spans="1:15" hidden="1" x14ac:dyDescent="0.25">
      <c r="A2898" s="11">
        <v>46092</v>
      </c>
      <c r="B2898" t="s">
        <v>61</v>
      </c>
      <c r="C2898" t="s">
        <v>23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>E2898+G2898+H2898</f>
        <v>15</v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>16</v>
      </c>
      <c r="K2898" s="3">
        <f>I2898-J2898</f>
        <v>-1</v>
      </c>
      <c r="L2898" s="3" t="str">
        <f>IF(K2898&lt;-5,"CRÍTICO",IF(K2898&lt;0,"ATENÇÃO",IF(K2898&lt;=5,"OPORTUNO","MUITO BOM")))</f>
        <v>ATENÇÃO</v>
      </c>
      <c r="M2898">
        <v>11</v>
      </c>
      <c r="N2898">
        <v>98.41</v>
      </c>
      <c r="O2898">
        <v>28.138528138528141</v>
      </c>
    </row>
    <row r="2899" spans="1:15" hidden="1" x14ac:dyDescent="0.25">
      <c r="A2899" s="11">
        <v>46092</v>
      </c>
      <c r="B2899" t="s">
        <v>35</v>
      </c>
      <c r="C2899" t="s">
        <v>32</v>
      </c>
      <c r="D2899">
        <v>28</v>
      </c>
      <c r="E2899">
        <v>26</v>
      </c>
      <c r="F2899">
        <v>26.51</v>
      </c>
      <c r="G2899">
        <v>0</v>
      </c>
      <c r="H2899">
        <v>0</v>
      </c>
      <c r="I2899" s="3">
        <v>0</v>
      </c>
      <c r="J2899" s="3">
        <v>0</v>
      </c>
      <c r="K2899" s="3">
        <v>0</v>
      </c>
      <c r="L2899" s="3" t="str">
        <f>IF(K2899&lt;-5,"CRÍTICO",IF(K2899&lt;0,"ATENÇÃO",IF(K2899&lt;=5,"OPORTUNO","MUITO BOM")))</f>
        <v>OPORTUNO</v>
      </c>
      <c r="M2899">
        <v>28</v>
      </c>
      <c r="N2899">
        <v>98.73</v>
      </c>
      <c r="O2899">
        <v>29.142857142857139</v>
      </c>
    </row>
    <row r="2900" spans="1:15" hidden="1" x14ac:dyDescent="0.25">
      <c r="A2900" s="11">
        <v>46092</v>
      </c>
      <c r="B2900" t="s">
        <v>18</v>
      </c>
      <c r="C2900" t="s">
        <v>16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>E2900+G2900+H2900</f>
        <v>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7</v>
      </c>
      <c r="K2900" s="3">
        <f>I2900-J2900</f>
        <v>-1</v>
      </c>
      <c r="L2900" s="3" t="str">
        <f>IF(K2900&lt;-5,"CRÍTICO",IF(K2900&lt;0,"ATENÇÃO",IF(K2900&lt;=5,"OPORTUNO","MUITO BOM")))</f>
        <v>ATENÇÃO</v>
      </c>
      <c r="M2900">
        <v>5</v>
      </c>
      <c r="N2900">
        <v>90.48</v>
      </c>
      <c r="O2900">
        <v>20.68965517241379</v>
      </c>
    </row>
    <row r="2901" spans="1:15" hidden="1" x14ac:dyDescent="0.25">
      <c r="A2901" s="11">
        <v>46092</v>
      </c>
      <c r="B2901" t="s">
        <v>52</v>
      </c>
      <c r="C2901" t="s">
        <v>48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>E2901+G2901+H2901</f>
        <v>16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20</v>
      </c>
      <c r="K2901" s="3">
        <f>I2901-J2901</f>
        <v>-4</v>
      </c>
      <c r="L2901" s="3" t="str">
        <f>IF(K2901&lt;-5,"CRÍTICO",IF(K2901&lt;0,"ATENÇÃO",IF(K2901&lt;=5,"OPORTUNO","MUITO BOM")))</f>
        <v>ATENÇÃO</v>
      </c>
      <c r="M2901">
        <v>14</v>
      </c>
      <c r="N2901">
        <v>98.06</v>
      </c>
      <c r="O2901">
        <v>24.789915966386559</v>
      </c>
    </row>
    <row r="2902" spans="1:15" hidden="1" x14ac:dyDescent="0.25">
      <c r="A2902" s="11">
        <v>46092</v>
      </c>
      <c r="B2902" t="s">
        <v>36</v>
      </c>
      <c r="C2902" t="s">
        <v>32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>E2902+G2902+H2902</f>
        <v>28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25</v>
      </c>
      <c r="K2902" s="3">
        <f>I2902-J2902</f>
        <v>3</v>
      </c>
      <c r="L2902" s="3" t="str">
        <f>IF(K2902&lt;-5,"CRÍTICO",IF(K2902&lt;0,"ATENÇÃO",IF(K2902&lt;=5,"OPORTUNO","MUITO BOM")))</f>
        <v>OPORTUNO</v>
      </c>
      <c r="M2902">
        <v>26</v>
      </c>
      <c r="N2902">
        <v>97.78</v>
      </c>
      <c r="O2902">
        <v>25.494071146245059</v>
      </c>
    </row>
    <row r="2903" spans="1:15" hidden="1" x14ac:dyDescent="0.25">
      <c r="A2903" s="11">
        <v>46092</v>
      </c>
      <c r="B2903" t="s">
        <v>53</v>
      </c>
      <c r="C2903" t="s">
        <v>48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>E2903+G2903+H2903</f>
        <v>33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13</v>
      </c>
      <c r="L2903" s="3" t="str">
        <f>IF(K2903&lt;-5,"CRÍTICO",IF(K2903&lt;0,"ATENÇÃO",IF(K2903&lt;=5,"OPORTUNO","MUITO BOM")))</f>
        <v>MUITO BOM</v>
      </c>
      <c r="M2903">
        <v>27</v>
      </c>
      <c r="N2903">
        <v>98.02</v>
      </c>
      <c r="O2903">
        <v>23.484848484848481</v>
      </c>
    </row>
    <row r="2904" spans="1:15" hidden="1" x14ac:dyDescent="0.25">
      <c r="A2904" s="11">
        <v>46126</v>
      </c>
      <c r="B2904" t="s">
        <v>22</v>
      </c>
      <c r="C2904" t="s">
        <v>23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>E2904+G2904+H2904</f>
        <v>29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9</v>
      </c>
      <c r="L2904" s="3" t="str">
        <f>IF(K2904&lt;-5,"CRÍTICO",IF(K2904&lt;0,"ATENÇÃO",IF(K2904&lt;=5,"OPORTUNO","MUITO BOM")))</f>
        <v>MUITO BOM</v>
      </c>
      <c r="M2904">
        <v>27</v>
      </c>
      <c r="N2904">
        <v>99.28</v>
      </c>
      <c r="O2904">
        <v>27.689243027888441</v>
      </c>
    </row>
    <row r="2905" spans="1:15" hidden="1" x14ac:dyDescent="0.25">
      <c r="A2905" s="11">
        <v>46092</v>
      </c>
      <c r="B2905" t="s">
        <v>54</v>
      </c>
      <c r="C2905" t="s">
        <v>48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>E2905+G2905+H2905</f>
        <v>24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20</v>
      </c>
      <c r="K2905" s="3">
        <f>I2905-J2905</f>
        <v>4</v>
      </c>
      <c r="L2905" s="3" t="str">
        <f>IF(K2905&lt;-5,"CRÍTICO",IF(K2905&lt;0,"ATENÇÃO",IF(K2905&lt;=5,"OPORTUNO","MUITO BOM")))</f>
        <v>OPORTUNO</v>
      </c>
      <c r="M2905">
        <v>20</v>
      </c>
      <c r="N2905">
        <v>100</v>
      </c>
      <c r="O2905">
        <v>27.04918032786885</v>
      </c>
    </row>
    <row r="2906" spans="1:15" hidden="1" x14ac:dyDescent="0.25">
      <c r="A2906" s="11">
        <v>46092</v>
      </c>
      <c r="B2906" t="s">
        <v>37</v>
      </c>
      <c r="C2906" t="s">
        <v>32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>E2906+G2906+H2906</f>
        <v>39</v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>25</v>
      </c>
      <c r="K2906" s="3">
        <f>I2906-J2906</f>
        <v>14</v>
      </c>
      <c r="L2906" s="3" t="str">
        <f>IF(K2906&lt;-5,"CRÍTICO",IF(K2906&lt;0,"ATENÇÃO",IF(K2906&lt;=5,"OPORTUNO","MUITO BOM")))</f>
        <v>MUITO BOM</v>
      </c>
      <c r="M2906">
        <v>33</v>
      </c>
      <c r="N2906">
        <v>97.83</v>
      </c>
      <c r="O2906">
        <v>26.315789473684209</v>
      </c>
    </row>
    <row r="2907" spans="1:15" hidden="1" x14ac:dyDescent="0.25">
      <c r="A2907" s="11">
        <v>46092</v>
      </c>
      <c r="B2907" t="s">
        <v>38</v>
      </c>
      <c r="C2907" t="s">
        <v>32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v>0</v>
      </c>
      <c r="J2907" s="3">
        <v>0</v>
      </c>
      <c r="K2907" s="3">
        <v>0</v>
      </c>
      <c r="L2907" s="3" t="str">
        <f>IF(K2907&lt;-5,"CRÍTICO",IF(K2907&lt;0,"ATENÇÃO",IF(K2907&lt;=5,"OPORTUNO","MUITO BOM")))</f>
        <v>OPORTUNO</v>
      </c>
      <c r="M2907">
        <v>6</v>
      </c>
      <c r="N2907">
        <v>100</v>
      </c>
      <c r="O2907">
        <v>26.701570680628269</v>
      </c>
    </row>
    <row r="2908" spans="1:15" hidden="1" x14ac:dyDescent="0.25">
      <c r="A2908" s="11">
        <v>46092</v>
      </c>
      <c r="B2908" t="s">
        <v>55</v>
      </c>
      <c r="C2908" t="s">
        <v>48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>E2908+G2908+H2908</f>
        <v>24</v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>20</v>
      </c>
      <c r="K2908" s="3">
        <f>I2908-J2908</f>
        <v>4</v>
      </c>
      <c r="L2908" s="3" t="str">
        <f>IF(K2908&lt;-5,"CRÍTICO",IF(K2908&lt;0,"ATENÇÃO",IF(K2908&lt;=5,"OPORTUNO","MUITO BOM")))</f>
        <v>OPORTUNO</v>
      </c>
      <c r="M2908">
        <v>19</v>
      </c>
      <c r="N2908">
        <v>97.47</v>
      </c>
      <c r="O2908">
        <v>22.887323943661968</v>
      </c>
    </row>
    <row r="2909" spans="1:15" hidden="1" x14ac:dyDescent="0.25">
      <c r="A2909" s="11">
        <v>46092</v>
      </c>
      <c r="B2909" t="s">
        <v>39</v>
      </c>
      <c r="C2909" t="s">
        <v>32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v>0</v>
      </c>
      <c r="J2909" s="3">
        <v>0</v>
      </c>
      <c r="K2909" s="3">
        <v>0</v>
      </c>
      <c r="L2909" s="3" t="str">
        <f>IF(K2909&lt;-5,"CRÍTICO",IF(K2909&lt;0,"ATENÇÃO",IF(K2909&lt;=5,"OPORTUNO","MUITO BOM")))</f>
        <v>OPORTUNO</v>
      </c>
      <c r="M2909">
        <v>0</v>
      </c>
      <c r="N2909">
        <v>0</v>
      </c>
      <c r="O2909">
        <v>0</v>
      </c>
    </row>
    <row r="2910" spans="1:15" hidden="1" x14ac:dyDescent="0.25">
      <c r="A2910" s="11">
        <v>46092</v>
      </c>
      <c r="B2910" t="s">
        <v>25</v>
      </c>
      <c r="C2910" t="s">
        <v>26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>E2910+G2910+H2910</f>
        <v>6</v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>14</v>
      </c>
      <c r="K2910" s="3">
        <f>I2910-J2910</f>
        <v>-8</v>
      </c>
      <c r="L2910" s="3" t="str">
        <f>IF(K2910&lt;-5,"CRÍTICO",IF(K2910&lt;0,"ATENÇÃO",IF(K2910&lt;=5,"OPORTUNO","MUITO BOM")))</f>
        <v>CRÍTICO</v>
      </c>
      <c r="M2910">
        <v>6</v>
      </c>
      <c r="N2910">
        <v>98.31</v>
      </c>
      <c r="O2910">
        <v>24.920127795527151</v>
      </c>
    </row>
    <row r="2911" spans="1:15" hidden="1" x14ac:dyDescent="0.25">
      <c r="A2911" s="11">
        <v>46092</v>
      </c>
      <c r="B2911" t="s">
        <v>40</v>
      </c>
      <c r="C2911" t="s">
        <v>32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v>0</v>
      </c>
      <c r="J2911" s="3">
        <v>0</v>
      </c>
      <c r="K2911" s="3">
        <v>0</v>
      </c>
      <c r="L2911" s="3" t="str">
        <f>IF(K2911&lt;-5,"CRÍTICO",IF(K2911&lt;0,"ATENÇÃO",IF(K2911&lt;=5,"OPORTUNO","MUITO BOM")))</f>
        <v>OPORTUNO</v>
      </c>
      <c r="M2911">
        <v>1</v>
      </c>
      <c r="N2911">
        <v>96.81</v>
      </c>
      <c r="O2911">
        <v>32.365145228215773</v>
      </c>
    </row>
    <row r="2912" spans="1:15" hidden="1" x14ac:dyDescent="0.25">
      <c r="A2912" s="11">
        <v>46092</v>
      </c>
      <c r="B2912" t="s">
        <v>27</v>
      </c>
      <c r="C2912" t="s">
        <v>26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>E2912+G2912+H2912</f>
        <v>11</v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>14</v>
      </c>
      <c r="K2912" s="3">
        <f>I2912-J2912</f>
        <v>-3</v>
      </c>
      <c r="L2912" s="3" t="str">
        <f>IF(K2912&lt;-5,"CRÍTICO",IF(K2912&lt;0,"ATENÇÃO",IF(K2912&lt;=5,"OPORTUNO","MUITO BOM")))</f>
        <v>ATENÇÃO</v>
      </c>
      <c r="M2912">
        <v>7</v>
      </c>
      <c r="N2912">
        <v>100</v>
      </c>
      <c r="O2912">
        <v>26.47058823529412</v>
      </c>
    </row>
    <row r="2913" spans="1:15" hidden="1" x14ac:dyDescent="0.25">
      <c r="A2913" s="11">
        <v>46092</v>
      </c>
      <c r="B2913" t="s">
        <v>41</v>
      </c>
      <c r="C2913" t="s">
        <v>32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v>0</v>
      </c>
      <c r="J2913" s="3">
        <v>0</v>
      </c>
      <c r="K2913" s="3">
        <v>0</v>
      </c>
      <c r="L2913" s="3" t="str">
        <f>IF(K2913&lt;-5,"CRÍTICO",IF(K2913&lt;0,"ATENÇÃO",IF(K2913&lt;=5,"OPORTUNO","MUITO BOM")))</f>
        <v>OPORTUNO</v>
      </c>
      <c r="M2913">
        <v>5</v>
      </c>
      <c r="N2913">
        <v>100</v>
      </c>
      <c r="O2913">
        <v>28.490028490028489</v>
      </c>
    </row>
    <row r="2914" spans="1:15" hidden="1" x14ac:dyDescent="0.25">
      <c r="A2914" s="11">
        <v>46092</v>
      </c>
      <c r="B2914" t="s">
        <v>56</v>
      </c>
      <c r="C2914" t="s">
        <v>48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>E2914+G2914+H2914</f>
        <v>34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20</v>
      </c>
      <c r="K2914" s="3">
        <f>I2914-J2914</f>
        <v>14</v>
      </c>
      <c r="L2914" s="3" t="str">
        <f>IF(K2914&lt;-5,"CRÍTICO",IF(K2914&lt;0,"ATENÇÃO",IF(K2914&lt;=5,"OPORTUNO","MUITO BOM")))</f>
        <v>MUITO BOM</v>
      </c>
      <c r="M2914">
        <v>18</v>
      </c>
      <c r="N2914">
        <v>99.14</v>
      </c>
      <c r="O2914">
        <v>27.2289156626506</v>
      </c>
    </row>
    <row r="2915" spans="1:15" hidden="1" x14ac:dyDescent="0.25">
      <c r="A2915" s="11">
        <v>46092</v>
      </c>
      <c r="B2915" t="s">
        <v>57</v>
      </c>
      <c r="C2915" t="s">
        <v>48</v>
      </c>
      <c r="D2915">
        <v>29</v>
      </c>
      <c r="E2915">
        <v>26</v>
      </c>
      <c r="F2915">
        <v>20.59</v>
      </c>
      <c r="G2915">
        <v>0</v>
      </c>
      <c r="H2915">
        <v>0</v>
      </c>
      <c r="I2915" s="3">
        <v>0</v>
      </c>
      <c r="J2915" s="3">
        <v>0</v>
      </c>
      <c r="K2915" s="3">
        <v>0</v>
      </c>
      <c r="L2915" s="3" t="str">
        <f>IF(K2915&lt;-5,"CRÍTICO",IF(K2915&lt;0,"ATENÇÃO",IF(K2915&lt;=5,"OPORTUNO","MUITO BOM")))</f>
        <v>OPORTUNO</v>
      </c>
      <c r="M2915">
        <v>18</v>
      </c>
      <c r="N2915">
        <v>97.52</v>
      </c>
      <c r="O2915">
        <v>28.205128205128201</v>
      </c>
    </row>
    <row r="2916" spans="1:15" hidden="1" x14ac:dyDescent="0.25">
      <c r="A2916" s="11">
        <v>46092</v>
      </c>
      <c r="B2916" t="s">
        <v>42</v>
      </c>
      <c r="C2916" t="s">
        <v>32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>E2916+G2916+H2916</f>
        <v>50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25</v>
      </c>
      <c r="K2916" s="3">
        <f>I2916-J2916</f>
        <v>25</v>
      </c>
      <c r="L2916" s="3" t="str">
        <f>IF(K2916&lt;-5,"CRÍTICO",IF(K2916&lt;0,"ATENÇÃO",IF(K2916&lt;=5,"OPORTUNO","MUITO BOM")))</f>
        <v>MUITO BOM</v>
      </c>
      <c r="M2916">
        <v>25</v>
      </c>
      <c r="N2916">
        <v>90</v>
      </c>
      <c r="O2916">
        <v>24.186046511627911</v>
      </c>
    </row>
    <row r="2917" spans="1:15" hidden="1" x14ac:dyDescent="0.25">
      <c r="A2917" s="11">
        <v>46092</v>
      </c>
      <c r="B2917" t="s">
        <v>62</v>
      </c>
      <c r="C2917" t="s">
        <v>23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>E2917+G2917+H2917</f>
        <v>14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16</v>
      </c>
      <c r="K2917" s="3">
        <f>I2917-J2917</f>
        <v>-2</v>
      </c>
      <c r="L2917" s="3" t="str">
        <f>IF(K2917&lt;-5,"CRÍTICO",IF(K2917&lt;0,"ATENÇÃO",IF(K2917&lt;=5,"OPORTUNO","MUITO BOM")))</f>
        <v>ATENÇÃO</v>
      </c>
      <c r="M2917">
        <v>12</v>
      </c>
      <c r="N2917">
        <v>98.9</v>
      </c>
      <c r="O2917">
        <v>26.763990267639901</v>
      </c>
    </row>
    <row r="2918" spans="1:15" hidden="1" x14ac:dyDescent="0.25">
      <c r="A2918" s="11">
        <v>46092</v>
      </c>
      <c r="B2918" t="s">
        <v>19</v>
      </c>
      <c r="C2918" t="s">
        <v>16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v>0</v>
      </c>
      <c r="J2918" s="3">
        <v>0</v>
      </c>
      <c r="K2918" s="3">
        <v>0</v>
      </c>
      <c r="L2918" s="3" t="str">
        <f>IF(K2918&lt;-5,"CRÍTICO",IF(K2918&lt;0,"ATENÇÃO",IF(K2918&lt;=5,"OPORTUNO","MUITO BOM")))</f>
        <v>OPORTUNO</v>
      </c>
      <c r="M2918">
        <v>0</v>
      </c>
      <c r="N2918">
        <v>88.89</v>
      </c>
      <c r="O2918">
        <v>25.263157894736839</v>
      </c>
    </row>
    <row r="2919" spans="1:15" hidden="1" x14ac:dyDescent="0.25">
      <c r="A2919" s="11">
        <v>46092</v>
      </c>
      <c r="B2919" t="s">
        <v>43</v>
      </c>
      <c r="C2919" t="s">
        <v>32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>E2919+G2919+H2919</f>
        <v>36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11</v>
      </c>
      <c r="L2919" s="3" t="str">
        <f>IF(K2919&lt;-5,"CRÍTICO",IF(K2919&lt;0,"ATENÇÃO",IF(K2919&lt;=5,"OPORTUNO","MUITO BOM")))</f>
        <v>MUITO BOM</v>
      </c>
      <c r="M2919">
        <v>33</v>
      </c>
      <c r="N2919">
        <v>98.86</v>
      </c>
      <c r="O2919">
        <v>28.959276018099551</v>
      </c>
    </row>
    <row r="2920" spans="1:15" hidden="1" x14ac:dyDescent="0.25">
      <c r="A2920" s="11">
        <v>46092</v>
      </c>
      <c r="B2920" t="s">
        <v>44</v>
      </c>
      <c r="C2920" t="s">
        <v>32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>E2920+G2920+H2920</f>
        <v>29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25</v>
      </c>
      <c r="K2920" s="3">
        <f>I2920-J2920</f>
        <v>4</v>
      </c>
      <c r="L2920" s="3" t="str">
        <f>IF(K2920&lt;-5,"CRÍTICO",IF(K2920&lt;0,"ATENÇÃO",IF(K2920&lt;=5,"OPORTUNO","MUITO BOM")))</f>
        <v>OPORTUNO</v>
      </c>
      <c r="M2920">
        <v>23</v>
      </c>
      <c r="N2920">
        <v>98.06</v>
      </c>
      <c r="O2920">
        <v>22.40566037735849</v>
      </c>
    </row>
    <row r="2921" spans="1:15" hidden="1" x14ac:dyDescent="0.25">
      <c r="A2921" s="11">
        <v>46092</v>
      </c>
      <c r="B2921" t="s">
        <v>20</v>
      </c>
      <c r="C2921" t="s">
        <v>16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>E2921+G2921+H2921</f>
        <v>5</v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>7</v>
      </c>
      <c r="K2921" s="3">
        <f>I2921-J2921</f>
        <v>-2</v>
      </c>
      <c r="L2921" s="3" t="str">
        <f>IF(K2921&lt;-5,"CRÍTICO",IF(K2921&lt;0,"ATENÇÃO",IF(K2921&lt;=5,"OPORTUNO","MUITO BOM")))</f>
        <v>ATENÇÃO</v>
      </c>
      <c r="M2921">
        <v>5</v>
      </c>
      <c r="N2921">
        <v>95.83</v>
      </c>
      <c r="O2921">
        <v>25.773195876288661</v>
      </c>
    </row>
    <row r="2922" spans="1:15" hidden="1" x14ac:dyDescent="0.25">
      <c r="A2922" s="11">
        <v>46092</v>
      </c>
      <c r="B2922" t="s">
        <v>28</v>
      </c>
      <c r="C2922" t="s">
        <v>26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v>0</v>
      </c>
      <c r="J2922" s="3">
        <v>0</v>
      </c>
      <c r="K2922" s="3">
        <v>0</v>
      </c>
      <c r="L2922" s="3" t="str">
        <f>IF(K2922&lt;-5,"CRÍTICO",IF(K2922&lt;0,"ATENÇÃO",IF(K2922&lt;=5,"OPORTUNO","MUITO BOM")))</f>
        <v>OPORTUNO</v>
      </c>
      <c r="M2922">
        <v>0</v>
      </c>
      <c r="N2922">
        <v>100</v>
      </c>
      <c r="O2922">
        <v>15.38461538461539</v>
      </c>
    </row>
    <row r="2923" spans="1:15" hidden="1" x14ac:dyDescent="0.25">
      <c r="A2923" s="11">
        <v>46092</v>
      </c>
      <c r="B2923" t="s">
        <v>58</v>
      </c>
      <c r="C2923" t="s">
        <v>48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>E2923+G2923+H2923</f>
        <v>11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20</v>
      </c>
      <c r="K2923" s="3">
        <f>I2923-J2923</f>
        <v>-9</v>
      </c>
      <c r="L2923" s="3" t="str">
        <f>IF(K2923&lt;-5,"CRÍTICO",IF(K2923&lt;0,"ATENÇÃO",IF(K2923&lt;=5,"OPORTUNO","MUITO BOM")))</f>
        <v>CRÍTICO</v>
      </c>
      <c r="M2923">
        <v>9</v>
      </c>
      <c r="N2923">
        <v>100</v>
      </c>
      <c r="O2923">
        <v>27.514792899408281</v>
      </c>
    </row>
    <row r="2924" spans="1:15" hidden="1" x14ac:dyDescent="0.25">
      <c r="A2924" s="11">
        <v>46092</v>
      </c>
      <c r="B2924" t="s">
        <v>29</v>
      </c>
      <c r="C2924" t="s">
        <v>26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>E2924+G2924+H2924</f>
        <v>8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-6</v>
      </c>
      <c r="L2924" s="3" t="str">
        <f>IF(K2924&lt;-5,"CRÍTICO",IF(K2924&lt;0,"ATENÇÃO",IF(K2924&lt;=5,"OPORTUNO","MUITO BOM")))</f>
        <v>CRÍTICO</v>
      </c>
      <c r="M2924">
        <v>7</v>
      </c>
      <c r="N2924">
        <v>100</v>
      </c>
      <c r="O2924">
        <v>24.875621890547269</v>
      </c>
    </row>
    <row r="2925" spans="1:15" hidden="1" x14ac:dyDescent="0.25">
      <c r="A2925" s="11">
        <v>46092</v>
      </c>
      <c r="B2925" t="s">
        <v>30</v>
      </c>
      <c r="C2925" t="s">
        <v>26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>E2925+G2925+H2925</f>
        <v>13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14</v>
      </c>
      <c r="K2925" s="3">
        <f>I2925-J2925</f>
        <v>-1</v>
      </c>
      <c r="L2925" s="3" t="str">
        <f>IF(K2925&lt;-5,"CRÍTICO",IF(K2925&lt;0,"ATENÇÃO",IF(K2925&lt;=5,"OPORTUNO","MUITO BOM")))</f>
        <v>ATENÇÃO</v>
      </c>
      <c r="M2925">
        <v>10</v>
      </c>
      <c r="N2925">
        <v>100</v>
      </c>
      <c r="O2925">
        <v>28.108108108108109</v>
      </c>
    </row>
    <row r="2926" spans="1:15" hidden="1" x14ac:dyDescent="0.25">
      <c r="A2926" s="11">
        <v>46092</v>
      </c>
      <c r="B2926" t="s">
        <v>21</v>
      </c>
      <c r="C2926" t="s">
        <v>16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v>0</v>
      </c>
      <c r="J2926" s="3">
        <v>0</v>
      </c>
      <c r="K2926" s="3">
        <v>0</v>
      </c>
      <c r="L2926" s="3" t="str">
        <f>IF(K2926&lt;-5,"CRÍTICO",IF(K2926&lt;0,"ATENÇÃO",IF(K2926&lt;=5,"OPORTUNO","MUITO BOM")))</f>
        <v>OPORTUNO</v>
      </c>
      <c r="M2926">
        <v>0</v>
      </c>
      <c r="N2926">
        <v>100</v>
      </c>
      <c r="O2926">
        <v>35</v>
      </c>
    </row>
    <row r="2927" spans="1:15" hidden="1" x14ac:dyDescent="0.25">
      <c r="A2927" s="11">
        <v>46092</v>
      </c>
      <c r="B2927" t="s">
        <v>63</v>
      </c>
      <c r="C2927" t="s">
        <v>23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>E2927+G2927+H2927</f>
        <v>27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16</v>
      </c>
      <c r="K2927" s="3">
        <f>I2927-J2927</f>
        <v>11</v>
      </c>
      <c r="L2927" s="3" t="str">
        <f>IF(K2927&lt;-5,"CRÍTICO",IF(K2927&lt;0,"ATENÇÃO",IF(K2927&lt;=5,"OPORTUNO","MUITO BOM")))</f>
        <v>MUITO BOM</v>
      </c>
      <c r="M2927">
        <v>19</v>
      </c>
      <c r="N2927">
        <v>95.35</v>
      </c>
      <c r="O2927">
        <v>28.61538461538461</v>
      </c>
    </row>
    <row r="2928" spans="1:15" hidden="1" x14ac:dyDescent="0.25">
      <c r="A2928" s="11">
        <v>46092</v>
      </c>
      <c r="B2928" t="s">
        <v>45</v>
      </c>
      <c r="C2928" t="s">
        <v>32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>E2928+G2928+H2928</f>
        <v>44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25</v>
      </c>
      <c r="K2928" s="3">
        <f>I2928-J2928</f>
        <v>19</v>
      </c>
      <c r="L2928" s="3" t="str">
        <f>IF(K2928&lt;-5,"CRÍTICO",IF(K2928&lt;0,"ATENÇÃO",IF(K2928&lt;=5,"OPORTUNO","MUITO BOM")))</f>
        <v>MUITO BOM</v>
      </c>
      <c r="M2928">
        <v>27</v>
      </c>
      <c r="N2928">
        <v>98.26</v>
      </c>
      <c r="O2928">
        <v>27.54491017964072</v>
      </c>
    </row>
    <row r="2929" spans="1:15" hidden="1" x14ac:dyDescent="0.25">
      <c r="A2929" s="11">
        <v>46092</v>
      </c>
      <c r="B2929" t="s">
        <v>64</v>
      </c>
      <c r="C2929" t="s">
        <v>23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>E2929+G2929+H2929</f>
        <v>17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16</v>
      </c>
      <c r="K2929" s="3">
        <f>I2929-J2929</f>
        <v>1</v>
      </c>
      <c r="L2929" s="3" t="str">
        <f>IF(K2929&lt;-5,"CRÍTICO",IF(K2929&lt;0,"ATENÇÃO",IF(K2929&lt;=5,"OPORTUNO","MUITO BOM")))</f>
        <v>OPORTUNO</v>
      </c>
      <c r="M2929">
        <v>15</v>
      </c>
      <c r="N2929">
        <v>98.55</v>
      </c>
      <c r="O2929">
        <v>25.337837837837839</v>
      </c>
    </row>
    <row r="2930" spans="1:15" hidden="1" x14ac:dyDescent="0.25">
      <c r="A2930" s="11">
        <v>46092</v>
      </c>
      <c r="B2930" t="s">
        <v>46</v>
      </c>
      <c r="C2930" t="s">
        <v>32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>E2930+G2930+H2930</f>
        <v>32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25</v>
      </c>
      <c r="K2930" s="3">
        <f>I2930-J2930</f>
        <v>7</v>
      </c>
      <c r="L2930" s="3" t="str">
        <f>IF(K2930&lt;-5,"CRÍTICO",IF(K2930&lt;0,"ATENÇÃO",IF(K2930&lt;=5,"OPORTUNO","MUITO BOM")))</f>
        <v>MUITO BOM</v>
      </c>
      <c r="M2930">
        <v>27</v>
      </c>
      <c r="N2930">
        <v>98.39</v>
      </c>
      <c r="O2930">
        <v>25.563909774436091</v>
      </c>
    </row>
    <row r="2931" spans="1:15" hidden="1" x14ac:dyDescent="0.25">
      <c r="A2931" s="11">
        <v>46093</v>
      </c>
      <c r="B2931" t="s">
        <v>47</v>
      </c>
      <c r="C2931" t="s">
        <v>48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>E2931+G2931+H2931</f>
        <v>11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18</v>
      </c>
      <c r="K2931" s="3">
        <f>I2931-J2931</f>
        <v>-7</v>
      </c>
      <c r="L2931" s="3" t="str">
        <f>IF(K2931&lt;-5,"CRÍTICO",IF(K2931&lt;0,"ATENÇÃO",IF(K2931&lt;=5,"OPORTUNO","MUITO BOM")))</f>
        <v>CRÍTICO</v>
      </c>
      <c r="M2931">
        <v>8</v>
      </c>
      <c r="N2931">
        <v>94.29</v>
      </c>
      <c r="O2931">
        <v>25.647668393782389</v>
      </c>
    </row>
    <row r="2932" spans="1:15" hidden="1" x14ac:dyDescent="0.25">
      <c r="A2932" s="11">
        <v>46093</v>
      </c>
      <c r="B2932" t="s">
        <v>31</v>
      </c>
      <c r="C2932" t="s">
        <v>32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v>0</v>
      </c>
      <c r="J2932" s="3">
        <v>0</v>
      </c>
      <c r="K2932" s="3">
        <v>0</v>
      </c>
      <c r="L2932" s="3" t="str">
        <f>IF(K2932&lt;-5,"CRÍTICO",IF(K2932&lt;0,"ATENÇÃO",IF(K2932&lt;=5,"OPORTUNO","MUITO BOM")))</f>
        <v>OPORTUNO</v>
      </c>
      <c r="M2932">
        <v>22</v>
      </c>
      <c r="N2932">
        <v>98.26</v>
      </c>
      <c r="O2932">
        <v>26.666666666666671</v>
      </c>
    </row>
    <row r="2933" spans="1:15" hidden="1" x14ac:dyDescent="0.25">
      <c r="A2933" s="11">
        <v>46093</v>
      </c>
      <c r="B2933" t="s">
        <v>59</v>
      </c>
      <c r="C2933" t="s">
        <v>23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>E2933+G2933+H2933</f>
        <v>17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15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>
        <v>15</v>
      </c>
      <c r="N2933">
        <v>98.2</v>
      </c>
      <c r="O2933">
        <v>23.37962962962963</v>
      </c>
    </row>
    <row r="2934" spans="1:15" hidden="1" x14ac:dyDescent="0.25">
      <c r="A2934" s="11">
        <v>46093</v>
      </c>
      <c r="B2934" t="s">
        <v>33</v>
      </c>
      <c r="C2934" t="s">
        <v>32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>E2934+G2934+H2934</f>
        <v>24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22</v>
      </c>
      <c r="K2934" s="3">
        <f>I2934-J2934</f>
        <v>2</v>
      </c>
      <c r="L2934" s="3" t="str">
        <f>IF(K2934&lt;-5,"CRÍTICO",IF(K2934&lt;0,"ATENÇÃO",IF(K2934&lt;=5,"OPORTUNO","MUITO BOM")))</f>
        <v>OPORTUNO</v>
      </c>
      <c r="M2934">
        <v>23</v>
      </c>
      <c r="N2934">
        <v>97.3</v>
      </c>
      <c r="O2934">
        <v>23.84769539078156</v>
      </c>
    </row>
    <row r="2935" spans="1:15" hidden="1" x14ac:dyDescent="0.25">
      <c r="A2935" s="11">
        <v>46093</v>
      </c>
      <c r="B2935" t="s">
        <v>15</v>
      </c>
      <c r="C2935" t="s">
        <v>16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>E2935+G2935+H2935</f>
        <v>10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6</v>
      </c>
      <c r="K2935" s="3">
        <f>I2935-J2935</f>
        <v>4</v>
      </c>
      <c r="L2935" s="3" t="str">
        <f>IF(K2935&lt;-5,"CRÍTICO",IF(K2935&lt;0,"ATENÇÃO",IF(K2935&lt;=5,"OPORTUNO","MUITO BOM")))</f>
        <v>OPORTUNO</v>
      </c>
      <c r="M2935">
        <v>8</v>
      </c>
      <c r="N2935">
        <v>100</v>
      </c>
      <c r="O2935">
        <v>25.268817204301079</v>
      </c>
    </row>
    <row r="2936" spans="1:15" hidden="1" x14ac:dyDescent="0.25">
      <c r="A2936" s="11">
        <v>46093</v>
      </c>
      <c r="B2936" t="s">
        <v>49</v>
      </c>
      <c r="C2936" t="s">
        <v>48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>E2936+G2936+H2936</f>
        <v>35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17</v>
      </c>
      <c r="L2936" s="3" t="str">
        <f>IF(K2936&lt;-5,"CRÍTICO",IF(K2936&lt;0,"ATENÇÃO",IF(K2936&lt;=5,"OPORTUNO","MUITO BOM")))</f>
        <v>MUITO BOM</v>
      </c>
      <c r="M2936">
        <v>34</v>
      </c>
      <c r="N2936">
        <v>99.32</v>
      </c>
      <c r="O2936">
        <v>22.822822822822818</v>
      </c>
    </row>
    <row r="2937" spans="1:15" hidden="1" x14ac:dyDescent="0.25">
      <c r="A2937" s="11">
        <v>46093</v>
      </c>
      <c r="B2937" t="s">
        <v>50</v>
      </c>
      <c r="C2937" t="s">
        <v>48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>E2937+G2937+H2937</f>
        <v>9</v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>18</v>
      </c>
      <c r="K2937" s="3">
        <f>I2937-J2937</f>
        <v>-9</v>
      </c>
      <c r="L2937" s="3" t="str">
        <f>IF(K2937&lt;-5,"CRÍTICO",IF(K2937&lt;0,"ATENÇÃO",IF(K2937&lt;=5,"OPORTUNO","MUITO BOM")))</f>
        <v>CRÍTICO</v>
      </c>
      <c r="M2937">
        <v>13</v>
      </c>
      <c r="N2937">
        <v>100</v>
      </c>
      <c r="O2937">
        <v>27.966101694915249</v>
      </c>
    </row>
    <row r="2938" spans="1:15" hidden="1" x14ac:dyDescent="0.25">
      <c r="A2938" s="11">
        <v>46093</v>
      </c>
      <c r="B2938" t="s">
        <v>17</v>
      </c>
      <c r="C2938" t="s">
        <v>16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v>0</v>
      </c>
      <c r="J2938" s="3">
        <v>0</v>
      </c>
      <c r="K2938" s="3">
        <v>0</v>
      </c>
      <c r="L2938" s="3" t="str">
        <f>IF(K2938&lt;-5,"CRÍTICO",IF(K2938&lt;0,"ATENÇÃO",IF(K2938&lt;=5,"OPORTUNO","MUITO BOM")))</f>
        <v>OPORTUNO</v>
      </c>
      <c r="M2938">
        <v>0</v>
      </c>
      <c r="N2938">
        <v>100</v>
      </c>
      <c r="O2938">
        <v>30.434782608695659</v>
      </c>
    </row>
    <row r="2939" spans="1:15" hidden="1" x14ac:dyDescent="0.25">
      <c r="A2939" s="11">
        <v>46093</v>
      </c>
      <c r="B2939" t="s">
        <v>60</v>
      </c>
      <c r="C2939" t="s">
        <v>23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>E2939+G2939+H2939</f>
        <v>14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15</v>
      </c>
      <c r="K2939" s="3">
        <f>I2939-J2939</f>
        <v>-1</v>
      </c>
      <c r="L2939" s="3" t="str">
        <f>IF(K2939&lt;-5,"CRÍTICO",IF(K2939&lt;0,"ATENÇÃO",IF(K2939&lt;=5,"OPORTUNO","MUITO BOM")))</f>
        <v>ATENÇÃO</v>
      </c>
      <c r="M2939">
        <v>14</v>
      </c>
      <c r="N2939">
        <v>96.51</v>
      </c>
      <c r="O2939">
        <v>22.802850356294542</v>
      </c>
    </row>
    <row r="2940" spans="1:15" hidden="1" x14ac:dyDescent="0.25">
      <c r="A2940" s="11">
        <v>46093</v>
      </c>
      <c r="B2940" t="s">
        <v>34</v>
      </c>
      <c r="C2940" t="s">
        <v>32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>
        <v>12</v>
      </c>
      <c r="N2940">
        <v>92.68</v>
      </c>
      <c r="O2940">
        <v>27.777777777777779</v>
      </c>
    </row>
    <row r="2941" spans="1:15" hidden="1" x14ac:dyDescent="0.25">
      <c r="A2941" s="11">
        <v>46093</v>
      </c>
      <c r="B2941" t="s">
        <v>51</v>
      </c>
      <c r="C2941" t="s">
        <v>48</v>
      </c>
      <c r="D2941">
        <v>30</v>
      </c>
      <c r="E2941">
        <v>28</v>
      </c>
      <c r="F2941">
        <v>20.079999999999998</v>
      </c>
      <c r="G2941">
        <v>0</v>
      </c>
      <c r="H2941">
        <v>0</v>
      </c>
      <c r="I2941" s="3">
        <v>0</v>
      </c>
      <c r="J2941" s="3">
        <v>0</v>
      </c>
      <c r="K2941" s="3">
        <v>0</v>
      </c>
      <c r="L2941" s="3" t="str">
        <f>IF(K2941&lt;-5,"CRÍTICO",IF(K2941&lt;0,"ATENÇÃO",IF(K2941&lt;=5,"OPORTUNO","MUITO BOM")))</f>
        <v>OPORTUNO</v>
      </c>
      <c r="M2941">
        <v>25</v>
      </c>
      <c r="N2941">
        <v>99.03</v>
      </c>
      <c r="O2941">
        <v>23.991507430997881</v>
      </c>
    </row>
    <row r="2942" spans="1:15" hidden="1" x14ac:dyDescent="0.25">
      <c r="A2942" s="11">
        <v>46093</v>
      </c>
      <c r="B2942" t="s">
        <v>61</v>
      </c>
      <c r="C2942" t="s">
        <v>23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>E2942+G2942+H2942</f>
        <v>26</v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>15</v>
      </c>
      <c r="K2942" s="3">
        <f>I2942-J2942</f>
        <v>11</v>
      </c>
      <c r="L2942" s="3" t="str">
        <f>IF(K2942&lt;-5,"CRÍTICO",IF(K2942&lt;0,"ATENÇÃO",IF(K2942&lt;=5,"OPORTUNO","MUITO BOM")))</f>
        <v>MUITO BOM</v>
      </c>
      <c r="M2942">
        <v>13</v>
      </c>
      <c r="N2942">
        <v>98.41</v>
      </c>
      <c r="O2942">
        <v>28.138528138528141</v>
      </c>
    </row>
    <row r="2943" spans="1:15" hidden="1" x14ac:dyDescent="0.25">
      <c r="A2943" s="11">
        <v>46093</v>
      </c>
      <c r="B2943" t="s">
        <v>35</v>
      </c>
      <c r="C2943" t="s">
        <v>32</v>
      </c>
      <c r="D2943">
        <v>29</v>
      </c>
      <c r="E2943">
        <v>28</v>
      </c>
      <c r="F2943">
        <v>25.59</v>
      </c>
      <c r="G2943">
        <v>0</v>
      </c>
      <c r="H2943">
        <v>0</v>
      </c>
      <c r="I2943" s="3">
        <v>0</v>
      </c>
      <c r="J2943" s="3">
        <v>0</v>
      </c>
      <c r="K2943" s="3">
        <v>0</v>
      </c>
      <c r="L2943" s="3" t="str">
        <f>IF(K2943&lt;-5,"CRÍTICO",IF(K2943&lt;0,"ATENÇÃO",IF(K2943&lt;=5,"OPORTUNO","MUITO BOM")))</f>
        <v>OPORTUNO</v>
      </c>
      <c r="M2943">
        <v>29</v>
      </c>
      <c r="N2943">
        <v>98.73</v>
      </c>
      <c r="O2943">
        <v>29.142857142857139</v>
      </c>
    </row>
    <row r="2944" spans="1:15" hidden="1" x14ac:dyDescent="0.25">
      <c r="A2944" s="11">
        <v>46093</v>
      </c>
      <c r="B2944" t="s">
        <v>18</v>
      </c>
      <c r="C2944" t="s">
        <v>16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>E2944+G2944+H2944</f>
        <v>9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6</v>
      </c>
      <c r="K2944" s="3">
        <f>I2944-J2944</f>
        <v>3</v>
      </c>
      <c r="L2944" s="3" t="str">
        <f>IF(K2944&lt;-5,"CRÍTICO",IF(K2944&lt;0,"ATENÇÃO",IF(K2944&lt;=5,"OPORTUNO","MUITO BOM")))</f>
        <v>OPORTUNO</v>
      </c>
      <c r="M2944">
        <v>7</v>
      </c>
      <c r="N2944">
        <v>90.48</v>
      </c>
      <c r="O2944">
        <v>20.68965517241379</v>
      </c>
    </row>
    <row r="2945" spans="1:15" hidden="1" x14ac:dyDescent="0.25">
      <c r="A2945" s="11">
        <v>46093</v>
      </c>
      <c r="B2945" t="s">
        <v>52</v>
      </c>
      <c r="C2945" t="s">
        <v>48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>E2945+G2945+H2945</f>
        <v>24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18</v>
      </c>
      <c r="K2945" s="3">
        <f>I2945-J2945</f>
        <v>6</v>
      </c>
      <c r="L2945" s="3" t="str">
        <f>IF(K2945&lt;-5,"CRÍTICO",IF(K2945&lt;0,"ATENÇÃO",IF(K2945&lt;=5,"OPORTUNO","MUITO BOM")))</f>
        <v>MUITO BOM</v>
      </c>
      <c r="M2945">
        <v>19</v>
      </c>
      <c r="N2945">
        <v>98.06</v>
      </c>
      <c r="O2945">
        <v>24.789915966386559</v>
      </c>
    </row>
    <row r="2946" spans="1:15" hidden="1" x14ac:dyDescent="0.25">
      <c r="A2946" s="11">
        <v>46093</v>
      </c>
      <c r="B2946" t="s">
        <v>36</v>
      </c>
      <c r="C2946" t="s">
        <v>32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>E2946+G2946+H2946</f>
        <v>27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22</v>
      </c>
      <c r="K2946" s="3">
        <f>I2946-J2946</f>
        <v>5</v>
      </c>
      <c r="L2946" s="3" t="str">
        <f>IF(K2946&lt;-5,"CRÍTICO",IF(K2946&lt;0,"ATENÇÃO",IF(K2946&lt;=5,"OPORTUNO","MUITO BOM")))</f>
        <v>OPORTUNO</v>
      </c>
      <c r="M2946">
        <v>27</v>
      </c>
      <c r="N2946">
        <v>97.78</v>
      </c>
      <c r="O2946">
        <v>25.494071146245059</v>
      </c>
    </row>
    <row r="2947" spans="1:15" hidden="1" x14ac:dyDescent="0.25">
      <c r="A2947" s="11">
        <v>46093</v>
      </c>
      <c r="B2947" t="s">
        <v>53</v>
      </c>
      <c r="C2947" t="s">
        <v>48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>E2947+G2947+H2947</f>
        <v>25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18</v>
      </c>
      <c r="K2947" s="3">
        <f>I2947-J2947</f>
        <v>7</v>
      </c>
      <c r="L2947" s="3" t="str">
        <f>IF(K2947&lt;-5,"CRÍTICO",IF(K2947&lt;0,"ATENÇÃO",IF(K2947&lt;=5,"OPORTUNO","MUITO BOM")))</f>
        <v>MUITO BOM</v>
      </c>
      <c r="M2947">
        <v>20</v>
      </c>
      <c r="N2947">
        <v>98.02</v>
      </c>
      <c r="O2947">
        <v>23.484848484848481</v>
      </c>
    </row>
    <row r="2948" spans="1:15" hidden="1" x14ac:dyDescent="0.25">
      <c r="A2948" s="11">
        <v>46127</v>
      </c>
      <c r="B2948" t="s">
        <v>22</v>
      </c>
      <c r="C2948" t="s">
        <v>23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>E2948+G2948+H2948</f>
        <v>38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21</v>
      </c>
      <c r="K2948" s="3">
        <f>I2948-J2948</f>
        <v>17</v>
      </c>
      <c r="L2948" s="3" t="str">
        <f>IF(K2948&lt;-5,"CRÍTICO",IF(K2948&lt;0,"ATENÇÃO",IF(K2948&lt;=5,"OPORTUNO","MUITO BOM")))</f>
        <v>MUITO BOM</v>
      </c>
      <c r="M2948">
        <v>39</v>
      </c>
      <c r="N2948">
        <v>99.28</v>
      </c>
      <c r="O2948">
        <v>27.689243027888441</v>
      </c>
    </row>
    <row r="2949" spans="1:15" hidden="1" x14ac:dyDescent="0.25">
      <c r="A2949" s="11">
        <v>46093</v>
      </c>
      <c r="B2949" t="s">
        <v>54</v>
      </c>
      <c r="C2949" t="s">
        <v>48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>E2949+G2949+H2949</f>
        <v>21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18</v>
      </c>
      <c r="K2949" s="3">
        <f>I2949-J2949</f>
        <v>3</v>
      </c>
      <c r="L2949" s="3" t="str">
        <f>IF(K2949&lt;-5,"CRÍTICO",IF(K2949&lt;0,"ATENÇÃO",IF(K2949&lt;=5,"OPORTUNO","MUITO BOM")))</f>
        <v>OPORTUNO</v>
      </c>
      <c r="M2949">
        <v>17</v>
      </c>
      <c r="N2949">
        <v>100</v>
      </c>
      <c r="O2949">
        <v>27.04918032786885</v>
      </c>
    </row>
    <row r="2950" spans="1:15" hidden="1" x14ac:dyDescent="0.25">
      <c r="A2950" s="11">
        <v>46093</v>
      </c>
      <c r="B2950" t="s">
        <v>37</v>
      </c>
      <c r="C2950" t="s">
        <v>32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>E2950+G2950+H2950</f>
        <v>42</v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>22</v>
      </c>
      <c r="K2950" s="3">
        <f>I2950-J2950</f>
        <v>20</v>
      </c>
      <c r="L2950" s="3" t="str">
        <f>IF(K2950&lt;-5,"CRÍTICO",IF(K2950&lt;0,"ATENÇÃO",IF(K2950&lt;=5,"OPORTUNO","MUITO BOM")))</f>
        <v>MUITO BOM</v>
      </c>
      <c r="M2950">
        <v>39</v>
      </c>
      <c r="N2950">
        <v>97.83</v>
      </c>
      <c r="O2950">
        <v>26.315789473684209</v>
      </c>
    </row>
    <row r="2951" spans="1:15" hidden="1" x14ac:dyDescent="0.25">
      <c r="A2951" s="11">
        <v>46093</v>
      </c>
      <c r="B2951" t="s">
        <v>38</v>
      </c>
      <c r="C2951" t="s">
        <v>32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v>0</v>
      </c>
      <c r="J2951" s="3">
        <v>0</v>
      </c>
      <c r="K2951" s="3">
        <v>0</v>
      </c>
      <c r="L2951" s="3" t="str">
        <f>IF(K2951&lt;-5,"CRÍTICO",IF(K2951&lt;0,"ATENÇÃO",IF(K2951&lt;=5,"OPORTUNO","MUITO BOM")))</f>
        <v>OPORTUNO</v>
      </c>
      <c r="M2951">
        <v>6</v>
      </c>
      <c r="N2951">
        <v>100</v>
      </c>
      <c r="O2951">
        <v>26.701570680628269</v>
      </c>
    </row>
    <row r="2952" spans="1:15" hidden="1" x14ac:dyDescent="0.25">
      <c r="A2952" s="11">
        <v>46093</v>
      </c>
      <c r="B2952" t="s">
        <v>55</v>
      </c>
      <c r="C2952" t="s">
        <v>48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>E2952+G2952+H2952</f>
        <v>23</v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>18</v>
      </c>
      <c r="K2952" s="3">
        <f>I2952-J2952</f>
        <v>5</v>
      </c>
      <c r="L2952" s="3" t="str">
        <f>IF(K2952&lt;-5,"CRÍTICO",IF(K2952&lt;0,"ATENÇÃO",IF(K2952&lt;=5,"OPORTUNO","MUITO BOM")))</f>
        <v>OPORTUNO</v>
      </c>
      <c r="M2952">
        <v>21</v>
      </c>
      <c r="N2952">
        <v>97.47</v>
      </c>
      <c r="O2952">
        <v>22.887323943661968</v>
      </c>
    </row>
    <row r="2953" spans="1:15" hidden="1" x14ac:dyDescent="0.25">
      <c r="A2953" s="11">
        <v>46093</v>
      </c>
      <c r="B2953" t="s">
        <v>39</v>
      </c>
      <c r="C2953" t="s">
        <v>32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v>0</v>
      </c>
      <c r="J2953" s="3">
        <v>0</v>
      </c>
      <c r="K2953" s="3">
        <v>0</v>
      </c>
      <c r="L2953" s="3" t="str">
        <f>IF(K2953&lt;-5,"CRÍTICO",IF(K2953&lt;0,"ATENÇÃO",IF(K2953&lt;=5,"OPORTUNO","MUITO BOM")))</f>
        <v>OPORTUNO</v>
      </c>
      <c r="M2953">
        <v>0</v>
      </c>
      <c r="N2953">
        <v>0</v>
      </c>
      <c r="O2953">
        <v>0</v>
      </c>
    </row>
    <row r="2954" spans="1:15" hidden="1" x14ac:dyDescent="0.25">
      <c r="A2954" s="11">
        <v>46093</v>
      </c>
      <c r="B2954" t="s">
        <v>25</v>
      </c>
      <c r="C2954" t="s">
        <v>26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>E2954+G2954+H2954</f>
        <v>11</v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>13</v>
      </c>
      <c r="K2954" s="3">
        <f>I2954-J2954</f>
        <v>-2</v>
      </c>
      <c r="L2954" s="3" t="str">
        <f>IF(K2954&lt;-5,"CRÍTICO",IF(K2954&lt;0,"ATENÇÃO",IF(K2954&lt;=5,"OPORTUNO","MUITO BOM")))</f>
        <v>ATENÇÃO</v>
      </c>
      <c r="M2954">
        <v>10</v>
      </c>
      <c r="N2954">
        <v>98.31</v>
      </c>
      <c r="O2954">
        <v>24.920127795527151</v>
      </c>
    </row>
    <row r="2955" spans="1:15" hidden="1" x14ac:dyDescent="0.25">
      <c r="A2955" s="11">
        <v>46093</v>
      </c>
      <c r="B2955" t="s">
        <v>40</v>
      </c>
      <c r="C2955" t="s">
        <v>32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v>0</v>
      </c>
      <c r="J2955" s="3">
        <v>0</v>
      </c>
      <c r="K2955" s="3">
        <v>0</v>
      </c>
      <c r="L2955" s="3" t="str">
        <f>IF(K2955&lt;-5,"CRÍTICO",IF(K2955&lt;0,"ATENÇÃO",IF(K2955&lt;=5,"OPORTUNO","MUITO BOM")))</f>
        <v>OPORTUNO</v>
      </c>
      <c r="M2955">
        <v>1</v>
      </c>
      <c r="N2955">
        <v>96.81</v>
      </c>
      <c r="O2955">
        <v>32.365145228215773</v>
      </c>
    </row>
    <row r="2956" spans="1:15" hidden="1" x14ac:dyDescent="0.25">
      <c r="A2956" s="11">
        <v>46093</v>
      </c>
      <c r="B2956" t="s">
        <v>27</v>
      </c>
      <c r="C2956" t="s">
        <v>26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>E2956+G2956+H2956</f>
        <v>12</v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>13</v>
      </c>
      <c r="K2956" s="3">
        <f>I2956-J2956</f>
        <v>-1</v>
      </c>
      <c r="L2956" s="3" t="str">
        <f>IF(K2956&lt;-5,"CRÍTICO",IF(K2956&lt;0,"ATENÇÃO",IF(K2956&lt;=5,"OPORTUNO","MUITO BOM")))</f>
        <v>ATENÇÃO</v>
      </c>
      <c r="M2956">
        <v>7</v>
      </c>
      <c r="N2956">
        <v>100</v>
      </c>
      <c r="O2956">
        <v>26.47058823529412</v>
      </c>
    </row>
    <row r="2957" spans="1:15" hidden="1" x14ac:dyDescent="0.25">
      <c r="A2957" s="11">
        <v>46093</v>
      </c>
      <c r="B2957" t="s">
        <v>41</v>
      </c>
      <c r="C2957" t="s">
        <v>32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v>0</v>
      </c>
      <c r="J2957" s="3">
        <v>0</v>
      </c>
      <c r="K2957" s="3">
        <v>0</v>
      </c>
      <c r="L2957" s="3" t="str">
        <f>IF(K2957&lt;-5,"CRÍTICO",IF(K2957&lt;0,"ATENÇÃO",IF(K2957&lt;=5,"OPORTUNO","MUITO BOM")))</f>
        <v>OPORTUNO</v>
      </c>
      <c r="M2957">
        <v>8</v>
      </c>
      <c r="N2957">
        <v>100</v>
      </c>
      <c r="O2957">
        <v>28.490028490028489</v>
      </c>
    </row>
    <row r="2958" spans="1:15" hidden="1" x14ac:dyDescent="0.25">
      <c r="A2958" s="11">
        <v>46093</v>
      </c>
      <c r="B2958" t="s">
        <v>56</v>
      </c>
      <c r="C2958" t="s">
        <v>48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>E2958+G2958+H2958</f>
        <v>14</v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>18</v>
      </c>
      <c r="K2958" s="3">
        <f>I2958-J2958</f>
        <v>-4</v>
      </c>
      <c r="L2958" s="3" t="str">
        <f>IF(K2958&lt;-5,"CRÍTICO",IF(K2958&lt;0,"ATENÇÃO",IF(K2958&lt;=5,"OPORTUNO","MUITO BOM")))</f>
        <v>ATENÇÃO</v>
      </c>
      <c r="M2958">
        <v>14</v>
      </c>
      <c r="N2958">
        <v>99.14</v>
      </c>
      <c r="O2958">
        <v>27.2289156626506</v>
      </c>
    </row>
    <row r="2959" spans="1:15" hidden="1" x14ac:dyDescent="0.25">
      <c r="A2959" s="11">
        <v>46093</v>
      </c>
      <c r="B2959" t="s">
        <v>57</v>
      </c>
      <c r="C2959" t="s">
        <v>48</v>
      </c>
      <c r="D2959">
        <v>16</v>
      </c>
      <c r="E2959">
        <v>16</v>
      </c>
      <c r="F2959">
        <v>33.42</v>
      </c>
      <c r="G2959">
        <v>0</v>
      </c>
      <c r="H2959">
        <v>0</v>
      </c>
      <c r="I2959" s="3">
        <v>0</v>
      </c>
      <c r="J2959" s="3">
        <v>0</v>
      </c>
      <c r="K2959" s="3">
        <v>0</v>
      </c>
      <c r="L2959" s="3" t="str">
        <f>IF(K2959&lt;-5,"CRÍTICO",IF(K2959&lt;0,"ATENÇÃO",IF(K2959&lt;=5,"OPORTUNO","MUITO BOM")))</f>
        <v>OPORTUNO</v>
      </c>
      <c r="M2959">
        <v>16</v>
      </c>
      <c r="N2959">
        <v>97.52</v>
      </c>
      <c r="O2959">
        <v>28.205128205128201</v>
      </c>
    </row>
    <row r="2960" spans="1:15" hidden="1" x14ac:dyDescent="0.25">
      <c r="A2960" s="11">
        <v>46093</v>
      </c>
      <c r="B2960" t="s">
        <v>42</v>
      </c>
      <c r="C2960" t="s">
        <v>32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22</v>
      </c>
      <c r="K2960" s="3">
        <f>I2960-J2960</f>
        <v>-1</v>
      </c>
      <c r="L2960" s="3" t="str">
        <f>IF(K2960&lt;-5,"CRÍTICO",IF(K2960&lt;0,"ATENÇÃO",IF(K2960&lt;=5,"OPORTUNO","MUITO BOM")))</f>
        <v>ATENÇÃO</v>
      </c>
      <c r="M2960">
        <v>17</v>
      </c>
      <c r="N2960">
        <v>90</v>
      </c>
      <c r="O2960">
        <v>24.186046511627911</v>
      </c>
    </row>
    <row r="2961" spans="1:15" hidden="1" x14ac:dyDescent="0.25">
      <c r="A2961" s="11">
        <v>46093</v>
      </c>
      <c r="B2961" t="s">
        <v>62</v>
      </c>
      <c r="C2961" t="s">
        <v>23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>E2961+G2961+H2961</f>
        <v>21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15</v>
      </c>
      <c r="K2961" s="3">
        <f>I2961-J2961</f>
        <v>6</v>
      </c>
      <c r="L2961" s="3" t="str">
        <f>IF(K2961&lt;-5,"CRÍTICO",IF(K2961&lt;0,"ATENÇÃO",IF(K2961&lt;=5,"OPORTUNO","MUITO BOM")))</f>
        <v>MUITO BOM</v>
      </c>
      <c r="M2961">
        <v>17</v>
      </c>
      <c r="N2961">
        <v>98.9</v>
      </c>
      <c r="O2961">
        <v>26.763990267639901</v>
      </c>
    </row>
    <row r="2962" spans="1:15" hidden="1" x14ac:dyDescent="0.25">
      <c r="A2962" s="11">
        <v>46093</v>
      </c>
      <c r="B2962" t="s">
        <v>19</v>
      </c>
      <c r="C2962" t="s">
        <v>16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>E2962+G2962+H2962</f>
        <v>4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6</v>
      </c>
      <c r="K2962" s="3">
        <f>I2962-J2962</f>
        <v>-2</v>
      </c>
      <c r="L2962" s="3" t="str">
        <f>IF(K2962&lt;-5,"CRÍTICO",IF(K2962&lt;0,"ATENÇÃO",IF(K2962&lt;=5,"OPORTUNO","MUITO BOM")))</f>
        <v>ATENÇÃO</v>
      </c>
      <c r="M2962">
        <v>3</v>
      </c>
      <c r="N2962">
        <v>88.89</v>
      </c>
      <c r="O2962">
        <v>25.263157894736839</v>
      </c>
    </row>
    <row r="2963" spans="1:15" hidden="1" x14ac:dyDescent="0.25">
      <c r="A2963" s="11">
        <v>46093</v>
      </c>
      <c r="B2963" t="s">
        <v>43</v>
      </c>
      <c r="C2963" t="s">
        <v>32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>E2963+G2963+H2963</f>
        <v>25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3</v>
      </c>
      <c r="L2963" s="3" t="str">
        <f>IF(K2963&lt;-5,"CRÍTICO",IF(K2963&lt;0,"ATENÇÃO",IF(K2963&lt;=5,"OPORTUNO","MUITO BOM")))</f>
        <v>OPORTUNO</v>
      </c>
      <c r="M2963">
        <v>22</v>
      </c>
      <c r="N2963">
        <v>98.86</v>
      </c>
      <c r="O2963">
        <v>28.959276018099551</v>
      </c>
    </row>
    <row r="2964" spans="1:15" hidden="1" x14ac:dyDescent="0.25">
      <c r="A2964" s="11">
        <v>46093</v>
      </c>
      <c r="B2964" t="s">
        <v>44</v>
      </c>
      <c r="C2964" t="s">
        <v>32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>E2964+G2964+H2964</f>
        <v>26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22</v>
      </c>
      <c r="K2964" s="3">
        <f>I2964-J2964</f>
        <v>4</v>
      </c>
      <c r="L2964" s="3" t="str">
        <f>IF(K2964&lt;-5,"CRÍTICO",IF(K2964&lt;0,"ATENÇÃO",IF(K2964&lt;=5,"OPORTUNO","MUITO BOM")))</f>
        <v>OPORTUNO</v>
      </c>
      <c r="M2964">
        <v>22</v>
      </c>
      <c r="N2964">
        <v>98.06</v>
      </c>
      <c r="O2964">
        <v>22.40566037735849</v>
      </c>
    </row>
    <row r="2965" spans="1:15" hidden="1" x14ac:dyDescent="0.25">
      <c r="A2965" s="11">
        <v>46093</v>
      </c>
      <c r="B2965" t="s">
        <v>20</v>
      </c>
      <c r="C2965" t="s">
        <v>16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>E2965+G2965+H2965</f>
        <v>6</v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>6</v>
      </c>
      <c r="K2965" s="3">
        <f>I2965-J2965</f>
        <v>0</v>
      </c>
      <c r="L2965" s="3" t="str">
        <f>IF(K2965&lt;-5,"CRÍTICO",IF(K2965&lt;0,"ATENÇÃO",IF(K2965&lt;=5,"OPORTUNO","MUITO BOM")))</f>
        <v>OPORTUNO</v>
      </c>
      <c r="M2965">
        <v>3</v>
      </c>
      <c r="N2965">
        <v>95.83</v>
      </c>
      <c r="O2965">
        <v>25.773195876288661</v>
      </c>
    </row>
    <row r="2966" spans="1:15" hidden="1" x14ac:dyDescent="0.25">
      <c r="A2966" s="11">
        <v>46093</v>
      </c>
      <c r="B2966" t="s">
        <v>28</v>
      </c>
      <c r="C2966" t="s">
        <v>26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v>0</v>
      </c>
      <c r="J2966" s="3">
        <v>0</v>
      </c>
      <c r="K2966" s="3">
        <v>0</v>
      </c>
      <c r="L2966" s="3" t="str">
        <f>IF(K2966&lt;-5,"CRÍTICO",IF(K2966&lt;0,"ATENÇÃO",IF(K2966&lt;=5,"OPORTUNO","MUITO BOM")))</f>
        <v>OPORTUNO</v>
      </c>
      <c r="M2966">
        <v>0</v>
      </c>
      <c r="N2966">
        <v>100</v>
      </c>
      <c r="O2966">
        <v>15.38461538461539</v>
      </c>
    </row>
    <row r="2967" spans="1:15" hidden="1" x14ac:dyDescent="0.25">
      <c r="A2967" s="11">
        <v>46093</v>
      </c>
      <c r="B2967" t="s">
        <v>58</v>
      </c>
      <c r="C2967" t="s">
        <v>48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>E2967+G2967+H2967</f>
        <v>12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18</v>
      </c>
      <c r="K2967" s="3">
        <f>I2967-J2967</f>
        <v>-6</v>
      </c>
      <c r="L2967" s="3" t="str">
        <f>IF(K2967&lt;-5,"CRÍTICO",IF(K2967&lt;0,"ATENÇÃO",IF(K2967&lt;=5,"OPORTUNO","MUITO BOM")))</f>
        <v>CRÍTICO</v>
      </c>
      <c r="M2967">
        <v>11</v>
      </c>
      <c r="N2967">
        <v>100</v>
      </c>
      <c r="O2967">
        <v>27.514792899408281</v>
      </c>
    </row>
    <row r="2968" spans="1:15" hidden="1" x14ac:dyDescent="0.25">
      <c r="A2968" s="11">
        <v>46093</v>
      </c>
      <c r="B2968" t="s">
        <v>29</v>
      </c>
      <c r="C2968" t="s">
        <v>26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>
        <v>10</v>
      </c>
      <c r="N2968">
        <v>100</v>
      </c>
      <c r="O2968">
        <v>24.875621890547269</v>
      </c>
    </row>
    <row r="2969" spans="1:15" hidden="1" x14ac:dyDescent="0.25">
      <c r="A2969" s="11">
        <v>46093</v>
      </c>
      <c r="B2969" t="s">
        <v>30</v>
      </c>
      <c r="C2969" t="s">
        <v>26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>E2969+G2969+H2969</f>
        <v>11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13</v>
      </c>
      <c r="K2969" s="3">
        <f>I2969-J2969</f>
        <v>-2</v>
      </c>
      <c r="L2969" s="3" t="str">
        <f>IF(K2969&lt;-5,"CRÍTICO",IF(K2969&lt;0,"ATENÇÃO",IF(K2969&lt;=5,"OPORTUNO","MUITO BOM")))</f>
        <v>ATENÇÃO</v>
      </c>
      <c r="M2969">
        <v>6</v>
      </c>
      <c r="N2969">
        <v>100</v>
      </c>
      <c r="O2969">
        <v>28.108108108108109</v>
      </c>
    </row>
    <row r="2970" spans="1:15" hidden="1" x14ac:dyDescent="0.25">
      <c r="A2970" s="11">
        <v>46093</v>
      </c>
      <c r="B2970" t="s">
        <v>21</v>
      </c>
      <c r="C2970" t="s">
        <v>16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v>0</v>
      </c>
      <c r="J2970" s="3">
        <v>0</v>
      </c>
      <c r="K2970" s="3">
        <v>0</v>
      </c>
      <c r="L2970" s="3" t="str">
        <f>IF(K2970&lt;-5,"CRÍTICO",IF(K2970&lt;0,"ATENÇÃO",IF(K2970&lt;=5,"OPORTUNO","MUITO BOM")))</f>
        <v>OPORTUNO</v>
      </c>
      <c r="M2970">
        <v>0</v>
      </c>
      <c r="N2970">
        <v>100</v>
      </c>
      <c r="O2970">
        <v>35</v>
      </c>
    </row>
    <row r="2971" spans="1:15" hidden="1" x14ac:dyDescent="0.25">
      <c r="A2971" s="11">
        <v>46093</v>
      </c>
      <c r="B2971" t="s">
        <v>63</v>
      </c>
      <c r="C2971" t="s">
        <v>23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>E2971+G2971+H2971</f>
        <v>25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15</v>
      </c>
      <c r="K2971" s="3">
        <f>I2971-J2971</f>
        <v>10</v>
      </c>
      <c r="L2971" s="3" t="str">
        <f>IF(K2971&lt;-5,"CRÍTICO",IF(K2971&lt;0,"ATENÇÃO",IF(K2971&lt;=5,"OPORTUNO","MUITO BOM")))</f>
        <v>MUITO BOM</v>
      </c>
      <c r="M2971">
        <v>21</v>
      </c>
      <c r="N2971">
        <v>95.35</v>
      </c>
      <c r="O2971">
        <v>28.61538461538461</v>
      </c>
    </row>
    <row r="2972" spans="1:15" hidden="1" x14ac:dyDescent="0.25">
      <c r="A2972" s="11">
        <v>46093</v>
      </c>
      <c r="B2972" t="s">
        <v>45</v>
      </c>
      <c r="C2972" t="s">
        <v>32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>E2972+G2972+H2972</f>
        <v>42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22</v>
      </c>
      <c r="K2972" s="3">
        <f>I2972-J2972</f>
        <v>20</v>
      </c>
      <c r="L2972" s="3" t="str">
        <f>IF(K2972&lt;-5,"CRÍTICO",IF(K2972&lt;0,"ATENÇÃO",IF(K2972&lt;=5,"OPORTUNO","MUITO BOM")))</f>
        <v>MUITO BOM</v>
      </c>
      <c r="M2972">
        <v>34</v>
      </c>
      <c r="N2972">
        <v>98.26</v>
      </c>
      <c r="O2972">
        <v>27.54491017964072</v>
      </c>
    </row>
    <row r="2973" spans="1:15" hidden="1" x14ac:dyDescent="0.25">
      <c r="A2973" s="11">
        <v>46093</v>
      </c>
      <c r="B2973" t="s">
        <v>64</v>
      </c>
      <c r="C2973" t="s">
        <v>23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>E2973+G2973+H2973</f>
        <v>16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15</v>
      </c>
      <c r="K2973" s="3">
        <f>I2973-J2973</f>
        <v>1</v>
      </c>
      <c r="L2973" s="3" t="str">
        <f>IF(K2973&lt;-5,"CRÍTICO",IF(K2973&lt;0,"ATENÇÃO",IF(K2973&lt;=5,"OPORTUNO","MUITO BOM")))</f>
        <v>OPORTUNO</v>
      </c>
      <c r="M2973">
        <v>16</v>
      </c>
      <c r="N2973">
        <v>98.55</v>
      </c>
      <c r="O2973">
        <v>25.337837837837839</v>
      </c>
    </row>
    <row r="2974" spans="1:15" hidden="1" x14ac:dyDescent="0.25">
      <c r="A2974" s="11">
        <v>46093</v>
      </c>
      <c r="B2974" t="s">
        <v>46</v>
      </c>
      <c r="C2974" t="s">
        <v>32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>E2974+G2974+H2974</f>
        <v>35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22</v>
      </c>
      <c r="K2974" s="3">
        <f>I2974-J2974</f>
        <v>13</v>
      </c>
      <c r="L2974" s="3" t="str">
        <f>IF(K2974&lt;-5,"CRÍTICO",IF(K2974&lt;0,"ATENÇÃO",IF(K2974&lt;=5,"OPORTUNO","MUITO BOM")))</f>
        <v>MUITO BOM</v>
      </c>
      <c r="M2974">
        <v>28</v>
      </c>
      <c r="N2974">
        <v>98.39</v>
      </c>
      <c r="O2974">
        <v>25.563909774436091</v>
      </c>
    </row>
    <row r="2975" spans="1:15" hidden="1" x14ac:dyDescent="0.25">
      <c r="A2975" s="11">
        <v>46094</v>
      </c>
      <c r="B2975" t="s">
        <v>47</v>
      </c>
      <c r="C2975" t="s">
        <v>48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>E2975+G2975+H2975</f>
        <v>32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16</v>
      </c>
      <c r="K2975" s="3">
        <f>I2975-J2975</f>
        <v>16</v>
      </c>
      <c r="L2975" s="3" t="str">
        <f>IF(K2975&lt;-5,"CRÍTICO",IF(K2975&lt;0,"ATENÇÃO",IF(K2975&lt;=5,"OPORTUNO","MUITO BOM")))</f>
        <v>MUITO BOM</v>
      </c>
      <c r="M2975">
        <v>22</v>
      </c>
      <c r="N2975">
        <v>94.29</v>
      </c>
      <c r="O2975">
        <v>25.647668393782389</v>
      </c>
    </row>
    <row r="2976" spans="1:15" hidden="1" x14ac:dyDescent="0.25">
      <c r="A2976" s="11">
        <v>46094</v>
      </c>
      <c r="B2976" t="s">
        <v>31</v>
      </c>
      <c r="C2976" t="s">
        <v>32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v>0</v>
      </c>
      <c r="J2976" s="3">
        <v>0</v>
      </c>
      <c r="K2976" s="3">
        <v>0</v>
      </c>
      <c r="L2976" s="3" t="str">
        <f>IF(K2976&lt;-5,"CRÍTICO",IF(K2976&lt;0,"ATENÇÃO",IF(K2976&lt;=5,"OPORTUNO","MUITO BOM")))</f>
        <v>OPORTUNO</v>
      </c>
      <c r="M2976">
        <v>15</v>
      </c>
      <c r="N2976">
        <v>98.26</v>
      </c>
      <c r="O2976">
        <v>26.666666666666671</v>
      </c>
    </row>
    <row r="2977" spans="1:15" hidden="1" x14ac:dyDescent="0.25">
      <c r="A2977" s="11">
        <v>46094</v>
      </c>
      <c r="B2977" t="s">
        <v>59</v>
      </c>
      <c r="C2977" t="s">
        <v>23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>E2977+G2977+H2977</f>
        <v>18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13</v>
      </c>
      <c r="K2977" s="3">
        <f>I2977-J2977</f>
        <v>5</v>
      </c>
      <c r="L2977" s="3" t="str">
        <f>IF(K2977&lt;-5,"CRÍTICO",IF(K2977&lt;0,"ATENÇÃO",IF(K2977&lt;=5,"OPORTUNO","MUITO BOM")))</f>
        <v>OPORTUNO</v>
      </c>
      <c r="M2977">
        <v>15</v>
      </c>
      <c r="N2977">
        <v>98.2</v>
      </c>
      <c r="O2977">
        <v>23.37962962962963</v>
      </c>
    </row>
    <row r="2978" spans="1:15" hidden="1" x14ac:dyDescent="0.25">
      <c r="A2978" s="11">
        <v>46094</v>
      </c>
      <c r="B2978" t="s">
        <v>33</v>
      </c>
      <c r="C2978" t="s">
        <v>32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>E2978+G2978+H2978</f>
        <v>21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20</v>
      </c>
      <c r="K2978" s="3">
        <f>I2978-J2978</f>
        <v>1</v>
      </c>
      <c r="L2978" s="3" t="str">
        <f>IF(K2978&lt;-5,"CRÍTICO",IF(K2978&lt;0,"ATENÇÃO",IF(K2978&lt;=5,"OPORTUNO","MUITO BOM")))</f>
        <v>OPORTUNO</v>
      </c>
      <c r="M2978">
        <v>17</v>
      </c>
      <c r="N2978">
        <v>97.3</v>
      </c>
      <c r="O2978">
        <v>23.84769539078156</v>
      </c>
    </row>
    <row r="2979" spans="1:15" hidden="1" x14ac:dyDescent="0.25">
      <c r="A2979" s="11">
        <v>46094</v>
      </c>
      <c r="B2979" t="s">
        <v>15</v>
      </c>
      <c r="C2979" t="s">
        <v>16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v>0</v>
      </c>
      <c r="J2979" s="3">
        <v>0</v>
      </c>
      <c r="K2979" s="3">
        <v>0</v>
      </c>
      <c r="L2979" s="3" t="str">
        <f>IF(K2979&lt;-5,"CRÍTICO",IF(K2979&lt;0,"ATENÇÃO",IF(K2979&lt;=5,"OPORTUNO","MUITO BOM")))</f>
        <v>OPORTUNO</v>
      </c>
      <c r="M2979">
        <v>0</v>
      </c>
      <c r="N2979">
        <v>100</v>
      </c>
      <c r="O2979">
        <v>25.268817204301079</v>
      </c>
    </row>
    <row r="2980" spans="1:15" hidden="1" x14ac:dyDescent="0.25">
      <c r="A2980" s="11">
        <v>46094</v>
      </c>
      <c r="B2980" t="s">
        <v>49</v>
      </c>
      <c r="C2980" t="s">
        <v>48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>E2980+G2980+H2980</f>
        <v>37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21</v>
      </c>
      <c r="L2980" s="3" t="str">
        <f>IF(K2980&lt;-5,"CRÍTICO",IF(K2980&lt;0,"ATENÇÃO",IF(K2980&lt;=5,"OPORTUNO","MUITO BOM")))</f>
        <v>MUITO BOM</v>
      </c>
      <c r="M2980">
        <v>40</v>
      </c>
      <c r="N2980">
        <v>99.32</v>
      </c>
      <c r="O2980">
        <v>22.822822822822818</v>
      </c>
    </row>
    <row r="2981" spans="1:15" hidden="1" x14ac:dyDescent="0.25">
      <c r="A2981" s="11">
        <v>46094</v>
      </c>
      <c r="B2981" t="s">
        <v>50</v>
      </c>
      <c r="C2981" t="s">
        <v>48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>E2981+G2981+H2981</f>
        <v>16</v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>16</v>
      </c>
      <c r="K2981" s="3">
        <f>I2981-J2981</f>
        <v>0</v>
      </c>
      <c r="L2981" s="3" t="str">
        <f>IF(K2981&lt;-5,"CRÍTICO",IF(K2981&lt;0,"ATENÇÃO",IF(K2981&lt;=5,"OPORTUNO","MUITO BOM")))</f>
        <v>OPORTUNO</v>
      </c>
      <c r="M2981">
        <v>14</v>
      </c>
      <c r="N2981">
        <v>100</v>
      </c>
      <c r="O2981">
        <v>27.966101694915249</v>
      </c>
    </row>
    <row r="2982" spans="1:15" hidden="1" x14ac:dyDescent="0.25">
      <c r="A2982" s="11">
        <v>46094</v>
      </c>
      <c r="B2982" t="s">
        <v>17</v>
      </c>
      <c r="C2982" t="s">
        <v>16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v>0</v>
      </c>
      <c r="J2982" s="3">
        <v>0</v>
      </c>
      <c r="K2982" s="3">
        <v>0</v>
      </c>
      <c r="L2982" s="3" t="str">
        <f>IF(K2982&lt;-5,"CRÍTICO",IF(K2982&lt;0,"ATENÇÃO",IF(K2982&lt;=5,"OPORTUNO","MUITO BOM")))</f>
        <v>OPORTUNO</v>
      </c>
      <c r="M2982">
        <v>0</v>
      </c>
      <c r="N2982">
        <v>100</v>
      </c>
      <c r="O2982">
        <v>30.434782608695659</v>
      </c>
    </row>
    <row r="2983" spans="1:15" hidden="1" x14ac:dyDescent="0.25">
      <c r="A2983" s="11">
        <v>46094</v>
      </c>
      <c r="B2983" t="s">
        <v>60</v>
      </c>
      <c r="C2983" t="s">
        <v>23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>E2983+G2983+H2983</f>
        <v>20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7</v>
      </c>
      <c r="L2983" s="3" t="str">
        <f>IF(K2983&lt;-5,"CRÍTICO",IF(K2983&lt;0,"ATENÇÃO",IF(K2983&lt;=5,"OPORTUNO","MUITO BOM")))</f>
        <v>MUITO BOM</v>
      </c>
      <c r="M2983">
        <v>19</v>
      </c>
      <c r="N2983">
        <v>96.51</v>
      </c>
      <c r="O2983">
        <v>22.802850356294542</v>
      </c>
    </row>
    <row r="2984" spans="1:15" hidden="1" x14ac:dyDescent="0.25">
      <c r="A2984" s="11">
        <v>46094</v>
      </c>
      <c r="B2984" t="s">
        <v>34</v>
      </c>
      <c r="C2984" t="s">
        <v>32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>
        <v>6</v>
      </c>
      <c r="N2984">
        <v>92.68</v>
      </c>
      <c r="O2984">
        <v>27.777777777777779</v>
      </c>
    </row>
    <row r="2985" spans="1:15" hidden="1" x14ac:dyDescent="0.25">
      <c r="A2985" s="11">
        <v>46094</v>
      </c>
      <c r="B2985" t="s">
        <v>51</v>
      </c>
      <c r="C2985" t="s">
        <v>48</v>
      </c>
      <c r="D2985">
        <v>21</v>
      </c>
      <c r="E2985">
        <v>17</v>
      </c>
      <c r="F2985">
        <v>34.19</v>
      </c>
      <c r="G2985">
        <v>0</v>
      </c>
      <c r="H2985">
        <v>0</v>
      </c>
      <c r="I2985" s="3">
        <v>0</v>
      </c>
      <c r="J2985" s="3">
        <v>0</v>
      </c>
      <c r="K2985" s="3">
        <v>0</v>
      </c>
      <c r="L2985" s="3" t="str">
        <f>IF(K2985&lt;-5,"CRÍTICO",IF(K2985&lt;0,"ATENÇÃO",IF(K2985&lt;=5,"OPORTUNO","MUITO BOM")))</f>
        <v>OPORTUNO</v>
      </c>
      <c r="M2985">
        <v>17</v>
      </c>
      <c r="N2985">
        <v>99.03</v>
      </c>
      <c r="O2985">
        <v>23.991507430997881</v>
      </c>
    </row>
    <row r="2986" spans="1:15" hidden="1" x14ac:dyDescent="0.25">
      <c r="A2986" s="11">
        <v>46094</v>
      </c>
      <c r="B2986" t="s">
        <v>61</v>
      </c>
      <c r="C2986" t="s">
        <v>23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>E2986+G2986+H2986</f>
        <v>18</v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>13</v>
      </c>
      <c r="K2986" s="3">
        <f>I2986-J2986</f>
        <v>5</v>
      </c>
      <c r="L2986" s="3" t="str">
        <f>IF(K2986&lt;-5,"CRÍTICO",IF(K2986&lt;0,"ATENÇÃO",IF(K2986&lt;=5,"OPORTUNO","MUITO BOM")))</f>
        <v>OPORTUNO</v>
      </c>
      <c r="M2986">
        <v>11</v>
      </c>
      <c r="N2986">
        <v>98.41</v>
      </c>
      <c r="O2986">
        <v>28.138528138528141</v>
      </c>
    </row>
    <row r="2987" spans="1:15" hidden="1" x14ac:dyDescent="0.25">
      <c r="A2987" s="11">
        <v>46094</v>
      </c>
      <c r="B2987" t="s">
        <v>35</v>
      </c>
      <c r="C2987" t="s">
        <v>32</v>
      </c>
      <c r="D2987">
        <v>22</v>
      </c>
      <c r="E2987">
        <v>21</v>
      </c>
      <c r="F2987">
        <v>34.03</v>
      </c>
      <c r="G2987">
        <v>0</v>
      </c>
      <c r="H2987">
        <v>0</v>
      </c>
      <c r="I2987" s="3">
        <v>0</v>
      </c>
      <c r="J2987" s="3">
        <v>0</v>
      </c>
      <c r="K2987" s="3">
        <v>0</v>
      </c>
      <c r="L2987" s="3" t="str">
        <f>IF(K2987&lt;-5,"CRÍTICO",IF(K2987&lt;0,"ATENÇÃO",IF(K2987&lt;=5,"OPORTUNO","MUITO BOM")))</f>
        <v>OPORTUNO</v>
      </c>
      <c r="M2987">
        <v>22</v>
      </c>
      <c r="N2987">
        <v>98.73</v>
      </c>
      <c r="O2987">
        <v>29.142857142857139</v>
      </c>
    </row>
    <row r="2988" spans="1:15" hidden="1" x14ac:dyDescent="0.25">
      <c r="A2988" s="11">
        <v>46094</v>
      </c>
      <c r="B2988" t="s">
        <v>18</v>
      </c>
      <c r="C2988" t="s">
        <v>16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>E2988+G2988+H2988</f>
        <v>8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6</v>
      </c>
      <c r="K2988" s="3">
        <f>I2988-J2988</f>
        <v>2</v>
      </c>
      <c r="L2988" s="3" t="str">
        <f>IF(K2988&lt;-5,"CRÍTICO",IF(K2988&lt;0,"ATENÇÃO",IF(K2988&lt;=5,"OPORTUNO","MUITO BOM")))</f>
        <v>OPORTUNO</v>
      </c>
      <c r="M2988">
        <v>5</v>
      </c>
      <c r="N2988">
        <v>90.48</v>
      </c>
      <c r="O2988">
        <v>20.68965517241379</v>
      </c>
    </row>
    <row r="2989" spans="1:15" hidden="1" x14ac:dyDescent="0.25">
      <c r="A2989" s="11">
        <v>46094</v>
      </c>
      <c r="B2989" t="s">
        <v>52</v>
      </c>
      <c r="C2989" t="s">
        <v>48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>E2989+G2989+H2989</f>
        <v>13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16</v>
      </c>
      <c r="K2989" s="3">
        <f>I2989-J2989</f>
        <v>-3</v>
      </c>
      <c r="L2989" s="3" t="str">
        <f>IF(K2989&lt;-5,"CRÍTICO",IF(K2989&lt;0,"ATENÇÃO",IF(K2989&lt;=5,"OPORTUNO","MUITO BOM")))</f>
        <v>ATENÇÃO</v>
      </c>
      <c r="M2989">
        <v>15</v>
      </c>
      <c r="N2989">
        <v>98.06</v>
      </c>
      <c r="O2989">
        <v>24.789915966386559</v>
      </c>
    </row>
    <row r="2990" spans="1:15" hidden="1" x14ac:dyDescent="0.25">
      <c r="A2990" s="11">
        <v>46094</v>
      </c>
      <c r="B2990" t="s">
        <v>36</v>
      </c>
      <c r="C2990" t="s">
        <v>32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>E2990+G2990+H2990</f>
        <v>22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20</v>
      </c>
      <c r="K2990" s="3">
        <f>I2990-J2990</f>
        <v>2</v>
      </c>
      <c r="L2990" s="3" t="str">
        <f>IF(K2990&lt;-5,"CRÍTICO",IF(K2990&lt;0,"ATENÇÃO",IF(K2990&lt;=5,"OPORTUNO","MUITO BOM")))</f>
        <v>OPORTUNO</v>
      </c>
      <c r="M2990">
        <v>24</v>
      </c>
      <c r="N2990">
        <v>97.78</v>
      </c>
      <c r="O2990">
        <v>25.494071146245059</v>
      </c>
    </row>
    <row r="2991" spans="1:15" hidden="1" x14ac:dyDescent="0.25">
      <c r="A2991" s="11">
        <v>46094</v>
      </c>
      <c r="B2991" t="s">
        <v>53</v>
      </c>
      <c r="C2991" t="s">
        <v>48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>E2991+G2991+H2991</f>
        <v>14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16</v>
      </c>
      <c r="K2991" s="3">
        <f>I2991-J2991</f>
        <v>-2</v>
      </c>
      <c r="L2991" s="3" t="str">
        <f>IF(K2991&lt;-5,"CRÍTICO",IF(K2991&lt;0,"ATENÇÃO",IF(K2991&lt;=5,"OPORTUNO","MUITO BOM")))</f>
        <v>ATENÇÃO</v>
      </c>
      <c r="M2991">
        <v>13</v>
      </c>
      <c r="N2991">
        <v>98.02</v>
      </c>
      <c r="O2991">
        <v>23.484848484848481</v>
      </c>
    </row>
    <row r="2992" spans="1:15" hidden="1" x14ac:dyDescent="0.25">
      <c r="A2992" s="11">
        <v>46128</v>
      </c>
      <c r="B2992" t="s">
        <v>22</v>
      </c>
      <c r="C2992" t="s">
        <v>23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>E2992+G2992+H2992</f>
        <v>30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19</v>
      </c>
      <c r="K2992" s="3">
        <f>I2992-J2992</f>
        <v>11</v>
      </c>
      <c r="L2992" s="3" t="str">
        <f>IF(K2992&lt;-5,"CRÍTICO",IF(K2992&lt;0,"ATENÇÃO",IF(K2992&lt;=5,"OPORTUNO","MUITO BOM")))</f>
        <v>MUITO BOM</v>
      </c>
      <c r="M2992">
        <v>32</v>
      </c>
      <c r="N2992">
        <v>99.28</v>
      </c>
      <c r="O2992">
        <v>27.689243027888441</v>
      </c>
    </row>
    <row r="2993" spans="1:15" hidden="1" x14ac:dyDescent="0.25">
      <c r="A2993" s="11">
        <v>46094</v>
      </c>
      <c r="B2993" t="s">
        <v>54</v>
      </c>
      <c r="C2993" t="s">
        <v>48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>E2993+G2993+H2993</f>
        <v>23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16</v>
      </c>
      <c r="K2993" s="3">
        <f>I2993-J2993</f>
        <v>7</v>
      </c>
      <c r="L2993" s="3" t="str">
        <f>IF(K2993&lt;-5,"CRÍTICO",IF(K2993&lt;0,"ATENÇÃO",IF(K2993&lt;=5,"OPORTUNO","MUITO BOM")))</f>
        <v>MUITO BOM</v>
      </c>
      <c r="M2993">
        <v>22</v>
      </c>
      <c r="N2993">
        <v>100</v>
      </c>
      <c r="O2993">
        <v>27.04918032786885</v>
      </c>
    </row>
    <row r="2994" spans="1:15" hidden="1" x14ac:dyDescent="0.25">
      <c r="A2994" s="11">
        <v>46094</v>
      </c>
      <c r="B2994" t="s">
        <v>37</v>
      </c>
      <c r="C2994" t="s">
        <v>32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>E2994+G2994+H2994</f>
        <v>35</v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>20</v>
      </c>
      <c r="K2994" s="3">
        <f>I2994-J2994</f>
        <v>15</v>
      </c>
      <c r="L2994" s="3" t="str">
        <f>IF(K2994&lt;-5,"CRÍTICO",IF(K2994&lt;0,"ATENÇÃO",IF(K2994&lt;=5,"OPORTUNO","MUITO BOM")))</f>
        <v>MUITO BOM</v>
      </c>
      <c r="M2994">
        <v>34</v>
      </c>
      <c r="N2994">
        <v>97.83</v>
      </c>
      <c r="O2994">
        <v>26.315789473684209</v>
      </c>
    </row>
    <row r="2995" spans="1:15" hidden="1" x14ac:dyDescent="0.25">
      <c r="A2995" s="11">
        <v>46094</v>
      </c>
      <c r="B2995" t="s">
        <v>38</v>
      </c>
      <c r="C2995" t="s">
        <v>32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v>0</v>
      </c>
      <c r="J2995" s="3">
        <v>0</v>
      </c>
      <c r="K2995" s="3">
        <v>0</v>
      </c>
      <c r="L2995" s="3" t="str">
        <f>IF(K2995&lt;-5,"CRÍTICO",IF(K2995&lt;0,"ATENÇÃO",IF(K2995&lt;=5,"OPORTUNO","MUITO BOM")))</f>
        <v>OPORTUNO</v>
      </c>
      <c r="M2995">
        <v>8</v>
      </c>
      <c r="N2995">
        <v>100</v>
      </c>
      <c r="O2995">
        <v>26.701570680628269</v>
      </c>
    </row>
    <row r="2996" spans="1:15" hidden="1" x14ac:dyDescent="0.25">
      <c r="A2996" s="11">
        <v>46094</v>
      </c>
      <c r="B2996" t="s">
        <v>55</v>
      </c>
      <c r="C2996" t="s">
        <v>48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>E2996+G2996+H2996</f>
        <v>18</v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>16</v>
      </c>
      <c r="K2996" s="3">
        <f>I2996-J2996</f>
        <v>2</v>
      </c>
      <c r="L2996" s="3" t="str">
        <f>IF(K2996&lt;-5,"CRÍTICO",IF(K2996&lt;0,"ATENÇÃO",IF(K2996&lt;=5,"OPORTUNO","MUITO BOM")))</f>
        <v>OPORTUNO</v>
      </c>
      <c r="M2996">
        <v>19</v>
      </c>
      <c r="N2996">
        <v>97.47</v>
      </c>
      <c r="O2996">
        <v>22.887323943661968</v>
      </c>
    </row>
    <row r="2997" spans="1:15" hidden="1" x14ac:dyDescent="0.25">
      <c r="A2997" s="11">
        <v>46094</v>
      </c>
      <c r="B2997" t="s">
        <v>39</v>
      </c>
      <c r="C2997" t="s">
        <v>32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v>0</v>
      </c>
      <c r="J2997" s="3">
        <v>0</v>
      </c>
      <c r="K2997" s="3">
        <v>0</v>
      </c>
      <c r="L2997" s="3" t="str">
        <f>IF(K2997&lt;-5,"CRÍTICO",IF(K2997&lt;0,"ATENÇÃO",IF(K2997&lt;=5,"OPORTUNO","MUITO BOM")))</f>
        <v>OPORTUNO</v>
      </c>
      <c r="M2997">
        <v>0</v>
      </c>
      <c r="N2997">
        <v>0</v>
      </c>
      <c r="O2997">
        <v>0</v>
      </c>
    </row>
    <row r="2998" spans="1:15" hidden="1" x14ac:dyDescent="0.25">
      <c r="A2998" s="11">
        <v>46094</v>
      </c>
      <c r="B2998" t="s">
        <v>25</v>
      </c>
      <c r="C2998" t="s">
        <v>26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>E2998+G2998+H2998</f>
        <v>5</v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>12</v>
      </c>
      <c r="K2998" s="3">
        <f>I2998-J2998</f>
        <v>-7</v>
      </c>
      <c r="L2998" s="3" t="str">
        <f>IF(K2998&lt;-5,"CRÍTICO",IF(K2998&lt;0,"ATENÇÃO",IF(K2998&lt;=5,"OPORTUNO","MUITO BOM")))</f>
        <v>CRÍTICO</v>
      </c>
      <c r="M2998">
        <v>5</v>
      </c>
      <c r="N2998">
        <v>98.31</v>
      </c>
      <c r="O2998">
        <v>24.920127795527151</v>
      </c>
    </row>
    <row r="2999" spans="1:15" hidden="1" x14ac:dyDescent="0.25">
      <c r="A2999" s="11">
        <v>46094</v>
      </c>
      <c r="B2999" t="s">
        <v>40</v>
      </c>
      <c r="C2999" t="s">
        <v>32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v>0</v>
      </c>
      <c r="J2999" s="3">
        <v>0</v>
      </c>
      <c r="K2999" s="3">
        <v>0</v>
      </c>
      <c r="L2999" s="3" t="str">
        <f>IF(K2999&lt;-5,"CRÍTICO",IF(K2999&lt;0,"ATENÇÃO",IF(K2999&lt;=5,"OPORTUNO","MUITO BOM")))</f>
        <v>OPORTUNO</v>
      </c>
      <c r="M2999">
        <v>0</v>
      </c>
      <c r="N2999">
        <v>96.81</v>
      </c>
      <c r="O2999">
        <v>32.365145228215773</v>
      </c>
    </row>
    <row r="3000" spans="1:15" hidden="1" x14ac:dyDescent="0.25">
      <c r="A3000" s="11">
        <v>46094</v>
      </c>
      <c r="B3000" t="s">
        <v>27</v>
      </c>
      <c r="C3000" t="s">
        <v>26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>E3000+G3000+H3000</f>
        <v>14</v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>12</v>
      </c>
      <c r="K3000" s="3">
        <f>I3000-J3000</f>
        <v>2</v>
      </c>
      <c r="L3000" s="3" t="str">
        <f>IF(K3000&lt;-5,"CRÍTICO",IF(K3000&lt;0,"ATENÇÃO",IF(K3000&lt;=5,"OPORTUNO","MUITO BOM")))</f>
        <v>OPORTUNO</v>
      </c>
      <c r="M3000">
        <v>12</v>
      </c>
      <c r="N3000">
        <v>100</v>
      </c>
      <c r="O3000">
        <v>26.47058823529412</v>
      </c>
    </row>
    <row r="3001" spans="1:15" hidden="1" x14ac:dyDescent="0.25">
      <c r="A3001" s="11">
        <v>46094</v>
      </c>
      <c r="B3001" t="s">
        <v>41</v>
      </c>
      <c r="C3001" t="s">
        <v>32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v>0</v>
      </c>
      <c r="J3001" s="3">
        <v>0</v>
      </c>
      <c r="K3001" s="3">
        <v>0</v>
      </c>
      <c r="L3001" s="3" t="str">
        <f>IF(K3001&lt;-5,"CRÍTICO",IF(K3001&lt;0,"ATENÇÃO",IF(K3001&lt;=5,"OPORTUNO","MUITO BOM")))</f>
        <v>OPORTUNO</v>
      </c>
      <c r="M3001">
        <v>8</v>
      </c>
      <c r="N3001">
        <v>100</v>
      </c>
      <c r="O3001">
        <v>28.490028490028489</v>
      </c>
    </row>
    <row r="3002" spans="1:15" hidden="1" x14ac:dyDescent="0.25">
      <c r="A3002" s="11">
        <v>46094</v>
      </c>
      <c r="B3002" t="s">
        <v>56</v>
      </c>
      <c r="C3002" t="s">
        <v>48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>E3002+G3002+H3002</f>
        <v>30</v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>16</v>
      </c>
      <c r="K3002" s="3">
        <f>I3002-J3002</f>
        <v>14</v>
      </c>
      <c r="L3002" s="3" t="str">
        <f>IF(K3002&lt;-5,"CRÍTICO",IF(K3002&lt;0,"ATENÇÃO",IF(K3002&lt;=5,"OPORTUNO","MUITO BOM")))</f>
        <v>MUITO BOM</v>
      </c>
      <c r="M3002">
        <v>11</v>
      </c>
      <c r="N3002">
        <v>99.14</v>
      </c>
      <c r="O3002">
        <v>27.2289156626506</v>
      </c>
    </row>
    <row r="3003" spans="1:15" hidden="1" x14ac:dyDescent="0.25">
      <c r="A3003" s="11">
        <v>46094</v>
      </c>
      <c r="B3003" t="s">
        <v>57</v>
      </c>
      <c r="C3003" t="s">
        <v>48</v>
      </c>
      <c r="D3003">
        <v>25</v>
      </c>
      <c r="E3003">
        <v>23</v>
      </c>
      <c r="F3003">
        <v>27.26</v>
      </c>
      <c r="G3003">
        <v>0</v>
      </c>
      <c r="H3003">
        <v>0</v>
      </c>
      <c r="I3003" s="3">
        <v>0</v>
      </c>
      <c r="J3003" s="3">
        <v>0</v>
      </c>
      <c r="K3003" s="3">
        <v>0</v>
      </c>
      <c r="L3003" s="3" t="str">
        <f>IF(K3003&lt;-5,"CRÍTICO",IF(K3003&lt;0,"ATENÇÃO",IF(K3003&lt;=5,"OPORTUNO","MUITO BOM")))</f>
        <v>OPORTUNO</v>
      </c>
      <c r="M3003">
        <v>20</v>
      </c>
      <c r="N3003">
        <v>97.52</v>
      </c>
      <c r="O3003">
        <v>28.205128205128201</v>
      </c>
    </row>
    <row r="3004" spans="1:15" hidden="1" x14ac:dyDescent="0.25">
      <c r="A3004" s="11">
        <v>46094</v>
      </c>
      <c r="B3004" t="s">
        <v>42</v>
      </c>
      <c r="C3004" t="s">
        <v>32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>E3004+G3004+H3004</f>
        <v>22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20</v>
      </c>
      <c r="K3004" s="3">
        <f>I3004-J3004</f>
        <v>2</v>
      </c>
      <c r="L3004" s="3" t="str">
        <f>IF(K3004&lt;-5,"CRÍTICO",IF(K3004&lt;0,"ATENÇÃO",IF(K3004&lt;=5,"OPORTUNO","MUITO BOM")))</f>
        <v>OPORTUNO</v>
      </c>
      <c r="M3004">
        <v>15</v>
      </c>
      <c r="N3004">
        <v>90</v>
      </c>
      <c r="O3004">
        <v>24.186046511627911</v>
      </c>
    </row>
    <row r="3005" spans="1:15" hidden="1" x14ac:dyDescent="0.25">
      <c r="A3005" s="11">
        <v>46094</v>
      </c>
      <c r="B3005" t="s">
        <v>62</v>
      </c>
      <c r="C3005" t="s">
        <v>23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>E3005+G3005+H3005</f>
        <v>12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13</v>
      </c>
      <c r="K3005" s="3">
        <f>I3005-J3005</f>
        <v>-1</v>
      </c>
      <c r="L3005" s="3" t="str">
        <f>IF(K3005&lt;-5,"CRÍTICO",IF(K3005&lt;0,"ATENÇÃO",IF(K3005&lt;=5,"OPORTUNO","MUITO BOM")))</f>
        <v>ATENÇÃO</v>
      </c>
      <c r="M3005">
        <v>11</v>
      </c>
      <c r="N3005">
        <v>98.9</v>
      </c>
      <c r="O3005">
        <v>26.763990267639901</v>
      </c>
    </row>
    <row r="3006" spans="1:15" hidden="1" x14ac:dyDescent="0.25">
      <c r="A3006" s="11">
        <v>46094</v>
      </c>
      <c r="B3006" t="s">
        <v>19</v>
      </c>
      <c r="C3006" t="s">
        <v>16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>E3006+G3006+H3006</f>
        <v>4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6</v>
      </c>
      <c r="K3006" s="3">
        <f>I3006-J3006</f>
        <v>-2</v>
      </c>
      <c r="L3006" s="3" t="str">
        <f>IF(K3006&lt;-5,"CRÍTICO",IF(K3006&lt;0,"ATENÇÃO",IF(K3006&lt;=5,"OPORTUNO","MUITO BOM")))</f>
        <v>ATENÇÃO</v>
      </c>
      <c r="M3006">
        <v>3</v>
      </c>
      <c r="N3006">
        <v>88.89</v>
      </c>
      <c r="O3006">
        <v>25.263157894736839</v>
      </c>
    </row>
    <row r="3007" spans="1:15" hidden="1" x14ac:dyDescent="0.25">
      <c r="A3007" s="11">
        <v>46094</v>
      </c>
      <c r="B3007" t="s">
        <v>43</v>
      </c>
      <c r="C3007" t="s">
        <v>32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>E3007+G3007+H3007</f>
        <v>17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-3</v>
      </c>
      <c r="L3007" s="3" t="str">
        <f>IF(K3007&lt;-5,"CRÍTICO",IF(K3007&lt;0,"ATENÇÃO",IF(K3007&lt;=5,"OPORTUNO","MUITO BOM")))</f>
        <v>ATENÇÃO</v>
      </c>
      <c r="M3007">
        <v>22</v>
      </c>
      <c r="N3007">
        <v>98.86</v>
      </c>
      <c r="O3007">
        <v>28.959276018099551</v>
      </c>
    </row>
    <row r="3008" spans="1:15" hidden="1" x14ac:dyDescent="0.25">
      <c r="A3008" s="11">
        <v>46094</v>
      </c>
      <c r="B3008" t="s">
        <v>44</v>
      </c>
      <c r="C3008" t="s">
        <v>32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>E3008+G3008+H3008</f>
        <v>28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20</v>
      </c>
      <c r="K3008" s="3">
        <f>I3008-J3008</f>
        <v>8</v>
      </c>
      <c r="L3008" s="3" t="str">
        <f>IF(K3008&lt;-5,"CRÍTICO",IF(K3008&lt;0,"ATENÇÃO",IF(K3008&lt;=5,"OPORTUNO","MUITO BOM")))</f>
        <v>MUITO BOM</v>
      </c>
      <c r="M3008">
        <v>25</v>
      </c>
      <c r="N3008">
        <v>98.06</v>
      </c>
      <c r="O3008">
        <v>22.40566037735849</v>
      </c>
    </row>
    <row r="3009" spans="1:15" hidden="1" x14ac:dyDescent="0.25">
      <c r="A3009" s="11">
        <v>46094</v>
      </c>
      <c r="B3009" t="s">
        <v>20</v>
      </c>
      <c r="C3009" t="s">
        <v>16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>E3009+G3009+H3009</f>
        <v>6</v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>6</v>
      </c>
      <c r="K3009" s="3">
        <f>I3009-J3009</f>
        <v>0</v>
      </c>
      <c r="L3009" s="3" t="str">
        <f>IF(K3009&lt;-5,"CRÍTICO",IF(K3009&lt;0,"ATENÇÃO",IF(K3009&lt;=5,"OPORTUNO","MUITO BOM")))</f>
        <v>OPORTUNO</v>
      </c>
      <c r="M3009">
        <v>5</v>
      </c>
      <c r="N3009">
        <v>95.83</v>
      </c>
      <c r="O3009">
        <v>25.773195876288661</v>
      </c>
    </row>
    <row r="3010" spans="1:15" hidden="1" x14ac:dyDescent="0.25">
      <c r="A3010" s="11">
        <v>46094</v>
      </c>
      <c r="B3010" t="s">
        <v>28</v>
      </c>
      <c r="C3010" t="s">
        <v>26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v>0</v>
      </c>
      <c r="J3010" s="3">
        <v>0</v>
      </c>
      <c r="K3010" s="3">
        <v>0</v>
      </c>
      <c r="L3010" s="3" t="str">
        <f>IF(K3010&lt;-5,"CRÍTICO",IF(K3010&lt;0,"ATENÇÃO",IF(K3010&lt;=5,"OPORTUNO","MUITO BOM")))</f>
        <v>OPORTUNO</v>
      </c>
      <c r="M3010">
        <v>0</v>
      </c>
      <c r="N3010">
        <v>100</v>
      </c>
      <c r="O3010">
        <v>15.38461538461539</v>
      </c>
    </row>
    <row r="3011" spans="1:15" hidden="1" x14ac:dyDescent="0.25">
      <c r="A3011" s="11">
        <v>46094</v>
      </c>
      <c r="B3011" t="s">
        <v>58</v>
      </c>
      <c r="C3011" t="s">
        <v>48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>E3011+G3011+H3011</f>
        <v>26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16</v>
      </c>
      <c r="K3011" s="3">
        <f>I3011-J3011</f>
        <v>10</v>
      </c>
      <c r="L3011" s="3" t="str">
        <f>IF(K3011&lt;-5,"CRÍTICO",IF(K3011&lt;0,"ATENÇÃO",IF(K3011&lt;=5,"OPORTUNO","MUITO BOM")))</f>
        <v>MUITO BOM</v>
      </c>
      <c r="M3011">
        <v>23</v>
      </c>
      <c r="N3011">
        <v>100</v>
      </c>
      <c r="O3011">
        <v>27.514792899408281</v>
      </c>
    </row>
    <row r="3012" spans="1:15" hidden="1" x14ac:dyDescent="0.25">
      <c r="A3012" s="11">
        <v>46094</v>
      </c>
      <c r="B3012" t="s">
        <v>29</v>
      </c>
      <c r="C3012" t="s">
        <v>26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>E3012+G3012+H3012</f>
        <v>12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0</v>
      </c>
      <c r="L3012" s="3" t="str">
        <f>IF(K3012&lt;-5,"CRÍTICO",IF(K3012&lt;0,"ATENÇÃO",IF(K3012&lt;=5,"OPORTUNO","MUITO BOM")))</f>
        <v>OPORTUNO</v>
      </c>
      <c r="M3012">
        <v>7</v>
      </c>
      <c r="N3012">
        <v>100</v>
      </c>
      <c r="O3012">
        <v>24.875621890547269</v>
      </c>
    </row>
    <row r="3013" spans="1:15" hidden="1" x14ac:dyDescent="0.25">
      <c r="A3013" s="11">
        <v>46094</v>
      </c>
      <c r="B3013" t="s">
        <v>30</v>
      </c>
      <c r="C3013" t="s">
        <v>26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>E3013+G3013+H3013</f>
        <v>14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12</v>
      </c>
      <c r="K3013" s="3">
        <f>I3013-J3013</f>
        <v>2</v>
      </c>
      <c r="L3013" s="3" t="str">
        <f>IF(K3013&lt;-5,"CRÍTICO",IF(K3013&lt;0,"ATENÇÃO",IF(K3013&lt;=5,"OPORTUNO","MUITO BOM")))</f>
        <v>OPORTUNO</v>
      </c>
      <c r="M3013">
        <v>13</v>
      </c>
      <c r="N3013">
        <v>100</v>
      </c>
      <c r="O3013">
        <v>28.108108108108109</v>
      </c>
    </row>
    <row r="3014" spans="1:15" hidden="1" x14ac:dyDescent="0.25">
      <c r="A3014" s="11">
        <v>46094</v>
      </c>
      <c r="B3014" t="s">
        <v>21</v>
      </c>
      <c r="C3014" t="s">
        <v>16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v>0</v>
      </c>
      <c r="J3014" s="3">
        <v>0</v>
      </c>
      <c r="K3014" s="3">
        <v>0</v>
      </c>
      <c r="L3014" s="3" t="str">
        <f>IF(K3014&lt;-5,"CRÍTICO",IF(K3014&lt;0,"ATENÇÃO",IF(K3014&lt;=5,"OPORTUNO","MUITO BOM")))</f>
        <v>OPORTUNO</v>
      </c>
      <c r="M3014">
        <v>0</v>
      </c>
      <c r="N3014">
        <v>100</v>
      </c>
      <c r="O3014">
        <v>35</v>
      </c>
    </row>
    <row r="3015" spans="1:15" hidden="1" x14ac:dyDescent="0.25">
      <c r="A3015" s="11">
        <v>46094</v>
      </c>
      <c r="B3015" t="s">
        <v>63</v>
      </c>
      <c r="C3015" t="s">
        <v>23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>E3015+G3015+H3015</f>
        <v>23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13</v>
      </c>
      <c r="K3015" s="3">
        <f>I3015-J3015</f>
        <v>10</v>
      </c>
      <c r="L3015" s="3" t="str">
        <f>IF(K3015&lt;-5,"CRÍTICO",IF(K3015&lt;0,"ATENÇÃO",IF(K3015&lt;=5,"OPORTUNO","MUITO BOM")))</f>
        <v>MUITO BOM</v>
      </c>
      <c r="M3015">
        <v>12</v>
      </c>
      <c r="N3015">
        <v>95.35</v>
      </c>
      <c r="O3015">
        <v>28.61538461538461</v>
      </c>
    </row>
    <row r="3016" spans="1:15" hidden="1" x14ac:dyDescent="0.25">
      <c r="A3016" s="11">
        <v>46094</v>
      </c>
      <c r="B3016" t="s">
        <v>45</v>
      </c>
      <c r="C3016" t="s">
        <v>32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>E3016+G3016+H3016</f>
        <v>36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20</v>
      </c>
      <c r="K3016" s="3">
        <f>I3016-J3016</f>
        <v>16</v>
      </c>
      <c r="L3016" s="3" t="str">
        <f>IF(K3016&lt;-5,"CRÍTICO",IF(K3016&lt;0,"ATENÇÃO",IF(K3016&lt;=5,"OPORTUNO","MUITO BOM")))</f>
        <v>MUITO BOM</v>
      </c>
      <c r="M3016">
        <v>33</v>
      </c>
      <c r="N3016">
        <v>98.26</v>
      </c>
      <c r="O3016">
        <v>27.54491017964072</v>
      </c>
    </row>
    <row r="3017" spans="1:15" hidden="1" x14ac:dyDescent="0.25">
      <c r="A3017" s="11">
        <v>46094</v>
      </c>
      <c r="B3017" t="s">
        <v>64</v>
      </c>
      <c r="C3017" t="s">
        <v>23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>E3017+G3017+H3017</f>
        <v>13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13</v>
      </c>
      <c r="K3017" s="3">
        <f>I3017-J3017</f>
        <v>0</v>
      </c>
      <c r="L3017" s="3" t="str">
        <f>IF(K3017&lt;-5,"CRÍTICO",IF(K3017&lt;0,"ATENÇÃO",IF(K3017&lt;=5,"OPORTUNO","MUITO BOM")))</f>
        <v>OPORTUNO</v>
      </c>
      <c r="M3017">
        <v>13</v>
      </c>
      <c r="N3017">
        <v>98.55</v>
      </c>
      <c r="O3017">
        <v>25.337837837837839</v>
      </c>
    </row>
    <row r="3018" spans="1:15" hidden="1" x14ac:dyDescent="0.25">
      <c r="A3018" s="11">
        <v>46094</v>
      </c>
      <c r="B3018" t="s">
        <v>46</v>
      </c>
      <c r="C3018" t="s">
        <v>32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>E3018+G3018+H3018</f>
        <v>28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20</v>
      </c>
      <c r="K3018" s="3">
        <f>I3018-J3018</f>
        <v>8</v>
      </c>
      <c r="L3018" s="3" t="str">
        <f>IF(K3018&lt;-5,"CRÍTICO",IF(K3018&lt;0,"ATENÇÃO",IF(K3018&lt;=5,"OPORTUNO","MUITO BOM")))</f>
        <v>MUITO BOM</v>
      </c>
      <c r="M3018">
        <v>25</v>
      </c>
      <c r="N3018">
        <v>98.39</v>
      </c>
      <c r="O3018">
        <v>25.563909774436091</v>
      </c>
    </row>
    <row r="3019" spans="1:15" hidden="1" x14ac:dyDescent="0.25">
      <c r="A3019" s="11">
        <v>46097</v>
      </c>
      <c r="B3019" t="s">
        <v>47</v>
      </c>
      <c r="C3019" t="s">
        <v>48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>E3019+G3019+H3019</f>
        <v>27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18</v>
      </c>
      <c r="K3019" s="3">
        <f>I3019-J3019</f>
        <v>9</v>
      </c>
      <c r="L3019" s="3" t="str">
        <f>IF(K3019&lt;-5,"CRÍTICO",IF(K3019&lt;0,"ATENÇÃO",IF(K3019&lt;=5,"OPORTUNO","MUITO BOM")))</f>
        <v>MUITO BOM</v>
      </c>
      <c r="M3019">
        <v>15</v>
      </c>
      <c r="N3019">
        <v>94.29</v>
      </c>
      <c r="O3019">
        <v>25.647668393782389</v>
      </c>
    </row>
    <row r="3020" spans="1:15" hidden="1" x14ac:dyDescent="0.25">
      <c r="A3020" s="11">
        <v>46097</v>
      </c>
      <c r="B3020" t="s">
        <v>31</v>
      </c>
      <c r="C3020" t="s">
        <v>32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v>0</v>
      </c>
      <c r="J3020" s="3">
        <v>0</v>
      </c>
      <c r="K3020" s="3">
        <v>0</v>
      </c>
      <c r="L3020" s="3" t="str">
        <f>IF(K3020&lt;-5,"CRÍTICO",IF(K3020&lt;0,"ATENÇÃO",IF(K3020&lt;=5,"OPORTUNO","MUITO BOM")))</f>
        <v>OPORTUNO</v>
      </c>
      <c r="M3020">
        <v>22</v>
      </c>
      <c r="N3020">
        <v>98.26</v>
      </c>
      <c r="O3020">
        <v>26.666666666666671</v>
      </c>
    </row>
    <row r="3021" spans="1:15" hidden="1" x14ac:dyDescent="0.25">
      <c r="A3021" s="11">
        <v>46097</v>
      </c>
      <c r="B3021" t="s">
        <v>59</v>
      </c>
      <c r="C3021" t="s">
        <v>23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>E3021+G3021+H3021</f>
        <v>29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15</v>
      </c>
      <c r="K3021" s="3">
        <f>I3021-J3021</f>
        <v>14</v>
      </c>
      <c r="L3021" s="3" t="str">
        <f>IF(K3021&lt;-5,"CRÍTICO",IF(K3021&lt;0,"ATENÇÃO",IF(K3021&lt;=5,"OPORTUNO","MUITO BOM")))</f>
        <v>MUITO BOM</v>
      </c>
      <c r="M3021">
        <v>30</v>
      </c>
      <c r="N3021">
        <v>98.2</v>
      </c>
      <c r="O3021">
        <v>23.37962962962963</v>
      </c>
    </row>
    <row r="3022" spans="1:15" hidden="1" x14ac:dyDescent="0.25">
      <c r="A3022" s="11">
        <v>46097</v>
      </c>
      <c r="B3022" t="s">
        <v>33</v>
      </c>
      <c r="C3022" t="s">
        <v>32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>E3022+G3022+H3022</f>
        <v>31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23</v>
      </c>
      <c r="K3022" s="3">
        <f>I3022-J3022</f>
        <v>8</v>
      </c>
      <c r="L3022" s="3" t="str">
        <f>IF(K3022&lt;-5,"CRÍTICO",IF(K3022&lt;0,"ATENÇÃO",IF(K3022&lt;=5,"OPORTUNO","MUITO BOM")))</f>
        <v>MUITO BOM</v>
      </c>
      <c r="M3022">
        <v>23</v>
      </c>
      <c r="N3022">
        <v>97.3</v>
      </c>
      <c r="O3022">
        <v>23.84769539078156</v>
      </c>
    </row>
    <row r="3023" spans="1:15" hidden="1" x14ac:dyDescent="0.25">
      <c r="A3023" s="11">
        <v>46097</v>
      </c>
      <c r="B3023" t="s">
        <v>15</v>
      </c>
      <c r="C3023" t="s">
        <v>16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>E3023+G3023+H3023</f>
        <v>7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6</v>
      </c>
      <c r="K3023" s="3">
        <f>I3023-J3023</f>
        <v>1</v>
      </c>
      <c r="L3023" s="3" t="str">
        <f>IF(K3023&lt;-5,"CRÍTICO",IF(K3023&lt;0,"ATENÇÃO",IF(K3023&lt;=5,"OPORTUNO","MUITO BOM")))</f>
        <v>OPORTUNO</v>
      </c>
      <c r="M3023">
        <v>6</v>
      </c>
      <c r="N3023">
        <v>100</v>
      </c>
      <c r="O3023">
        <v>25.268817204301079</v>
      </c>
    </row>
    <row r="3024" spans="1:15" hidden="1" x14ac:dyDescent="0.25">
      <c r="A3024" s="11">
        <v>46097</v>
      </c>
      <c r="B3024" t="s">
        <v>49</v>
      </c>
      <c r="C3024" t="s">
        <v>48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>E3024+G3024+H3024</f>
        <v>18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0</v>
      </c>
      <c r="L3024" s="3" t="str">
        <f>IF(K3024&lt;-5,"CRÍTICO",IF(K3024&lt;0,"ATENÇÃO",IF(K3024&lt;=5,"OPORTUNO","MUITO BOM")))</f>
        <v>OPORTUNO</v>
      </c>
      <c r="M3024">
        <v>20</v>
      </c>
      <c r="N3024">
        <v>99.32</v>
      </c>
      <c r="O3024">
        <v>22.822822822822818</v>
      </c>
    </row>
    <row r="3025" spans="1:15" hidden="1" x14ac:dyDescent="0.25">
      <c r="A3025" s="11">
        <v>46097</v>
      </c>
      <c r="B3025" t="s">
        <v>50</v>
      </c>
      <c r="C3025" t="s">
        <v>48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>E3025+G3025+H3025</f>
        <v>19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18</v>
      </c>
      <c r="K3025" s="3">
        <f>I3025-J3025</f>
        <v>1</v>
      </c>
      <c r="L3025" s="3" t="str">
        <f>IF(K3025&lt;-5,"CRÍTICO",IF(K3025&lt;0,"ATENÇÃO",IF(K3025&lt;=5,"OPORTUNO","MUITO BOM")))</f>
        <v>OPORTUNO</v>
      </c>
      <c r="M3025">
        <v>23</v>
      </c>
      <c r="N3025">
        <v>100</v>
      </c>
      <c r="O3025">
        <v>27.966101694915249</v>
      </c>
    </row>
    <row r="3026" spans="1:15" hidden="1" x14ac:dyDescent="0.25">
      <c r="A3026" s="11">
        <v>46097</v>
      </c>
      <c r="B3026" t="s">
        <v>17</v>
      </c>
      <c r="C3026" t="s">
        <v>16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v>0</v>
      </c>
      <c r="J3026" s="3">
        <v>0</v>
      </c>
      <c r="K3026" s="3">
        <v>0</v>
      </c>
      <c r="L3026" s="3" t="str">
        <f>IF(K3026&lt;-5,"CRÍTICO",IF(K3026&lt;0,"ATENÇÃO",IF(K3026&lt;=5,"OPORTUNO","MUITO BOM")))</f>
        <v>OPORTUNO</v>
      </c>
      <c r="M3026">
        <v>0</v>
      </c>
      <c r="N3026">
        <v>100</v>
      </c>
      <c r="O3026">
        <v>30.434782608695659</v>
      </c>
    </row>
    <row r="3027" spans="1:15" hidden="1" x14ac:dyDescent="0.25">
      <c r="A3027" s="11">
        <v>46097</v>
      </c>
      <c r="B3027" t="s">
        <v>60</v>
      </c>
      <c r="C3027" t="s">
        <v>23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15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>
        <v>20</v>
      </c>
      <c r="N3027">
        <v>96.51</v>
      </c>
      <c r="O3027">
        <v>22.802850356294542</v>
      </c>
    </row>
    <row r="3028" spans="1:15" hidden="1" x14ac:dyDescent="0.25">
      <c r="A3028" s="11">
        <v>46097</v>
      </c>
      <c r="B3028" t="s">
        <v>34</v>
      </c>
      <c r="C3028" t="s">
        <v>32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>E3028+G3028+H3028</f>
        <v>27</v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>23</v>
      </c>
      <c r="K3028" s="3">
        <f>I3028-J3028</f>
        <v>4</v>
      </c>
      <c r="L3028" s="3" t="str">
        <f>IF(K3028&lt;-5,"CRÍTICO",IF(K3028&lt;0,"ATENÇÃO",IF(K3028&lt;=5,"OPORTUNO","MUITO BOM")))</f>
        <v>OPORTUNO</v>
      </c>
      <c r="M3028">
        <v>23</v>
      </c>
      <c r="N3028">
        <v>92.68</v>
      </c>
      <c r="O3028">
        <v>27.777777777777779</v>
      </c>
    </row>
    <row r="3029" spans="1:15" hidden="1" x14ac:dyDescent="0.25">
      <c r="A3029" s="11">
        <v>46097</v>
      </c>
      <c r="B3029" t="s">
        <v>51</v>
      </c>
      <c r="C3029" t="s">
        <v>48</v>
      </c>
      <c r="D3029">
        <v>24</v>
      </c>
      <c r="E3029">
        <v>24</v>
      </c>
      <c r="F3029">
        <v>21.47</v>
      </c>
      <c r="G3029">
        <v>0</v>
      </c>
      <c r="H3029">
        <v>0</v>
      </c>
      <c r="I3029" s="3">
        <v>0</v>
      </c>
      <c r="J3029" s="3">
        <v>0</v>
      </c>
      <c r="K3029" s="3">
        <v>0</v>
      </c>
      <c r="L3029" s="3" t="str">
        <f>IF(K3029&lt;-5,"CRÍTICO",IF(K3029&lt;0,"ATENÇÃO",IF(K3029&lt;=5,"OPORTUNO","MUITO BOM")))</f>
        <v>OPORTUNO</v>
      </c>
      <c r="M3029">
        <v>23</v>
      </c>
      <c r="N3029">
        <v>99.03</v>
      </c>
      <c r="O3029">
        <v>23.991507430997881</v>
      </c>
    </row>
    <row r="3030" spans="1:15" hidden="1" x14ac:dyDescent="0.25">
      <c r="A3030" s="11">
        <v>46097</v>
      </c>
      <c r="B3030" t="s">
        <v>61</v>
      </c>
      <c r="C3030" t="s">
        <v>23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>E3030+G3030+H3030</f>
        <v>19</v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15</v>
      </c>
      <c r="K3030" s="3">
        <f>I3030-J3030</f>
        <v>4</v>
      </c>
      <c r="L3030" s="3" t="str">
        <f>IF(K3030&lt;-5,"CRÍTICO",IF(K3030&lt;0,"ATENÇÃO",IF(K3030&lt;=5,"OPORTUNO","MUITO BOM")))</f>
        <v>OPORTUNO</v>
      </c>
      <c r="M3030">
        <v>12</v>
      </c>
      <c r="N3030">
        <v>98.41</v>
      </c>
      <c r="O3030">
        <v>28.138528138528141</v>
      </c>
    </row>
    <row r="3031" spans="1:15" hidden="1" x14ac:dyDescent="0.25">
      <c r="A3031" s="11">
        <v>46097</v>
      </c>
      <c r="B3031" t="s">
        <v>35</v>
      </c>
      <c r="C3031" t="s">
        <v>32</v>
      </c>
      <c r="D3031">
        <v>17</v>
      </c>
      <c r="E3031">
        <v>17</v>
      </c>
      <c r="F3031">
        <v>40.31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>
        <v>17</v>
      </c>
      <c r="N3031">
        <v>98.73</v>
      </c>
      <c r="O3031">
        <v>29.142857142857139</v>
      </c>
    </row>
    <row r="3032" spans="1:15" hidden="1" x14ac:dyDescent="0.25">
      <c r="A3032" s="11">
        <v>46097</v>
      </c>
      <c r="B3032" t="s">
        <v>18</v>
      </c>
      <c r="C3032" t="s">
        <v>16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v>0</v>
      </c>
      <c r="J3032" s="3">
        <v>0</v>
      </c>
      <c r="K3032" s="3">
        <v>0</v>
      </c>
      <c r="L3032" s="3" t="str">
        <f>IF(K3032&lt;-5,"CRÍTICO",IF(K3032&lt;0,"ATENÇÃO",IF(K3032&lt;=5,"OPORTUNO","MUITO BOM")))</f>
        <v>OPORTUNO</v>
      </c>
      <c r="M3032">
        <v>0</v>
      </c>
      <c r="N3032">
        <v>90.48</v>
      </c>
      <c r="O3032">
        <v>20.68965517241379</v>
      </c>
    </row>
    <row r="3033" spans="1:15" hidden="1" x14ac:dyDescent="0.25">
      <c r="A3033" s="11">
        <v>46097</v>
      </c>
      <c r="B3033" t="s">
        <v>52</v>
      </c>
      <c r="C3033" t="s">
        <v>48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18</v>
      </c>
      <c r="K3033" s="3">
        <f>I3033-J3033</f>
        <v>6</v>
      </c>
      <c r="L3033" s="3" t="str">
        <f>IF(K3033&lt;-5,"CRÍTICO",IF(K3033&lt;0,"ATENÇÃO",IF(K3033&lt;=5,"OPORTUNO","MUITO BOM")))</f>
        <v>MUITO BOM</v>
      </c>
      <c r="M3033">
        <v>22</v>
      </c>
      <c r="N3033">
        <v>98.06</v>
      </c>
      <c r="O3033">
        <v>24.789915966386559</v>
      </c>
    </row>
    <row r="3034" spans="1:15" hidden="1" x14ac:dyDescent="0.25">
      <c r="A3034" s="11">
        <v>46097</v>
      </c>
      <c r="B3034" t="s">
        <v>36</v>
      </c>
      <c r="C3034" t="s">
        <v>32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>E3034+G3034+H3034</f>
        <v>24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23</v>
      </c>
      <c r="K3034" s="3">
        <f>I3034-J3034</f>
        <v>1</v>
      </c>
      <c r="L3034" s="3" t="str">
        <f>IF(K3034&lt;-5,"CRÍTICO",IF(K3034&lt;0,"ATENÇÃO",IF(K3034&lt;=5,"OPORTUNO","MUITO BOM")))</f>
        <v>OPORTUNO</v>
      </c>
      <c r="M3034">
        <v>25</v>
      </c>
      <c r="N3034">
        <v>97.78</v>
      </c>
      <c r="O3034">
        <v>25.494071146245059</v>
      </c>
    </row>
    <row r="3035" spans="1:15" hidden="1" x14ac:dyDescent="0.25">
      <c r="A3035" s="11">
        <v>46097</v>
      </c>
      <c r="B3035" t="s">
        <v>53</v>
      </c>
      <c r="C3035" t="s">
        <v>48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>E3035+G3035+H3035</f>
        <v>11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-7</v>
      </c>
      <c r="L3035" s="3" t="str">
        <f>IF(K3035&lt;-5,"CRÍTICO",IF(K3035&lt;0,"ATENÇÃO",IF(K3035&lt;=5,"OPORTUNO","MUITO BOM")))</f>
        <v>CRÍTICO</v>
      </c>
      <c r="M3035">
        <v>11</v>
      </c>
      <c r="N3035">
        <v>98.02</v>
      </c>
      <c r="O3035">
        <v>23.484848484848481</v>
      </c>
    </row>
    <row r="3036" spans="1:15" hidden="1" x14ac:dyDescent="0.25">
      <c r="A3036" s="11">
        <v>46129</v>
      </c>
      <c r="B3036" t="s">
        <v>22</v>
      </c>
      <c r="C3036" t="s">
        <v>23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>E3036+G3036+H3036</f>
        <v>21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3</v>
      </c>
      <c r="L3036" s="3" t="str">
        <f>IF(K3036&lt;-5,"CRÍTICO",IF(K3036&lt;0,"ATENÇÃO",IF(K3036&lt;=5,"OPORTUNO","MUITO BOM")))</f>
        <v>OPORTUNO</v>
      </c>
      <c r="M3036">
        <v>23</v>
      </c>
      <c r="N3036">
        <v>99.28</v>
      </c>
      <c r="O3036">
        <v>27.689243027888441</v>
      </c>
    </row>
    <row r="3037" spans="1:15" hidden="1" x14ac:dyDescent="0.25">
      <c r="A3037" s="11">
        <v>46097</v>
      </c>
      <c r="B3037" t="s">
        <v>54</v>
      </c>
      <c r="C3037" t="s">
        <v>48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>E3037+G3037+H3037</f>
        <v>22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18</v>
      </c>
      <c r="K3037" s="3">
        <f>I3037-J3037</f>
        <v>4</v>
      </c>
      <c r="L3037" s="3" t="str">
        <f>IF(K3037&lt;-5,"CRÍTICO",IF(K3037&lt;0,"ATENÇÃO",IF(K3037&lt;=5,"OPORTUNO","MUITO BOM")))</f>
        <v>OPORTUNO</v>
      </c>
      <c r="M3037">
        <v>21</v>
      </c>
      <c r="N3037">
        <v>100</v>
      </c>
      <c r="O3037">
        <v>27.04918032786885</v>
      </c>
    </row>
    <row r="3038" spans="1:15" hidden="1" x14ac:dyDescent="0.25">
      <c r="A3038" s="11">
        <v>46097</v>
      </c>
      <c r="B3038" t="s">
        <v>37</v>
      </c>
      <c r="C3038" t="s">
        <v>32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>E3038+G3038+H3038</f>
        <v>44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21</v>
      </c>
      <c r="L3038" s="3" t="str">
        <f>IF(K3038&lt;-5,"CRÍTICO",IF(K3038&lt;0,"ATENÇÃO",IF(K3038&lt;=5,"OPORTUNO","MUITO BOM")))</f>
        <v>MUITO BOM</v>
      </c>
      <c r="M3038">
        <v>43</v>
      </c>
      <c r="N3038">
        <v>97.83</v>
      </c>
      <c r="O3038">
        <v>26.315789473684209</v>
      </c>
    </row>
    <row r="3039" spans="1:15" hidden="1" x14ac:dyDescent="0.25">
      <c r="A3039" s="11">
        <v>46097</v>
      </c>
      <c r="B3039" t="s">
        <v>38</v>
      </c>
      <c r="C3039" t="s">
        <v>32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>E3039+G3039+H3039</f>
        <v>19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23</v>
      </c>
      <c r="K3039" s="3">
        <f>I3039-J3039</f>
        <v>-4</v>
      </c>
      <c r="L3039" s="3" t="str">
        <f>IF(K3039&lt;-5,"CRÍTICO",IF(K3039&lt;0,"ATENÇÃO",IF(K3039&lt;=5,"OPORTUNO","MUITO BOM")))</f>
        <v>ATENÇÃO</v>
      </c>
      <c r="M3039">
        <v>16</v>
      </c>
      <c r="N3039">
        <v>100</v>
      </c>
      <c r="O3039">
        <v>26.701570680628269</v>
      </c>
    </row>
    <row r="3040" spans="1:15" hidden="1" x14ac:dyDescent="0.25">
      <c r="A3040" s="11">
        <v>46097</v>
      </c>
      <c r="B3040" t="s">
        <v>55</v>
      </c>
      <c r="C3040" t="s">
        <v>48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>E3040+G3040+H3040</f>
        <v>7</v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>18</v>
      </c>
      <c r="K3040" s="3">
        <f>I3040-J3040</f>
        <v>-11</v>
      </c>
      <c r="L3040" s="3" t="str">
        <f>IF(K3040&lt;-5,"CRÍTICO",IF(K3040&lt;0,"ATENÇÃO",IF(K3040&lt;=5,"OPORTUNO","MUITO BOM")))</f>
        <v>CRÍTICO</v>
      </c>
      <c r="M3040">
        <v>7</v>
      </c>
      <c r="N3040">
        <v>97.47</v>
      </c>
      <c r="O3040">
        <v>22.887323943661968</v>
      </c>
    </row>
    <row r="3041" spans="1:15" hidden="1" x14ac:dyDescent="0.25">
      <c r="A3041" s="11">
        <v>46097</v>
      </c>
      <c r="B3041" t="s">
        <v>39</v>
      </c>
      <c r="C3041" t="s">
        <v>32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v>0</v>
      </c>
      <c r="J3041" s="3">
        <v>0</v>
      </c>
      <c r="K3041" s="3">
        <v>0</v>
      </c>
      <c r="L3041" s="3" t="str">
        <f>IF(K3041&lt;-5,"CRÍTICO",IF(K3041&lt;0,"ATENÇÃO",IF(K3041&lt;=5,"OPORTUNO","MUITO BOM")))</f>
        <v>OPORTUNO</v>
      </c>
      <c r="M3041">
        <v>0</v>
      </c>
      <c r="N3041">
        <v>0</v>
      </c>
      <c r="O3041">
        <v>0</v>
      </c>
    </row>
    <row r="3042" spans="1:15" hidden="1" x14ac:dyDescent="0.25">
      <c r="A3042" s="11">
        <v>46097</v>
      </c>
      <c r="B3042" t="s">
        <v>25</v>
      </c>
      <c r="C3042" t="s">
        <v>26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>E3042+G3042+H3042</f>
        <v>6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13</v>
      </c>
      <c r="K3042" s="3">
        <f>I3042-J3042</f>
        <v>-7</v>
      </c>
      <c r="L3042" s="3" t="str">
        <f>IF(K3042&lt;-5,"CRÍTICO",IF(K3042&lt;0,"ATENÇÃO",IF(K3042&lt;=5,"OPORTUNO","MUITO BOM")))</f>
        <v>CRÍTICO</v>
      </c>
      <c r="M3042">
        <v>6</v>
      </c>
      <c r="N3042">
        <v>98.31</v>
      </c>
      <c r="O3042">
        <v>24.920127795527151</v>
      </c>
    </row>
    <row r="3043" spans="1:15" hidden="1" x14ac:dyDescent="0.25">
      <c r="A3043" s="11">
        <v>46097</v>
      </c>
      <c r="B3043" t="s">
        <v>40</v>
      </c>
      <c r="C3043" t="s">
        <v>32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>E3043+G3043+H3043</f>
        <v>3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23</v>
      </c>
      <c r="K3043" s="3">
        <f>I3043-J3043</f>
        <v>-20</v>
      </c>
      <c r="L3043" s="3" t="str">
        <f>IF(K3043&lt;-5,"CRÍTICO",IF(K3043&lt;0,"ATENÇÃO",IF(K3043&lt;=5,"OPORTUNO","MUITO BOM")))</f>
        <v>CRÍTICO</v>
      </c>
      <c r="M3043">
        <v>2</v>
      </c>
      <c r="N3043">
        <v>96.81</v>
      </c>
      <c r="O3043">
        <v>32.365145228215773</v>
      </c>
    </row>
    <row r="3044" spans="1:15" hidden="1" x14ac:dyDescent="0.25">
      <c r="A3044" s="11">
        <v>46097</v>
      </c>
      <c r="B3044" t="s">
        <v>27</v>
      </c>
      <c r="C3044" t="s">
        <v>26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>E3044+G3044+H3044</f>
        <v>8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13</v>
      </c>
      <c r="K3044" s="3">
        <f>I3044-J3044</f>
        <v>-5</v>
      </c>
      <c r="L3044" s="3" t="str">
        <f>IF(K3044&lt;-5,"CRÍTICO",IF(K3044&lt;0,"ATENÇÃO",IF(K3044&lt;=5,"OPORTUNO","MUITO BOM")))</f>
        <v>ATENÇÃO</v>
      </c>
      <c r="M3044">
        <v>7</v>
      </c>
      <c r="N3044">
        <v>100</v>
      </c>
      <c r="O3044">
        <v>26.47058823529412</v>
      </c>
    </row>
    <row r="3045" spans="1:15" hidden="1" x14ac:dyDescent="0.25">
      <c r="A3045" s="11">
        <v>46097</v>
      </c>
      <c r="B3045" t="s">
        <v>41</v>
      </c>
      <c r="C3045" t="s">
        <v>32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>E3045+G3045+H3045</f>
        <v>17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23</v>
      </c>
      <c r="K3045" s="3">
        <f>I3045-J3045</f>
        <v>-6</v>
      </c>
      <c r="L3045" s="3" t="str">
        <f>IF(K3045&lt;-5,"CRÍTICO",IF(K3045&lt;0,"ATENÇÃO",IF(K3045&lt;=5,"OPORTUNO","MUITO BOM")))</f>
        <v>CRÍTICO</v>
      </c>
      <c r="M3045">
        <v>18</v>
      </c>
      <c r="N3045">
        <v>100</v>
      </c>
      <c r="O3045">
        <v>28.490028490028489</v>
      </c>
    </row>
    <row r="3046" spans="1:15" hidden="1" x14ac:dyDescent="0.25">
      <c r="A3046" s="11">
        <v>46097</v>
      </c>
      <c r="B3046" t="s">
        <v>56</v>
      </c>
      <c r="C3046" t="s">
        <v>48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>E3046+G3046+H3046</f>
        <v>27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18</v>
      </c>
      <c r="K3046" s="3">
        <f>I3046-J3046</f>
        <v>9</v>
      </c>
      <c r="L3046" s="3" t="str">
        <f>IF(K3046&lt;-5,"CRÍTICO",IF(K3046&lt;0,"ATENÇÃO",IF(K3046&lt;=5,"OPORTUNO","MUITO BOM")))</f>
        <v>MUITO BOM</v>
      </c>
      <c r="M3046">
        <v>15</v>
      </c>
      <c r="N3046">
        <v>99.14</v>
      </c>
      <c r="O3046">
        <v>27.2289156626506</v>
      </c>
    </row>
    <row r="3047" spans="1:15" hidden="1" x14ac:dyDescent="0.25">
      <c r="A3047" s="11">
        <v>46097</v>
      </c>
      <c r="B3047" t="s">
        <v>57</v>
      </c>
      <c r="C3047" t="s">
        <v>48</v>
      </c>
      <c r="D3047">
        <v>36</v>
      </c>
      <c r="E3047">
        <v>35</v>
      </c>
      <c r="F3047">
        <v>16.47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>
        <v>29</v>
      </c>
      <c r="N3047">
        <v>97.52</v>
      </c>
      <c r="O3047">
        <v>28.205128205128201</v>
      </c>
    </row>
    <row r="3048" spans="1:15" hidden="1" x14ac:dyDescent="0.25">
      <c r="A3048" s="11">
        <v>46097</v>
      </c>
      <c r="B3048" t="s">
        <v>42</v>
      </c>
      <c r="C3048" t="s">
        <v>32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v>0</v>
      </c>
      <c r="J3048" s="3">
        <v>0</v>
      </c>
      <c r="K3048" s="3">
        <v>0</v>
      </c>
      <c r="L3048" s="3" t="str">
        <f>IF(K3048&lt;-5,"CRÍTICO",IF(K3048&lt;0,"ATENÇÃO",IF(K3048&lt;=5,"OPORTUNO","MUITO BOM")))</f>
        <v>OPORTUNO</v>
      </c>
      <c r="M3048">
        <v>0</v>
      </c>
      <c r="N3048">
        <v>90</v>
      </c>
      <c r="O3048">
        <v>24.186046511627911</v>
      </c>
    </row>
    <row r="3049" spans="1:15" hidden="1" x14ac:dyDescent="0.25">
      <c r="A3049" s="11">
        <v>46097</v>
      </c>
      <c r="B3049" t="s">
        <v>62</v>
      </c>
      <c r="C3049" t="s">
        <v>23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>E3049+G3049+H3049</f>
        <v>11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15</v>
      </c>
      <c r="K3049" s="3">
        <f>I3049-J3049</f>
        <v>-4</v>
      </c>
      <c r="L3049" s="3" t="str">
        <f>IF(K3049&lt;-5,"CRÍTICO",IF(K3049&lt;0,"ATENÇÃO",IF(K3049&lt;=5,"OPORTUNO","MUITO BOM")))</f>
        <v>ATENÇÃO</v>
      </c>
      <c r="M3049">
        <v>9</v>
      </c>
      <c r="N3049">
        <v>98.9</v>
      </c>
      <c r="O3049">
        <v>26.763990267639901</v>
      </c>
    </row>
    <row r="3050" spans="1:15" hidden="1" x14ac:dyDescent="0.25">
      <c r="A3050" s="11">
        <v>46097</v>
      </c>
      <c r="B3050" t="s">
        <v>19</v>
      </c>
      <c r="C3050" t="s">
        <v>16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>E3050+G3050+H3050</f>
        <v>7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6</v>
      </c>
      <c r="K3050" s="3">
        <f>I3050-J3050</f>
        <v>1</v>
      </c>
      <c r="L3050" s="3" t="str">
        <f>IF(K3050&lt;-5,"CRÍTICO",IF(K3050&lt;0,"ATENÇÃO",IF(K3050&lt;=5,"OPORTUNO","MUITO BOM")))</f>
        <v>OPORTUNO</v>
      </c>
      <c r="M3050">
        <v>4</v>
      </c>
      <c r="N3050">
        <v>88.89</v>
      </c>
      <c r="O3050">
        <v>25.263157894736839</v>
      </c>
    </row>
    <row r="3051" spans="1:15" hidden="1" x14ac:dyDescent="0.25">
      <c r="A3051" s="11">
        <v>46097</v>
      </c>
      <c r="B3051" t="s">
        <v>43</v>
      </c>
      <c r="C3051" t="s">
        <v>32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>E3051+G3051+H3051</f>
        <v>29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6</v>
      </c>
      <c r="L3051" s="3" t="str">
        <f>IF(K3051&lt;-5,"CRÍTICO",IF(K3051&lt;0,"ATENÇÃO",IF(K3051&lt;=5,"OPORTUNO","MUITO BOM")))</f>
        <v>MUITO BOM</v>
      </c>
      <c r="M3051">
        <v>31</v>
      </c>
      <c r="N3051">
        <v>98.86</v>
      </c>
      <c r="O3051">
        <v>28.959276018099551</v>
      </c>
    </row>
    <row r="3052" spans="1:15" hidden="1" x14ac:dyDescent="0.25">
      <c r="A3052" s="11">
        <v>46097</v>
      </c>
      <c r="B3052" t="s">
        <v>44</v>
      </c>
      <c r="C3052" t="s">
        <v>32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>E3052+G3052+H3052</f>
        <v>30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23</v>
      </c>
      <c r="K3052" s="3">
        <f>I3052-J3052</f>
        <v>7</v>
      </c>
      <c r="L3052" s="3" t="str">
        <f>IF(K3052&lt;-5,"CRÍTICO",IF(K3052&lt;0,"ATENÇÃO",IF(K3052&lt;=5,"OPORTUNO","MUITO BOM")))</f>
        <v>MUITO BOM</v>
      </c>
      <c r="M3052">
        <v>29</v>
      </c>
      <c r="N3052">
        <v>98.06</v>
      </c>
      <c r="O3052">
        <v>22.40566037735849</v>
      </c>
    </row>
    <row r="3053" spans="1:15" hidden="1" x14ac:dyDescent="0.25">
      <c r="A3053" s="11">
        <v>46097</v>
      </c>
      <c r="B3053" t="s">
        <v>20</v>
      </c>
      <c r="C3053" t="s">
        <v>16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>E3053+G3053+H3053</f>
        <v>4</v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>6</v>
      </c>
      <c r="K3053" s="3">
        <f>I3053-J3053</f>
        <v>-2</v>
      </c>
      <c r="L3053" s="3" t="str">
        <f>IF(K3053&lt;-5,"CRÍTICO",IF(K3053&lt;0,"ATENÇÃO",IF(K3053&lt;=5,"OPORTUNO","MUITO BOM")))</f>
        <v>ATENÇÃO</v>
      </c>
      <c r="M3053">
        <v>2</v>
      </c>
      <c r="N3053">
        <v>95.83</v>
      </c>
      <c r="O3053">
        <v>25.773195876288661</v>
      </c>
    </row>
    <row r="3054" spans="1:15" hidden="1" x14ac:dyDescent="0.25">
      <c r="A3054" s="11">
        <v>46097</v>
      </c>
      <c r="B3054" t="s">
        <v>28</v>
      </c>
      <c r="C3054" t="s">
        <v>26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v>0</v>
      </c>
      <c r="J3054" s="3">
        <v>0</v>
      </c>
      <c r="K3054" s="3">
        <v>0</v>
      </c>
      <c r="L3054" s="3" t="str">
        <f>IF(K3054&lt;-5,"CRÍTICO",IF(K3054&lt;0,"ATENÇÃO",IF(K3054&lt;=5,"OPORTUNO","MUITO BOM")))</f>
        <v>OPORTUNO</v>
      </c>
      <c r="M3054">
        <v>0</v>
      </c>
      <c r="N3054">
        <v>100</v>
      </c>
      <c r="O3054">
        <v>15.38461538461539</v>
      </c>
    </row>
    <row r="3055" spans="1:15" hidden="1" x14ac:dyDescent="0.25">
      <c r="A3055" s="11">
        <v>46097</v>
      </c>
      <c r="B3055" t="s">
        <v>58</v>
      </c>
      <c r="C3055" t="s">
        <v>48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18</v>
      </c>
      <c r="K3055" s="3">
        <f>I3055-J3055</f>
        <v>-15</v>
      </c>
      <c r="L3055" s="3" t="str">
        <f>IF(K3055&lt;-5,"CRÍTICO",IF(K3055&lt;0,"ATENÇÃO",IF(K3055&lt;=5,"OPORTUNO","MUITO BOM")))</f>
        <v>CRÍTICO</v>
      </c>
      <c r="M3055">
        <v>3</v>
      </c>
      <c r="N3055">
        <v>100</v>
      </c>
      <c r="O3055">
        <v>27.514792899408281</v>
      </c>
    </row>
    <row r="3056" spans="1:15" hidden="1" x14ac:dyDescent="0.25">
      <c r="A3056" s="11">
        <v>46097</v>
      </c>
      <c r="B3056" t="s">
        <v>29</v>
      </c>
      <c r="C3056" t="s">
        <v>26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>E3056+G3056+H3056</f>
        <v>3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-10</v>
      </c>
      <c r="L3056" s="3" t="str">
        <f>IF(K3056&lt;-5,"CRÍTICO",IF(K3056&lt;0,"ATENÇÃO",IF(K3056&lt;=5,"OPORTUNO","MUITO BOM")))</f>
        <v>CRÍTICO</v>
      </c>
      <c r="M3056">
        <v>5</v>
      </c>
      <c r="N3056">
        <v>100</v>
      </c>
      <c r="O3056">
        <v>24.875621890547269</v>
      </c>
    </row>
    <row r="3057" spans="1:15" hidden="1" x14ac:dyDescent="0.25">
      <c r="A3057" s="11">
        <v>46097</v>
      </c>
      <c r="B3057" t="s">
        <v>30</v>
      </c>
      <c r="C3057" t="s">
        <v>26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>E3057+G3057+H3057</f>
        <v>6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13</v>
      </c>
      <c r="K3057" s="3">
        <f>I3057-J3057</f>
        <v>-7</v>
      </c>
      <c r="L3057" s="3" t="str">
        <f>IF(K3057&lt;-5,"CRÍTICO",IF(K3057&lt;0,"ATENÇÃO",IF(K3057&lt;=5,"OPORTUNO","MUITO BOM")))</f>
        <v>CRÍTICO</v>
      </c>
      <c r="M3057">
        <v>6</v>
      </c>
      <c r="N3057">
        <v>100</v>
      </c>
      <c r="O3057">
        <v>28.108108108108109</v>
      </c>
    </row>
    <row r="3058" spans="1:15" hidden="1" x14ac:dyDescent="0.25">
      <c r="A3058" s="11">
        <v>46097</v>
      </c>
      <c r="B3058" t="s">
        <v>21</v>
      </c>
      <c r="C3058" t="s">
        <v>16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v>0</v>
      </c>
      <c r="J3058" s="3">
        <v>0</v>
      </c>
      <c r="K3058" s="3">
        <v>0</v>
      </c>
      <c r="L3058" s="3" t="str">
        <f>IF(K3058&lt;-5,"CRÍTICO",IF(K3058&lt;0,"ATENÇÃO",IF(K3058&lt;=5,"OPORTUNO","MUITO BOM")))</f>
        <v>OPORTUNO</v>
      </c>
      <c r="M3058">
        <v>0</v>
      </c>
      <c r="N3058">
        <v>100</v>
      </c>
      <c r="O3058">
        <v>35</v>
      </c>
    </row>
    <row r="3059" spans="1:15" hidden="1" x14ac:dyDescent="0.25">
      <c r="A3059" s="11">
        <v>46097</v>
      </c>
      <c r="B3059" t="s">
        <v>63</v>
      </c>
      <c r="C3059" t="s">
        <v>23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>E3059+G3059+H3059</f>
        <v>14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15</v>
      </c>
      <c r="K3059" s="3">
        <f>I3059-J3059</f>
        <v>-1</v>
      </c>
      <c r="L3059" s="3" t="str">
        <f>IF(K3059&lt;-5,"CRÍTICO",IF(K3059&lt;0,"ATENÇÃO",IF(K3059&lt;=5,"OPORTUNO","MUITO BOM")))</f>
        <v>ATENÇÃO</v>
      </c>
      <c r="M3059">
        <v>11</v>
      </c>
      <c r="N3059">
        <v>95.35</v>
      </c>
      <c r="O3059">
        <v>28.61538461538461</v>
      </c>
    </row>
    <row r="3060" spans="1:15" hidden="1" x14ac:dyDescent="0.25">
      <c r="A3060" s="11">
        <v>46097</v>
      </c>
      <c r="B3060" t="s">
        <v>45</v>
      </c>
      <c r="C3060" t="s">
        <v>32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>E3060+G3060+H3060</f>
        <v>32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23</v>
      </c>
      <c r="K3060" s="3">
        <f>I3060-J3060</f>
        <v>9</v>
      </c>
      <c r="L3060" s="3" t="str">
        <f>IF(K3060&lt;-5,"CRÍTICO",IF(K3060&lt;0,"ATENÇÃO",IF(K3060&lt;=5,"OPORTUNO","MUITO BOM")))</f>
        <v>MUITO BOM</v>
      </c>
      <c r="M3060">
        <v>29</v>
      </c>
      <c r="N3060">
        <v>98.26</v>
      </c>
      <c r="O3060">
        <v>27.54491017964072</v>
      </c>
    </row>
    <row r="3061" spans="1:15" hidden="1" x14ac:dyDescent="0.25">
      <c r="A3061" s="11">
        <v>46097</v>
      </c>
      <c r="B3061" t="s">
        <v>64</v>
      </c>
      <c r="C3061" t="s">
        <v>23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>E3061+G3061+H3061</f>
        <v>15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15</v>
      </c>
      <c r="K3061" s="3">
        <f>I3061-J3061</f>
        <v>0</v>
      </c>
      <c r="L3061" s="3" t="str">
        <f>IF(K3061&lt;-5,"CRÍTICO",IF(K3061&lt;0,"ATENÇÃO",IF(K3061&lt;=5,"OPORTUNO","MUITO BOM")))</f>
        <v>OPORTUNO</v>
      </c>
      <c r="M3061">
        <v>13</v>
      </c>
      <c r="N3061">
        <v>98.55</v>
      </c>
      <c r="O3061">
        <v>25.337837837837839</v>
      </c>
    </row>
    <row r="3062" spans="1:15" hidden="1" x14ac:dyDescent="0.25">
      <c r="A3062" s="11">
        <v>46097</v>
      </c>
      <c r="B3062" t="s">
        <v>46</v>
      </c>
      <c r="C3062" t="s">
        <v>32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>E3062+G3062+H3062</f>
        <v>28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23</v>
      </c>
      <c r="K3062" s="3">
        <f>I3062-J3062</f>
        <v>5</v>
      </c>
      <c r="L3062" s="3" t="str">
        <f>IF(K3062&lt;-5,"CRÍTICO",IF(K3062&lt;0,"ATENÇÃO",IF(K3062&lt;=5,"OPORTUNO","MUITO BOM")))</f>
        <v>OPORTUNO</v>
      </c>
      <c r="M3062">
        <v>25</v>
      </c>
      <c r="N3062">
        <v>98.39</v>
      </c>
      <c r="O3062">
        <v>25.563909774436091</v>
      </c>
    </row>
    <row r="3063" spans="1:15" hidden="1" x14ac:dyDescent="0.25">
      <c r="A3063" s="11">
        <v>46098</v>
      </c>
      <c r="B3063" t="s">
        <v>47</v>
      </c>
      <c r="C3063" t="s">
        <v>48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18</v>
      </c>
      <c r="K3063" s="3">
        <f>I3063-J3063</f>
        <v>9</v>
      </c>
      <c r="L3063" s="3" t="str">
        <f>IF(K3063&lt;-5,"CRÍTICO",IF(K3063&lt;0,"ATENÇÃO",IF(K3063&lt;=5,"OPORTUNO","MUITO BOM")))</f>
        <v>MUITO BOM</v>
      </c>
      <c r="M3063">
        <v>19</v>
      </c>
      <c r="N3063">
        <v>94.29</v>
      </c>
      <c r="O3063">
        <v>25.647668393782389</v>
      </c>
    </row>
    <row r="3064" spans="1:15" hidden="1" x14ac:dyDescent="0.25">
      <c r="A3064" s="11">
        <v>46098</v>
      </c>
      <c r="B3064" t="s">
        <v>31</v>
      </c>
      <c r="C3064" t="s">
        <v>32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v>0</v>
      </c>
      <c r="J3064" s="3">
        <v>0</v>
      </c>
      <c r="K3064" s="3">
        <v>0</v>
      </c>
      <c r="L3064" s="3" t="str">
        <f>IF(K3064&lt;-5,"CRÍTICO",IF(K3064&lt;0,"ATENÇÃO",IF(K3064&lt;=5,"OPORTUNO","MUITO BOM")))</f>
        <v>OPORTUNO</v>
      </c>
      <c r="M3064">
        <v>24</v>
      </c>
      <c r="N3064">
        <v>98.26</v>
      </c>
      <c r="O3064">
        <v>26.666666666666671</v>
      </c>
    </row>
    <row r="3065" spans="1:15" hidden="1" x14ac:dyDescent="0.25">
      <c r="A3065" s="11">
        <v>46098</v>
      </c>
      <c r="B3065" t="s">
        <v>59</v>
      </c>
      <c r="C3065" t="s">
        <v>23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>E3065+G3065+H3065</f>
        <v>12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15</v>
      </c>
      <c r="K3065" s="3">
        <f>I3065-J3065</f>
        <v>-3</v>
      </c>
      <c r="L3065" s="3" t="str">
        <f>IF(K3065&lt;-5,"CRÍTICO",IF(K3065&lt;0,"ATENÇÃO",IF(K3065&lt;=5,"OPORTUNO","MUITO BOM")))</f>
        <v>ATENÇÃO</v>
      </c>
      <c r="M3065">
        <v>13</v>
      </c>
      <c r="N3065">
        <v>98.2</v>
      </c>
      <c r="O3065">
        <v>23.37962962962963</v>
      </c>
    </row>
    <row r="3066" spans="1:15" hidden="1" x14ac:dyDescent="0.25">
      <c r="A3066" s="11">
        <v>46098</v>
      </c>
      <c r="B3066" t="s">
        <v>33</v>
      </c>
      <c r="C3066" t="s">
        <v>32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>E3066+G3066+H3066</f>
        <v>27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23</v>
      </c>
      <c r="K3066" s="3">
        <f>I3066-J3066</f>
        <v>4</v>
      </c>
      <c r="L3066" s="3" t="str">
        <f>IF(K3066&lt;-5,"CRÍTICO",IF(K3066&lt;0,"ATENÇÃO",IF(K3066&lt;=5,"OPORTUNO","MUITO BOM")))</f>
        <v>OPORTUNO</v>
      </c>
      <c r="M3066">
        <v>28</v>
      </c>
      <c r="N3066">
        <v>97.3</v>
      </c>
      <c r="O3066">
        <v>23.84769539078156</v>
      </c>
    </row>
    <row r="3067" spans="1:15" hidden="1" x14ac:dyDescent="0.25">
      <c r="A3067" s="11">
        <v>46098</v>
      </c>
      <c r="B3067" t="s">
        <v>15</v>
      </c>
      <c r="C3067" t="s">
        <v>16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>E3067+G3067+H3067</f>
        <v>15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7</v>
      </c>
      <c r="K3067" s="3">
        <f>I3067-J3067</f>
        <v>8</v>
      </c>
      <c r="L3067" s="3" t="str">
        <f>IF(K3067&lt;-5,"CRÍTICO",IF(K3067&lt;0,"ATENÇÃO",IF(K3067&lt;=5,"OPORTUNO","MUITO BOM")))</f>
        <v>MUITO BOM</v>
      </c>
      <c r="M3067">
        <v>13</v>
      </c>
      <c r="N3067">
        <v>100</v>
      </c>
      <c r="O3067">
        <v>25.268817204301079</v>
      </c>
    </row>
    <row r="3068" spans="1:15" hidden="1" x14ac:dyDescent="0.25">
      <c r="A3068" s="11">
        <v>46098</v>
      </c>
      <c r="B3068" t="s">
        <v>49</v>
      </c>
      <c r="C3068" t="s">
        <v>48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>E3068+G3068+H3068</f>
        <v>35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17</v>
      </c>
      <c r="L3068" s="3" t="str">
        <f>IF(K3068&lt;-5,"CRÍTICO",IF(K3068&lt;0,"ATENÇÃO",IF(K3068&lt;=5,"OPORTUNO","MUITO BOM")))</f>
        <v>MUITO BOM</v>
      </c>
      <c r="M3068">
        <v>30</v>
      </c>
      <c r="N3068">
        <v>99.32</v>
      </c>
      <c r="O3068">
        <v>22.822822822822818</v>
      </c>
    </row>
    <row r="3069" spans="1:15" hidden="1" x14ac:dyDescent="0.25">
      <c r="A3069" s="11">
        <v>46098</v>
      </c>
      <c r="B3069" t="s">
        <v>50</v>
      </c>
      <c r="C3069" t="s">
        <v>48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>E3069+G3069+H3069</f>
        <v>4</v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>18</v>
      </c>
      <c r="K3069" s="3">
        <f>I3069-J3069</f>
        <v>-14</v>
      </c>
      <c r="L3069" s="3" t="str">
        <f>IF(K3069&lt;-5,"CRÍTICO",IF(K3069&lt;0,"ATENÇÃO",IF(K3069&lt;=5,"OPORTUNO","MUITO BOM")))</f>
        <v>CRÍTICO</v>
      </c>
      <c r="M3069">
        <v>5</v>
      </c>
      <c r="N3069">
        <v>100</v>
      </c>
      <c r="O3069">
        <v>27.966101694915249</v>
      </c>
    </row>
    <row r="3070" spans="1:15" hidden="1" x14ac:dyDescent="0.25">
      <c r="A3070" s="11">
        <v>46098</v>
      </c>
      <c r="B3070" t="s">
        <v>17</v>
      </c>
      <c r="C3070" t="s">
        <v>16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v>0</v>
      </c>
      <c r="J3070" s="3">
        <v>0</v>
      </c>
      <c r="K3070" s="3">
        <v>0</v>
      </c>
      <c r="L3070" s="3" t="str">
        <f>IF(K3070&lt;-5,"CRÍTICO",IF(K3070&lt;0,"ATENÇÃO",IF(K3070&lt;=5,"OPORTUNO","MUITO BOM")))</f>
        <v>OPORTUNO</v>
      </c>
      <c r="M3070">
        <v>0</v>
      </c>
      <c r="N3070">
        <v>100</v>
      </c>
      <c r="O3070">
        <v>30.434782608695659</v>
      </c>
    </row>
    <row r="3071" spans="1:15" hidden="1" x14ac:dyDescent="0.25">
      <c r="A3071" s="11">
        <v>46098</v>
      </c>
      <c r="B3071" t="s">
        <v>60</v>
      </c>
      <c r="C3071" t="s">
        <v>23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>E3071+G3071+H3071</f>
        <v>24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15</v>
      </c>
      <c r="K3071" s="3">
        <f>I3071-J3071</f>
        <v>9</v>
      </c>
      <c r="L3071" s="3" t="str">
        <f>IF(K3071&lt;-5,"CRÍTICO",IF(K3071&lt;0,"ATENÇÃO",IF(K3071&lt;=5,"OPORTUNO","MUITO BOM")))</f>
        <v>MUITO BOM</v>
      </c>
      <c r="M3071">
        <v>22</v>
      </c>
      <c r="N3071">
        <v>96.51</v>
      </c>
      <c r="O3071">
        <v>22.802850356294542</v>
      </c>
    </row>
    <row r="3072" spans="1:15" hidden="1" x14ac:dyDescent="0.25">
      <c r="A3072" s="11">
        <v>46098</v>
      </c>
      <c r="B3072" t="s">
        <v>34</v>
      </c>
      <c r="C3072" t="s">
        <v>32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>
        <v>9</v>
      </c>
      <c r="N3072">
        <v>92.68</v>
      </c>
      <c r="O3072">
        <v>27.777777777777779</v>
      </c>
    </row>
    <row r="3073" spans="1:15" hidden="1" x14ac:dyDescent="0.25">
      <c r="A3073" s="11">
        <v>46098</v>
      </c>
      <c r="B3073" t="s">
        <v>51</v>
      </c>
      <c r="C3073" t="s">
        <v>48</v>
      </c>
      <c r="D3073">
        <v>29</v>
      </c>
      <c r="E3073">
        <v>26</v>
      </c>
      <c r="F3073">
        <v>21.42</v>
      </c>
      <c r="G3073">
        <v>0</v>
      </c>
      <c r="H3073">
        <v>0</v>
      </c>
      <c r="I3073" s="3">
        <v>0</v>
      </c>
      <c r="J3073" s="3">
        <v>0</v>
      </c>
      <c r="K3073" s="3">
        <v>0</v>
      </c>
      <c r="L3073" s="3" t="str">
        <f>IF(K3073&lt;-5,"CRÍTICO",IF(K3073&lt;0,"ATENÇÃO",IF(K3073&lt;=5,"OPORTUNO","MUITO BOM")))</f>
        <v>OPORTUNO</v>
      </c>
      <c r="M3073">
        <v>26</v>
      </c>
      <c r="N3073">
        <v>99.03</v>
      </c>
      <c r="O3073">
        <v>23.991507430997881</v>
      </c>
    </row>
    <row r="3074" spans="1:15" hidden="1" x14ac:dyDescent="0.25">
      <c r="A3074" s="11">
        <v>46098</v>
      </c>
      <c r="B3074" t="s">
        <v>61</v>
      </c>
      <c r="C3074" t="s">
        <v>23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>E3074+G3074+H3074</f>
        <v>22</v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>15</v>
      </c>
      <c r="K3074" s="3">
        <f>I3074-J3074</f>
        <v>7</v>
      </c>
      <c r="L3074" s="3" t="str">
        <f>IF(K3074&lt;-5,"CRÍTICO",IF(K3074&lt;0,"ATENÇÃO",IF(K3074&lt;=5,"OPORTUNO","MUITO BOM")))</f>
        <v>MUITO BOM</v>
      </c>
      <c r="M3074">
        <v>13</v>
      </c>
      <c r="N3074">
        <v>98.41</v>
      </c>
      <c r="O3074">
        <v>28.138528138528141</v>
      </c>
    </row>
    <row r="3075" spans="1:15" hidden="1" x14ac:dyDescent="0.25">
      <c r="A3075" s="11">
        <v>46098</v>
      </c>
      <c r="B3075" t="s">
        <v>35</v>
      </c>
      <c r="C3075" t="s">
        <v>32</v>
      </c>
      <c r="D3075">
        <v>20</v>
      </c>
      <c r="E3075">
        <v>20</v>
      </c>
      <c r="F3075">
        <v>31.55</v>
      </c>
      <c r="G3075">
        <v>0</v>
      </c>
      <c r="H3075">
        <v>0</v>
      </c>
      <c r="I3075" s="3">
        <v>0</v>
      </c>
      <c r="J3075" s="3">
        <v>0</v>
      </c>
      <c r="K3075" s="3">
        <v>0</v>
      </c>
      <c r="L3075" s="3" t="str">
        <f>IF(K3075&lt;-5,"CRÍTICO",IF(K3075&lt;0,"ATENÇÃO",IF(K3075&lt;=5,"OPORTUNO","MUITO BOM")))</f>
        <v>OPORTUNO</v>
      </c>
      <c r="M3075">
        <v>20</v>
      </c>
      <c r="N3075">
        <v>98.73</v>
      </c>
      <c r="O3075">
        <v>29.142857142857139</v>
      </c>
    </row>
    <row r="3076" spans="1:15" hidden="1" x14ac:dyDescent="0.25">
      <c r="A3076" s="11">
        <v>46098</v>
      </c>
      <c r="B3076" t="s">
        <v>18</v>
      </c>
      <c r="C3076" t="s">
        <v>16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>E3076+G3076+H3076</f>
        <v>8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7</v>
      </c>
      <c r="K3076" s="3">
        <f>I3076-J3076</f>
        <v>1</v>
      </c>
      <c r="L3076" s="3" t="str">
        <f>IF(K3076&lt;-5,"CRÍTICO",IF(K3076&lt;0,"ATENÇÃO",IF(K3076&lt;=5,"OPORTUNO","MUITO BOM")))</f>
        <v>OPORTUNO</v>
      </c>
      <c r="M3076">
        <v>5</v>
      </c>
      <c r="N3076">
        <v>90.48</v>
      </c>
      <c r="O3076">
        <v>20.68965517241379</v>
      </c>
    </row>
    <row r="3077" spans="1:15" hidden="1" x14ac:dyDescent="0.25">
      <c r="A3077" s="11">
        <v>46098</v>
      </c>
      <c r="B3077" t="s">
        <v>52</v>
      </c>
      <c r="C3077" t="s">
        <v>48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>E3077+G3077+H3077</f>
        <v>25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18</v>
      </c>
      <c r="K3077" s="3">
        <f>I3077-J3077</f>
        <v>7</v>
      </c>
      <c r="L3077" s="3" t="str">
        <f>IF(K3077&lt;-5,"CRÍTICO",IF(K3077&lt;0,"ATENÇÃO",IF(K3077&lt;=5,"OPORTUNO","MUITO BOM")))</f>
        <v>MUITO BOM</v>
      </c>
      <c r="M3077">
        <v>25</v>
      </c>
      <c r="N3077">
        <v>98.06</v>
      </c>
      <c r="O3077">
        <v>24.789915966386559</v>
      </c>
    </row>
    <row r="3078" spans="1:15" hidden="1" x14ac:dyDescent="0.25">
      <c r="A3078" s="11">
        <v>46098</v>
      </c>
      <c r="B3078" t="s">
        <v>36</v>
      </c>
      <c r="C3078" t="s">
        <v>32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>E3078+G3078+H3078</f>
        <v>29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23</v>
      </c>
      <c r="K3078" s="3">
        <f>I3078-J3078</f>
        <v>6</v>
      </c>
      <c r="L3078" s="3" t="str">
        <f>IF(K3078&lt;-5,"CRÍTICO",IF(K3078&lt;0,"ATENÇÃO",IF(K3078&lt;=5,"OPORTUNO","MUITO BOM")))</f>
        <v>MUITO BOM</v>
      </c>
      <c r="M3078">
        <v>27</v>
      </c>
      <c r="N3078">
        <v>97.78</v>
      </c>
      <c r="O3078">
        <v>25.494071146245059</v>
      </c>
    </row>
    <row r="3079" spans="1:15" hidden="1" x14ac:dyDescent="0.25">
      <c r="A3079" s="11">
        <v>46098</v>
      </c>
      <c r="B3079" t="s">
        <v>53</v>
      </c>
      <c r="C3079" t="s">
        <v>48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>E3079+G3079+H3079</f>
        <v>20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18</v>
      </c>
      <c r="K3079" s="3">
        <f>I3079-J3079</f>
        <v>2</v>
      </c>
      <c r="L3079" s="3" t="str">
        <f>IF(K3079&lt;-5,"CRÍTICO",IF(K3079&lt;0,"ATENÇÃO",IF(K3079&lt;=5,"OPORTUNO","MUITO BOM")))</f>
        <v>OPORTUNO</v>
      </c>
      <c r="M3079">
        <v>18</v>
      </c>
      <c r="N3079">
        <v>98.02</v>
      </c>
      <c r="O3079">
        <v>23.484848484848481</v>
      </c>
    </row>
    <row r="3080" spans="1:15" hidden="1" x14ac:dyDescent="0.25">
      <c r="A3080" s="11">
        <v>46132</v>
      </c>
      <c r="B3080" t="s">
        <v>22</v>
      </c>
      <c r="C3080" t="s">
        <v>23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>E3080+G3080+H3080</f>
        <v>9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14</v>
      </c>
      <c r="K3080" s="3">
        <f>I3080-J3080</f>
        <v>-5</v>
      </c>
      <c r="L3080" s="3" t="str">
        <f>IF(K3080&lt;-5,"CRÍTICO",IF(K3080&lt;0,"ATENÇÃO",IF(K3080&lt;=5,"OPORTUNO","MUITO BOM")))</f>
        <v>ATENÇÃO</v>
      </c>
      <c r="M3080">
        <v>11</v>
      </c>
      <c r="N3080">
        <v>99.28</v>
      </c>
      <c r="O3080">
        <v>27.689243027888441</v>
      </c>
    </row>
    <row r="3081" spans="1:15" hidden="1" x14ac:dyDescent="0.25">
      <c r="A3081" s="11">
        <v>46098</v>
      </c>
      <c r="B3081" t="s">
        <v>54</v>
      </c>
      <c r="C3081" t="s">
        <v>48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>E3081+G3081+H3081</f>
        <v>31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18</v>
      </c>
      <c r="K3081" s="3">
        <f>I3081-J3081</f>
        <v>13</v>
      </c>
      <c r="L3081" s="3" t="str">
        <f>IF(K3081&lt;-5,"CRÍTICO",IF(K3081&lt;0,"ATENÇÃO",IF(K3081&lt;=5,"OPORTUNO","MUITO BOM")))</f>
        <v>MUITO BOM</v>
      </c>
      <c r="M3081">
        <v>26</v>
      </c>
      <c r="N3081">
        <v>100</v>
      </c>
      <c r="O3081">
        <v>27.04918032786885</v>
      </c>
    </row>
    <row r="3082" spans="1:15" hidden="1" x14ac:dyDescent="0.25">
      <c r="A3082" s="11">
        <v>46098</v>
      </c>
      <c r="B3082" t="s">
        <v>37</v>
      </c>
      <c r="C3082" t="s">
        <v>32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>E3082+G3082+H3082</f>
        <v>39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16</v>
      </c>
      <c r="L3082" s="3" t="str">
        <f>IF(K3082&lt;-5,"CRÍTICO",IF(K3082&lt;0,"ATENÇÃO",IF(K3082&lt;=5,"OPORTUNO","MUITO BOM")))</f>
        <v>MUITO BOM</v>
      </c>
      <c r="M3082">
        <v>38</v>
      </c>
      <c r="N3082">
        <v>97.83</v>
      </c>
      <c r="O3082">
        <v>26.315789473684209</v>
      </c>
    </row>
    <row r="3083" spans="1:15" hidden="1" x14ac:dyDescent="0.25">
      <c r="A3083" s="11">
        <v>46098</v>
      </c>
      <c r="B3083" t="s">
        <v>38</v>
      </c>
      <c r="C3083" t="s">
        <v>32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>E3083+G3083+H3083</f>
        <v>8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23</v>
      </c>
      <c r="K3083" s="3">
        <f>I3083-J3083</f>
        <v>-15</v>
      </c>
      <c r="L3083" s="3" t="str">
        <f>IF(K3083&lt;-5,"CRÍTICO",IF(K3083&lt;0,"ATENÇÃO",IF(K3083&lt;=5,"OPORTUNO","MUITO BOM")))</f>
        <v>CRÍTICO</v>
      </c>
      <c r="M3083">
        <v>16</v>
      </c>
      <c r="N3083">
        <v>100</v>
      </c>
      <c r="O3083">
        <v>26.701570680628269</v>
      </c>
    </row>
    <row r="3084" spans="1:15" hidden="1" x14ac:dyDescent="0.25">
      <c r="A3084" s="11">
        <v>46098</v>
      </c>
      <c r="B3084" t="s">
        <v>55</v>
      </c>
      <c r="C3084" t="s">
        <v>48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>E3084+G3084+H3084</f>
        <v>26</v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>18</v>
      </c>
      <c r="K3084" s="3">
        <f>I3084-J3084</f>
        <v>8</v>
      </c>
      <c r="L3084" s="3" t="str">
        <f>IF(K3084&lt;-5,"CRÍTICO",IF(K3084&lt;0,"ATENÇÃO",IF(K3084&lt;=5,"OPORTUNO","MUITO BOM")))</f>
        <v>MUITO BOM</v>
      </c>
      <c r="M3084">
        <v>24</v>
      </c>
      <c r="N3084">
        <v>97.47</v>
      </c>
      <c r="O3084">
        <v>22.887323943661968</v>
      </c>
    </row>
    <row r="3085" spans="1:15" hidden="1" x14ac:dyDescent="0.25">
      <c r="A3085" s="11">
        <v>46098</v>
      </c>
      <c r="B3085" t="s">
        <v>39</v>
      </c>
      <c r="C3085" t="s">
        <v>32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v>0</v>
      </c>
      <c r="J3085" s="3">
        <v>0</v>
      </c>
      <c r="K3085" s="3">
        <v>0</v>
      </c>
      <c r="L3085" s="3" t="str">
        <f>IF(K3085&lt;-5,"CRÍTICO",IF(K3085&lt;0,"ATENÇÃO",IF(K3085&lt;=5,"OPORTUNO","MUITO BOM")))</f>
        <v>OPORTUNO</v>
      </c>
      <c r="M3085">
        <v>0</v>
      </c>
      <c r="N3085">
        <v>0</v>
      </c>
      <c r="O3085">
        <v>0</v>
      </c>
    </row>
    <row r="3086" spans="1:15" hidden="1" x14ac:dyDescent="0.25">
      <c r="A3086" s="11">
        <v>46098</v>
      </c>
      <c r="B3086" t="s">
        <v>25</v>
      </c>
      <c r="C3086" t="s">
        <v>26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>E3086+G3086+H3086</f>
        <v>6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13</v>
      </c>
      <c r="K3086" s="3">
        <f>I3086-J3086</f>
        <v>-7</v>
      </c>
      <c r="L3086" s="3" t="str">
        <f>IF(K3086&lt;-5,"CRÍTICO",IF(K3086&lt;0,"ATENÇÃO",IF(K3086&lt;=5,"OPORTUNO","MUITO BOM")))</f>
        <v>CRÍTICO</v>
      </c>
      <c r="M3086">
        <v>7</v>
      </c>
      <c r="N3086">
        <v>98.31</v>
      </c>
      <c r="O3086">
        <v>24.920127795527151</v>
      </c>
    </row>
    <row r="3087" spans="1:15" hidden="1" x14ac:dyDescent="0.25">
      <c r="A3087" s="11">
        <v>46098</v>
      </c>
      <c r="B3087" t="s">
        <v>40</v>
      </c>
      <c r="C3087" t="s">
        <v>32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>E3087+G3087+H3087</f>
        <v>1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23</v>
      </c>
      <c r="K3087" s="3">
        <f>I3087-J3087</f>
        <v>-22</v>
      </c>
      <c r="L3087" s="3" t="str">
        <f>IF(K3087&lt;-5,"CRÍTICO",IF(K3087&lt;0,"ATENÇÃO",IF(K3087&lt;=5,"OPORTUNO","MUITO BOM")))</f>
        <v>CRÍTICO</v>
      </c>
      <c r="M3087">
        <v>2</v>
      </c>
      <c r="N3087">
        <v>96.81</v>
      </c>
      <c r="O3087">
        <v>32.365145228215773</v>
      </c>
    </row>
    <row r="3088" spans="1:15" hidden="1" x14ac:dyDescent="0.25">
      <c r="A3088" s="11">
        <v>46098</v>
      </c>
      <c r="B3088" t="s">
        <v>27</v>
      </c>
      <c r="C3088" t="s">
        <v>26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>E3088+G3088+H3088</f>
        <v>9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13</v>
      </c>
      <c r="K3088" s="3">
        <f>I3088-J3088</f>
        <v>-4</v>
      </c>
      <c r="L3088" s="3" t="str">
        <f>IF(K3088&lt;-5,"CRÍTICO",IF(K3088&lt;0,"ATENÇÃO",IF(K3088&lt;=5,"OPORTUNO","MUITO BOM")))</f>
        <v>ATENÇÃO</v>
      </c>
      <c r="M3088">
        <v>8</v>
      </c>
      <c r="N3088">
        <v>100</v>
      </c>
      <c r="O3088">
        <v>26.47058823529412</v>
      </c>
    </row>
    <row r="3089" spans="1:15" hidden="1" x14ac:dyDescent="0.25">
      <c r="A3089" s="11">
        <v>46098</v>
      </c>
      <c r="B3089" t="s">
        <v>41</v>
      </c>
      <c r="C3089" t="s">
        <v>32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>E3089+G3089+H3089</f>
        <v>18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23</v>
      </c>
      <c r="K3089" s="3">
        <f>I3089-J3089</f>
        <v>-5</v>
      </c>
      <c r="L3089" s="3" t="str">
        <f>IF(K3089&lt;-5,"CRÍTICO",IF(K3089&lt;0,"ATENÇÃO",IF(K3089&lt;=5,"OPORTUNO","MUITO BOM")))</f>
        <v>ATENÇÃO</v>
      </c>
      <c r="M3089">
        <v>16</v>
      </c>
      <c r="N3089">
        <v>100</v>
      </c>
      <c r="O3089">
        <v>28.490028490028489</v>
      </c>
    </row>
    <row r="3090" spans="1:15" hidden="1" x14ac:dyDescent="0.25">
      <c r="A3090" s="11">
        <v>46098</v>
      </c>
      <c r="B3090" t="s">
        <v>56</v>
      </c>
      <c r="C3090" t="s">
        <v>48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>E3090+G3090+H3090</f>
        <v>36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18</v>
      </c>
      <c r="K3090" s="3">
        <f>I3090-J3090</f>
        <v>18</v>
      </c>
      <c r="L3090" s="3" t="str">
        <f>IF(K3090&lt;-5,"CRÍTICO",IF(K3090&lt;0,"ATENÇÃO",IF(K3090&lt;=5,"OPORTUNO","MUITO BOM")))</f>
        <v>MUITO BOM</v>
      </c>
      <c r="M3090">
        <v>40</v>
      </c>
      <c r="N3090">
        <v>99.14</v>
      </c>
      <c r="O3090">
        <v>27.2289156626506</v>
      </c>
    </row>
    <row r="3091" spans="1:15" hidden="1" x14ac:dyDescent="0.25">
      <c r="A3091" s="11">
        <v>46098</v>
      </c>
      <c r="B3091" t="s">
        <v>57</v>
      </c>
      <c r="C3091" t="s">
        <v>48</v>
      </c>
      <c r="D3091">
        <v>22</v>
      </c>
      <c r="E3091">
        <v>21</v>
      </c>
      <c r="F3091">
        <v>23.56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>
        <v>22</v>
      </c>
      <c r="N3091">
        <v>97.52</v>
      </c>
      <c r="O3091">
        <v>28.205128205128201</v>
      </c>
    </row>
    <row r="3092" spans="1:15" hidden="1" x14ac:dyDescent="0.25">
      <c r="A3092" s="11">
        <v>46098</v>
      </c>
      <c r="B3092" t="s">
        <v>42</v>
      </c>
      <c r="C3092" t="s">
        <v>32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v>0</v>
      </c>
      <c r="J3092" s="3">
        <v>0</v>
      </c>
      <c r="K3092" s="3">
        <v>0</v>
      </c>
      <c r="L3092" s="3" t="str">
        <f>IF(K3092&lt;-5,"CRÍTICO",IF(K3092&lt;0,"ATENÇÃO",IF(K3092&lt;=5,"OPORTUNO","MUITO BOM")))</f>
        <v>OPORTUNO</v>
      </c>
      <c r="M3092">
        <v>0</v>
      </c>
      <c r="N3092">
        <v>90</v>
      </c>
      <c r="O3092">
        <v>24.186046511627911</v>
      </c>
    </row>
    <row r="3093" spans="1:15" hidden="1" x14ac:dyDescent="0.25">
      <c r="A3093" s="11">
        <v>46098</v>
      </c>
      <c r="B3093" t="s">
        <v>62</v>
      </c>
      <c r="C3093" t="s">
        <v>23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>E3093+G3093+H3093</f>
        <v>16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15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>
        <v>16</v>
      </c>
      <c r="N3093">
        <v>98.9</v>
      </c>
      <c r="O3093">
        <v>26.763990267639901</v>
      </c>
    </row>
    <row r="3094" spans="1:15" hidden="1" x14ac:dyDescent="0.25">
      <c r="A3094" s="11">
        <v>46098</v>
      </c>
      <c r="B3094" t="s">
        <v>19</v>
      </c>
      <c r="C3094" t="s">
        <v>16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>E3094+G3094+H3094</f>
        <v>8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7</v>
      </c>
      <c r="K3094" s="3">
        <f>I3094-J3094</f>
        <v>1</v>
      </c>
      <c r="L3094" s="3" t="str">
        <f>IF(K3094&lt;-5,"CRÍTICO",IF(K3094&lt;0,"ATENÇÃO",IF(K3094&lt;=5,"OPORTUNO","MUITO BOM")))</f>
        <v>OPORTUNO</v>
      </c>
      <c r="M3094">
        <v>7</v>
      </c>
      <c r="N3094">
        <v>88.89</v>
      </c>
      <c r="O3094">
        <v>25.263157894736839</v>
      </c>
    </row>
    <row r="3095" spans="1:15" hidden="1" x14ac:dyDescent="0.25">
      <c r="A3095" s="11">
        <v>46098</v>
      </c>
      <c r="B3095" t="s">
        <v>43</v>
      </c>
      <c r="C3095" t="s">
        <v>32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>E3095+G3095+H3095</f>
        <v>32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9</v>
      </c>
      <c r="L3095" s="3" t="str">
        <f>IF(K3095&lt;-5,"CRÍTICO",IF(K3095&lt;0,"ATENÇÃO",IF(K3095&lt;=5,"OPORTUNO","MUITO BOM")))</f>
        <v>MUITO BOM</v>
      </c>
      <c r="M3095">
        <v>30</v>
      </c>
      <c r="N3095">
        <v>98.86</v>
      </c>
      <c r="O3095">
        <v>28.959276018099551</v>
      </c>
    </row>
    <row r="3096" spans="1:15" hidden="1" x14ac:dyDescent="0.25">
      <c r="A3096" s="11">
        <v>46098</v>
      </c>
      <c r="B3096" t="s">
        <v>44</v>
      </c>
      <c r="C3096" t="s">
        <v>32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>E3096+G3096+H3096</f>
        <v>2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23</v>
      </c>
      <c r="K3096" s="3">
        <f>I3096-J3096</f>
        <v>-21</v>
      </c>
      <c r="L3096" s="3" t="str">
        <f>IF(K3096&lt;-5,"CRÍTICO",IF(K3096&lt;0,"ATENÇÃO",IF(K3096&lt;=5,"OPORTUNO","MUITO BOM")))</f>
        <v>CRÍTICO</v>
      </c>
      <c r="M3096">
        <v>1</v>
      </c>
      <c r="N3096">
        <v>98.06</v>
      </c>
      <c r="O3096">
        <v>22.40566037735849</v>
      </c>
    </row>
    <row r="3097" spans="1:15" hidden="1" x14ac:dyDescent="0.25">
      <c r="A3097" s="11">
        <v>46098</v>
      </c>
      <c r="B3097" t="s">
        <v>20</v>
      </c>
      <c r="C3097" t="s">
        <v>16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>
        <v>0</v>
      </c>
      <c r="N3097">
        <v>95.83</v>
      </c>
      <c r="O3097">
        <v>25.773195876288661</v>
      </c>
    </row>
    <row r="3098" spans="1:15" hidden="1" x14ac:dyDescent="0.25">
      <c r="A3098" s="11">
        <v>46098</v>
      </c>
      <c r="B3098" t="s">
        <v>28</v>
      </c>
      <c r="C3098" t="s">
        <v>26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v>0</v>
      </c>
      <c r="J3098" s="3">
        <v>0</v>
      </c>
      <c r="K3098" s="3">
        <v>0</v>
      </c>
      <c r="L3098" s="3" t="str">
        <f>IF(K3098&lt;-5,"CRÍTICO",IF(K3098&lt;0,"ATENÇÃO",IF(K3098&lt;=5,"OPORTUNO","MUITO BOM")))</f>
        <v>OPORTUNO</v>
      </c>
      <c r="M3098">
        <v>0</v>
      </c>
      <c r="N3098">
        <v>100</v>
      </c>
      <c r="O3098">
        <v>15.38461538461539</v>
      </c>
    </row>
    <row r="3099" spans="1:15" hidden="1" x14ac:dyDescent="0.25">
      <c r="A3099" s="11">
        <v>46098</v>
      </c>
      <c r="B3099" t="s">
        <v>58</v>
      </c>
      <c r="C3099" t="s">
        <v>48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>E3099+G3099+H3099</f>
        <v>33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18</v>
      </c>
      <c r="K3099" s="3">
        <f>I3099-J3099</f>
        <v>15</v>
      </c>
      <c r="L3099" s="3" t="str">
        <f>IF(K3099&lt;-5,"CRÍTICO",IF(K3099&lt;0,"ATENÇÃO",IF(K3099&lt;=5,"OPORTUNO","MUITO BOM")))</f>
        <v>MUITO BOM</v>
      </c>
      <c r="M3099">
        <v>29</v>
      </c>
      <c r="N3099">
        <v>100</v>
      </c>
      <c r="O3099">
        <v>27.514792899408281</v>
      </c>
    </row>
    <row r="3100" spans="1:15" hidden="1" x14ac:dyDescent="0.25">
      <c r="A3100" s="11">
        <v>46098</v>
      </c>
      <c r="B3100" t="s">
        <v>29</v>
      </c>
      <c r="C3100" t="s">
        <v>26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>E3100+G3100+H3100</f>
        <v>14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1</v>
      </c>
      <c r="L3100" s="3" t="str">
        <f>IF(K3100&lt;-5,"CRÍTICO",IF(K3100&lt;0,"ATENÇÃO",IF(K3100&lt;=5,"OPORTUNO","MUITO BOM")))</f>
        <v>OPORTUNO</v>
      </c>
      <c r="M3100">
        <v>11</v>
      </c>
      <c r="N3100">
        <v>100</v>
      </c>
      <c r="O3100">
        <v>24.875621890547269</v>
      </c>
    </row>
    <row r="3101" spans="1:15" hidden="1" x14ac:dyDescent="0.25">
      <c r="A3101" s="11">
        <v>46098</v>
      </c>
      <c r="B3101" t="s">
        <v>30</v>
      </c>
      <c r="C3101" t="s">
        <v>26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>E3101+G3101+H3101</f>
        <v>15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13</v>
      </c>
      <c r="K3101" s="3">
        <f>I3101-J3101</f>
        <v>2</v>
      </c>
      <c r="L3101" s="3" t="str">
        <f>IF(K3101&lt;-5,"CRÍTICO",IF(K3101&lt;0,"ATENÇÃO",IF(K3101&lt;=5,"OPORTUNO","MUITO BOM")))</f>
        <v>OPORTUNO</v>
      </c>
      <c r="M3101">
        <v>12</v>
      </c>
      <c r="N3101">
        <v>100</v>
      </c>
      <c r="O3101">
        <v>28.108108108108109</v>
      </c>
    </row>
    <row r="3102" spans="1:15" hidden="1" x14ac:dyDescent="0.25">
      <c r="A3102" s="11">
        <v>46098</v>
      </c>
      <c r="B3102" t="s">
        <v>21</v>
      </c>
      <c r="C3102" t="s">
        <v>16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v>0</v>
      </c>
      <c r="J3102" s="3">
        <v>0</v>
      </c>
      <c r="K3102" s="3">
        <v>0</v>
      </c>
      <c r="L3102" s="3" t="str">
        <f>IF(K3102&lt;-5,"CRÍTICO",IF(K3102&lt;0,"ATENÇÃO",IF(K3102&lt;=5,"OPORTUNO","MUITO BOM")))</f>
        <v>OPORTUNO</v>
      </c>
      <c r="M3102">
        <v>0</v>
      </c>
      <c r="N3102">
        <v>100</v>
      </c>
      <c r="O3102">
        <v>35</v>
      </c>
    </row>
    <row r="3103" spans="1:15" hidden="1" x14ac:dyDescent="0.25">
      <c r="A3103" s="11">
        <v>46098</v>
      </c>
      <c r="B3103" t="s">
        <v>63</v>
      </c>
      <c r="C3103" t="s">
        <v>23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>E3103+G3103+H3103</f>
        <v>19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15</v>
      </c>
      <c r="K3103" s="3">
        <f>I3103-J3103</f>
        <v>4</v>
      </c>
      <c r="L3103" s="3" t="str">
        <f>IF(K3103&lt;-5,"CRÍTICO",IF(K3103&lt;0,"ATENÇÃO",IF(K3103&lt;=5,"OPORTUNO","MUITO BOM")))</f>
        <v>OPORTUNO</v>
      </c>
      <c r="M3103">
        <v>14</v>
      </c>
      <c r="N3103">
        <v>95.35</v>
      </c>
      <c r="O3103">
        <v>28.61538461538461</v>
      </c>
    </row>
    <row r="3104" spans="1:15" hidden="1" x14ac:dyDescent="0.25">
      <c r="A3104" s="11">
        <v>46098</v>
      </c>
      <c r="B3104" t="s">
        <v>45</v>
      </c>
      <c r="C3104" t="s">
        <v>32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>E3104+G3104+H3104</f>
        <v>37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23</v>
      </c>
      <c r="K3104" s="3">
        <f>I3104-J3104</f>
        <v>14</v>
      </c>
      <c r="L3104" s="3" t="str">
        <f>IF(K3104&lt;-5,"CRÍTICO",IF(K3104&lt;0,"ATENÇÃO",IF(K3104&lt;=5,"OPORTUNO","MUITO BOM")))</f>
        <v>MUITO BOM</v>
      </c>
      <c r="M3104">
        <v>27</v>
      </c>
      <c r="N3104">
        <v>98.26</v>
      </c>
      <c r="O3104">
        <v>27.54491017964072</v>
      </c>
    </row>
    <row r="3105" spans="1:15" hidden="1" x14ac:dyDescent="0.25">
      <c r="A3105" s="11">
        <v>46098</v>
      </c>
      <c r="B3105" t="s">
        <v>64</v>
      </c>
      <c r="C3105" t="s">
        <v>23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>E3105+G3105+H3105</f>
        <v>10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15</v>
      </c>
      <c r="K3105" s="3">
        <f>I3105-J3105</f>
        <v>-5</v>
      </c>
      <c r="L3105" s="3" t="str">
        <f>IF(K3105&lt;-5,"CRÍTICO",IF(K3105&lt;0,"ATENÇÃO",IF(K3105&lt;=5,"OPORTUNO","MUITO BOM")))</f>
        <v>ATENÇÃO</v>
      </c>
      <c r="M3105">
        <v>10</v>
      </c>
      <c r="N3105">
        <v>98.55</v>
      </c>
      <c r="O3105">
        <v>25.337837837837839</v>
      </c>
    </row>
    <row r="3106" spans="1:15" hidden="1" x14ac:dyDescent="0.25">
      <c r="A3106" s="11">
        <v>46098</v>
      </c>
      <c r="B3106" t="s">
        <v>46</v>
      </c>
      <c r="C3106" t="s">
        <v>32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>E3106+G3106+H3106</f>
        <v>26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23</v>
      </c>
      <c r="K3106" s="3">
        <f>I3106-J3106</f>
        <v>3</v>
      </c>
      <c r="L3106" s="3" t="str">
        <f>IF(K3106&lt;-5,"CRÍTICO",IF(K3106&lt;0,"ATENÇÃO",IF(K3106&lt;=5,"OPORTUNO","MUITO BOM")))</f>
        <v>OPORTUNO</v>
      </c>
      <c r="M3106">
        <v>23</v>
      </c>
      <c r="N3106">
        <v>98.39</v>
      </c>
      <c r="O3106">
        <v>25.563909774436091</v>
      </c>
    </row>
    <row r="3107" spans="1:15" hidden="1" x14ac:dyDescent="0.25">
      <c r="A3107" s="11">
        <v>46099</v>
      </c>
      <c r="B3107" t="s">
        <v>47</v>
      </c>
      <c r="C3107" t="s">
        <v>48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>E3107+G3107+H3107</f>
        <v>24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17</v>
      </c>
      <c r="K3107" s="3">
        <f>I3107-J3107</f>
        <v>7</v>
      </c>
      <c r="L3107" s="3" t="str">
        <f>IF(K3107&lt;-5,"CRÍTICO",IF(K3107&lt;0,"ATENÇÃO",IF(K3107&lt;=5,"OPORTUNO","MUITO BOM")))</f>
        <v>MUITO BOM</v>
      </c>
      <c r="M3107">
        <v>18</v>
      </c>
      <c r="N3107">
        <v>94.29</v>
      </c>
      <c r="O3107">
        <v>25.647668393782389</v>
      </c>
    </row>
    <row r="3108" spans="1:15" hidden="1" x14ac:dyDescent="0.25">
      <c r="A3108" s="11">
        <v>46099</v>
      </c>
      <c r="B3108" t="s">
        <v>31</v>
      </c>
      <c r="C3108" t="s">
        <v>32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v>0</v>
      </c>
      <c r="J3108" s="3">
        <v>0</v>
      </c>
      <c r="K3108" s="3">
        <v>0</v>
      </c>
      <c r="L3108" s="3" t="str">
        <f>IF(K3108&lt;-5,"CRÍTICO",IF(K3108&lt;0,"ATENÇÃO",IF(K3108&lt;=5,"OPORTUNO","MUITO BOM")))</f>
        <v>OPORTUNO</v>
      </c>
      <c r="M3108">
        <v>24</v>
      </c>
      <c r="N3108">
        <v>98.26</v>
      </c>
      <c r="O3108">
        <v>26.666666666666671</v>
      </c>
    </row>
    <row r="3109" spans="1:15" hidden="1" x14ac:dyDescent="0.25">
      <c r="A3109" s="11">
        <v>46099</v>
      </c>
      <c r="B3109" t="s">
        <v>59</v>
      </c>
      <c r="C3109" t="s">
        <v>23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>E3109+G3109+H3109</f>
        <v>7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14</v>
      </c>
      <c r="K3109" s="3">
        <f>I3109-J3109</f>
        <v>-7</v>
      </c>
      <c r="L3109" s="3" t="str">
        <f>IF(K3109&lt;-5,"CRÍTICO",IF(K3109&lt;0,"ATENÇÃO",IF(K3109&lt;=5,"OPORTUNO","MUITO BOM")))</f>
        <v>CRÍTICO</v>
      </c>
      <c r="M3109">
        <v>9</v>
      </c>
      <c r="N3109">
        <v>98.2</v>
      </c>
      <c r="O3109">
        <v>23.37962962962963</v>
      </c>
    </row>
    <row r="3110" spans="1:15" hidden="1" x14ac:dyDescent="0.25">
      <c r="A3110" s="11">
        <v>46099</v>
      </c>
      <c r="B3110" t="s">
        <v>33</v>
      </c>
      <c r="C3110" t="s">
        <v>32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>E3110+G3110+H3110</f>
        <v>28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22</v>
      </c>
      <c r="K3110" s="3">
        <f>I3110-J3110</f>
        <v>6</v>
      </c>
      <c r="L3110" s="3" t="str">
        <f>IF(K3110&lt;-5,"CRÍTICO",IF(K3110&lt;0,"ATENÇÃO",IF(K3110&lt;=5,"OPORTUNO","MUITO BOM")))</f>
        <v>MUITO BOM</v>
      </c>
      <c r="M3110">
        <v>25</v>
      </c>
      <c r="N3110">
        <v>97.3</v>
      </c>
      <c r="O3110">
        <v>23.84769539078156</v>
      </c>
    </row>
    <row r="3111" spans="1:15" hidden="1" x14ac:dyDescent="0.25">
      <c r="A3111" s="11">
        <v>46099</v>
      </c>
      <c r="B3111" t="s">
        <v>15</v>
      </c>
      <c r="C3111" t="s">
        <v>16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>E3111+G3111+H3111</f>
        <v>8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6</v>
      </c>
      <c r="K3111" s="3">
        <f>I3111-J3111</f>
        <v>2</v>
      </c>
      <c r="L3111" s="3" t="str">
        <f>IF(K3111&lt;-5,"CRÍTICO",IF(K3111&lt;0,"ATENÇÃO",IF(K3111&lt;=5,"OPORTUNO","MUITO BOM")))</f>
        <v>OPORTUNO</v>
      </c>
      <c r="M3111">
        <v>5</v>
      </c>
      <c r="N3111">
        <v>100</v>
      </c>
      <c r="O3111">
        <v>25.268817204301079</v>
      </c>
    </row>
    <row r="3112" spans="1:15" hidden="1" x14ac:dyDescent="0.25">
      <c r="A3112" s="11">
        <v>46099</v>
      </c>
      <c r="B3112" t="s">
        <v>49</v>
      </c>
      <c r="C3112" t="s">
        <v>48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>E3112+G3112+H3112</f>
        <v>26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9</v>
      </c>
      <c r="L3112" s="3" t="str">
        <f>IF(K3112&lt;-5,"CRÍTICO",IF(K3112&lt;0,"ATENÇÃO",IF(K3112&lt;=5,"OPORTUNO","MUITO BOM")))</f>
        <v>MUITO BOM</v>
      </c>
      <c r="M3112">
        <v>24</v>
      </c>
      <c r="N3112">
        <v>99.32</v>
      </c>
      <c r="O3112">
        <v>22.822822822822818</v>
      </c>
    </row>
    <row r="3113" spans="1:15" hidden="1" x14ac:dyDescent="0.25">
      <c r="A3113" s="11">
        <v>46099</v>
      </c>
      <c r="B3113" t="s">
        <v>50</v>
      </c>
      <c r="C3113" t="s">
        <v>48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>E3113+G3113+H3113</f>
        <v>16</v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>17</v>
      </c>
      <c r="K3113" s="3">
        <f>I3113-J3113</f>
        <v>-1</v>
      </c>
      <c r="L3113" s="3" t="str">
        <f>IF(K3113&lt;-5,"CRÍTICO",IF(K3113&lt;0,"ATENÇÃO",IF(K3113&lt;=5,"OPORTUNO","MUITO BOM")))</f>
        <v>ATENÇÃO</v>
      </c>
      <c r="M3113">
        <v>16</v>
      </c>
      <c r="N3113">
        <v>100</v>
      </c>
      <c r="O3113">
        <v>27.966101694915249</v>
      </c>
    </row>
    <row r="3114" spans="1:15" hidden="1" x14ac:dyDescent="0.25">
      <c r="A3114" s="11">
        <v>46099</v>
      </c>
      <c r="B3114" t="s">
        <v>17</v>
      </c>
      <c r="C3114" t="s">
        <v>16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v>0</v>
      </c>
      <c r="J3114" s="3">
        <v>0</v>
      </c>
      <c r="K3114" s="3">
        <v>0</v>
      </c>
      <c r="L3114" s="3" t="str">
        <f>IF(K3114&lt;-5,"CRÍTICO",IF(K3114&lt;0,"ATENÇÃO",IF(K3114&lt;=5,"OPORTUNO","MUITO BOM")))</f>
        <v>OPORTUNO</v>
      </c>
      <c r="M3114">
        <v>0</v>
      </c>
      <c r="N3114">
        <v>100</v>
      </c>
      <c r="O3114">
        <v>30.434782608695659</v>
      </c>
    </row>
    <row r="3115" spans="1:15" hidden="1" x14ac:dyDescent="0.25">
      <c r="A3115" s="11">
        <v>46099</v>
      </c>
      <c r="B3115" t="s">
        <v>60</v>
      </c>
      <c r="C3115" t="s">
        <v>23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>E3115+G3115+H3115</f>
        <v>19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14</v>
      </c>
      <c r="K3115" s="3">
        <f>I3115-J3115</f>
        <v>5</v>
      </c>
      <c r="L3115" s="3" t="str">
        <f>IF(K3115&lt;-5,"CRÍTICO",IF(K3115&lt;0,"ATENÇÃO",IF(K3115&lt;=5,"OPORTUNO","MUITO BOM")))</f>
        <v>OPORTUNO</v>
      </c>
      <c r="M3115">
        <v>14</v>
      </c>
      <c r="N3115">
        <v>96.51</v>
      </c>
      <c r="O3115">
        <v>22.802850356294542</v>
      </c>
    </row>
    <row r="3116" spans="1:15" hidden="1" x14ac:dyDescent="0.25">
      <c r="A3116" s="11">
        <v>46099</v>
      </c>
      <c r="B3116" t="s">
        <v>34</v>
      </c>
      <c r="C3116" t="s">
        <v>32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>
        <v>9</v>
      </c>
      <c r="N3116">
        <v>92.68</v>
      </c>
      <c r="O3116">
        <v>27.777777777777779</v>
      </c>
    </row>
    <row r="3117" spans="1:15" hidden="1" x14ac:dyDescent="0.25">
      <c r="A3117" s="11">
        <v>46099</v>
      </c>
      <c r="B3117" t="s">
        <v>51</v>
      </c>
      <c r="C3117" t="s">
        <v>48</v>
      </c>
      <c r="D3117">
        <v>25</v>
      </c>
      <c r="E3117">
        <v>24</v>
      </c>
      <c r="F3117">
        <v>24.13</v>
      </c>
      <c r="G3117">
        <v>0</v>
      </c>
      <c r="H3117">
        <v>0</v>
      </c>
      <c r="I3117" s="3">
        <v>0</v>
      </c>
      <c r="J3117" s="3">
        <v>0</v>
      </c>
      <c r="K3117" s="3">
        <v>0</v>
      </c>
      <c r="L3117" s="3" t="str">
        <f>IF(K3117&lt;-5,"CRÍTICO",IF(K3117&lt;0,"ATENÇÃO",IF(K3117&lt;=5,"OPORTUNO","MUITO BOM")))</f>
        <v>OPORTUNO</v>
      </c>
      <c r="M3117">
        <v>22</v>
      </c>
      <c r="N3117">
        <v>99.03</v>
      </c>
      <c r="O3117">
        <v>23.991507430997881</v>
      </c>
    </row>
    <row r="3118" spans="1:15" hidden="1" x14ac:dyDescent="0.25">
      <c r="A3118" s="11">
        <v>46099</v>
      </c>
      <c r="B3118" t="s">
        <v>61</v>
      </c>
      <c r="C3118" t="s">
        <v>23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>E3118+G3118+H3118</f>
        <v>12</v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>14</v>
      </c>
      <c r="K3118" s="3">
        <f>I3118-J3118</f>
        <v>-2</v>
      </c>
      <c r="L3118" s="3" t="str">
        <f>IF(K3118&lt;-5,"CRÍTICO",IF(K3118&lt;0,"ATENÇÃO",IF(K3118&lt;=5,"OPORTUNO","MUITO BOM")))</f>
        <v>ATENÇÃO</v>
      </c>
      <c r="M3118">
        <v>8</v>
      </c>
      <c r="N3118">
        <v>98.41</v>
      </c>
      <c r="O3118">
        <v>28.138528138528141</v>
      </c>
    </row>
    <row r="3119" spans="1:15" hidden="1" x14ac:dyDescent="0.25">
      <c r="A3119" s="11">
        <v>46099</v>
      </c>
      <c r="B3119" t="s">
        <v>35</v>
      </c>
      <c r="C3119" t="s">
        <v>32</v>
      </c>
      <c r="D3119">
        <v>19</v>
      </c>
      <c r="E3119">
        <v>18</v>
      </c>
      <c r="F3119">
        <v>38.28</v>
      </c>
      <c r="G3119">
        <v>0</v>
      </c>
      <c r="H3119">
        <v>0</v>
      </c>
      <c r="I3119" s="3">
        <v>0</v>
      </c>
      <c r="J3119" s="3">
        <v>0</v>
      </c>
      <c r="K3119" s="3">
        <v>0</v>
      </c>
      <c r="L3119" s="3" t="str">
        <f>IF(K3119&lt;-5,"CRÍTICO",IF(K3119&lt;0,"ATENÇÃO",IF(K3119&lt;=5,"OPORTUNO","MUITO BOM")))</f>
        <v>OPORTUNO</v>
      </c>
      <c r="M3119">
        <v>17</v>
      </c>
      <c r="N3119">
        <v>98.73</v>
      </c>
      <c r="O3119">
        <v>29.142857142857139</v>
      </c>
    </row>
    <row r="3120" spans="1:15" hidden="1" x14ac:dyDescent="0.25">
      <c r="A3120" s="11">
        <v>46099</v>
      </c>
      <c r="B3120" t="s">
        <v>18</v>
      </c>
      <c r="C3120" t="s">
        <v>16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>E3120+G3120+H3120</f>
        <v>6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6</v>
      </c>
      <c r="K3120" s="3">
        <f>I3120-J3120</f>
        <v>0</v>
      </c>
      <c r="L3120" s="3" t="str">
        <f>IF(K3120&lt;-5,"CRÍTICO",IF(K3120&lt;0,"ATENÇÃO",IF(K3120&lt;=5,"OPORTUNO","MUITO BOM")))</f>
        <v>OPORTUNO</v>
      </c>
      <c r="M3120">
        <v>4</v>
      </c>
      <c r="N3120">
        <v>90.48</v>
      </c>
      <c r="O3120">
        <v>20.68965517241379</v>
      </c>
    </row>
    <row r="3121" spans="1:15" hidden="1" x14ac:dyDescent="0.25">
      <c r="A3121" s="11">
        <v>46099</v>
      </c>
      <c r="B3121" t="s">
        <v>52</v>
      </c>
      <c r="C3121" t="s">
        <v>48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>E3121+G3121+H3121</f>
        <v>25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17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>
        <v>28</v>
      </c>
      <c r="N3121">
        <v>98.06</v>
      </c>
      <c r="O3121">
        <v>24.789915966386559</v>
      </c>
    </row>
    <row r="3122" spans="1:15" hidden="1" x14ac:dyDescent="0.25">
      <c r="A3122" s="11">
        <v>46099</v>
      </c>
      <c r="B3122" t="s">
        <v>36</v>
      </c>
      <c r="C3122" t="s">
        <v>32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>E3122+G3122+H3122</f>
        <v>30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22</v>
      </c>
      <c r="K3122" s="3">
        <f>I3122-J3122</f>
        <v>8</v>
      </c>
      <c r="L3122" s="3" t="str">
        <f>IF(K3122&lt;-5,"CRÍTICO",IF(K3122&lt;0,"ATENÇÃO",IF(K3122&lt;=5,"OPORTUNO","MUITO BOM")))</f>
        <v>MUITO BOM</v>
      </c>
      <c r="M3122">
        <v>29</v>
      </c>
      <c r="N3122">
        <v>97.78</v>
      </c>
      <c r="O3122">
        <v>25.494071146245059</v>
      </c>
    </row>
    <row r="3123" spans="1:15" hidden="1" x14ac:dyDescent="0.25">
      <c r="A3123" s="11">
        <v>46099</v>
      </c>
      <c r="B3123" t="s">
        <v>53</v>
      </c>
      <c r="C3123" t="s">
        <v>48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>E3123+G3123+H3123</f>
        <v>24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17</v>
      </c>
      <c r="K3123" s="3">
        <f>I3123-J3123</f>
        <v>7</v>
      </c>
      <c r="L3123" s="3" t="str">
        <f>IF(K3123&lt;-5,"CRÍTICO",IF(K3123&lt;0,"ATENÇÃO",IF(K3123&lt;=5,"OPORTUNO","MUITO BOM")))</f>
        <v>MUITO BOM</v>
      </c>
      <c r="M3123">
        <v>22</v>
      </c>
      <c r="N3123">
        <v>98.02</v>
      </c>
      <c r="O3123">
        <v>23.484848484848481</v>
      </c>
    </row>
    <row r="3124" spans="1:15" hidden="1" x14ac:dyDescent="0.25">
      <c r="A3124" s="11">
        <v>46134</v>
      </c>
      <c r="B3124" t="s">
        <v>22</v>
      </c>
      <c r="C3124" t="s">
        <v>23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>E3124+G3124+H3124</f>
        <v>18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15</v>
      </c>
      <c r="K3124" s="3">
        <f>I3124-J3124</f>
        <v>3</v>
      </c>
      <c r="L3124" s="3" t="str">
        <f>IF(K3124&lt;-5,"CRÍTICO",IF(K3124&lt;0,"ATENÇÃO",IF(K3124&lt;=5,"OPORTUNO","MUITO BOM")))</f>
        <v>OPORTUNO</v>
      </c>
      <c r="M3124">
        <v>15</v>
      </c>
      <c r="N3124">
        <v>99.28</v>
      </c>
      <c r="O3124">
        <v>27.689243027888441</v>
      </c>
    </row>
    <row r="3125" spans="1:15" hidden="1" x14ac:dyDescent="0.25">
      <c r="A3125" s="11">
        <v>46099</v>
      </c>
      <c r="B3125" t="s">
        <v>54</v>
      </c>
      <c r="C3125" t="s">
        <v>48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>E3125+G3125+H3125</f>
        <v>27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17</v>
      </c>
      <c r="K3125" s="3">
        <f>I3125-J3125</f>
        <v>10</v>
      </c>
      <c r="L3125" s="3" t="str">
        <f>IF(K3125&lt;-5,"CRÍTICO",IF(K3125&lt;0,"ATENÇÃO",IF(K3125&lt;=5,"OPORTUNO","MUITO BOM")))</f>
        <v>MUITO BOM</v>
      </c>
      <c r="M3125">
        <v>24</v>
      </c>
      <c r="N3125">
        <v>100</v>
      </c>
      <c r="O3125">
        <v>27.04918032786885</v>
      </c>
    </row>
    <row r="3126" spans="1:15" hidden="1" x14ac:dyDescent="0.25">
      <c r="A3126" s="11">
        <v>46099</v>
      </c>
      <c r="B3126" t="s">
        <v>37</v>
      </c>
      <c r="C3126" t="s">
        <v>32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>E3126+G3126+H3126</f>
        <v>40</v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>22</v>
      </c>
      <c r="K3126" s="3">
        <f>I3126-J3126</f>
        <v>18</v>
      </c>
      <c r="L3126" s="3" t="str">
        <f>IF(K3126&lt;-5,"CRÍTICO",IF(K3126&lt;0,"ATENÇÃO",IF(K3126&lt;=5,"OPORTUNO","MUITO BOM")))</f>
        <v>MUITO BOM</v>
      </c>
      <c r="M3126">
        <v>35</v>
      </c>
      <c r="N3126">
        <v>97.83</v>
      </c>
      <c r="O3126">
        <v>26.315789473684209</v>
      </c>
    </row>
    <row r="3127" spans="1:15" hidden="1" x14ac:dyDescent="0.25">
      <c r="A3127" s="11">
        <v>46099</v>
      </c>
      <c r="B3127" t="s">
        <v>38</v>
      </c>
      <c r="C3127" t="s">
        <v>32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v>0</v>
      </c>
      <c r="J3127" s="3">
        <v>0</v>
      </c>
      <c r="K3127" s="3">
        <v>0</v>
      </c>
      <c r="L3127" s="3" t="str">
        <f>IF(K3127&lt;-5,"CRÍTICO",IF(K3127&lt;0,"ATENÇÃO",IF(K3127&lt;=5,"OPORTUNO","MUITO BOM")))</f>
        <v>OPORTUNO</v>
      </c>
      <c r="M3127">
        <v>7</v>
      </c>
      <c r="N3127">
        <v>100</v>
      </c>
      <c r="O3127">
        <v>26.701570680628269</v>
      </c>
    </row>
    <row r="3128" spans="1:15" hidden="1" x14ac:dyDescent="0.25">
      <c r="A3128" s="11">
        <v>46099</v>
      </c>
      <c r="B3128" t="s">
        <v>55</v>
      </c>
      <c r="C3128" t="s">
        <v>48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>E3128+G3128+H3128</f>
        <v>16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17</v>
      </c>
      <c r="K3128" s="3">
        <f>I3128-J3128</f>
        <v>-1</v>
      </c>
      <c r="L3128" s="3" t="str">
        <f>IF(K3128&lt;-5,"CRÍTICO",IF(K3128&lt;0,"ATENÇÃO",IF(K3128&lt;=5,"OPORTUNO","MUITO BOM")))</f>
        <v>ATENÇÃO</v>
      </c>
      <c r="M3128">
        <v>16</v>
      </c>
      <c r="N3128">
        <v>97.47</v>
      </c>
      <c r="O3128">
        <v>22.887323943661968</v>
      </c>
    </row>
    <row r="3129" spans="1:15" hidden="1" x14ac:dyDescent="0.25">
      <c r="A3129" s="11">
        <v>46099</v>
      </c>
      <c r="B3129" t="s">
        <v>39</v>
      </c>
      <c r="C3129" t="s">
        <v>32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v>0</v>
      </c>
      <c r="J3129" s="3">
        <v>0</v>
      </c>
      <c r="K3129" s="3">
        <v>0</v>
      </c>
      <c r="L3129" s="3" t="str">
        <f>IF(K3129&lt;-5,"CRÍTICO",IF(K3129&lt;0,"ATENÇÃO",IF(K3129&lt;=5,"OPORTUNO","MUITO BOM")))</f>
        <v>OPORTUNO</v>
      </c>
      <c r="M3129">
        <v>0</v>
      </c>
      <c r="N3129">
        <v>0</v>
      </c>
      <c r="O3129">
        <v>0</v>
      </c>
    </row>
    <row r="3130" spans="1:15" hidden="1" x14ac:dyDescent="0.25">
      <c r="A3130" s="11">
        <v>46099</v>
      </c>
      <c r="B3130" t="s">
        <v>25</v>
      </c>
      <c r="C3130" t="s">
        <v>26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12</v>
      </c>
      <c r="K3130" s="3">
        <f>I3130-J3130</f>
        <v>6</v>
      </c>
      <c r="L3130" s="3" t="str">
        <f>IF(K3130&lt;-5,"CRÍTICO",IF(K3130&lt;0,"ATENÇÃO",IF(K3130&lt;=5,"OPORTUNO","MUITO BOM")))</f>
        <v>MUITO BOM</v>
      </c>
      <c r="M3130">
        <v>14</v>
      </c>
      <c r="N3130">
        <v>98.31</v>
      </c>
      <c r="O3130">
        <v>24.920127795527151</v>
      </c>
    </row>
    <row r="3131" spans="1:15" hidden="1" x14ac:dyDescent="0.25">
      <c r="A3131" s="11">
        <v>46099</v>
      </c>
      <c r="B3131" t="s">
        <v>40</v>
      </c>
      <c r="C3131" t="s">
        <v>32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>E3131+G3131+H3131</f>
        <v>7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22</v>
      </c>
      <c r="K3131" s="3">
        <f>I3131-J3131</f>
        <v>-15</v>
      </c>
      <c r="L3131" s="3" t="str">
        <f>IF(K3131&lt;-5,"CRÍTICO",IF(K3131&lt;0,"ATENÇÃO",IF(K3131&lt;=5,"OPORTUNO","MUITO BOM")))</f>
        <v>CRÍTICO</v>
      </c>
      <c r="M3131">
        <v>8</v>
      </c>
      <c r="N3131">
        <v>96.81</v>
      </c>
      <c r="O3131">
        <v>32.365145228215773</v>
      </c>
    </row>
    <row r="3132" spans="1:15" hidden="1" x14ac:dyDescent="0.25">
      <c r="A3132" s="11">
        <v>46099</v>
      </c>
      <c r="B3132" t="s">
        <v>27</v>
      </c>
      <c r="C3132" t="s">
        <v>26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>E3132+G3132+H3132</f>
        <v>16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12</v>
      </c>
      <c r="K3132" s="3">
        <f>I3132-J3132</f>
        <v>4</v>
      </c>
      <c r="L3132" s="3" t="str">
        <f>IF(K3132&lt;-5,"CRÍTICO",IF(K3132&lt;0,"ATENÇÃO",IF(K3132&lt;=5,"OPORTUNO","MUITO BOM")))</f>
        <v>OPORTUNO</v>
      </c>
      <c r="M3132">
        <v>7</v>
      </c>
      <c r="N3132">
        <v>100</v>
      </c>
      <c r="O3132">
        <v>26.47058823529412</v>
      </c>
    </row>
    <row r="3133" spans="1:15" hidden="1" x14ac:dyDescent="0.25">
      <c r="A3133" s="11">
        <v>46099</v>
      </c>
      <c r="B3133" t="s">
        <v>41</v>
      </c>
      <c r="C3133" t="s">
        <v>32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>E3133+G3133+H3133</f>
        <v>18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22</v>
      </c>
      <c r="K3133" s="3">
        <f>I3133-J3133</f>
        <v>-4</v>
      </c>
      <c r="L3133" s="3" t="str">
        <f>IF(K3133&lt;-5,"CRÍTICO",IF(K3133&lt;0,"ATENÇÃO",IF(K3133&lt;=5,"OPORTUNO","MUITO BOM")))</f>
        <v>ATENÇÃO</v>
      </c>
      <c r="M3133">
        <v>16</v>
      </c>
      <c r="N3133">
        <v>100</v>
      </c>
      <c r="O3133">
        <v>28.490028490028489</v>
      </c>
    </row>
    <row r="3134" spans="1:15" hidden="1" x14ac:dyDescent="0.25">
      <c r="A3134" s="11">
        <v>46099</v>
      </c>
      <c r="B3134" t="s">
        <v>56</v>
      </c>
      <c r="C3134" t="s">
        <v>48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>E3134+G3134+H3134</f>
        <v>29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17</v>
      </c>
      <c r="K3134" s="3">
        <f>I3134-J3134</f>
        <v>12</v>
      </c>
      <c r="L3134" s="3" t="str">
        <f>IF(K3134&lt;-5,"CRÍTICO",IF(K3134&lt;0,"ATENÇÃO",IF(K3134&lt;=5,"OPORTUNO","MUITO BOM")))</f>
        <v>MUITO BOM</v>
      </c>
      <c r="M3134">
        <v>31</v>
      </c>
      <c r="N3134">
        <v>99.14</v>
      </c>
      <c r="O3134">
        <v>27.2289156626506</v>
      </c>
    </row>
    <row r="3135" spans="1:15" hidden="1" x14ac:dyDescent="0.25">
      <c r="A3135" s="11">
        <v>46099</v>
      </c>
      <c r="B3135" t="s">
        <v>57</v>
      </c>
      <c r="C3135" t="s">
        <v>48</v>
      </c>
      <c r="D3135">
        <v>34</v>
      </c>
      <c r="E3135">
        <v>31</v>
      </c>
      <c r="F3135">
        <v>23.5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>
        <v>26</v>
      </c>
      <c r="N3135">
        <v>97.52</v>
      </c>
      <c r="O3135">
        <v>28.205128205128201</v>
      </c>
    </row>
    <row r="3136" spans="1:15" hidden="1" x14ac:dyDescent="0.25">
      <c r="A3136" s="11">
        <v>46099</v>
      </c>
      <c r="B3136" t="s">
        <v>42</v>
      </c>
      <c r="C3136" t="s">
        <v>32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v>0</v>
      </c>
      <c r="J3136" s="3">
        <v>0</v>
      </c>
      <c r="K3136" s="3">
        <v>0</v>
      </c>
      <c r="L3136" s="3" t="str">
        <f>IF(K3136&lt;-5,"CRÍTICO",IF(K3136&lt;0,"ATENÇÃO",IF(K3136&lt;=5,"OPORTUNO","MUITO BOM")))</f>
        <v>OPORTUNO</v>
      </c>
      <c r="M3136">
        <v>0</v>
      </c>
      <c r="N3136">
        <v>90</v>
      </c>
      <c r="O3136">
        <v>24.186046511627911</v>
      </c>
    </row>
    <row r="3137" spans="1:15" hidden="1" x14ac:dyDescent="0.25">
      <c r="A3137" s="11">
        <v>46099</v>
      </c>
      <c r="B3137" t="s">
        <v>62</v>
      </c>
      <c r="C3137" t="s">
        <v>23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>E3137+G3137+H3137</f>
        <v>19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14</v>
      </c>
      <c r="K3137" s="3">
        <f>I3137-J3137</f>
        <v>5</v>
      </c>
      <c r="L3137" s="3" t="str">
        <f>IF(K3137&lt;-5,"CRÍTICO",IF(K3137&lt;0,"ATENÇÃO",IF(K3137&lt;=5,"OPORTUNO","MUITO BOM")))</f>
        <v>OPORTUNO</v>
      </c>
      <c r="M3137">
        <v>17</v>
      </c>
      <c r="N3137">
        <v>98.9</v>
      </c>
      <c r="O3137">
        <v>26.763990267639901</v>
      </c>
    </row>
    <row r="3138" spans="1:15" hidden="1" x14ac:dyDescent="0.25">
      <c r="A3138" s="11">
        <v>46099</v>
      </c>
      <c r="B3138" t="s">
        <v>19</v>
      </c>
      <c r="C3138" t="s">
        <v>16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>E3138+G3138+H3138</f>
        <v>4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6</v>
      </c>
      <c r="K3138" s="3">
        <f>I3138-J3138</f>
        <v>-2</v>
      </c>
      <c r="L3138" s="3" t="str">
        <f>IF(K3138&lt;-5,"CRÍTICO",IF(K3138&lt;0,"ATENÇÃO",IF(K3138&lt;=5,"OPORTUNO","MUITO BOM")))</f>
        <v>ATENÇÃO</v>
      </c>
      <c r="M3138">
        <v>4</v>
      </c>
      <c r="N3138">
        <v>88.89</v>
      </c>
      <c r="O3138">
        <v>25.263157894736839</v>
      </c>
    </row>
    <row r="3139" spans="1:15" hidden="1" x14ac:dyDescent="0.25">
      <c r="A3139" s="11">
        <v>46099</v>
      </c>
      <c r="B3139" t="s">
        <v>43</v>
      </c>
      <c r="C3139" t="s">
        <v>32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>E3139+G3139+H3139</f>
        <v>31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9</v>
      </c>
      <c r="L3139" s="3" t="str">
        <f>IF(K3139&lt;-5,"CRÍTICO",IF(K3139&lt;0,"ATENÇÃO",IF(K3139&lt;=5,"OPORTUNO","MUITO BOM")))</f>
        <v>MUITO BOM</v>
      </c>
      <c r="M3139">
        <v>33</v>
      </c>
      <c r="N3139">
        <v>98.86</v>
      </c>
      <c r="O3139">
        <v>28.959276018099551</v>
      </c>
    </row>
    <row r="3140" spans="1:15" hidden="1" x14ac:dyDescent="0.25">
      <c r="A3140" s="11">
        <v>46099</v>
      </c>
      <c r="B3140" t="s">
        <v>44</v>
      </c>
      <c r="C3140" t="s">
        <v>32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>E3140+G3140+H3140</f>
        <v>3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22</v>
      </c>
      <c r="K3140" s="3">
        <f>I3140-J3140</f>
        <v>-19</v>
      </c>
      <c r="L3140" s="3" t="str">
        <f>IF(K3140&lt;-5,"CRÍTICO",IF(K3140&lt;0,"ATENÇÃO",IF(K3140&lt;=5,"OPORTUNO","MUITO BOM")))</f>
        <v>CRÍTICO</v>
      </c>
      <c r="M3140">
        <v>3</v>
      </c>
      <c r="N3140">
        <v>98.06</v>
      </c>
      <c r="O3140">
        <v>22.40566037735849</v>
      </c>
    </row>
    <row r="3141" spans="1:15" hidden="1" x14ac:dyDescent="0.25">
      <c r="A3141" s="11">
        <v>46099</v>
      </c>
      <c r="B3141" t="s">
        <v>20</v>
      </c>
      <c r="C3141" t="s">
        <v>16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>E3141+G3141+H3141</f>
        <v>6</v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>6</v>
      </c>
      <c r="K3141" s="3">
        <f>I3141-J3141</f>
        <v>0</v>
      </c>
      <c r="L3141" s="3" t="str">
        <f>IF(K3141&lt;-5,"CRÍTICO",IF(K3141&lt;0,"ATENÇÃO",IF(K3141&lt;=5,"OPORTUNO","MUITO BOM")))</f>
        <v>OPORTUNO</v>
      </c>
      <c r="M3141">
        <v>3</v>
      </c>
      <c r="N3141">
        <v>95.83</v>
      </c>
      <c r="O3141">
        <v>25.773195876288661</v>
      </c>
    </row>
    <row r="3142" spans="1:15" hidden="1" x14ac:dyDescent="0.25">
      <c r="A3142" s="11">
        <v>46099</v>
      </c>
      <c r="B3142" t="s">
        <v>28</v>
      </c>
      <c r="C3142" t="s">
        <v>26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v>0</v>
      </c>
      <c r="J3142" s="3">
        <v>0</v>
      </c>
      <c r="K3142" s="3">
        <v>0</v>
      </c>
      <c r="L3142" s="3" t="str">
        <f>IF(K3142&lt;-5,"CRÍTICO",IF(K3142&lt;0,"ATENÇÃO",IF(K3142&lt;=5,"OPORTUNO","MUITO BOM")))</f>
        <v>OPORTUNO</v>
      </c>
      <c r="M3142">
        <v>0</v>
      </c>
      <c r="N3142">
        <v>100</v>
      </c>
      <c r="O3142">
        <v>15.38461538461539</v>
      </c>
    </row>
    <row r="3143" spans="1:15" hidden="1" x14ac:dyDescent="0.25">
      <c r="A3143" s="11">
        <v>46099</v>
      </c>
      <c r="B3143" t="s">
        <v>58</v>
      </c>
      <c r="C3143" t="s">
        <v>48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17</v>
      </c>
      <c r="K3143" s="3">
        <f>I3143-J3143</f>
        <v>-5</v>
      </c>
      <c r="L3143" s="3" t="str">
        <f>IF(K3143&lt;-5,"CRÍTICO",IF(K3143&lt;0,"ATENÇÃO",IF(K3143&lt;=5,"OPORTUNO","MUITO BOM")))</f>
        <v>ATENÇÃO</v>
      </c>
      <c r="M3143">
        <v>10</v>
      </c>
      <c r="N3143">
        <v>100</v>
      </c>
      <c r="O3143">
        <v>27.514792899408281</v>
      </c>
    </row>
    <row r="3144" spans="1:15" hidden="1" x14ac:dyDescent="0.25">
      <c r="A3144" s="11">
        <v>46099</v>
      </c>
      <c r="B3144" t="s">
        <v>29</v>
      </c>
      <c r="C3144" t="s">
        <v>26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>E3144+G3144+H3144</f>
        <v>12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0</v>
      </c>
      <c r="L3144" s="3" t="str">
        <f>IF(K3144&lt;-5,"CRÍTICO",IF(K3144&lt;0,"ATENÇÃO",IF(K3144&lt;=5,"OPORTUNO","MUITO BOM")))</f>
        <v>OPORTUNO</v>
      </c>
      <c r="M3144">
        <v>9</v>
      </c>
      <c r="N3144">
        <v>100</v>
      </c>
      <c r="O3144">
        <v>24.875621890547269</v>
      </c>
    </row>
    <row r="3145" spans="1:15" hidden="1" x14ac:dyDescent="0.25">
      <c r="A3145" s="11">
        <v>46099</v>
      </c>
      <c r="B3145" t="s">
        <v>30</v>
      </c>
      <c r="C3145" t="s">
        <v>26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12</v>
      </c>
      <c r="K3145" s="3">
        <f>I3145-J3145</f>
        <v>-1</v>
      </c>
      <c r="L3145" s="3" t="str">
        <f>IF(K3145&lt;-5,"CRÍTICO",IF(K3145&lt;0,"ATENÇÃO",IF(K3145&lt;=5,"OPORTUNO","MUITO BOM")))</f>
        <v>ATENÇÃO</v>
      </c>
      <c r="M3145">
        <v>10</v>
      </c>
      <c r="N3145">
        <v>100</v>
      </c>
      <c r="O3145">
        <v>28.108108108108109</v>
      </c>
    </row>
    <row r="3146" spans="1:15" hidden="1" x14ac:dyDescent="0.25">
      <c r="A3146" s="11">
        <v>46099</v>
      </c>
      <c r="B3146" t="s">
        <v>21</v>
      </c>
      <c r="C3146" t="s">
        <v>16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v>0</v>
      </c>
      <c r="J3146" s="3">
        <v>0</v>
      </c>
      <c r="K3146" s="3">
        <v>0</v>
      </c>
      <c r="L3146" s="3" t="str">
        <f>IF(K3146&lt;-5,"CRÍTICO",IF(K3146&lt;0,"ATENÇÃO",IF(K3146&lt;=5,"OPORTUNO","MUITO BOM")))</f>
        <v>OPORTUNO</v>
      </c>
      <c r="M3146">
        <v>0</v>
      </c>
      <c r="N3146">
        <v>100</v>
      </c>
      <c r="O3146">
        <v>35</v>
      </c>
    </row>
    <row r="3147" spans="1:15" hidden="1" x14ac:dyDescent="0.25">
      <c r="A3147" s="11">
        <v>46099</v>
      </c>
      <c r="B3147" t="s">
        <v>63</v>
      </c>
      <c r="C3147" t="s">
        <v>23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>E3147+G3147+H3147</f>
        <v>18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14</v>
      </c>
      <c r="K3147" s="3">
        <f>I3147-J3147</f>
        <v>4</v>
      </c>
      <c r="L3147" s="3" t="str">
        <f>IF(K3147&lt;-5,"CRÍTICO",IF(K3147&lt;0,"ATENÇÃO",IF(K3147&lt;=5,"OPORTUNO","MUITO BOM")))</f>
        <v>OPORTUNO</v>
      </c>
      <c r="M3147">
        <v>13</v>
      </c>
      <c r="N3147">
        <v>95.35</v>
      </c>
      <c r="O3147">
        <v>28.61538461538461</v>
      </c>
    </row>
    <row r="3148" spans="1:15" hidden="1" x14ac:dyDescent="0.25">
      <c r="A3148" s="11">
        <v>46099</v>
      </c>
      <c r="B3148" t="s">
        <v>45</v>
      </c>
      <c r="C3148" t="s">
        <v>32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>E3148+G3148+H3148</f>
        <v>34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22</v>
      </c>
      <c r="K3148" s="3">
        <f>I3148-J3148</f>
        <v>12</v>
      </c>
      <c r="L3148" s="3" t="str">
        <f>IF(K3148&lt;-5,"CRÍTICO",IF(K3148&lt;0,"ATENÇÃO",IF(K3148&lt;=5,"OPORTUNO","MUITO BOM")))</f>
        <v>MUITO BOM</v>
      </c>
      <c r="M3148">
        <v>32</v>
      </c>
      <c r="N3148">
        <v>98.26</v>
      </c>
      <c r="O3148">
        <v>27.54491017964072</v>
      </c>
    </row>
    <row r="3149" spans="1:15" hidden="1" x14ac:dyDescent="0.25">
      <c r="A3149" s="11">
        <v>46099</v>
      </c>
      <c r="B3149" t="s">
        <v>64</v>
      </c>
      <c r="C3149" t="s">
        <v>23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>E3149+G3149+H3149</f>
        <v>12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14</v>
      </c>
      <c r="K3149" s="3">
        <f>I3149-J3149</f>
        <v>-2</v>
      </c>
      <c r="L3149" s="3" t="str">
        <f>IF(K3149&lt;-5,"CRÍTICO",IF(K3149&lt;0,"ATENÇÃO",IF(K3149&lt;=5,"OPORTUNO","MUITO BOM")))</f>
        <v>ATENÇÃO</v>
      </c>
      <c r="M3149">
        <v>10</v>
      </c>
      <c r="N3149">
        <v>98.55</v>
      </c>
      <c r="O3149">
        <v>25.337837837837839</v>
      </c>
    </row>
    <row r="3150" spans="1:15" hidden="1" x14ac:dyDescent="0.25">
      <c r="A3150" s="11">
        <v>46099</v>
      </c>
      <c r="B3150" t="s">
        <v>46</v>
      </c>
      <c r="C3150" t="s">
        <v>32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>E3150+G3150+H3150</f>
        <v>27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22</v>
      </c>
      <c r="K3150" s="3">
        <f>I3150-J3150</f>
        <v>5</v>
      </c>
      <c r="L3150" s="3" t="str">
        <f>IF(K3150&lt;-5,"CRÍTICO",IF(K3150&lt;0,"ATENÇÃO",IF(K3150&lt;=5,"OPORTUNO","MUITO BOM")))</f>
        <v>OPORTUNO</v>
      </c>
      <c r="M3150">
        <v>22</v>
      </c>
      <c r="N3150">
        <v>98.39</v>
      </c>
      <c r="O3150">
        <v>25.563909774436091</v>
      </c>
    </row>
    <row r="3151" spans="1:15" hidden="1" x14ac:dyDescent="0.25">
      <c r="A3151" s="11">
        <v>46100</v>
      </c>
      <c r="B3151" t="s">
        <v>47</v>
      </c>
      <c r="C3151" t="s">
        <v>48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>E3151+G3151+H3151</f>
        <v>20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18</v>
      </c>
      <c r="K3151" s="3">
        <f>I3151-J3151</f>
        <v>2</v>
      </c>
      <c r="L3151" s="3" t="str">
        <f>IF(K3151&lt;-5,"CRÍTICO",IF(K3151&lt;0,"ATENÇÃO",IF(K3151&lt;=5,"OPORTUNO","MUITO BOM")))</f>
        <v>OPORTUNO</v>
      </c>
      <c r="M3151">
        <v>12</v>
      </c>
      <c r="N3151">
        <v>94.29</v>
      </c>
      <c r="O3151">
        <v>25.647668393782389</v>
      </c>
    </row>
    <row r="3152" spans="1:15" hidden="1" x14ac:dyDescent="0.25">
      <c r="A3152" s="11">
        <v>46100</v>
      </c>
      <c r="B3152" t="s">
        <v>31</v>
      </c>
      <c r="C3152" t="s">
        <v>32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v>0</v>
      </c>
      <c r="J3152" s="3">
        <v>0</v>
      </c>
      <c r="K3152" s="3">
        <v>0</v>
      </c>
      <c r="L3152" s="3" t="str">
        <f>IF(K3152&lt;-5,"CRÍTICO",IF(K3152&lt;0,"ATENÇÃO",IF(K3152&lt;=5,"OPORTUNO","MUITO BOM")))</f>
        <v>OPORTUNO</v>
      </c>
      <c r="M3152">
        <v>10</v>
      </c>
      <c r="N3152">
        <v>98.26</v>
      </c>
      <c r="O3152">
        <v>26.666666666666671</v>
      </c>
    </row>
    <row r="3153" spans="1:15" hidden="1" x14ac:dyDescent="0.25">
      <c r="A3153" s="11">
        <v>46100</v>
      </c>
      <c r="B3153" t="s">
        <v>59</v>
      </c>
      <c r="C3153" t="s">
        <v>23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>E3153+G3153+H3153</f>
        <v>40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14</v>
      </c>
      <c r="K3153" s="3">
        <f>I3153-J3153</f>
        <v>26</v>
      </c>
      <c r="L3153" s="3" t="str">
        <f>IF(K3153&lt;-5,"CRÍTICO",IF(K3153&lt;0,"ATENÇÃO",IF(K3153&lt;=5,"OPORTUNO","MUITO BOM")))</f>
        <v>MUITO BOM</v>
      </c>
      <c r="M3153">
        <v>39</v>
      </c>
      <c r="N3153">
        <v>98.2</v>
      </c>
      <c r="O3153">
        <v>23.37962962962963</v>
      </c>
    </row>
    <row r="3154" spans="1:15" hidden="1" x14ac:dyDescent="0.25">
      <c r="A3154" s="11">
        <v>46100</v>
      </c>
      <c r="B3154" t="s">
        <v>33</v>
      </c>
      <c r="C3154" t="s">
        <v>32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>E3154+G3154+H3154</f>
        <v>8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22</v>
      </c>
      <c r="K3154" s="3">
        <f>I3154-J3154</f>
        <v>-14</v>
      </c>
      <c r="L3154" s="3" t="str">
        <f>IF(K3154&lt;-5,"CRÍTICO",IF(K3154&lt;0,"ATENÇÃO",IF(K3154&lt;=5,"OPORTUNO","MUITO BOM")))</f>
        <v>CRÍTICO</v>
      </c>
      <c r="M3154">
        <v>9</v>
      </c>
      <c r="N3154">
        <v>97.3</v>
      </c>
      <c r="O3154">
        <v>23.84769539078156</v>
      </c>
    </row>
    <row r="3155" spans="1:15" hidden="1" x14ac:dyDescent="0.25">
      <c r="A3155" s="11">
        <v>46100</v>
      </c>
      <c r="B3155" t="s">
        <v>15</v>
      </c>
      <c r="C3155" t="s">
        <v>16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>E3155+G3155+H3155</f>
        <v>15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>I3155-J3155</f>
        <v>9</v>
      </c>
      <c r="L3155" s="3" t="str">
        <f>IF(K3155&lt;-5,"CRÍTICO",IF(K3155&lt;0,"ATENÇÃO",IF(K3155&lt;=5,"OPORTUNO","MUITO BOM")))</f>
        <v>MUITO BOM</v>
      </c>
      <c r="M3155">
        <v>11</v>
      </c>
      <c r="N3155">
        <v>100</v>
      </c>
      <c r="O3155">
        <v>25.268817204301079</v>
      </c>
    </row>
    <row r="3156" spans="1:15" hidden="1" x14ac:dyDescent="0.25">
      <c r="A3156" s="11">
        <v>46100</v>
      </c>
      <c r="B3156" t="s">
        <v>49</v>
      </c>
      <c r="C3156" t="s">
        <v>48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>E3156+G3156+H3156</f>
        <v>22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4</v>
      </c>
      <c r="L3156" s="3" t="str">
        <f>IF(K3156&lt;-5,"CRÍTICO",IF(K3156&lt;0,"ATENÇÃO",IF(K3156&lt;=5,"OPORTUNO","MUITO BOM")))</f>
        <v>OPORTUNO</v>
      </c>
      <c r="M3156">
        <v>22</v>
      </c>
      <c r="N3156">
        <v>99.32</v>
      </c>
      <c r="O3156">
        <v>22.822822822822818</v>
      </c>
    </row>
    <row r="3157" spans="1:15" hidden="1" x14ac:dyDescent="0.25">
      <c r="A3157" s="11">
        <v>46100</v>
      </c>
      <c r="B3157" t="s">
        <v>50</v>
      </c>
      <c r="C3157" t="s">
        <v>48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>E3157+G3157+H3157</f>
        <v>24</v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>18</v>
      </c>
      <c r="K3157" s="3">
        <f>I3157-J3157</f>
        <v>6</v>
      </c>
      <c r="L3157" s="3" t="str">
        <f>IF(K3157&lt;-5,"CRÍTICO",IF(K3157&lt;0,"ATENÇÃO",IF(K3157&lt;=5,"OPORTUNO","MUITO BOM")))</f>
        <v>MUITO BOM</v>
      </c>
      <c r="M3157">
        <v>24</v>
      </c>
      <c r="N3157">
        <v>100</v>
      </c>
      <c r="O3157">
        <v>27.966101694915249</v>
      </c>
    </row>
    <row r="3158" spans="1:15" hidden="1" x14ac:dyDescent="0.25">
      <c r="A3158" s="11">
        <v>46100</v>
      </c>
      <c r="B3158" t="s">
        <v>17</v>
      </c>
      <c r="C3158" t="s">
        <v>16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v>0</v>
      </c>
      <c r="J3158" s="3">
        <v>0</v>
      </c>
      <c r="K3158" s="3">
        <v>0</v>
      </c>
      <c r="L3158" s="3" t="str">
        <f>IF(K3158&lt;-5,"CRÍTICO",IF(K3158&lt;0,"ATENÇÃO",IF(K3158&lt;=5,"OPORTUNO","MUITO BOM")))</f>
        <v>OPORTUNO</v>
      </c>
      <c r="M3158">
        <v>0</v>
      </c>
      <c r="N3158">
        <v>100</v>
      </c>
      <c r="O3158">
        <v>30.434782608695659</v>
      </c>
    </row>
    <row r="3159" spans="1:15" hidden="1" x14ac:dyDescent="0.25">
      <c r="A3159" s="11">
        <v>46100</v>
      </c>
      <c r="B3159" t="s">
        <v>60</v>
      </c>
      <c r="C3159" t="s">
        <v>23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>E3159+G3159+H3159</f>
        <v>28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14</v>
      </c>
      <c r="L3159" s="3" t="str">
        <f>IF(K3159&lt;-5,"CRÍTICO",IF(K3159&lt;0,"ATENÇÃO",IF(K3159&lt;=5,"OPORTUNO","MUITO BOM")))</f>
        <v>MUITO BOM</v>
      </c>
      <c r="M3159">
        <v>26</v>
      </c>
      <c r="N3159">
        <v>96.51</v>
      </c>
      <c r="O3159">
        <v>22.802850356294542</v>
      </c>
    </row>
    <row r="3160" spans="1:15" hidden="1" x14ac:dyDescent="0.25">
      <c r="A3160" s="11">
        <v>46100</v>
      </c>
      <c r="B3160" t="s">
        <v>34</v>
      </c>
      <c r="C3160" t="s">
        <v>32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>
        <v>10</v>
      </c>
      <c r="N3160">
        <v>92.68</v>
      </c>
      <c r="O3160">
        <v>27.777777777777779</v>
      </c>
    </row>
    <row r="3161" spans="1:15" hidden="1" x14ac:dyDescent="0.25">
      <c r="A3161" s="11">
        <v>46100</v>
      </c>
      <c r="B3161" t="s">
        <v>51</v>
      </c>
      <c r="C3161" t="s">
        <v>48</v>
      </c>
      <c r="D3161">
        <v>20</v>
      </c>
      <c r="E3161">
        <v>19</v>
      </c>
      <c r="F3161">
        <v>21.43</v>
      </c>
      <c r="G3161">
        <v>0</v>
      </c>
      <c r="H3161">
        <v>0</v>
      </c>
      <c r="I3161" s="3">
        <v>0</v>
      </c>
      <c r="J3161" s="3">
        <v>0</v>
      </c>
      <c r="K3161" s="3">
        <v>0</v>
      </c>
      <c r="L3161" s="3" t="str">
        <f>IF(K3161&lt;-5,"CRÍTICO",IF(K3161&lt;0,"ATENÇÃO",IF(K3161&lt;=5,"OPORTUNO","MUITO BOM")))</f>
        <v>OPORTUNO</v>
      </c>
      <c r="M3161">
        <v>17</v>
      </c>
      <c r="N3161">
        <v>99.03</v>
      </c>
      <c r="O3161">
        <v>23.991507430997881</v>
      </c>
    </row>
    <row r="3162" spans="1:15" hidden="1" x14ac:dyDescent="0.25">
      <c r="A3162" s="11">
        <v>46100</v>
      </c>
      <c r="B3162" t="s">
        <v>61</v>
      </c>
      <c r="C3162" t="s">
        <v>23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>E3162+G3162+H3162</f>
        <v>21</v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>14</v>
      </c>
      <c r="K3162" s="3">
        <f>I3162-J3162</f>
        <v>7</v>
      </c>
      <c r="L3162" s="3" t="str">
        <f>IF(K3162&lt;-5,"CRÍTICO",IF(K3162&lt;0,"ATENÇÃO",IF(K3162&lt;=5,"OPORTUNO","MUITO BOM")))</f>
        <v>MUITO BOM</v>
      </c>
      <c r="M3162">
        <v>9</v>
      </c>
      <c r="N3162">
        <v>98.41</v>
      </c>
      <c r="O3162">
        <v>28.138528138528141</v>
      </c>
    </row>
    <row r="3163" spans="1:15" hidden="1" x14ac:dyDescent="0.25">
      <c r="A3163" s="11">
        <v>46100</v>
      </c>
      <c r="B3163" t="s">
        <v>35</v>
      </c>
      <c r="C3163" t="s">
        <v>32</v>
      </c>
      <c r="D3163">
        <v>22</v>
      </c>
      <c r="E3163">
        <v>21</v>
      </c>
      <c r="F3163">
        <v>30.31</v>
      </c>
      <c r="G3163">
        <v>0</v>
      </c>
      <c r="H3163">
        <v>0</v>
      </c>
      <c r="I3163" s="3">
        <v>0</v>
      </c>
      <c r="J3163" s="3">
        <v>0</v>
      </c>
      <c r="K3163" s="3">
        <v>0</v>
      </c>
      <c r="L3163" s="3" t="str">
        <f>IF(K3163&lt;-5,"CRÍTICO",IF(K3163&lt;0,"ATENÇÃO",IF(K3163&lt;=5,"OPORTUNO","MUITO BOM")))</f>
        <v>OPORTUNO</v>
      </c>
      <c r="M3163">
        <v>22</v>
      </c>
      <c r="N3163">
        <v>98.73</v>
      </c>
      <c r="O3163">
        <v>29.142857142857139</v>
      </c>
    </row>
    <row r="3164" spans="1:15" hidden="1" x14ac:dyDescent="0.25">
      <c r="A3164" s="11">
        <v>46100</v>
      </c>
      <c r="B3164" t="s">
        <v>18</v>
      </c>
      <c r="C3164" t="s">
        <v>16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>E3164+G3164+H3164</f>
        <v>8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6</v>
      </c>
      <c r="K3164" s="3">
        <f>I3164-J3164</f>
        <v>2</v>
      </c>
      <c r="L3164" s="3" t="str">
        <f>IF(K3164&lt;-5,"CRÍTICO",IF(K3164&lt;0,"ATENÇÃO",IF(K3164&lt;=5,"OPORTUNO","MUITO BOM")))</f>
        <v>OPORTUNO</v>
      </c>
      <c r="M3164">
        <v>6</v>
      </c>
      <c r="N3164">
        <v>90.48</v>
      </c>
      <c r="O3164">
        <v>20.68965517241379</v>
      </c>
    </row>
    <row r="3165" spans="1:15" hidden="1" x14ac:dyDescent="0.25">
      <c r="A3165" s="11">
        <v>46100</v>
      </c>
      <c r="B3165" t="s">
        <v>52</v>
      </c>
      <c r="C3165" t="s">
        <v>48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>E3165+G3165+H3165</f>
        <v>19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18</v>
      </c>
      <c r="K3165" s="3">
        <f>I3165-J3165</f>
        <v>1</v>
      </c>
      <c r="L3165" s="3" t="str">
        <f>IF(K3165&lt;-5,"CRÍTICO",IF(K3165&lt;0,"ATENÇÃO",IF(K3165&lt;=5,"OPORTUNO","MUITO BOM")))</f>
        <v>OPORTUNO</v>
      </c>
      <c r="M3165">
        <v>16</v>
      </c>
      <c r="N3165">
        <v>98.06</v>
      </c>
      <c r="O3165">
        <v>24.789915966386559</v>
      </c>
    </row>
    <row r="3166" spans="1:15" hidden="1" x14ac:dyDescent="0.25">
      <c r="A3166" s="11">
        <v>46100</v>
      </c>
      <c r="B3166" t="s">
        <v>36</v>
      </c>
      <c r="C3166" t="s">
        <v>32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>E3166+G3166+H3166</f>
        <v>27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22</v>
      </c>
      <c r="K3166" s="3">
        <f>I3166-J3166</f>
        <v>5</v>
      </c>
      <c r="L3166" s="3" t="str">
        <f>IF(K3166&lt;-5,"CRÍTICO",IF(K3166&lt;0,"ATENÇÃO",IF(K3166&lt;=5,"OPORTUNO","MUITO BOM")))</f>
        <v>OPORTUNO</v>
      </c>
      <c r="M3166">
        <v>23</v>
      </c>
      <c r="N3166">
        <v>97.78</v>
      </c>
      <c r="O3166">
        <v>25.494071146245059</v>
      </c>
    </row>
    <row r="3167" spans="1:15" hidden="1" x14ac:dyDescent="0.25">
      <c r="A3167" s="11">
        <v>46100</v>
      </c>
      <c r="B3167" t="s">
        <v>53</v>
      </c>
      <c r="C3167" t="s">
        <v>48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>E3167+G3167+H3167</f>
        <v>15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18</v>
      </c>
      <c r="K3167" s="3">
        <f>I3167-J3167</f>
        <v>-3</v>
      </c>
      <c r="L3167" s="3" t="str">
        <f>IF(K3167&lt;-5,"CRÍTICO",IF(K3167&lt;0,"ATENÇÃO",IF(K3167&lt;=5,"OPORTUNO","MUITO BOM")))</f>
        <v>ATENÇÃO</v>
      </c>
      <c r="M3167">
        <v>10</v>
      </c>
      <c r="N3167">
        <v>98.02</v>
      </c>
      <c r="O3167">
        <v>23.484848484848481</v>
      </c>
    </row>
    <row r="3168" spans="1:15" hidden="1" x14ac:dyDescent="0.25">
      <c r="A3168" s="11">
        <v>46135</v>
      </c>
      <c r="B3168" t="s">
        <v>22</v>
      </c>
      <c r="C3168" t="s">
        <v>23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>E3168+G3168+H3168</f>
        <v>21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16</v>
      </c>
      <c r="K3168" s="3">
        <f>I3168-J3168</f>
        <v>5</v>
      </c>
      <c r="L3168" s="3" t="str">
        <f>IF(K3168&lt;-5,"CRÍTICO",IF(K3168&lt;0,"ATENÇÃO",IF(K3168&lt;=5,"OPORTUNO","MUITO BOM")))</f>
        <v>OPORTUNO</v>
      </c>
      <c r="M3168">
        <v>18</v>
      </c>
      <c r="N3168">
        <v>99.28</v>
      </c>
      <c r="O3168">
        <v>27.689243027888441</v>
      </c>
    </row>
    <row r="3169" spans="1:15" hidden="1" x14ac:dyDescent="0.25">
      <c r="A3169" s="11">
        <v>46100</v>
      </c>
      <c r="B3169" t="s">
        <v>54</v>
      </c>
      <c r="C3169" t="s">
        <v>48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>E3169+G3169+H3169</f>
        <v>22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18</v>
      </c>
      <c r="K3169" s="3">
        <f>I3169-J3169</f>
        <v>4</v>
      </c>
      <c r="L3169" s="3" t="str">
        <f>IF(K3169&lt;-5,"CRÍTICO",IF(K3169&lt;0,"ATENÇÃO",IF(K3169&lt;=5,"OPORTUNO","MUITO BOM")))</f>
        <v>OPORTUNO</v>
      </c>
      <c r="M3169">
        <v>18</v>
      </c>
      <c r="N3169">
        <v>100</v>
      </c>
      <c r="O3169">
        <v>27.04918032786885</v>
      </c>
    </row>
    <row r="3170" spans="1:15" hidden="1" x14ac:dyDescent="0.25">
      <c r="A3170" s="11">
        <v>46100</v>
      </c>
      <c r="B3170" t="s">
        <v>37</v>
      </c>
      <c r="C3170" t="s">
        <v>32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>E3170+G3170+H3170</f>
        <v>41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19</v>
      </c>
      <c r="L3170" s="3" t="str">
        <f>IF(K3170&lt;-5,"CRÍTICO",IF(K3170&lt;0,"ATENÇÃO",IF(K3170&lt;=5,"OPORTUNO","MUITO BOM")))</f>
        <v>MUITO BOM</v>
      </c>
      <c r="M3170">
        <v>33</v>
      </c>
      <c r="N3170">
        <v>97.83</v>
      </c>
      <c r="O3170">
        <v>26.315789473684209</v>
      </c>
    </row>
    <row r="3171" spans="1:15" hidden="1" x14ac:dyDescent="0.25">
      <c r="A3171" s="11">
        <v>46100</v>
      </c>
      <c r="B3171" t="s">
        <v>38</v>
      </c>
      <c r="C3171" t="s">
        <v>32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>E3171+G3171+H3171</f>
        <v>1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22</v>
      </c>
      <c r="K3171" s="3">
        <f>I3171-J3171</f>
        <v>-21</v>
      </c>
      <c r="L3171" s="3" t="str">
        <f>IF(K3171&lt;-5,"CRÍTICO",IF(K3171&lt;0,"ATENÇÃO",IF(K3171&lt;=5,"OPORTUNO","MUITO BOM")))</f>
        <v>CRÍTICO</v>
      </c>
      <c r="M3171">
        <v>8</v>
      </c>
      <c r="N3171">
        <v>100</v>
      </c>
      <c r="O3171">
        <v>26.701570680628269</v>
      </c>
    </row>
    <row r="3172" spans="1:15" hidden="1" x14ac:dyDescent="0.25">
      <c r="A3172" s="11">
        <v>46100</v>
      </c>
      <c r="B3172" t="s">
        <v>55</v>
      </c>
      <c r="C3172" t="s">
        <v>48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>E3172+G3172+H3172</f>
        <v>2</v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>18</v>
      </c>
      <c r="K3172" s="3">
        <f>I3172-J3172</f>
        <v>-16</v>
      </c>
      <c r="L3172" s="3" t="str">
        <f>IF(K3172&lt;-5,"CRÍTICO",IF(K3172&lt;0,"ATENÇÃO",IF(K3172&lt;=5,"OPORTUNO","MUITO BOM")))</f>
        <v>CRÍTICO</v>
      </c>
      <c r="M3172">
        <v>1</v>
      </c>
      <c r="N3172">
        <v>97.47</v>
      </c>
      <c r="O3172">
        <v>22.887323943661968</v>
      </c>
    </row>
    <row r="3173" spans="1:15" hidden="1" x14ac:dyDescent="0.25">
      <c r="A3173" s="11">
        <v>46100</v>
      </c>
      <c r="B3173" t="s">
        <v>39</v>
      </c>
      <c r="C3173" t="s">
        <v>32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v>0</v>
      </c>
      <c r="J3173" s="3">
        <v>0</v>
      </c>
      <c r="K3173" s="3">
        <v>0</v>
      </c>
      <c r="L3173" s="3" t="str">
        <f>IF(K3173&lt;-5,"CRÍTICO",IF(K3173&lt;0,"ATENÇÃO",IF(K3173&lt;=5,"OPORTUNO","MUITO BOM")))</f>
        <v>OPORTUNO</v>
      </c>
      <c r="M3173">
        <v>0</v>
      </c>
      <c r="N3173">
        <v>0</v>
      </c>
      <c r="O3173">
        <v>0</v>
      </c>
    </row>
    <row r="3174" spans="1:15" hidden="1" x14ac:dyDescent="0.25">
      <c r="A3174" s="11">
        <v>46100</v>
      </c>
      <c r="B3174" t="s">
        <v>25</v>
      </c>
      <c r="C3174" t="s">
        <v>26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>E3174+G3174+H3174</f>
        <v>19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13</v>
      </c>
      <c r="K3174" s="3">
        <f>I3174-J3174</f>
        <v>6</v>
      </c>
      <c r="L3174" s="3" t="str">
        <f>IF(K3174&lt;-5,"CRÍTICO",IF(K3174&lt;0,"ATENÇÃO",IF(K3174&lt;=5,"OPORTUNO","MUITO BOM")))</f>
        <v>MUITO BOM</v>
      </c>
      <c r="M3174">
        <v>18</v>
      </c>
      <c r="N3174">
        <v>98.31</v>
      </c>
      <c r="O3174">
        <v>24.920127795527151</v>
      </c>
    </row>
    <row r="3175" spans="1:15" hidden="1" x14ac:dyDescent="0.25">
      <c r="A3175" s="11">
        <v>46100</v>
      </c>
      <c r="B3175" t="s">
        <v>40</v>
      </c>
      <c r="C3175" t="s">
        <v>32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22</v>
      </c>
      <c r="K3175" s="3">
        <f>I3175-J3175</f>
        <v>-4</v>
      </c>
      <c r="L3175" s="3" t="str">
        <f>IF(K3175&lt;-5,"CRÍTICO",IF(K3175&lt;0,"ATENÇÃO",IF(K3175&lt;=5,"OPORTUNO","MUITO BOM")))</f>
        <v>ATENÇÃO</v>
      </c>
      <c r="M3175">
        <v>18</v>
      </c>
      <c r="N3175">
        <v>96.81</v>
      </c>
      <c r="O3175">
        <v>32.365145228215773</v>
      </c>
    </row>
    <row r="3176" spans="1:15" hidden="1" x14ac:dyDescent="0.25">
      <c r="A3176" s="11">
        <v>46100</v>
      </c>
      <c r="B3176" t="s">
        <v>27</v>
      </c>
      <c r="C3176" t="s">
        <v>26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>E3176+G3176+H3176</f>
        <v>13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13</v>
      </c>
      <c r="K3176" s="3">
        <f>I3176-J3176</f>
        <v>0</v>
      </c>
      <c r="L3176" s="3" t="str">
        <f>IF(K3176&lt;-5,"CRÍTICO",IF(K3176&lt;0,"ATENÇÃO",IF(K3176&lt;=5,"OPORTUNO","MUITO BOM")))</f>
        <v>OPORTUNO</v>
      </c>
      <c r="M3176">
        <v>8</v>
      </c>
      <c r="N3176">
        <v>100</v>
      </c>
      <c r="O3176">
        <v>26.47058823529412</v>
      </c>
    </row>
    <row r="3177" spans="1:15" hidden="1" x14ac:dyDescent="0.25">
      <c r="A3177" s="11">
        <v>46100</v>
      </c>
      <c r="B3177" t="s">
        <v>41</v>
      </c>
      <c r="C3177" t="s">
        <v>32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>E3177+G3177+H3177</f>
        <v>14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22</v>
      </c>
      <c r="K3177" s="3">
        <f>I3177-J3177</f>
        <v>-8</v>
      </c>
      <c r="L3177" s="3" t="str">
        <f>IF(K3177&lt;-5,"CRÍTICO",IF(K3177&lt;0,"ATENÇÃO",IF(K3177&lt;=5,"OPORTUNO","MUITO BOM")))</f>
        <v>CRÍTICO</v>
      </c>
      <c r="M3177">
        <v>13</v>
      </c>
      <c r="N3177">
        <v>100</v>
      </c>
      <c r="O3177">
        <v>28.490028490028489</v>
      </c>
    </row>
    <row r="3178" spans="1:15" hidden="1" x14ac:dyDescent="0.25">
      <c r="A3178" s="11">
        <v>46100</v>
      </c>
      <c r="B3178" t="s">
        <v>56</v>
      </c>
      <c r="C3178" t="s">
        <v>48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>E3178+G3178+H3178</f>
        <v>18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18</v>
      </c>
      <c r="K3178" s="3">
        <f>I3178-J3178</f>
        <v>0</v>
      </c>
      <c r="L3178" s="3" t="str">
        <f>IF(K3178&lt;-5,"CRÍTICO",IF(K3178&lt;0,"ATENÇÃO",IF(K3178&lt;=5,"OPORTUNO","MUITO BOM")))</f>
        <v>OPORTUNO</v>
      </c>
      <c r="M3178">
        <v>10</v>
      </c>
      <c r="N3178">
        <v>99.14</v>
      </c>
      <c r="O3178">
        <v>27.2289156626506</v>
      </c>
    </row>
    <row r="3179" spans="1:15" hidden="1" x14ac:dyDescent="0.25">
      <c r="A3179" s="11">
        <v>46100</v>
      </c>
      <c r="B3179" t="s">
        <v>57</v>
      </c>
      <c r="C3179" t="s">
        <v>48</v>
      </c>
      <c r="D3179">
        <v>25</v>
      </c>
      <c r="E3179">
        <v>24</v>
      </c>
      <c r="F3179">
        <v>25.3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>
        <v>20</v>
      </c>
      <c r="N3179">
        <v>97.52</v>
      </c>
      <c r="O3179">
        <v>28.205128205128201</v>
      </c>
    </row>
    <row r="3180" spans="1:15" hidden="1" x14ac:dyDescent="0.25">
      <c r="A3180" s="11">
        <v>46100</v>
      </c>
      <c r="B3180" t="s">
        <v>42</v>
      </c>
      <c r="C3180" t="s">
        <v>32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v>0</v>
      </c>
      <c r="J3180" s="3">
        <v>0</v>
      </c>
      <c r="K3180" s="3">
        <v>0</v>
      </c>
      <c r="L3180" s="3" t="str">
        <f>IF(K3180&lt;-5,"CRÍTICO",IF(K3180&lt;0,"ATENÇÃO",IF(K3180&lt;=5,"OPORTUNO","MUITO BOM")))</f>
        <v>OPORTUNO</v>
      </c>
      <c r="M3180">
        <v>0</v>
      </c>
      <c r="N3180">
        <v>90</v>
      </c>
      <c r="O3180">
        <v>24.186046511627911</v>
      </c>
    </row>
    <row r="3181" spans="1:15" hidden="1" x14ac:dyDescent="0.25">
      <c r="A3181" s="11">
        <v>46100</v>
      </c>
      <c r="B3181" t="s">
        <v>62</v>
      </c>
      <c r="C3181" t="s">
        <v>23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>E3181+G3181+H3181</f>
        <v>17</v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>14</v>
      </c>
      <c r="K3181" s="3">
        <f>I3181-J3181</f>
        <v>3</v>
      </c>
      <c r="L3181" s="3" t="str">
        <f>IF(K3181&lt;-5,"CRÍTICO",IF(K3181&lt;0,"ATENÇÃO",IF(K3181&lt;=5,"OPORTUNO","MUITO BOM")))</f>
        <v>OPORTUNO</v>
      </c>
      <c r="M3181">
        <v>12</v>
      </c>
      <c r="N3181">
        <v>98.9</v>
      </c>
      <c r="O3181">
        <v>26.763990267639901</v>
      </c>
    </row>
    <row r="3182" spans="1:15" hidden="1" x14ac:dyDescent="0.25">
      <c r="A3182" s="11">
        <v>46100</v>
      </c>
      <c r="B3182" t="s">
        <v>19</v>
      </c>
      <c r="C3182" t="s">
        <v>16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v>0</v>
      </c>
      <c r="J3182" s="3">
        <v>0</v>
      </c>
      <c r="K3182" s="3">
        <v>0</v>
      </c>
      <c r="L3182" s="3" t="str">
        <f>IF(K3182&lt;-5,"CRÍTICO",IF(K3182&lt;0,"ATENÇÃO",IF(K3182&lt;=5,"OPORTUNO","MUITO BOM")))</f>
        <v>OPORTUNO</v>
      </c>
      <c r="M3182">
        <v>0</v>
      </c>
      <c r="N3182">
        <v>88.89</v>
      </c>
      <c r="O3182">
        <v>25.263157894736839</v>
      </c>
    </row>
    <row r="3183" spans="1:15" hidden="1" x14ac:dyDescent="0.25">
      <c r="A3183" s="11">
        <v>46100</v>
      </c>
      <c r="B3183" t="s">
        <v>43</v>
      </c>
      <c r="C3183" t="s">
        <v>32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>E3183+G3183+H3183</f>
        <v>30</v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>22</v>
      </c>
      <c r="K3183" s="3">
        <f>I3183-J3183</f>
        <v>8</v>
      </c>
      <c r="L3183" s="3" t="str">
        <f>IF(K3183&lt;-5,"CRÍTICO",IF(K3183&lt;0,"ATENÇÃO",IF(K3183&lt;=5,"OPORTUNO","MUITO BOM")))</f>
        <v>MUITO BOM</v>
      </c>
      <c r="M3183">
        <v>28</v>
      </c>
      <c r="N3183">
        <v>98.86</v>
      </c>
      <c r="O3183">
        <v>28.959276018099551</v>
      </c>
    </row>
    <row r="3184" spans="1:15" hidden="1" x14ac:dyDescent="0.25">
      <c r="A3184" s="11">
        <v>46100</v>
      </c>
      <c r="B3184" t="s">
        <v>44</v>
      </c>
      <c r="C3184" t="s">
        <v>32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v>0</v>
      </c>
      <c r="J3184" s="3">
        <v>0</v>
      </c>
      <c r="K3184" s="3">
        <v>0</v>
      </c>
      <c r="L3184" s="3" t="str">
        <f>IF(K3184&lt;-5,"CRÍTICO",IF(K3184&lt;0,"ATENÇÃO",IF(K3184&lt;=5,"OPORTUNO","MUITO BOM")))</f>
        <v>OPORTUNO</v>
      </c>
      <c r="M3184">
        <v>0</v>
      </c>
      <c r="N3184">
        <v>98.06</v>
      </c>
      <c r="O3184">
        <v>22.40566037735849</v>
      </c>
    </row>
    <row r="3185" spans="1:15" hidden="1" x14ac:dyDescent="0.25">
      <c r="A3185" s="11">
        <v>46100</v>
      </c>
      <c r="B3185" t="s">
        <v>20</v>
      </c>
      <c r="C3185" t="s">
        <v>16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>E3185+G3185+H3185</f>
        <v>6</v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6</v>
      </c>
      <c r="K3185" s="3">
        <f>I3185-J3185</f>
        <v>0</v>
      </c>
      <c r="L3185" s="3" t="str">
        <f>IF(K3185&lt;-5,"CRÍTICO",IF(K3185&lt;0,"ATENÇÃO",IF(K3185&lt;=5,"OPORTUNO","MUITO BOM")))</f>
        <v>OPORTUNO</v>
      </c>
      <c r="M3185">
        <v>4</v>
      </c>
      <c r="N3185">
        <v>95.83</v>
      </c>
      <c r="O3185">
        <v>25.773195876288661</v>
      </c>
    </row>
    <row r="3186" spans="1:15" hidden="1" x14ac:dyDescent="0.25">
      <c r="A3186" s="11">
        <v>46100</v>
      </c>
      <c r="B3186" t="s">
        <v>28</v>
      </c>
      <c r="C3186" t="s">
        <v>26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>
        <v>0</v>
      </c>
      <c r="N3186">
        <v>100</v>
      </c>
      <c r="O3186">
        <v>15.38461538461539</v>
      </c>
    </row>
    <row r="3187" spans="1:15" hidden="1" x14ac:dyDescent="0.25">
      <c r="A3187" s="11">
        <v>46100</v>
      </c>
      <c r="B3187" t="s">
        <v>58</v>
      </c>
      <c r="C3187" t="s">
        <v>48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v>0</v>
      </c>
      <c r="J3187" s="3">
        <v>0</v>
      </c>
      <c r="K3187" s="3">
        <v>0</v>
      </c>
      <c r="L3187" s="3" t="str">
        <f>IF(K3187&lt;-5,"CRÍTICO",IF(K3187&lt;0,"ATENÇÃO",IF(K3187&lt;=5,"OPORTUNO","MUITO BOM")))</f>
        <v>OPORTUNO</v>
      </c>
      <c r="M3187">
        <v>0</v>
      </c>
      <c r="N3187">
        <v>100</v>
      </c>
      <c r="O3187">
        <v>27.514792899408281</v>
      </c>
    </row>
    <row r="3188" spans="1:15" hidden="1" x14ac:dyDescent="0.25">
      <c r="A3188" s="11">
        <v>46100</v>
      </c>
      <c r="B3188" t="s">
        <v>29</v>
      </c>
      <c r="C3188" t="s">
        <v>26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>E3188+G3188+H3188</f>
        <v>12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-1</v>
      </c>
      <c r="L3188" s="3" t="str">
        <f>IF(K3188&lt;-5,"CRÍTICO",IF(K3188&lt;0,"ATENÇÃO",IF(K3188&lt;=5,"OPORTUNO","MUITO BOM")))</f>
        <v>ATENÇÃO</v>
      </c>
      <c r="M3188">
        <v>9</v>
      </c>
      <c r="N3188">
        <v>100</v>
      </c>
      <c r="O3188">
        <v>24.875621890547269</v>
      </c>
    </row>
    <row r="3189" spans="1:15" hidden="1" x14ac:dyDescent="0.25">
      <c r="A3189" s="11">
        <v>46100</v>
      </c>
      <c r="B3189" t="s">
        <v>30</v>
      </c>
      <c r="C3189" t="s">
        <v>26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>E3189+G3189+H3189</f>
        <v>8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13</v>
      </c>
      <c r="K3189" s="3">
        <f>I3189-J3189</f>
        <v>-5</v>
      </c>
      <c r="L3189" s="3" t="str">
        <f>IF(K3189&lt;-5,"CRÍTICO",IF(K3189&lt;0,"ATENÇÃO",IF(K3189&lt;=5,"OPORTUNO","MUITO BOM")))</f>
        <v>ATENÇÃO</v>
      </c>
      <c r="M3189">
        <v>7</v>
      </c>
      <c r="N3189">
        <v>100</v>
      </c>
      <c r="O3189">
        <v>28.108108108108109</v>
      </c>
    </row>
    <row r="3190" spans="1:15" hidden="1" x14ac:dyDescent="0.25">
      <c r="A3190" s="11">
        <v>46100</v>
      </c>
      <c r="B3190" t="s">
        <v>21</v>
      </c>
      <c r="C3190" t="s">
        <v>16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v>0</v>
      </c>
      <c r="J3190" s="3">
        <v>0</v>
      </c>
      <c r="K3190" s="3">
        <v>0</v>
      </c>
      <c r="L3190" s="3" t="str">
        <f>IF(K3190&lt;-5,"CRÍTICO",IF(K3190&lt;0,"ATENÇÃO",IF(K3190&lt;=5,"OPORTUNO","MUITO BOM")))</f>
        <v>OPORTUNO</v>
      </c>
      <c r="M3190">
        <v>0</v>
      </c>
      <c r="N3190">
        <v>100</v>
      </c>
      <c r="O3190">
        <v>35</v>
      </c>
    </row>
    <row r="3191" spans="1:15" hidden="1" x14ac:dyDescent="0.25">
      <c r="A3191" s="11">
        <v>46100</v>
      </c>
      <c r="B3191" t="s">
        <v>63</v>
      </c>
      <c r="C3191" t="s">
        <v>23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>E3191+G3191+H3191</f>
        <v>25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14</v>
      </c>
      <c r="K3191" s="3">
        <f>I3191-J3191</f>
        <v>11</v>
      </c>
      <c r="L3191" s="3" t="str">
        <f>IF(K3191&lt;-5,"CRÍTICO",IF(K3191&lt;0,"ATENÇÃO",IF(K3191&lt;=5,"OPORTUNO","MUITO BOM")))</f>
        <v>MUITO BOM</v>
      </c>
      <c r="M3191">
        <v>21</v>
      </c>
      <c r="N3191">
        <v>95.35</v>
      </c>
      <c r="O3191">
        <v>28.61538461538461</v>
      </c>
    </row>
    <row r="3192" spans="1:15" hidden="1" x14ac:dyDescent="0.25">
      <c r="A3192" s="11">
        <v>46100</v>
      </c>
      <c r="B3192" t="s">
        <v>45</v>
      </c>
      <c r="C3192" t="s">
        <v>32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>E3192+G3192+H3192</f>
        <v>38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22</v>
      </c>
      <c r="K3192" s="3">
        <f>I3192-J3192</f>
        <v>16</v>
      </c>
      <c r="L3192" s="3" t="str">
        <f>IF(K3192&lt;-5,"CRÍTICO",IF(K3192&lt;0,"ATENÇÃO",IF(K3192&lt;=5,"OPORTUNO","MUITO BOM")))</f>
        <v>MUITO BOM</v>
      </c>
      <c r="M3192">
        <v>33</v>
      </c>
      <c r="N3192">
        <v>98.26</v>
      </c>
      <c r="O3192">
        <v>27.54491017964072</v>
      </c>
    </row>
    <row r="3193" spans="1:15" hidden="1" x14ac:dyDescent="0.25">
      <c r="A3193" s="11">
        <v>46100</v>
      </c>
      <c r="B3193" t="s">
        <v>64</v>
      </c>
      <c r="C3193" t="s">
        <v>23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>E3193+G3193+H3193</f>
        <v>17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14</v>
      </c>
      <c r="K3193" s="3">
        <f>I3193-J3193</f>
        <v>3</v>
      </c>
      <c r="L3193" s="3" t="str">
        <f>IF(K3193&lt;-5,"CRÍTICO",IF(K3193&lt;0,"ATENÇÃO",IF(K3193&lt;=5,"OPORTUNO","MUITO BOM")))</f>
        <v>OPORTUNO</v>
      </c>
      <c r="M3193">
        <v>18</v>
      </c>
      <c r="N3193">
        <v>98.55</v>
      </c>
      <c r="O3193">
        <v>25.337837837837839</v>
      </c>
    </row>
    <row r="3194" spans="1:15" hidden="1" x14ac:dyDescent="0.25">
      <c r="A3194" s="11">
        <v>46100</v>
      </c>
      <c r="B3194" t="s">
        <v>46</v>
      </c>
      <c r="C3194" t="s">
        <v>32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>E3194+G3194+H3194</f>
        <v>27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22</v>
      </c>
      <c r="K3194" s="3">
        <f>I3194-J3194</f>
        <v>5</v>
      </c>
      <c r="L3194" s="3" t="str">
        <f>IF(K3194&lt;-5,"CRÍTICO",IF(K3194&lt;0,"ATENÇÃO",IF(K3194&lt;=5,"OPORTUNO","MUITO BOM")))</f>
        <v>OPORTUNO</v>
      </c>
      <c r="M3194">
        <v>20</v>
      </c>
      <c r="N3194">
        <v>98.39</v>
      </c>
      <c r="O3194">
        <v>25.563909774436091</v>
      </c>
    </row>
    <row r="3195" spans="1:15" hidden="1" x14ac:dyDescent="0.25">
      <c r="A3195" s="11">
        <v>46101</v>
      </c>
      <c r="B3195" t="s">
        <v>47</v>
      </c>
      <c r="C3195" t="s">
        <v>48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>E3195+G3195+H3195</f>
        <v>12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17</v>
      </c>
      <c r="K3195" s="3">
        <f>I3195-J3195</f>
        <v>-5</v>
      </c>
      <c r="L3195" s="3" t="str">
        <f>IF(K3195&lt;-5,"CRÍTICO",IF(K3195&lt;0,"ATENÇÃO",IF(K3195&lt;=5,"OPORTUNO","MUITO BOM")))</f>
        <v>ATENÇÃO</v>
      </c>
      <c r="M3195">
        <v>14</v>
      </c>
      <c r="N3195">
        <v>94.29</v>
      </c>
      <c r="O3195">
        <v>25.647668393782389</v>
      </c>
    </row>
    <row r="3196" spans="1:15" hidden="1" x14ac:dyDescent="0.25">
      <c r="A3196" s="11">
        <v>46101</v>
      </c>
      <c r="B3196" t="s">
        <v>31</v>
      </c>
      <c r="C3196" t="s">
        <v>32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v>0</v>
      </c>
      <c r="J3196" s="3">
        <v>0</v>
      </c>
      <c r="K3196" s="3">
        <v>0</v>
      </c>
      <c r="L3196" s="3" t="str">
        <f>IF(K3196&lt;-5,"CRÍTICO",IF(K3196&lt;0,"ATENÇÃO",IF(K3196&lt;=5,"OPORTUNO","MUITO BOM")))</f>
        <v>OPORTUNO</v>
      </c>
      <c r="M3196">
        <v>7</v>
      </c>
      <c r="N3196">
        <v>98.26</v>
      </c>
      <c r="O3196">
        <v>26.666666666666671</v>
      </c>
    </row>
    <row r="3197" spans="1:15" hidden="1" x14ac:dyDescent="0.25">
      <c r="A3197" s="11">
        <v>46101</v>
      </c>
      <c r="B3197" t="s">
        <v>59</v>
      </c>
      <c r="C3197" t="s">
        <v>23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>E3197+G3197+H3197</f>
        <v>18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14</v>
      </c>
      <c r="K3197" s="3">
        <f>I3197-J3197</f>
        <v>4</v>
      </c>
      <c r="L3197" s="3" t="str">
        <f>IF(K3197&lt;-5,"CRÍTICO",IF(K3197&lt;0,"ATENÇÃO",IF(K3197&lt;=5,"OPORTUNO","MUITO BOM")))</f>
        <v>OPORTUNO</v>
      </c>
      <c r="M3197">
        <v>14</v>
      </c>
      <c r="N3197">
        <v>98.2</v>
      </c>
      <c r="O3197">
        <v>23.37962962962963</v>
      </c>
    </row>
    <row r="3198" spans="1:15" hidden="1" x14ac:dyDescent="0.25">
      <c r="A3198" s="11">
        <v>46101</v>
      </c>
      <c r="B3198" t="s">
        <v>33</v>
      </c>
      <c r="C3198" t="s">
        <v>32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>E3198+G3198+H3198</f>
        <v>21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22</v>
      </c>
      <c r="K3198" s="3">
        <f>I3198-J3198</f>
        <v>-1</v>
      </c>
      <c r="L3198" s="3" t="str">
        <f>IF(K3198&lt;-5,"CRÍTICO",IF(K3198&lt;0,"ATENÇÃO",IF(K3198&lt;=5,"OPORTUNO","MUITO BOM")))</f>
        <v>ATENÇÃO</v>
      </c>
      <c r="M3198">
        <v>17</v>
      </c>
      <c r="N3198">
        <v>97.3</v>
      </c>
      <c r="O3198">
        <v>23.84769539078156</v>
      </c>
    </row>
    <row r="3199" spans="1:15" hidden="1" x14ac:dyDescent="0.25">
      <c r="A3199" s="11">
        <v>46101</v>
      </c>
      <c r="B3199" t="s">
        <v>15</v>
      </c>
      <c r="C3199" t="s">
        <v>16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>E3199+G3199+H3199</f>
        <v>10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6</v>
      </c>
      <c r="K3199" s="3">
        <f>I3199-J3199</f>
        <v>4</v>
      </c>
      <c r="L3199" s="3" t="str">
        <f>IF(K3199&lt;-5,"CRÍTICO",IF(K3199&lt;0,"ATENÇÃO",IF(K3199&lt;=5,"OPORTUNO","MUITO BOM")))</f>
        <v>OPORTUNO</v>
      </c>
      <c r="M3199">
        <v>9</v>
      </c>
      <c r="N3199">
        <v>100</v>
      </c>
      <c r="O3199">
        <v>25.268817204301079</v>
      </c>
    </row>
    <row r="3200" spans="1:15" hidden="1" x14ac:dyDescent="0.25">
      <c r="A3200" s="11">
        <v>46101</v>
      </c>
      <c r="B3200" t="s">
        <v>49</v>
      </c>
      <c r="C3200" t="s">
        <v>48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>E3200+G3200+H3200</f>
        <v>12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-5</v>
      </c>
      <c r="L3200" s="3" t="str">
        <f>IF(K3200&lt;-5,"CRÍTICO",IF(K3200&lt;0,"ATENÇÃO",IF(K3200&lt;=5,"OPORTUNO","MUITO BOM")))</f>
        <v>ATENÇÃO</v>
      </c>
      <c r="M3200">
        <v>12</v>
      </c>
      <c r="N3200">
        <v>99.32</v>
      </c>
      <c r="O3200">
        <v>22.822822822822818</v>
      </c>
    </row>
    <row r="3201" spans="1:15" hidden="1" x14ac:dyDescent="0.25">
      <c r="A3201" s="11">
        <v>46101</v>
      </c>
      <c r="B3201" t="s">
        <v>50</v>
      </c>
      <c r="C3201" t="s">
        <v>48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>E3201+G3201+H3201</f>
        <v>24</v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>17</v>
      </c>
      <c r="K3201" s="3">
        <f>I3201-J3201</f>
        <v>7</v>
      </c>
      <c r="L3201" s="3" t="str">
        <f>IF(K3201&lt;-5,"CRÍTICO",IF(K3201&lt;0,"ATENÇÃO",IF(K3201&lt;=5,"OPORTUNO","MUITO BOM")))</f>
        <v>MUITO BOM</v>
      </c>
      <c r="M3201">
        <v>23</v>
      </c>
      <c r="N3201">
        <v>100</v>
      </c>
      <c r="O3201">
        <v>27.966101694915249</v>
      </c>
    </row>
    <row r="3202" spans="1:15" hidden="1" x14ac:dyDescent="0.25">
      <c r="A3202" s="11">
        <v>46101</v>
      </c>
      <c r="B3202" t="s">
        <v>17</v>
      </c>
      <c r="C3202" t="s">
        <v>16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v>0</v>
      </c>
      <c r="J3202" s="3">
        <v>0</v>
      </c>
      <c r="K3202" s="3">
        <v>0</v>
      </c>
      <c r="L3202" s="3" t="str">
        <f>IF(K3202&lt;-5,"CRÍTICO",IF(K3202&lt;0,"ATENÇÃO",IF(K3202&lt;=5,"OPORTUNO","MUITO BOM")))</f>
        <v>OPORTUNO</v>
      </c>
      <c r="M3202">
        <v>0</v>
      </c>
      <c r="N3202">
        <v>100</v>
      </c>
      <c r="O3202">
        <v>30.434782608695659</v>
      </c>
    </row>
    <row r="3203" spans="1:15" hidden="1" x14ac:dyDescent="0.25">
      <c r="A3203" s="11">
        <v>46101</v>
      </c>
      <c r="B3203" t="s">
        <v>60</v>
      </c>
      <c r="C3203" t="s">
        <v>23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>E3203+G3203+H3203</f>
        <v>23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14</v>
      </c>
      <c r="K3203" s="3">
        <f>I3203-J3203</f>
        <v>9</v>
      </c>
      <c r="L3203" s="3" t="str">
        <f>IF(K3203&lt;-5,"CRÍTICO",IF(K3203&lt;0,"ATENÇÃO",IF(K3203&lt;=5,"OPORTUNO","MUITO BOM")))</f>
        <v>MUITO BOM</v>
      </c>
      <c r="M3203">
        <v>20</v>
      </c>
      <c r="N3203">
        <v>96.51</v>
      </c>
      <c r="O3203">
        <v>22.802850356294542</v>
      </c>
    </row>
    <row r="3204" spans="1:15" hidden="1" x14ac:dyDescent="0.25">
      <c r="A3204" s="11">
        <v>46101</v>
      </c>
      <c r="B3204" t="s">
        <v>34</v>
      </c>
      <c r="C3204" t="s">
        <v>32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>
        <v>0</v>
      </c>
      <c r="N3204">
        <v>92.68</v>
      </c>
      <c r="O3204">
        <v>27.777777777777779</v>
      </c>
    </row>
    <row r="3205" spans="1:15" hidden="1" x14ac:dyDescent="0.25">
      <c r="A3205" s="11">
        <v>46101</v>
      </c>
      <c r="B3205" t="s">
        <v>51</v>
      </c>
      <c r="C3205" t="s">
        <v>48</v>
      </c>
      <c r="D3205">
        <v>30</v>
      </c>
      <c r="E3205">
        <v>27</v>
      </c>
      <c r="F3205">
        <v>22.12</v>
      </c>
      <c r="G3205">
        <v>0</v>
      </c>
      <c r="H3205">
        <v>0</v>
      </c>
      <c r="I3205" s="3">
        <v>0</v>
      </c>
      <c r="J3205" s="3">
        <v>0</v>
      </c>
      <c r="K3205" s="3">
        <v>0</v>
      </c>
      <c r="L3205" s="3" t="str">
        <f>IF(K3205&lt;-5,"CRÍTICO",IF(K3205&lt;0,"ATENÇÃO",IF(K3205&lt;=5,"OPORTUNO","MUITO BOM")))</f>
        <v>OPORTUNO</v>
      </c>
      <c r="M3205">
        <v>24</v>
      </c>
      <c r="N3205">
        <v>99.03</v>
      </c>
      <c r="O3205">
        <v>23.991507430997881</v>
      </c>
    </row>
    <row r="3206" spans="1:15" hidden="1" x14ac:dyDescent="0.25">
      <c r="A3206" s="11">
        <v>46101</v>
      </c>
      <c r="B3206" t="s">
        <v>61</v>
      </c>
      <c r="C3206" t="s">
        <v>23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>E3206+G3206+H3206</f>
        <v>22</v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>14</v>
      </c>
      <c r="K3206" s="3">
        <f>I3206-J3206</f>
        <v>8</v>
      </c>
      <c r="L3206" s="3" t="str">
        <f>IF(K3206&lt;-5,"CRÍTICO",IF(K3206&lt;0,"ATENÇÃO",IF(K3206&lt;=5,"OPORTUNO","MUITO BOM")))</f>
        <v>MUITO BOM</v>
      </c>
      <c r="M3206">
        <v>12</v>
      </c>
      <c r="N3206">
        <v>98.41</v>
      </c>
      <c r="O3206">
        <v>28.138528138528141</v>
      </c>
    </row>
    <row r="3207" spans="1:15" hidden="1" x14ac:dyDescent="0.25">
      <c r="A3207" s="11">
        <v>46101</v>
      </c>
      <c r="B3207" t="s">
        <v>35</v>
      </c>
      <c r="C3207" t="s">
        <v>32</v>
      </c>
      <c r="D3207">
        <v>18</v>
      </c>
      <c r="E3207">
        <v>18</v>
      </c>
      <c r="F3207">
        <v>30.39</v>
      </c>
      <c r="G3207">
        <v>0</v>
      </c>
      <c r="H3207">
        <v>0</v>
      </c>
      <c r="I3207" s="3">
        <v>0</v>
      </c>
      <c r="J3207" s="3">
        <v>0</v>
      </c>
      <c r="K3207" s="3">
        <v>0</v>
      </c>
      <c r="L3207" s="3" t="str">
        <f>IF(K3207&lt;-5,"CRÍTICO",IF(K3207&lt;0,"ATENÇÃO",IF(K3207&lt;=5,"OPORTUNO","MUITO BOM")))</f>
        <v>OPORTUNO</v>
      </c>
      <c r="M3207">
        <v>22</v>
      </c>
      <c r="N3207">
        <v>98.73</v>
      </c>
      <c r="O3207">
        <v>29.142857142857139</v>
      </c>
    </row>
    <row r="3208" spans="1:15" hidden="1" x14ac:dyDescent="0.25">
      <c r="A3208" s="11">
        <v>46101</v>
      </c>
      <c r="B3208" t="s">
        <v>18</v>
      </c>
      <c r="C3208" t="s">
        <v>16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>E3208+G3208+H3208</f>
        <v>8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6</v>
      </c>
      <c r="K3208" s="3">
        <f>I3208-J3208</f>
        <v>2</v>
      </c>
      <c r="L3208" s="3" t="str">
        <f>IF(K3208&lt;-5,"CRÍTICO",IF(K3208&lt;0,"ATENÇÃO",IF(K3208&lt;=5,"OPORTUNO","MUITO BOM")))</f>
        <v>OPORTUNO</v>
      </c>
      <c r="M3208">
        <v>7</v>
      </c>
      <c r="N3208">
        <v>90.48</v>
      </c>
      <c r="O3208">
        <v>20.68965517241379</v>
      </c>
    </row>
    <row r="3209" spans="1:15" hidden="1" x14ac:dyDescent="0.25">
      <c r="A3209" s="11">
        <v>46101</v>
      </c>
      <c r="B3209" t="s">
        <v>52</v>
      </c>
      <c r="C3209" t="s">
        <v>48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>E3209+G3209+H3209</f>
        <v>15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17</v>
      </c>
      <c r="K3209" s="3">
        <f>I3209-J3209</f>
        <v>-2</v>
      </c>
      <c r="L3209" s="3" t="str">
        <f>IF(K3209&lt;-5,"CRÍTICO",IF(K3209&lt;0,"ATENÇÃO",IF(K3209&lt;=5,"OPORTUNO","MUITO BOM")))</f>
        <v>ATENÇÃO</v>
      </c>
      <c r="M3209">
        <v>11</v>
      </c>
      <c r="N3209">
        <v>98.06</v>
      </c>
      <c r="O3209">
        <v>24.789915966386559</v>
      </c>
    </row>
    <row r="3210" spans="1:15" hidden="1" x14ac:dyDescent="0.25">
      <c r="A3210" s="11">
        <v>46101</v>
      </c>
      <c r="B3210" t="s">
        <v>36</v>
      </c>
      <c r="C3210" t="s">
        <v>32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>E3210+G3210+H3210</f>
        <v>27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22</v>
      </c>
      <c r="K3210" s="3">
        <f>I3210-J3210</f>
        <v>5</v>
      </c>
      <c r="L3210" s="3" t="str">
        <f>IF(K3210&lt;-5,"CRÍTICO",IF(K3210&lt;0,"ATENÇÃO",IF(K3210&lt;=5,"OPORTUNO","MUITO BOM")))</f>
        <v>OPORTUNO</v>
      </c>
      <c r="M3210">
        <v>28</v>
      </c>
      <c r="N3210">
        <v>97.78</v>
      </c>
      <c r="O3210">
        <v>25.494071146245059</v>
      </c>
    </row>
    <row r="3211" spans="1:15" hidden="1" x14ac:dyDescent="0.25">
      <c r="A3211" s="11">
        <v>46101</v>
      </c>
      <c r="B3211" t="s">
        <v>53</v>
      </c>
      <c r="C3211" t="s">
        <v>48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>E3211+G3211+H3211</f>
        <v>10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17</v>
      </c>
      <c r="K3211" s="3">
        <f>I3211-J3211</f>
        <v>-7</v>
      </c>
      <c r="L3211" s="3" t="str">
        <f>IF(K3211&lt;-5,"CRÍTICO",IF(K3211&lt;0,"ATENÇÃO",IF(K3211&lt;=5,"OPORTUNO","MUITO BOM")))</f>
        <v>CRÍTICO</v>
      </c>
      <c r="M3211">
        <v>10</v>
      </c>
      <c r="N3211">
        <v>98.02</v>
      </c>
      <c r="O3211">
        <v>23.484848484848481</v>
      </c>
    </row>
    <row r="3212" spans="1:15" hidden="1" x14ac:dyDescent="0.25">
      <c r="A3212" s="11">
        <v>46136</v>
      </c>
      <c r="B3212" t="s">
        <v>22</v>
      </c>
      <c r="C3212" t="s">
        <v>23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>E3212+G3212+H3212</f>
        <v>15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15</v>
      </c>
      <c r="K3212" s="3">
        <f>I3212-J3212</f>
        <v>0</v>
      </c>
      <c r="L3212" s="3" t="str">
        <f>IF(K3212&lt;-5,"CRÍTICO",IF(K3212&lt;0,"ATENÇÃO",IF(K3212&lt;=5,"OPORTUNO","MUITO BOM")))</f>
        <v>OPORTUNO</v>
      </c>
      <c r="M3212">
        <v>21</v>
      </c>
      <c r="N3212">
        <v>99.28</v>
      </c>
      <c r="O3212">
        <v>27.689243027888441</v>
      </c>
    </row>
    <row r="3213" spans="1:15" hidden="1" x14ac:dyDescent="0.25">
      <c r="A3213" s="11">
        <v>46101</v>
      </c>
      <c r="B3213" t="s">
        <v>54</v>
      </c>
      <c r="C3213" t="s">
        <v>48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>E3213+G3213+H3213</f>
        <v>28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17</v>
      </c>
      <c r="K3213" s="3">
        <f>I3213-J3213</f>
        <v>11</v>
      </c>
      <c r="L3213" s="3" t="str">
        <f>IF(K3213&lt;-5,"CRÍTICO",IF(K3213&lt;0,"ATENÇÃO",IF(K3213&lt;=5,"OPORTUNO","MUITO BOM")))</f>
        <v>MUITO BOM</v>
      </c>
      <c r="M3213">
        <v>27</v>
      </c>
      <c r="N3213">
        <v>100</v>
      </c>
      <c r="O3213">
        <v>27.04918032786885</v>
      </c>
    </row>
    <row r="3214" spans="1:15" hidden="1" x14ac:dyDescent="0.25">
      <c r="A3214" s="11">
        <v>46101</v>
      </c>
      <c r="B3214" t="s">
        <v>37</v>
      </c>
      <c r="C3214" t="s">
        <v>32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>E3214+G3214+H3214</f>
        <v>38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16</v>
      </c>
      <c r="L3214" s="3" t="str">
        <f>IF(K3214&lt;-5,"CRÍTICO",IF(K3214&lt;0,"ATENÇÃO",IF(K3214&lt;=5,"OPORTUNO","MUITO BOM")))</f>
        <v>MUITO BOM</v>
      </c>
      <c r="M3214">
        <v>33</v>
      </c>
      <c r="N3214">
        <v>97.83</v>
      </c>
      <c r="O3214">
        <v>26.315789473684209</v>
      </c>
    </row>
    <row r="3215" spans="1:15" hidden="1" x14ac:dyDescent="0.25">
      <c r="A3215" s="11">
        <v>46101</v>
      </c>
      <c r="B3215" t="s">
        <v>38</v>
      </c>
      <c r="C3215" t="s">
        <v>32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>E3215+G3215+H3215</f>
        <v>3</v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>22</v>
      </c>
      <c r="K3215" s="3">
        <f>I3215-J3215</f>
        <v>-19</v>
      </c>
      <c r="L3215" s="3" t="str">
        <f>IF(K3215&lt;-5,"CRÍTICO",IF(K3215&lt;0,"ATENÇÃO",IF(K3215&lt;=5,"OPORTUNO","MUITO BOM")))</f>
        <v>CRÍTICO</v>
      </c>
      <c r="M3215">
        <v>9</v>
      </c>
      <c r="N3215">
        <v>100</v>
      </c>
      <c r="O3215">
        <v>26.701570680628269</v>
      </c>
    </row>
    <row r="3216" spans="1:15" hidden="1" x14ac:dyDescent="0.25">
      <c r="A3216" s="11">
        <v>46101</v>
      </c>
      <c r="B3216" t="s">
        <v>55</v>
      </c>
      <c r="C3216" t="s">
        <v>48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>
        <v>0</v>
      </c>
      <c r="N3216">
        <v>97.47</v>
      </c>
      <c r="O3216">
        <v>22.887323943661968</v>
      </c>
    </row>
    <row r="3217" spans="1:15" hidden="1" x14ac:dyDescent="0.25">
      <c r="A3217" s="11">
        <v>46101</v>
      </c>
      <c r="B3217" t="s">
        <v>39</v>
      </c>
      <c r="C3217" t="s">
        <v>32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v>0</v>
      </c>
      <c r="J3217" s="3">
        <v>0</v>
      </c>
      <c r="K3217" s="3">
        <v>0</v>
      </c>
      <c r="L3217" s="3" t="str">
        <f>IF(K3217&lt;-5,"CRÍTICO",IF(K3217&lt;0,"ATENÇÃO",IF(K3217&lt;=5,"OPORTUNO","MUITO BOM")))</f>
        <v>OPORTUNO</v>
      </c>
      <c r="M3217">
        <v>0</v>
      </c>
      <c r="N3217">
        <v>0</v>
      </c>
      <c r="O3217">
        <v>0</v>
      </c>
    </row>
    <row r="3218" spans="1:15" hidden="1" x14ac:dyDescent="0.25">
      <c r="A3218" s="11">
        <v>46101</v>
      </c>
      <c r="B3218" t="s">
        <v>25</v>
      </c>
      <c r="C3218" t="s">
        <v>26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>E3218+G3218+H3218</f>
        <v>22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12</v>
      </c>
      <c r="K3218" s="3">
        <f>I3218-J3218</f>
        <v>10</v>
      </c>
      <c r="L3218" s="3" t="str">
        <f>IF(K3218&lt;-5,"CRÍTICO",IF(K3218&lt;0,"ATENÇÃO",IF(K3218&lt;=5,"OPORTUNO","MUITO BOM")))</f>
        <v>MUITO BOM</v>
      </c>
      <c r="M3218">
        <v>23</v>
      </c>
      <c r="N3218">
        <v>98.31</v>
      </c>
      <c r="O3218">
        <v>24.920127795527151</v>
      </c>
    </row>
    <row r="3219" spans="1:15" hidden="1" x14ac:dyDescent="0.25">
      <c r="A3219" s="11">
        <v>46101</v>
      </c>
      <c r="B3219" t="s">
        <v>40</v>
      </c>
      <c r="C3219" t="s">
        <v>32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>E3219+G3219+H3219</f>
        <v>5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22</v>
      </c>
      <c r="K3219" s="3">
        <f>I3219-J3219</f>
        <v>-17</v>
      </c>
      <c r="L3219" s="3" t="str">
        <f>IF(K3219&lt;-5,"CRÍTICO",IF(K3219&lt;0,"ATENÇÃO",IF(K3219&lt;=5,"OPORTUNO","MUITO BOM")))</f>
        <v>CRÍTICO</v>
      </c>
      <c r="M3219">
        <v>5</v>
      </c>
      <c r="N3219">
        <v>96.81</v>
      </c>
      <c r="O3219">
        <v>32.365145228215773</v>
      </c>
    </row>
    <row r="3220" spans="1:15" hidden="1" x14ac:dyDescent="0.25">
      <c r="A3220" s="11">
        <v>46101</v>
      </c>
      <c r="B3220" t="s">
        <v>27</v>
      </c>
      <c r="C3220" t="s">
        <v>26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>E3220+G3220+H3220</f>
        <v>12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12</v>
      </c>
      <c r="K3220" s="3">
        <f>I3220-J3220</f>
        <v>0</v>
      </c>
      <c r="L3220" s="3" t="str">
        <f>IF(K3220&lt;-5,"CRÍTICO",IF(K3220&lt;0,"ATENÇÃO",IF(K3220&lt;=5,"OPORTUNO","MUITO BOM")))</f>
        <v>OPORTUNO</v>
      </c>
      <c r="M3220">
        <v>6</v>
      </c>
      <c r="N3220">
        <v>100</v>
      </c>
      <c r="O3220">
        <v>26.47058823529412</v>
      </c>
    </row>
    <row r="3221" spans="1:15" hidden="1" x14ac:dyDescent="0.25">
      <c r="A3221" s="11">
        <v>46101</v>
      </c>
      <c r="B3221" t="s">
        <v>41</v>
      </c>
      <c r="C3221" t="s">
        <v>32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>E3221+G3221+H3221</f>
        <v>19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22</v>
      </c>
      <c r="K3221" s="3">
        <f>I3221-J3221</f>
        <v>-3</v>
      </c>
      <c r="L3221" s="3" t="str">
        <f>IF(K3221&lt;-5,"CRÍTICO",IF(K3221&lt;0,"ATENÇÃO",IF(K3221&lt;=5,"OPORTUNO","MUITO BOM")))</f>
        <v>ATENÇÃO</v>
      </c>
      <c r="M3221">
        <v>22</v>
      </c>
      <c r="N3221">
        <v>100</v>
      </c>
      <c r="O3221">
        <v>28.490028490028489</v>
      </c>
    </row>
    <row r="3222" spans="1:15" hidden="1" x14ac:dyDescent="0.25">
      <c r="A3222" s="11">
        <v>46101</v>
      </c>
      <c r="B3222" t="s">
        <v>56</v>
      </c>
      <c r="C3222" t="s">
        <v>48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>E3222+G3222+H3222</f>
        <v>23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17</v>
      </c>
      <c r="K3222" s="3">
        <f>I3222-J3222</f>
        <v>6</v>
      </c>
      <c r="L3222" s="3" t="str">
        <f>IF(K3222&lt;-5,"CRÍTICO",IF(K3222&lt;0,"ATENÇÃO",IF(K3222&lt;=5,"OPORTUNO","MUITO BOM")))</f>
        <v>MUITO BOM</v>
      </c>
      <c r="M3222">
        <v>22</v>
      </c>
      <c r="N3222">
        <v>99.14</v>
      </c>
      <c r="O3222">
        <v>27.2289156626506</v>
      </c>
    </row>
    <row r="3223" spans="1:15" hidden="1" x14ac:dyDescent="0.25">
      <c r="A3223" s="11">
        <v>46101</v>
      </c>
      <c r="B3223" t="s">
        <v>57</v>
      </c>
      <c r="C3223" t="s">
        <v>48</v>
      </c>
      <c r="D3223">
        <v>32</v>
      </c>
      <c r="E3223">
        <v>29</v>
      </c>
      <c r="F3223">
        <v>15.52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>
        <v>26</v>
      </c>
      <c r="N3223">
        <v>97.52</v>
      </c>
      <c r="O3223">
        <v>28.205128205128201</v>
      </c>
    </row>
    <row r="3224" spans="1:15" hidden="1" x14ac:dyDescent="0.25">
      <c r="A3224" s="11">
        <v>46101</v>
      </c>
      <c r="B3224" t="s">
        <v>42</v>
      </c>
      <c r="C3224" t="s">
        <v>32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v>0</v>
      </c>
      <c r="J3224" s="3">
        <v>0</v>
      </c>
      <c r="K3224" s="3">
        <v>0</v>
      </c>
      <c r="L3224" s="3" t="str">
        <f>IF(K3224&lt;-5,"CRÍTICO",IF(K3224&lt;0,"ATENÇÃO",IF(K3224&lt;=5,"OPORTUNO","MUITO BOM")))</f>
        <v>OPORTUNO</v>
      </c>
      <c r="M3224">
        <v>0</v>
      </c>
      <c r="N3224">
        <v>90</v>
      </c>
      <c r="O3224">
        <v>24.186046511627911</v>
      </c>
    </row>
    <row r="3225" spans="1:15" hidden="1" x14ac:dyDescent="0.25">
      <c r="A3225" s="11">
        <v>46101</v>
      </c>
      <c r="B3225" t="s">
        <v>62</v>
      </c>
      <c r="C3225" t="s">
        <v>23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>E3225+G3225+H3225</f>
        <v>25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14</v>
      </c>
      <c r="K3225" s="3">
        <f>I3225-J3225</f>
        <v>11</v>
      </c>
      <c r="L3225" s="3" t="str">
        <f>IF(K3225&lt;-5,"CRÍTICO",IF(K3225&lt;0,"ATENÇÃO",IF(K3225&lt;=5,"OPORTUNO","MUITO BOM")))</f>
        <v>MUITO BOM</v>
      </c>
      <c r="M3225">
        <v>23</v>
      </c>
      <c r="N3225">
        <v>98.9</v>
      </c>
      <c r="O3225">
        <v>26.763990267639901</v>
      </c>
    </row>
    <row r="3226" spans="1:15" hidden="1" x14ac:dyDescent="0.25">
      <c r="A3226" s="11">
        <v>46101</v>
      </c>
      <c r="B3226" t="s">
        <v>19</v>
      </c>
      <c r="C3226" t="s">
        <v>16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>E3226+G3226+H3226</f>
        <v>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6</v>
      </c>
      <c r="K3226" s="3">
        <f>I3226-J3226</f>
        <v>1</v>
      </c>
      <c r="L3226" s="3" t="str">
        <f>IF(K3226&lt;-5,"CRÍTICO",IF(K3226&lt;0,"ATENÇÃO",IF(K3226&lt;=5,"OPORTUNO","MUITO BOM")))</f>
        <v>OPORTUNO</v>
      </c>
      <c r="M3226">
        <v>7</v>
      </c>
      <c r="N3226">
        <v>88.89</v>
      </c>
      <c r="O3226">
        <v>25.263157894736839</v>
      </c>
    </row>
    <row r="3227" spans="1:15" hidden="1" x14ac:dyDescent="0.25">
      <c r="A3227" s="11">
        <v>46101</v>
      </c>
      <c r="B3227" t="s">
        <v>43</v>
      </c>
      <c r="C3227" t="s">
        <v>32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>E3227+G3227+H3227</f>
        <v>40</v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>22</v>
      </c>
      <c r="K3227" s="3">
        <f>I3227-J3227</f>
        <v>18</v>
      </c>
      <c r="L3227" s="3" t="str">
        <f>IF(K3227&lt;-5,"CRÍTICO",IF(K3227&lt;0,"ATENÇÃO",IF(K3227&lt;=5,"OPORTUNO","MUITO BOM")))</f>
        <v>MUITO BOM</v>
      </c>
      <c r="M3227">
        <v>32</v>
      </c>
      <c r="N3227">
        <v>98.86</v>
      </c>
      <c r="O3227">
        <v>28.959276018099551</v>
      </c>
    </row>
    <row r="3228" spans="1:15" hidden="1" x14ac:dyDescent="0.25">
      <c r="A3228" s="11">
        <v>46101</v>
      </c>
      <c r="B3228" t="s">
        <v>44</v>
      </c>
      <c r="C3228" t="s">
        <v>32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v>0</v>
      </c>
      <c r="J3228" s="3">
        <v>0</v>
      </c>
      <c r="K3228" s="3">
        <v>0</v>
      </c>
      <c r="L3228" s="3" t="str">
        <f>IF(K3228&lt;-5,"CRÍTICO",IF(K3228&lt;0,"ATENÇÃO",IF(K3228&lt;=5,"OPORTUNO","MUITO BOM")))</f>
        <v>OPORTUNO</v>
      </c>
      <c r="M3228">
        <v>0</v>
      </c>
      <c r="N3228">
        <v>98.06</v>
      </c>
      <c r="O3228">
        <v>22.40566037735849</v>
      </c>
    </row>
    <row r="3229" spans="1:15" hidden="1" x14ac:dyDescent="0.25">
      <c r="A3229" s="11">
        <v>46101</v>
      </c>
      <c r="B3229" t="s">
        <v>20</v>
      </c>
      <c r="C3229" t="s">
        <v>16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>E3229+G3229+H3229</f>
        <v>4</v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>6</v>
      </c>
      <c r="K3229" s="3">
        <f>I3229-J3229</f>
        <v>-2</v>
      </c>
      <c r="L3229" s="3" t="str">
        <f>IF(K3229&lt;-5,"CRÍTICO",IF(K3229&lt;0,"ATENÇÃO",IF(K3229&lt;=5,"OPORTUNO","MUITO BOM")))</f>
        <v>ATENÇÃO</v>
      </c>
      <c r="M3229">
        <v>1</v>
      </c>
      <c r="N3229">
        <v>95.83</v>
      </c>
      <c r="O3229">
        <v>25.773195876288661</v>
      </c>
    </row>
    <row r="3230" spans="1:15" hidden="1" x14ac:dyDescent="0.25">
      <c r="A3230" s="11">
        <v>46101</v>
      </c>
      <c r="B3230" t="s">
        <v>28</v>
      </c>
      <c r="C3230" t="s">
        <v>26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v>0</v>
      </c>
      <c r="J3230" s="3">
        <v>0</v>
      </c>
      <c r="K3230" s="3">
        <v>0</v>
      </c>
      <c r="L3230" s="3" t="str">
        <f>IF(K3230&lt;-5,"CRÍTICO",IF(K3230&lt;0,"ATENÇÃO",IF(K3230&lt;=5,"OPORTUNO","MUITO BOM")))</f>
        <v>OPORTUNO</v>
      </c>
      <c r="M3230">
        <v>0</v>
      </c>
      <c r="N3230">
        <v>100</v>
      </c>
      <c r="O3230">
        <v>15.38461538461539</v>
      </c>
    </row>
    <row r="3231" spans="1:15" hidden="1" x14ac:dyDescent="0.25">
      <c r="A3231" s="11">
        <v>46101</v>
      </c>
      <c r="B3231" t="s">
        <v>58</v>
      </c>
      <c r="C3231" t="s">
        <v>48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>E3231+G3231+H3231</f>
        <v>34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17</v>
      </c>
      <c r="K3231" s="3">
        <f>I3231-J3231</f>
        <v>17</v>
      </c>
      <c r="L3231" s="3" t="str">
        <f>IF(K3231&lt;-5,"CRÍTICO",IF(K3231&lt;0,"ATENÇÃO",IF(K3231&lt;=5,"OPORTUNO","MUITO BOM")))</f>
        <v>MUITO BOM</v>
      </c>
      <c r="M3231">
        <v>27</v>
      </c>
      <c r="N3231">
        <v>100</v>
      </c>
      <c r="O3231">
        <v>27.514792899408281</v>
      </c>
    </row>
    <row r="3232" spans="1:15" hidden="1" x14ac:dyDescent="0.25">
      <c r="A3232" s="11">
        <v>46101</v>
      </c>
      <c r="B3232" t="s">
        <v>29</v>
      </c>
      <c r="C3232" t="s">
        <v>26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>E3232+G3232+H3232</f>
        <v>13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1</v>
      </c>
      <c r="L3232" s="3" t="str">
        <f>IF(K3232&lt;-5,"CRÍTICO",IF(K3232&lt;0,"ATENÇÃO",IF(K3232&lt;=5,"OPORTUNO","MUITO BOM")))</f>
        <v>OPORTUNO</v>
      </c>
      <c r="M3232">
        <v>12</v>
      </c>
      <c r="N3232">
        <v>100</v>
      </c>
      <c r="O3232">
        <v>24.875621890547269</v>
      </c>
    </row>
    <row r="3233" spans="1:15" hidden="1" x14ac:dyDescent="0.25">
      <c r="A3233" s="11">
        <v>46101</v>
      </c>
      <c r="B3233" t="s">
        <v>30</v>
      </c>
      <c r="C3233" t="s">
        <v>26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>E3233+G3233+H3233</f>
        <v>16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12</v>
      </c>
      <c r="K3233" s="3">
        <f>I3233-J3233</f>
        <v>4</v>
      </c>
      <c r="L3233" s="3" t="str">
        <f>IF(K3233&lt;-5,"CRÍTICO",IF(K3233&lt;0,"ATENÇÃO",IF(K3233&lt;=5,"OPORTUNO","MUITO BOM")))</f>
        <v>OPORTUNO</v>
      </c>
      <c r="M3233">
        <v>9</v>
      </c>
      <c r="N3233">
        <v>100</v>
      </c>
      <c r="O3233">
        <v>28.108108108108109</v>
      </c>
    </row>
    <row r="3234" spans="1:15" hidden="1" x14ac:dyDescent="0.25">
      <c r="A3234" s="11">
        <v>46101</v>
      </c>
      <c r="B3234" t="s">
        <v>21</v>
      </c>
      <c r="C3234" t="s">
        <v>16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v>0</v>
      </c>
      <c r="J3234" s="3">
        <v>0</v>
      </c>
      <c r="K3234" s="3">
        <v>0</v>
      </c>
      <c r="L3234" s="3" t="str">
        <f>IF(K3234&lt;-5,"CRÍTICO",IF(K3234&lt;0,"ATENÇÃO",IF(K3234&lt;=5,"OPORTUNO","MUITO BOM")))</f>
        <v>OPORTUNO</v>
      </c>
      <c r="M3234">
        <v>0</v>
      </c>
      <c r="N3234">
        <v>100</v>
      </c>
      <c r="O3234">
        <v>35</v>
      </c>
    </row>
    <row r="3235" spans="1:15" hidden="1" x14ac:dyDescent="0.25">
      <c r="A3235" s="11">
        <v>46101</v>
      </c>
      <c r="B3235" t="s">
        <v>63</v>
      </c>
      <c r="C3235" t="s">
        <v>23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>E3235+G3235+H3235</f>
        <v>20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14</v>
      </c>
      <c r="K3235" s="3">
        <f>I3235-J3235</f>
        <v>6</v>
      </c>
      <c r="L3235" s="3" t="str">
        <f>IF(K3235&lt;-5,"CRÍTICO",IF(K3235&lt;0,"ATENÇÃO",IF(K3235&lt;=5,"OPORTUNO","MUITO BOM")))</f>
        <v>MUITO BOM</v>
      </c>
      <c r="M3235">
        <v>12</v>
      </c>
      <c r="N3235">
        <v>95.35</v>
      </c>
      <c r="O3235">
        <v>28.61538461538461</v>
      </c>
    </row>
    <row r="3236" spans="1:15" hidden="1" x14ac:dyDescent="0.25">
      <c r="A3236" s="11">
        <v>46101</v>
      </c>
      <c r="B3236" t="s">
        <v>45</v>
      </c>
      <c r="C3236" t="s">
        <v>32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>E3236+G3236+H3236</f>
        <v>34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22</v>
      </c>
      <c r="K3236" s="3">
        <f>I3236-J3236</f>
        <v>12</v>
      </c>
      <c r="L3236" s="3" t="str">
        <f>IF(K3236&lt;-5,"CRÍTICO",IF(K3236&lt;0,"ATENÇÃO",IF(K3236&lt;=5,"OPORTUNO","MUITO BOM")))</f>
        <v>MUITO BOM</v>
      </c>
      <c r="M3236">
        <v>32</v>
      </c>
      <c r="N3236">
        <v>98.26</v>
      </c>
      <c r="O3236">
        <v>27.54491017964072</v>
      </c>
    </row>
    <row r="3237" spans="1:15" hidden="1" x14ac:dyDescent="0.25">
      <c r="A3237" s="11">
        <v>46101</v>
      </c>
      <c r="B3237" t="s">
        <v>64</v>
      </c>
      <c r="C3237" t="s">
        <v>23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>E3237+G3237+H3237</f>
        <v>18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14</v>
      </c>
      <c r="K3237" s="3">
        <f>I3237-J3237</f>
        <v>4</v>
      </c>
      <c r="L3237" s="3" t="str">
        <f>IF(K3237&lt;-5,"CRÍTICO",IF(K3237&lt;0,"ATENÇÃO",IF(K3237&lt;=5,"OPORTUNO","MUITO BOM")))</f>
        <v>OPORTUNO</v>
      </c>
      <c r="M3237">
        <v>16</v>
      </c>
      <c r="N3237">
        <v>98.55</v>
      </c>
      <c r="O3237">
        <v>25.337837837837839</v>
      </c>
    </row>
    <row r="3238" spans="1:15" hidden="1" x14ac:dyDescent="0.25">
      <c r="A3238" s="11">
        <v>46101</v>
      </c>
      <c r="B3238" t="s">
        <v>46</v>
      </c>
      <c r="C3238" t="s">
        <v>32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>E3238+G3238+H3238</f>
        <v>32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22</v>
      </c>
      <c r="K3238" s="3">
        <f>I3238-J3238</f>
        <v>10</v>
      </c>
      <c r="L3238" s="3" t="str">
        <f>IF(K3238&lt;-5,"CRÍTICO",IF(K3238&lt;0,"ATENÇÃO",IF(K3238&lt;=5,"OPORTUNO","MUITO BOM")))</f>
        <v>MUITO BOM</v>
      </c>
      <c r="M3238">
        <v>26</v>
      </c>
      <c r="N3238">
        <v>98.39</v>
      </c>
      <c r="O3238">
        <v>25.563909774436091</v>
      </c>
    </row>
    <row r="3239" spans="1:15" hidden="1" x14ac:dyDescent="0.25">
      <c r="A3239" s="11">
        <v>46104</v>
      </c>
      <c r="B3239" t="s">
        <v>47</v>
      </c>
      <c r="C3239" t="s">
        <v>48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>E3239+G3239+H3239</f>
        <v>25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18</v>
      </c>
      <c r="K3239" s="3">
        <f>I3239-J3239</f>
        <v>7</v>
      </c>
      <c r="L3239" s="3" t="str">
        <f>IF(K3239&lt;-5,"CRÍTICO",IF(K3239&lt;0,"ATENÇÃO",IF(K3239&lt;=5,"OPORTUNO","MUITO BOM")))</f>
        <v>MUITO BOM</v>
      </c>
      <c r="M3239">
        <v>17</v>
      </c>
      <c r="N3239">
        <v>94.29</v>
      </c>
      <c r="O3239">
        <v>25.647668393782389</v>
      </c>
    </row>
    <row r="3240" spans="1:15" hidden="1" x14ac:dyDescent="0.25">
      <c r="A3240" s="11">
        <v>46104</v>
      </c>
      <c r="B3240" t="s">
        <v>31</v>
      </c>
      <c r="C3240" t="s">
        <v>32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v>0</v>
      </c>
      <c r="J3240" s="3">
        <v>0</v>
      </c>
      <c r="K3240" s="3">
        <v>0</v>
      </c>
      <c r="L3240" s="3" t="str">
        <f>IF(K3240&lt;-5,"CRÍTICO",IF(K3240&lt;0,"ATENÇÃO",IF(K3240&lt;=5,"OPORTUNO","MUITO BOM")))</f>
        <v>OPORTUNO</v>
      </c>
      <c r="M3240">
        <v>20</v>
      </c>
      <c r="N3240">
        <v>98.26</v>
      </c>
      <c r="O3240">
        <v>26.666666666666671</v>
      </c>
    </row>
    <row r="3241" spans="1:15" hidden="1" x14ac:dyDescent="0.25">
      <c r="A3241" s="11">
        <v>46104</v>
      </c>
      <c r="B3241" t="s">
        <v>59</v>
      </c>
      <c r="C3241" t="s">
        <v>23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>E3241+G3241+H3241</f>
        <v>22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14</v>
      </c>
      <c r="K3241" s="3">
        <f>I3241-J3241</f>
        <v>8</v>
      </c>
      <c r="L3241" s="3" t="str">
        <f>IF(K3241&lt;-5,"CRÍTICO",IF(K3241&lt;0,"ATENÇÃO",IF(K3241&lt;=5,"OPORTUNO","MUITO BOM")))</f>
        <v>MUITO BOM</v>
      </c>
      <c r="M3241">
        <v>20</v>
      </c>
      <c r="N3241">
        <v>98.2</v>
      </c>
      <c r="O3241">
        <v>23.37962962962963</v>
      </c>
    </row>
    <row r="3242" spans="1:15" hidden="1" x14ac:dyDescent="0.25">
      <c r="A3242" s="11">
        <v>46104</v>
      </c>
      <c r="B3242" t="s">
        <v>33</v>
      </c>
      <c r="C3242" t="s">
        <v>32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>E3242+G3242+H3242</f>
        <v>18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22</v>
      </c>
      <c r="K3242" s="3">
        <f>I3242-J3242</f>
        <v>-4</v>
      </c>
      <c r="L3242" s="3" t="str">
        <f>IF(K3242&lt;-5,"CRÍTICO",IF(K3242&lt;0,"ATENÇÃO",IF(K3242&lt;=5,"OPORTUNO","MUITO BOM")))</f>
        <v>ATENÇÃO</v>
      </c>
      <c r="M3242">
        <v>19</v>
      </c>
      <c r="N3242">
        <v>97.3</v>
      </c>
      <c r="O3242">
        <v>23.84769539078156</v>
      </c>
    </row>
    <row r="3243" spans="1:15" hidden="1" x14ac:dyDescent="0.25">
      <c r="A3243" s="11">
        <v>46104</v>
      </c>
      <c r="B3243" t="s">
        <v>15</v>
      </c>
      <c r="C3243" t="s">
        <v>16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>E3243+G3243+H3243</f>
        <v>10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6</v>
      </c>
      <c r="K3243" s="3">
        <f>I3243-J3243</f>
        <v>4</v>
      </c>
      <c r="L3243" s="3" t="str">
        <f>IF(K3243&lt;-5,"CRÍTICO",IF(K3243&lt;0,"ATENÇÃO",IF(K3243&lt;=5,"OPORTUNO","MUITO BOM")))</f>
        <v>OPORTUNO</v>
      </c>
      <c r="M3243">
        <v>10</v>
      </c>
      <c r="N3243">
        <v>100</v>
      </c>
      <c r="O3243">
        <v>25.268817204301079</v>
      </c>
    </row>
    <row r="3244" spans="1:15" hidden="1" x14ac:dyDescent="0.25">
      <c r="A3244" s="11">
        <v>46104</v>
      </c>
      <c r="B3244" t="s">
        <v>49</v>
      </c>
      <c r="C3244" t="s">
        <v>48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>E3244+G3244+H3244</f>
        <v>21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3</v>
      </c>
      <c r="L3244" s="3" t="str">
        <f>IF(K3244&lt;-5,"CRÍTICO",IF(K3244&lt;0,"ATENÇÃO",IF(K3244&lt;=5,"OPORTUNO","MUITO BOM")))</f>
        <v>OPORTUNO</v>
      </c>
      <c r="M3244">
        <v>22</v>
      </c>
      <c r="N3244">
        <v>99.32</v>
      </c>
      <c r="O3244">
        <v>22.822822822822818</v>
      </c>
    </row>
    <row r="3245" spans="1:15" hidden="1" x14ac:dyDescent="0.25">
      <c r="A3245" s="11">
        <v>46104</v>
      </c>
      <c r="B3245" t="s">
        <v>50</v>
      </c>
      <c r="C3245" t="s">
        <v>48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>E3245+G3245+H3245</f>
        <v>17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18</v>
      </c>
      <c r="K3245" s="3">
        <f>I3245-J3245</f>
        <v>-1</v>
      </c>
      <c r="L3245" s="3" t="str">
        <f>IF(K3245&lt;-5,"CRÍTICO",IF(K3245&lt;0,"ATENÇÃO",IF(K3245&lt;=5,"OPORTUNO","MUITO BOM")))</f>
        <v>ATENÇÃO</v>
      </c>
      <c r="M3245">
        <v>14</v>
      </c>
      <c r="N3245">
        <v>100</v>
      </c>
      <c r="O3245">
        <v>27.966101694915249</v>
      </c>
    </row>
    <row r="3246" spans="1:15" hidden="1" x14ac:dyDescent="0.25">
      <c r="A3246" s="11">
        <v>46104</v>
      </c>
      <c r="B3246" t="s">
        <v>17</v>
      </c>
      <c r="C3246" t="s">
        <v>16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v>0</v>
      </c>
      <c r="J3246" s="3">
        <v>0</v>
      </c>
      <c r="K3246" s="3">
        <v>0</v>
      </c>
      <c r="L3246" s="3" t="str">
        <f>IF(K3246&lt;-5,"CRÍTICO",IF(K3246&lt;0,"ATENÇÃO",IF(K3246&lt;=5,"OPORTUNO","MUITO BOM")))</f>
        <v>OPORTUNO</v>
      </c>
      <c r="M3246">
        <v>0</v>
      </c>
      <c r="N3246">
        <v>100</v>
      </c>
      <c r="O3246">
        <v>30.434782608695659</v>
      </c>
    </row>
    <row r="3247" spans="1:15" hidden="1" x14ac:dyDescent="0.25">
      <c r="A3247" s="11">
        <v>46104</v>
      </c>
      <c r="B3247" t="s">
        <v>60</v>
      </c>
      <c r="C3247" t="s">
        <v>23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>E3247+G3247+H3247</f>
        <v>22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14</v>
      </c>
      <c r="K3247" s="3">
        <f>I3247-J3247</f>
        <v>8</v>
      </c>
      <c r="L3247" s="3" t="str">
        <f>IF(K3247&lt;-5,"CRÍTICO",IF(K3247&lt;0,"ATENÇÃO",IF(K3247&lt;=5,"OPORTUNO","MUITO BOM")))</f>
        <v>MUITO BOM</v>
      </c>
      <c r="M3247">
        <v>20</v>
      </c>
      <c r="N3247">
        <v>96.51</v>
      </c>
      <c r="O3247">
        <v>22.802850356294542</v>
      </c>
    </row>
    <row r="3248" spans="1:15" hidden="1" x14ac:dyDescent="0.25">
      <c r="A3248" s="11">
        <v>46104</v>
      </c>
      <c r="B3248" t="s">
        <v>34</v>
      </c>
      <c r="C3248" t="s">
        <v>32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>E3248+G3248+H3248</f>
        <v>6</v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>22</v>
      </c>
      <c r="K3248" s="3">
        <f>I3248-J3248</f>
        <v>-16</v>
      </c>
      <c r="L3248" s="3" t="str">
        <f>IF(K3248&lt;-5,"CRÍTICO",IF(K3248&lt;0,"ATENÇÃO",IF(K3248&lt;=5,"OPORTUNO","MUITO BOM")))</f>
        <v>CRÍTICO</v>
      </c>
      <c r="M3248">
        <v>7</v>
      </c>
      <c r="N3248">
        <v>92.68</v>
      </c>
      <c r="O3248">
        <v>27.777777777777779</v>
      </c>
    </row>
    <row r="3249" spans="1:15" hidden="1" x14ac:dyDescent="0.25">
      <c r="A3249" s="11">
        <v>46104</v>
      </c>
      <c r="B3249" t="s">
        <v>51</v>
      </c>
      <c r="C3249" t="s">
        <v>48</v>
      </c>
      <c r="D3249">
        <v>29</v>
      </c>
      <c r="E3249">
        <v>20</v>
      </c>
      <c r="F3249">
        <v>27.17</v>
      </c>
      <c r="G3249">
        <v>0</v>
      </c>
      <c r="H3249">
        <v>0</v>
      </c>
      <c r="I3249" s="3">
        <v>0</v>
      </c>
      <c r="J3249" s="3">
        <v>0</v>
      </c>
      <c r="K3249" s="3">
        <v>0</v>
      </c>
      <c r="L3249" s="3" t="str">
        <f>IF(K3249&lt;-5,"CRÍTICO",IF(K3249&lt;0,"ATENÇÃO",IF(K3249&lt;=5,"OPORTUNO","MUITO BOM")))</f>
        <v>OPORTUNO</v>
      </c>
      <c r="M3249">
        <v>17</v>
      </c>
      <c r="N3249">
        <v>99.03</v>
      </c>
      <c r="O3249">
        <v>23.991507430997881</v>
      </c>
    </row>
    <row r="3250" spans="1:15" hidden="1" x14ac:dyDescent="0.25">
      <c r="A3250" s="11">
        <v>46104</v>
      </c>
      <c r="B3250" t="s">
        <v>61</v>
      </c>
      <c r="C3250" t="s">
        <v>23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>E3250+G3250+H3250</f>
        <v>18</v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>14</v>
      </c>
      <c r="K3250" s="3">
        <f>I3250-J3250</f>
        <v>4</v>
      </c>
      <c r="L3250" s="3" t="str">
        <f>IF(K3250&lt;-5,"CRÍTICO",IF(K3250&lt;0,"ATENÇÃO",IF(K3250&lt;=5,"OPORTUNO","MUITO BOM")))</f>
        <v>OPORTUNO</v>
      </c>
      <c r="M3250">
        <v>6</v>
      </c>
      <c r="N3250">
        <v>98.41</v>
      </c>
      <c r="O3250">
        <v>28.138528138528141</v>
      </c>
    </row>
    <row r="3251" spans="1:15" hidden="1" x14ac:dyDescent="0.25">
      <c r="A3251" s="11">
        <v>46104</v>
      </c>
      <c r="B3251" t="s">
        <v>35</v>
      </c>
      <c r="C3251" t="s">
        <v>32</v>
      </c>
      <c r="D3251">
        <v>18</v>
      </c>
      <c r="E3251">
        <v>17</v>
      </c>
      <c r="F3251">
        <v>25.34</v>
      </c>
      <c r="G3251">
        <v>0</v>
      </c>
      <c r="H3251">
        <v>0</v>
      </c>
      <c r="I3251" s="3">
        <v>0</v>
      </c>
      <c r="J3251" s="3">
        <v>0</v>
      </c>
      <c r="K3251" s="3">
        <v>0</v>
      </c>
      <c r="L3251" s="3" t="str">
        <f>IF(K3251&lt;-5,"CRÍTICO",IF(K3251&lt;0,"ATENÇÃO",IF(K3251&lt;=5,"OPORTUNO","MUITO BOM")))</f>
        <v>OPORTUNO</v>
      </c>
      <c r="M3251">
        <v>19</v>
      </c>
      <c r="N3251">
        <v>98.73</v>
      </c>
      <c r="O3251">
        <v>29.142857142857139</v>
      </c>
    </row>
    <row r="3252" spans="1:15" hidden="1" x14ac:dyDescent="0.25">
      <c r="A3252" s="11">
        <v>46104</v>
      </c>
      <c r="B3252" t="s">
        <v>18</v>
      </c>
      <c r="C3252" t="s">
        <v>16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>E3252+G3252+H3252</f>
        <v>6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6</v>
      </c>
      <c r="K3252" s="3">
        <f>I3252-J3252</f>
        <v>0</v>
      </c>
      <c r="L3252" s="3" t="str">
        <f>IF(K3252&lt;-5,"CRÍTICO",IF(K3252&lt;0,"ATENÇÃO",IF(K3252&lt;=5,"OPORTUNO","MUITO BOM")))</f>
        <v>OPORTUNO</v>
      </c>
      <c r="M3252">
        <v>5</v>
      </c>
      <c r="N3252">
        <v>90.48</v>
      </c>
      <c r="O3252">
        <v>20.68965517241379</v>
      </c>
    </row>
    <row r="3253" spans="1:15" hidden="1" x14ac:dyDescent="0.25">
      <c r="A3253" s="11">
        <v>46104</v>
      </c>
      <c r="B3253" t="s">
        <v>52</v>
      </c>
      <c r="C3253" t="s">
        <v>48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>E3253+G3253+H3253</f>
        <v>25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18</v>
      </c>
      <c r="K3253" s="3">
        <f>I3253-J3253</f>
        <v>7</v>
      </c>
      <c r="L3253" s="3" t="str">
        <f>IF(K3253&lt;-5,"CRÍTICO",IF(K3253&lt;0,"ATENÇÃO",IF(K3253&lt;=5,"OPORTUNO","MUITO BOM")))</f>
        <v>MUITO BOM</v>
      </c>
      <c r="M3253">
        <v>22</v>
      </c>
      <c r="N3253">
        <v>98.06</v>
      </c>
      <c r="O3253">
        <v>24.789915966386559</v>
      </c>
    </row>
    <row r="3254" spans="1:15" hidden="1" x14ac:dyDescent="0.25">
      <c r="A3254" s="11">
        <v>46104</v>
      </c>
      <c r="B3254" t="s">
        <v>36</v>
      </c>
      <c r="C3254" t="s">
        <v>32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>E3254+G3254+H3254</f>
        <v>27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22</v>
      </c>
      <c r="K3254" s="3">
        <f>I3254-J3254</f>
        <v>5</v>
      </c>
      <c r="L3254" s="3" t="str">
        <f>IF(K3254&lt;-5,"CRÍTICO",IF(K3254&lt;0,"ATENÇÃO",IF(K3254&lt;=5,"OPORTUNO","MUITO BOM")))</f>
        <v>OPORTUNO</v>
      </c>
      <c r="M3254">
        <v>27</v>
      </c>
      <c r="N3254">
        <v>97.78</v>
      </c>
      <c r="O3254">
        <v>25.494071146245059</v>
      </c>
    </row>
    <row r="3255" spans="1:15" hidden="1" x14ac:dyDescent="0.25">
      <c r="A3255" s="11">
        <v>46104</v>
      </c>
      <c r="B3255" t="s">
        <v>53</v>
      </c>
      <c r="C3255" t="s">
        <v>48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>E3255+G3255+H3255</f>
        <v>26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18</v>
      </c>
      <c r="K3255" s="3">
        <f>I3255-J3255</f>
        <v>8</v>
      </c>
      <c r="L3255" s="3" t="str">
        <f>IF(K3255&lt;-5,"CRÍTICO",IF(K3255&lt;0,"ATENÇÃO",IF(K3255&lt;=5,"OPORTUNO","MUITO BOM")))</f>
        <v>MUITO BOM</v>
      </c>
      <c r="M3255">
        <v>23</v>
      </c>
      <c r="N3255">
        <v>98.02</v>
      </c>
      <c r="O3255">
        <v>23.484848484848481</v>
      </c>
    </row>
    <row r="3256" spans="1:15" hidden="1" x14ac:dyDescent="0.25">
      <c r="A3256" s="11">
        <v>46139</v>
      </c>
      <c r="B3256" t="s">
        <v>22</v>
      </c>
      <c r="C3256" t="s">
        <v>23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>E3256+G3256+H3256</f>
        <v>12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9</v>
      </c>
      <c r="K3256" s="3">
        <f>I3256-J3256</f>
        <v>3</v>
      </c>
      <c r="L3256" s="3" t="str">
        <f>IF(K3256&lt;-5,"CRÍTICO",IF(K3256&lt;0,"ATENÇÃO",IF(K3256&lt;=5,"OPORTUNO","MUITO BOM")))</f>
        <v>OPORTUNO</v>
      </c>
      <c r="M3256">
        <v>10</v>
      </c>
      <c r="N3256">
        <v>99.28</v>
      </c>
      <c r="O3256">
        <v>27.689243027888441</v>
      </c>
    </row>
    <row r="3257" spans="1:15" hidden="1" x14ac:dyDescent="0.25">
      <c r="A3257" s="11">
        <v>46104</v>
      </c>
      <c r="B3257" t="s">
        <v>54</v>
      </c>
      <c r="C3257" t="s">
        <v>48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>E3257+G3257+H3257</f>
        <v>29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18</v>
      </c>
      <c r="K3257" s="3">
        <f>I3257-J3257</f>
        <v>11</v>
      </c>
      <c r="L3257" s="3" t="str">
        <f>IF(K3257&lt;-5,"CRÍTICO",IF(K3257&lt;0,"ATENÇÃO",IF(K3257&lt;=5,"OPORTUNO","MUITO BOM")))</f>
        <v>MUITO BOM</v>
      </c>
      <c r="M3257">
        <v>27</v>
      </c>
      <c r="N3257">
        <v>100</v>
      </c>
      <c r="O3257">
        <v>27.04918032786885</v>
      </c>
    </row>
    <row r="3258" spans="1:15" hidden="1" x14ac:dyDescent="0.25">
      <c r="A3258" s="11">
        <v>46104</v>
      </c>
      <c r="B3258" t="s">
        <v>37</v>
      </c>
      <c r="C3258" t="s">
        <v>32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>E3258+G3258+H3258</f>
        <v>30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8</v>
      </c>
      <c r="L3258" s="3" t="str">
        <f>IF(K3258&lt;-5,"CRÍTICO",IF(K3258&lt;0,"ATENÇÃO",IF(K3258&lt;=5,"OPORTUNO","MUITO BOM")))</f>
        <v>MUITO BOM</v>
      </c>
      <c r="M3258">
        <v>26</v>
      </c>
      <c r="N3258">
        <v>97.83</v>
      </c>
      <c r="O3258">
        <v>26.315789473684209</v>
      </c>
    </row>
    <row r="3259" spans="1:15" hidden="1" x14ac:dyDescent="0.25">
      <c r="A3259" s="11">
        <v>46104</v>
      </c>
      <c r="B3259" t="s">
        <v>38</v>
      </c>
      <c r="C3259" t="s">
        <v>32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>E3259+G3259+H3259</f>
        <v>6</v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>22</v>
      </c>
      <c r="K3259" s="3">
        <f>I3259-J3259</f>
        <v>-16</v>
      </c>
      <c r="L3259" s="3" t="str">
        <f>IF(K3259&lt;-5,"CRÍTICO",IF(K3259&lt;0,"ATENÇÃO",IF(K3259&lt;=5,"OPORTUNO","MUITO BOM")))</f>
        <v>CRÍTICO</v>
      </c>
      <c r="M3259">
        <v>6</v>
      </c>
      <c r="N3259">
        <v>100</v>
      </c>
      <c r="O3259">
        <v>26.701570680628269</v>
      </c>
    </row>
    <row r="3260" spans="1:15" hidden="1" x14ac:dyDescent="0.25">
      <c r="A3260" s="11">
        <v>46104</v>
      </c>
      <c r="B3260" t="s">
        <v>55</v>
      </c>
      <c r="C3260" t="s">
        <v>48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>
        <v>0</v>
      </c>
      <c r="N3260">
        <v>97.47</v>
      </c>
      <c r="O3260">
        <v>22.887323943661968</v>
      </c>
    </row>
    <row r="3261" spans="1:15" hidden="1" x14ac:dyDescent="0.25">
      <c r="A3261" s="11">
        <v>46104</v>
      </c>
      <c r="B3261" t="s">
        <v>39</v>
      </c>
      <c r="C3261" t="s">
        <v>32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v>0</v>
      </c>
      <c r="J3261" s="3">
        <v>0</v>
      </c>
      <c r="K3261" s="3">
        <v>0</v>
      </c>
      <c r="L3261" s="3" t="str">
        <f>IF(K3261&lt;-5,"CRÍTICO",IF(K3261&lt;0,"ATENÇÃO",IF(K3261&lt;=5,"OPORTUNO","MUITO BOM")))</f>
        <v>OPORTUNO</v>
      </c>
      <c r="M3261">
        <v>0</v>
      </c>
      <c r="N3261">
        <v>0</v>
      </c>
      <c r="O3261">
        <v>0</v>
      </c>
    </row>
    <row r="3262" spans="1:15" hidden="1" x14ac:dyDescent="0.25">
      <c r="A3262" s="11">
        <v>46104</v>
      </c>
      <c r="B3262" t="s">
        <v>25</v>
      </c>
      <c r="C3262" t="s">
        <v>26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>E3262+G3262+H3262</f>
        <v>9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13</v>
      </c>
      <c r="K3262" s="3">
        <f>I3262-J3262</f>
        <v>-4</v>
      </c>
      <c r="L3262" s="3" t="str">
        <f>IF(K3262&lt;-5,"CRÍTICO",IF(K3262&lt;0,"ATENÇÃO",IF(K3262&lt;=5,"OPORTUNO","MUITO BOM")))</f>
        <v>ATENÇÃO</v>
      </c>
      <c r="M3262">
        <v>8</v>
      </c>
      <c r="N3262">
        <v>98.31</v>
      </c>
      <c r="O3262">
        <v>24.920127795527151</v>
      </c>
    </row>
    <row r="3263" spans="1:15" hidden="1" x14ac:dyDescent="0.25">
      <c r="A3263" s="11">
        <v>46104</v>
      </c>
      <c r="B3263" t="s">
        <v>40</v>
      </c>
      <c r="C3263" t="s">
        <v>32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>E3263+G3263+H3263</f>
        <v>13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22</v>
      </c>
      <c r="K3263" s="3">
        <f>I3263-J3263</f>
        <v>-9</v>
      </c>
      <c r="L3263" s="3" t="str">
        <f>IF(K3263&lt;-5,"CRÍTICO",IF(K3263&lt;0,"ATENÇÃO",IF(K3263&lt;=5,"OPORTUNO","MUITO BOM")))</f>
        <v>CRÍTICO</v>
      </c>
      <c r="M3263">
        <v>13</v>
      </c>
      <c r="N3263">
        <v>96.81</v>
      </c>
      <c r="O3263">
        <v>32.365145228215773</v>
      </c>
    </row>
    <row r="3264" spans="1:15" hidden="1" x14ac:dyDescent="0.25">
      <c r="A3264" s="11">
        <v>46104</v>
      </c>
      <c r="B3264" t="s">
        <v>27</v>
      </c>
      <c r="C3264" t="s">
        <v>26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>E3264+G3264+H3264</f>
        <v>16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13</v>
      </c>
      <c r="K3264" s="3">
        <f>I3264-J3264</f>
        <v>3</v>
      </c>
      <c r="L3264" s="3" t="str">
        <f>IF(K3264&lt;-5,"CRÍTICO",IF(K3264&lt;0,"ATENÇÃO",IF(K3264&lt;=5,"OPORTUNO","MUITO BOM")))</f>
        <v>OPORTUNO</v>
      </c>
      <c r="M3264">
        <v>12</v>
      </c>
      <c r="N3264">
        <v>100</v>
      </c>
      <c r="O3264">
        <v>26.47058823529412</v>
      </c>
    </row>
    <row r="3265" spans="1:15" hidden="1" x14ac:dyDescent="0.25">
      <c r="A3265" s="11">
        <v>46104</v>
      </c>
      <c r="B3265" t="s">
        <v>41</v>
      </c>
      <c r="C3265" t="s">
        <v>32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>E3265+G3265+H3265</f>
        <v>15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22</v>
      </c>
      <c r="K3265" s="3">
        <f>I3265-J3265</f>
        <v>-7</v>
      </c>
      <c r="L3265" s="3" t="str">
        <f>IF(K3265&lt;-5,"CRÍTICO",IF(K3265&lt;0,"ATENÇÃO",IF(K3265&lt;=5,"OPORTUNO","MUITO BOM")))</f>
        <v>CRÍTICO</v>
      </c>
      <c r="M3265">
        <v>14</v>
      </c>
      <c r="N3265">
        <v>100</v>
      </c>
      <c r="O3265">
        <v>28.490028490028489</v>
      </c>
    </row>
    <row r="3266" spans="1:15" hidden="1" x14ac:dyDescent="0.25">
      <c r="A3266" s="11">
        <v>46104</v>
      </c>
      <c r="B3266" t="s">
        <v>56</v>
      </c>
      <c r="C3266" t="s">
        <v>48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>E3266+G3266+H3266</f>
        <v>19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18</v>
      </c>
      <c r="K3266" s="3">
        <f>I3266-J3266</f>
        <v>1</v>
      </c>
      <c r="L3266" s="3" t="str">
        <f>IF(K3266&lt;-5,"CRÍTICO",IF(K3266&lt;0,"ATENÇÃO",IF(K3266&lt;=5,"OPORTUNO","MUITO BOM")))</f>
        <v>OPORTUNO</v>
      </c>
      <c r="M3266">
        <v>32</v>
      </c>
      <c r="N3266">
        <v>99.14</v>
      </c>
      <c r="O3266">
        <v>27.2289156626506</v>
      </c>
    </row>
    <row r="3267" spans="1:15" hidden="1" x14ac:dyDescent="0.25">
      <c r="A3267" s="11">
        <v>46104</v>
      </c>
      <c r="B3267" t="s">
        <v>57</v>
      </c>
      <c r="C3267" t="s">
        <v>48</v>
      </c>
      <c r="D3267">
        <v>27</v>
      </c>
      <c r="E3267">
        <v>26</v>
      </c>
      <c r="F3267">
        <v>15.59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>
        <v>22</v>
      </c>
      <c r="N3267">
        <v>97.52</v>
      </c>
      <c r="O3267">
        <v>28.205128205128201</v>
      </c>
    </row>
    <row r="3268" spans="1:15" hidden="1" x14ac:dyDescent="0.25">
      <c r="A3268" s="11">
        <v>46104</v>
      </c>
      <c r="B3268" t="s">
        <v>42</v>
      </c>
      <c r="C3268" t="s">
        <v>32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v>0</v>
      </c>
      <c r="J3268" s="3">
        <v>0</v>
      </c>
      <c r="K3268" s="3">
        <v>0</v>
      </c>
      <c r="L3268" s="3" t="str">
        <f>IF(K3268&lt;-5,"CRÍTICO",IF(K3268&lt;0,"ATENÇÃO",IF(K3268&lt;=5,"OPORTUNO","MUITO BOM")))</f>
        <v>OPORTUNO</v>
      </c>
      <c r="M3268">
        <v>0</v>
      </c>
      <c r="N3268">
        <v>90</v>
      </c>
      <c r="O3268">
        <v>24.186046511627911</v>
      </c>
    </row>
    <row r="3269" spans="1:15" hidden="1" x14ac:dyDescent="0.25">
      <c r="A3269" s="11">
        <v>46104</v>
      </c>
      <c r="B3269" t="s">
        <v>62</v>
      </c>
      <c r="C3269" t="s">
        <v>23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>E3269+G3269+H3269</f>
        <v>21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14</v>
      </c>
      <c r="K3269" s="3">
        <f>I3269-J3269</f>
        <v>7</v>
      </c>
      <c r="L3269" s="3" t="str">
        <f>IF(K3269&lt;-5,"CRÍTICO",IF(K3269&lt;0,"ATENÇÃO",IF(K3269&lt;=5,"OPORTUNO","MUITO BOM")))</f>
        <v>MUITO BOM</v>
      </c>
      <c r="M3269">
        <v>16</v>
      </c>
      <c r="N3269">
        <v>98.9</v>
      </c>
      <c r="O3269">
        <v>26.763990267639901</v>
      </c>
    </row>
    <row r="3270" spans="1:15" hidden="1" x14ac:dyDescent="0.25">
      <c r="A3270" s="11">
        <v>46104</v>
      </c>
      <c r="B3270" t="s">
        <v>19</v>
      </c>
      <c r="C3270" t="s">
        <v>16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>E3270+G3270+H3270</f>
        <v>8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6</v>
      </c>
      <c r="K3270" s="3">
        <f>I3270-J3270</f>
        <v>2</v>
      </c>
      <c r="L3270" s="3" t="str">
        <f>IF(K3270&lt;-5,"CRÍTICO",IF(K3270&lt;0,"ATENÇÃO",IF(K3270&lt;=5,"OPORTUNO","MUITO BOM")))</f>
        <v>OPORTUNO</v>
      </c>
      <c r="M3270">
        <v>5</v>
      </c>
      <c r="N3270">
        <v>88.89</v>
      </c>
      <c r="O3270">
        <v>25.263157894736839</v>
      </c>
    </row>
    <row r="3271" spans="1:15" hidden="1" x14ac:dyDescent="0.25">
      <c r="A3271" s="11">
        <v>46104</v>
      </c>
      <c r="B3271" t="s">
        <v>43</v>
      </c>
      <c r="C3271" t="s">
        <v>32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>E3271+G3271+H3271</f>
        <v>20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-2</v>
      </c>
      <c r="L3271" s="3" t="str">
        <f>IF(K3271&lt;-5,"CRÍTICO",IF(K3271&lt;0,"ATENÇÃO",IF(K3271&lt;=5,"OPORTUNO","MUITO BOM")))</f>
        <v>ATENÇÃO</v>
      </c>
      <c r="M3271">
        <v>19</v>
      </c>
      <c r="N3271">
        <v>98.86</v>
      </c>
      <c r="O3271">
        <v>28.959276018099551</v>
      </c>
    </row>
    <row r="3272" spans="1:15" hidden="1" x14ac:dyDescent="0.25">
      <c r="A3272" s="11">
        <v>46104</v>
      </c>
      <c r="B3272" t="s">
        <v>44</v>
      </c>
      <c r="C3272" t="s">
        <v>32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>E3272+G3272+H3272</f>
        <v>30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22</v>
      </c>
      <c r="K3272" s="3">
        <f>I3272-J3272</f>
        <v>8</v>
      </c>
      <c r="L3272" s="3" t="str">
        <f>IF(K3272&lt;-5,"CRÍTICO",IF(K3272&lt;0,"ATENÇÃO",IF(K3272&lt;=5,"OPORTUNO","MUITO BOM")))</f>
        <v>MUITO BOM</v>
      </c>
      <c r="M3272">
        <v>27</v>
      </c>
      <c r="N3272">
        <v>98.06</v>
      </c>
      <c r="O3272">
        <v>22.40566037735849</v>
      </c>
    </row>
    <row r="3273" spans="1:15" hidden="1" x14ac:dyDescent="0.25">
      <c r="A3273" s="11">
        <v>46104</v>
      </c>
      <c r="B3273" t="s">
        <v>20</v>
      </c>
      <c r="C3273" t="s">
        <v>16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>E3273+G3273+H3273</f>
        <v>4</v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>6</v>
      </c>
      <c r="K3273" s="3">
        <f>I3273-J3273</f>
        <v>-2</v>
      </c>
      <c r="L3273" s="3" t="str">
        <f>IF(K3273&lt;-5,"CRÍTICO",IF(K3273&lt;0,"ATENÇÃO",IF(K3273&lt;=5,"OPORTUNO","MUITO BOM")))</f>
        <v>ATENÇÃO</v>
      </c>
      <c r="M3273">
        <v>3</v>
      </c>
      <c r="N3273">
        <v>95.83</v>
      </c>
      <c r="O3273">
        <v>25.773195876288661</v>
      </c>
    </row>
    <row r="3274" spans="1:15" hidden="1" x14ac:dyDescent="0.25">
      <c r="A3274" s="11">
        <v>46104</v>
      </c>
      <c r="B3274" t="s">
        <v>28</v>
      </c>
      <c r="C3274" t="s">
        <v>26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v>0</v>
      </c>
      <c r="J3274" s="3">
        <v>0</v>
      </c>
      <c r="K3274" s="3">
        <v>0</v>
      </c>
      <c r="L3274" s="3" t="str">
        <f>IF(K3274&lt;-5,"CRÍTICO",IF(K3274&lt;0,"ATENÇÃO",IF(K3274&lt;=5,"OPORTUNO","MUITO BOM")))</f>
        <v>OPORTUNO</v>
      </c>
      <c r="M3274">
        <v>0</v>
      </c>
      <c r="N3274">
        <v>100</v>
      </c>
      <c r="O3274">
        <v>15.38461538461539</v>
      </c>
    </row>
    <row r="3275" spans="1:15" hidden="1" x14ac:dyDescent="0.25">
      <c r="A3275" s="11">
        <v>46104</v>
      </c>
      <c r="B3275" t="s">
        <v>58</v>
      </c>
      <c r="C3275" t="s">
        <v>48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>E3275+G3275+H3275</f>
        <v>20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18</v>
      </c>
      <c r="K3275" s="3">
        <f>I3275-J3275</f>
        <v>2</v>
      </c>
      <c r="L3275" s="3" t="str">
        <f>IF(K3275&lt;-5,"CRÍTICO",IF(K3275&lt;0,"ATENÇÃO",IF(K3275&lt;=5,"OPORTUNO","MUITO BOM")))</f>
        <v>OPORTUNO</v>
      </c>
      <c r="M3275">
        <v>17</v>
      </c>
      <c r="N3275">
        <v>100</v>
      </c>
      <c r="O3275">
        <v>27.514792899408281</v>
      </c>
    </row>
    <row r="3276" spans="1:15" hidden="1" x14ac:dyDescent="0.25">
      <c r="A3276" s="11">
        <v>46104</v>
      </c>
      <c r="B3276" t="s">
        <v>29</v>
      </c>
      <c r="C3276" t="s">
        <v>26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>
        <v>25</v>
      </c>
      <c r="N3276">
        <v>100</v>
      </c>
      <c r="O3276">
        <v>24.875621890547269</v>
      </c>
    </row>
    <row r="3277" spans="1:15" hidden="1" x14ac:dyDescent="0.25">
      <c r="A3277" s="11">
        <v>46104</v>
      </c>
      <c r="B3277" t="s">
        <v>30</v>
      </c>
      <c r="C3277" t="s">
        <v>26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>E3277+G3277+H3277</f>
        <v>16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13</v>
      </c>
      <c r="K3277" s="3">
        <f>I3277-J3277</f>
        <v>3</v>
      </c>
      <c r="L3277" s="3" t="str">
        <f>IF(K3277&lt;-5,"CRÍTICO",IF(K3277&lt;0,"ATENÇÃO",IF(K3277&lt;=5,"OPORTUNO","MUITO BOM")))</f>
        <v>OPORTUNO</v>
      </c>
      <c r="M3277">
        <v>11</v>
      </c>
      <c r="N3277">
        <v>100</v>
      </c>
      <c r="O3277">
        <v>28.108108108108109</v>
      </c>
    </row>
    <row r="3278" spans="1:15" hidden="1" x14ac:dyDescent="0.25">
      <c r="A3278" s="11">
        <v>46104</v>
      </c>
      <c r="B3278" t="s">
        <v>21</v>
      </c>
      <c r="C3278" t="s">
        <v>16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v>0</v>
      </c>
      <c r="J3278" s="3">
        <v>0</v>
      </c>
      <c r="K3278" s="3">
        <v>0</v>
      </c>
      <c r="L3278" s="3" t="str">
        <f>IF(K3278&lt;-5,"CRÍTICO",IF(K3278&lt;0,"ATENÇÃO",IF(K3278&lt;=5,"OPORTUNO","MUITO BOM")))</f>
        <v>OPORTUNO</v>
      </c>
      <c r="M3278">
        <v>0</v>
      </c>
      <c r="N3278">
        <v>100</v>
      </c>
      <c r="O3278">
        <v>35</v>
      </c>
    </row>
    <row r="3279" spans="1:15" hidden="1" x14ac:dyDescent="0.25">
      <c r="A3279" s="11">
        <v>46104</v>
      </c>
      <c r="B3279" t="s">
        <v>63</v>
      </c>
      <c r="C3279" t="s">
        <v>23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>E3279+G3279+H3279</f>
        <v>19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14</v>
      </c>
      <c r="K3279" s="3">
        <f>I3279-J3279</f>
        <v>5</v>
      </c>
      <c r="L3279" s="3" t="str">
        <f>IF(K3279&lt;-5,"CRÍTICO",IF(K3279&lt;0,"ATENÇÃO",IF(K3279&lt;=5,"OPORTUNO","MUITO BOM")))</f>
        <v>OPORTUNO</v>
      </c>
      <c r="M3279">
        <v>17</v>
      </c>
      <c r="N3279">
        <v>95.35</v>
      </c>
      <c r="O3279">
        <v>28.61538461538461</v>
      </c>
    </row>
    <row r="3280" spans="1:15" hidden="1" x14ac:dyDescent="0.25">
      <c r="A3280" s="11">
        <v>46104</v>
      </c>
      <c r="B3280" t="s">
        <v>45</v>
      </c>
      <c r="C3280" t="s">
        <v>32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>E3280+G3280+H3280</f>
        <v>25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22</v>
      </c>
      <c r="K3280" s="3">
        <f>I3280-J3280</f>
        <v>3</v>
      </c>
      <c r="L3280" s="3" t="str">
        <f>IF(K3280&lt;-5,"CRÍTICO",IF(K3280&lt;0,"ATENÇÃO",IF(K3280&lt;=5,"OPORTUNO","MUITO BOM")))</f>
        <v>OPORTUNO</v>
      </c>
      <c r="M3280">
        <v>21</v>
      </c>
      <c r="N3280">
        <v>98.26</v>
      </c>
      <c r="O3280">
        <v>27.54491017964072</v>
      </c>
    </row>
    <row r="3281" spans="1:15" hidden="1" x14ac:dyDescent="0.25">
      <c r="A3281" s="11">
        <v>46104</v>
      </c>
      <c r="B3281" t="s">
        <v>64</v>
      </c>
      <c r="C3281" t="s">
        <v>23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>E3281+G3281+H3281</f>
        <v>10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14</v>
      </c>
      <c r="K3281" s="3">
        <f>I3281-J3281</f>
        <v>-4</v>
      </c>
      <c r="L3281" s="3" t="str">
        <f>IF(K3281&lt;-5,"CRÍTICO",IF(K3281&lt;0,"ATENÇÃO",IF(K3281&lt;=5,"OPORTUNO","MUITO BOM")))</f>
        <v>ATENÇÃO</v>
      </c>
      <c r="M3281">
        <v>12</v>
      </c>
      <c r="N3281">
        <v>98.55</v>
      </c>
      <c r="O3281">
        <v>25.337837837837839</v>
      </c>
    </row>
    <row r="3282" spans="1:15" hidden="1" x14ac:dyDescent="0.25">
      <c r="A3282" s="11">
        <v>46104</v>
      </c>
      <c r="B3282" t="s">
        <v>46</v>
      </c>
      <c r="C3282" t="s">
        <v>32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>E3282+G3282+H3282</f>
        <v>24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22</v>
      </c>
      <c r="K3282" s="3">
        <f>I3282-J3282</f>
        <v>2</v>
      </c>
      <c r="L3282" s="3" t="str">
        <f>IF(K3282&lt;-5,"CRÍTICO",IF(K3282&lt;0,"ATENÇÃO",IF(K3282&lt;=5,"OPORTUNO","MUITO BOM")))</f>
        <v>OPORTUNO</v>
      </c>
      <c r="M3282">
        <v>18</v>
      </c>
      <c r="N3282">
        <v>98.39</v>
      </c>
      <c r="O3282">
        <v>25.563909774436091</v>
      </c>
    </row>
    <row r="3283" spans="1:15" hidden="1" x14ac:dyDescent="0.25">
      <c r="A3283" s="11">
        <v>46105</v>
      </c>
      <c r="B3283" t="s">
        <v>47</v>
      </c>
      <c r="C3283" t="s">
        <v>48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>E3283+G3283+H3283</f>
        <v>21</v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21</v>
      </c>
      <c r="K3283" s="3">
        <f>I3283-J3283</f>
        <v>0</v>
      </c>
      <c r="L3283" s="3" t="str">
        <f>IF(K3283&lt;-5,"CRÍTICO",IF(K3283&lt;0,"ATENÇÃO",IF(K3283&lt;=5,"OPORTUNO","MUITO BOM")))</f>
        <v>OPORTUNO</v>
      </c>
      <c r="M3283">
        <v>19</v>
      </c>
      <c r="N3283">
        <v>94.29</v>
      </c>
      <c r="O3283">
        <v>25.647668393782389</v>
      </c>
    </row>
    <row r="3284" spans="1:15" hidden="1" x14ac:dyDescent="0.25">
      <c r="A3284" s="11">
        <v>46105</v>
      </c>
      <c r="B3284" t="s">
        <v>31</v>
      </c>
      <c r="C3284" t="s">
        <v>32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v>0</v>
      </c>
      <c r="J3284" s="3">
        <v>0</v>
      </c>
      <c r="K3284" s="3">
        <v>0</v>
      </c>
      <c r="L3284" s="3" t="str">
        <f>IF(K3284&lt;-5,"CRÍTICO",IF(K3284&lt;0,"ATENÇÃO",IF(K3284&lt;=5,"OPORTUNO","MUITO BOM")))</f>
        <v>OPORTUNO</v>
      </c>
      <c r="M3284">
        <v>23</v>
      </c>
      <c r="N3284">
        <v>98.26</v>
      </c>
      <c r="O3284">
        <v>26.666666666666671</v>
      </c>
    </row>
    <row r="3285" spans="1:15" hidden="1" x14ac:dyDescent="0.25">
      <c r="A3285" s="11">
        <v>46105</v>
      </c>
      <c r="B3285" t="s">
        <v>59</v>
      </c>
      <c r="C3285" t="s">
        <v>23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>E3285+G3285+H3285</f>
        <v>26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17</v>
      </c>
      <c r="K3285" s="3">
        <f>I3285-J3285</f>
        <v>9</v>
      </c>
      <c r="L3285" s="3" t="str">
        <f>IF(K3285&lt;-5,"CRÍTICO",IF(K3285&lt;0,"ATENÇÃO",IF(K3285&lt;=5,"OPORTUNO","MUITO BOM")))</f>
        <v>MUITO BOM</v>
      </c>
      <c r="M3285">
        <v>26</v>
      </c>
      <c r="N3285">
        <v>98.2</v>
      </c>
      <c r="O3285">
        <v>23.37962962962963</v>
      </c>
    </row>
    <row r="3286" spans="1:15" hidden="1" x14ac:dyDescent="0.25">
      <c r="A3286" s="11">
        <v>46105</v>
      </c>
      <c r="B3286" t="s">
        <v>33</v>
      </c>
      <c r="C3286" t="s">
        <v>32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>E3286+G3286+H3286</f>
        <v>34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27</v>
      </c>
      <c r="K3286" s="3">
        <f>I3286-J3286</f>
        <v>7</v>
      </c>
      <c r="L3286" s="3" t="str">
        <f>IF(K3286&lt;-5,"CRÍTICO",IF(K3286&lt;0,"ATENÇÃO",IF(K3286&lt;=5,"OPORTUNO","MUITO BOM")))</f>
        <v>MUITO BOM</v>
      </c>
      <c r="M3286">
        <v>25</v>
      </c>
      <c r="N3286">
        <v>97.3</v>
      </c>
      <c r="O3286">
        <v>23.84769539078156</v>
      </c>
    </row>
    <row r="3287" spans="1:15" hidden="1" x14ac:dyDescent="0.25">
      <c r="A3287" s="11">
        <v>46105</v>
      </c>
      <c r="B3287" t="s">
        <v>15</v>
      </c>
      <c r="C3287" t="s">
        <v>16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>E3287+G3287+H3287</f>
        <v>9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8</v>
      </c>
      <c r="K3287" s="3">
        <f>I3287-J3287</f>
        <v>1</v>
      </c>
      <c r="L3287" s="3" t="str">
        <f>IF(K3287&lt;-5,"CRÍTICO",IF(K3287&lt;0,"ATENÇÃO",IF(K3287&lt;=5,"OPORTUNO","MUITO BOM")))</f>
        <v>OPORTUNO</v>
      </c>
      <c r="M3287">
        <v>7</v>
      </c>
      <c r="N3287">
        <v>100</v>
      </c>
      <c r="O3287">
        <v>25.268817204301079</v>
      </c>
    </row>
    <row r="3288" spans="1:15" hidden="1" x14ac:dyDescent="0.25">
      <c r="A3288" s="11">
        <v>46105</v>
      </c>
      <c r="B3288" t="s">
        <v>49</v>
      </c>
      <c r="C3288" t="s">
        <v>48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>E3288+G3288+H3288</f>
        <v>32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11</v>
      </c>
      <c r="L3288" s="3" t="str">
        <f>IF(K3288&lt;-5,"CRÍTICO",IF(K3288&lt;0,"ATENÇÃO",IF(K3288&lt;=5,"OPORTUNO","MUITO BOM")))</f>
        <v>MUITO BOM</v>
      </c>
      <c r="M3288">
        <v>34</v>
      </c>
      <c r="N3288">
        <v>99.32</v>
      </c>
      <c r="O3288">
        <v>22.822822822822818</v>
      </c>
    </row>
    <row r="3289" spans="1:15" hidden="1" x14ac:dyDescent="0.25">
      <c r="A3289" s="11">
        <v>46105</v>
      </c>
      <c r="B3289" t="s">
        <v>50</v>
      </c>
      <c r="C3289" t="s">
        <v>48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>E3289+G3289+H3289</f>
        <v>22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21</v>
      </c>
      <c r="K3289" s="3">
        <f>I3289-J3289</f>
        <v>1</v>
      </c>
      <c r="L3289" s="3" t="str">
        <f>IF(K3289&lt;-5,"CRÍTICO",IF(K3289&lt;0,"ATENÇÃO",IF(K3289&lt;=5,"OPORTUNO","MUITO BOM")))</f>
        <v>OPORTUNO</v>
      </c>
      <c r="M3289">
        <v>21</v>
      </c>
      <c r="N3289">
        <v>100</v>
      </c>
      <c r="O3289">
        <v>27.966101694915249</v>
      </c>
    </row>
    <row r="3290" spans="1:15" hidden="1" x14ac:dyDescent="0.25">
      <c r="A3290" s="11">
        <v>46105</v>
      </c>
      <c r="B3290" t="s">
        <v>17</v>
      </c>
      <c r="C3290" t="s">
        <v>16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>E3290+G3290+H3290</f>
        <v>4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8</v>
      </c>
      <c r="K3290" s="3">
        <f>I3290-J3290</f>
        <v>-4</v>
      </c>
      <c r="L3290" s="3" t="str">
        <f>IF(K3290&lt;-5,"CRÍTICO",IF(K3290&lt;0,"ATENÇÃO",IF(K3290&lt;=5,"OPORTUNO","MUITO BOM")))</f>
        <v>ATENÇÃO</v>
      </c>
      <c r="M3290">
        <v>3</v>
      </c>
      <c r="N3290">
        <v>100</v>
      </c>
      <c r="O3290">
        <v>30.434782608695659</v>
      </c>
    </row>
    <row r="3291" spans="1:15" hidden="1" x14ac:dyDescent="0.25">
      <c r="A3291" s="11">
        <v>46105</v>
      </c>
      <c r="B3291" t="s">
        <v>60</v>
      </c>
      <c r="C3291" t="s">
        <v>23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>E3291+G3291+H3291</f>
        <v>28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17</v>
      </c>
      <c r="K3291" s="3">
        <f>I3291-J3291</f>
        <v>11</v>
      </c>
      <c r="L3291" s="3" t="str">
        <f>IF(K3291&lt;-5,"CRÍTICO",IF(K3291&lt;0,"ATENÇÃO",IF(K3291&lt;=5,"OPORTUNO","MUITO BOM")))</f>
        <v>MUITO BOM</v>
      </c>
      <c r="M3291">
        <v>24</v>
      </c>
      <c r="N3291">
        <v>96.51</v>
      </c>
      <c r="O3291">
        <v>22.802850356294542</v>
      </c>
    </row>
    <row r="3292" spans="1:15" hidden="1" x14ac:dyDescent="0.25">
      <c r="A3292" s="11">
        <v>46105</v>
      </c>
      <c r="B3292" t="s">
        <v>34</v>
      </c>
      <c r="C3292" t="s">
        <v>32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>E3292+G3292+H3292</f>
        <v>33</v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>27</v>
      </c>
      <c r="K3292" s="3">
        <f>I3292-J3292</f>
        <v>6</v>
      </c>
      <c r="L3292" s="3" t="str">
        <f>IF(K3292&lt;-5,"CRÍTICO",IF(K3292&lt;0,"ATENÇÃO",IF(K3292&lt;=5,"OPORTUNO","MUITO BOM")))</f>
        <v>MUITO BOM</v>
      </c>
      <c r="M3292">
        <v>27</v>
      </c>
      <c r="N3292">
        <v>92.68</v>
      </c>
      <c r="O3292">
        <v>27.777777777777779</v>
      </c>
    </row>
    <row r="3293" spans="1:15" hidden="1" x14ac:dyDescent="0.25">
      <c r="A3293" s="11">
        <v>46105</v>
      </c>
      <c r="B3293" t="s">
        <v>51</v>
      </c>
      <c r="C3293" t="s">
        <v>48</v>
      </c>
      <c r="D3293">
        <v>25</v>
      </c>
      <c r="E3293">
        <v>21</v>
      </c>
      <c r="F3293">
        <v>21.59</v>
      </c>
      <c r="G3293">
        <v>0</v>
      </c>
      <c r="H3293">
        <v>0</v>
      </c>
      <c r="I3293" s="3">
        <v>0</v>
      </c>
      <c r="J3293" s="3">
        <v>0</v>
      </c>
      <c r="K3293" s="3">
        <v>0</v>
      </c>
      <c r="L3293" s="3" t="str">
        <f>IF(K3293&lt;-5,"CRÍTICO",IF(K3293&lt;0,"ATENÇÃO",IF(K3293&lt;=5,"OPORTUNO","MUITO BOM")))</f>
        <v>OPORTUNO</v>
      </c>
      <c r="M3293">
        <v>17</v>
      </c>
      <c r="N3293">
        <v>99.03</v>
      </c>
      <c r="O3293">
        <v>23.991507430997881</v>
      </c>
    </row>
    <row r="3294" spans="1:15" hidden="1" x14ac:dyDescent="0.25">
      <c r="A3294" s="11">
        <v>46105</v>
      </c>
      <c r="B3294" t="s">
        <v>61</v>
      </c>
      <c r="C3294" t="s">
        <v>23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>E3294+G3294+H3294</f>
        <v>21</v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>17</v>
      </c>
      <c r="K3294" s="3">
        <f>I3294-J3294</f>
        <v>4</v>
      </c>
      <c r="L3294" s="3" t="str">
        <f>IF(K3294&lt;-5,"CRÍTICO",IF(K3294&lt;0,"ATENÇÃO",IF(K3294&lt;=5,"OPORTUNO","MUITO BOM")))</f>
        <v>OPORTUNO</v>
      </c>
      <c r="M3294">
        <v>10</v>
      </c>
      <c r="N3294">
        <v>98.41</v>
      </c>
      <c r="O3294">
        <v>28.138528138528141</v>
      </c>
    </row>
    <row r="3295" spans="1:15" hidden="1" x14ac:dyDescent="0.25">
      <c r="A3295" s="11">
        <v>46105</v>
      </c>
      <c r="B3295" t="s">
        <v>35</v>
      </c>
      <c r="C3295" t="s">
        <v>32</v>
      </c>
      <c r="D3295">
        <v>12</v>
      </c>
      <c r="E3295">
        <v>12</v>
      </c>
      <c r="F3295">
        <v>37.380000000000003</v>
      </c>
      <c r="G3295">
        <v>0</v>
      </c>
      <c r="H3295">
        <v>0</v>
      </c>
      <c r="I3295" s="3">
        <v>0</v>
      </c>
      <c r="J3295" s="3">
        <v>0</v>
      </c>
      <c r="K3295" s="3">
        <v>0</v>
      </c>
      <c r="L3295" s="3" t="str">
        <f>IF(K3295&lt;-5,"CRÍTICO",IF(K3295&lt;0,"ATENÇÃO",IF(K3295&lt;=5,"OPORTUNO","MUITO BOM")))</f>
        <v>OPORTUNO</v>
      </c>
      <c r="M3295">
        <v>10</v>
      </c>
      <c r="N3295">
        <v>98.73</v>
      </c>
      <c r="O3295">
        <v>29.142857142857139</v>
      </c>
    </row>
    <row r="3296" spans="1:15" hidden="1" x14ac:dyDescent="0.25">
      <c r="A3296" s="11">
        <v>46105</v>
      </c>
      <c r="B3296" t="s">
        <v>18</v>
      </c>
      <c r="C3296" t="s">
        <v>16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>E3296+G3296+H3296</f>
        <v>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8</v>
      </c>
      <c r="K3296" s="3">
        <f>I3296-J3296</f>
        <v>-4</v>
      </c>
      <c r="L3296" s="3" t="str">
        <f>IF(K3296&lt;-5,"CRÍTICO",IF(K3296&lt;0,"ATENÇÃO",IF(K3296&lt;=5,"OPORTUNO","MUITO BOM")))</f>
        <v>ATENÇÃO</v>
      </c>
      <c r="M3296">
        <v>4</v>
      </c>
      <c r="N3296">
        <v>90.48</v>
      </c>
      <c r="O3296">
        <v>20.68965517241379</v>
      </c>
    </row>
    <row r="3297" spans="1:15" hidden="1" x14ac:dyDescent="0.25">
      <c r="A3297" s="11">
        <v>46105</v>
      </c>
      <c r="B3297" t="s">
        <v>52</v>
      </c>
      <c r="C3297" t="s">
        <v>48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>E3297+G3297+H3297</f>
        <v>14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21</v>
      </c>
      <c r="K3297" s="3">
        <f>I3297-J3297</f>
        <v>-7</v>
      </c>
      <c r="L3297" s="3" t="str">
        <f>IF(K3297&lt;-5,"CRÍTICO",IF(K3297&lt;0,"ATENÇÃO",IF(K3297&lt;=5,"OPORTUNO","MUITO BOM")))</f>
        <v>CRÍTICO</v>
      </c>
      <c r="M3297">
        <v>15</v>
      </c>
      <c r="N3297">
        <v>98.06</v>
      </c>
      <c r="O3297">
        <v>24.789915966386559</v>
      </c>
    </row>
    <row r="3298" spans="1:15" hidden="1" x14ac:dyDescent="0.25">
      <c r="A3298" s="11">
        <v>46105</v>
      </c>
      <c r="B3298" t="s">
        <v>36</v>
      </c>
      <c r="C3298" t="s">
        <v>32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>E3298+G3298+H3298</f>
        <v>24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27</v>
      </c>
      <c r="K3298" s="3">
        <f>I3298-J3298</f>
        <v>-3</v>
      </c>
      <c r="L3298" s="3" t="str">
        <f>IF(K3298&lt;-5,"CRÍTICO",IF(K3298&lt;0,"ATENÇÃO",IF(K3298&lt;=5,"OPORTUNO","MUITO BOM")))</f>
        <v>ATENÇÃO</v>
      </c>
      <c r="M3298">
        <v>26</v>
      </c>
      <c r="N3298">
        <v>97.78</v>
      </c>
      <c r="O3298">
        <v>25.494071146245059</v>
      </c>
    </row>
    <row r="3299" spans="1:15" hidden="1" x14ac:dyDescent="0.25">
      <c r="A3299" s="11">
        <v>46105</v>
      </c>
      <c r="B3299" t="s">
        <v>53</v>
      </c>
      <c r="C3299" t="s">
        <v>48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21</v>
      </c>
      <c r="K3299" s="3">
        <f>I3299-J3299</f>
        <v>1</v>
      </c>
      <c r="L3299" s="3" t="str">
        <f>IF(K3299&lt;-5,"CRÍTICO",IF(K3299&lt;0,"ATENÇÃO",IF(K3299&lt;=5,"OPORTUNO","MUITO BOM")))</f>
        <v>OPORTUNO</v>
      </c>
      <c r="M3299">
        <v>21</v>
      </c>
      <c r="N3299">
        <v>98.02</v>
      </c>
      <c r="O3299">
        <v>23.484848484848481</v>
      </c>
    </row>
    <row r="3300" spans="1:15" hidden="1" x14ac:dyDescent="0.25">
      <c r="A3300" s="10">
        <v>46164</v>
      </c>
      <c r="B3300" s="6" t="s">
        <v>53</v>
      </c>
      <c r="C3300" s="3" t="s">
        <v>48</v>
      </c>
      <c r="D3300" s="3">
        <v>0</v>
      </c>
      <c r="E3300" s="3">
        <v>0</v>
      </c>
      <c r="F3300" s="3">
        <v>0</v>
      </c>
      <c r="G3300" s="3">
        <v>0</v>
      </c>
      <c r="H3300" s="3">
        <v>0</v>
      </c>
      <c r="I3300" s="3">
        <v>0</v>
      </c>
      <c r="J3300" s="3">
        <v>0</v>
      </c>
      <c r="K3300" s="3">
        <v>0</v>
      </c>
      <c r="L3300" s="3" t="str">
        <f>IF(K3300&lt;-5,"CRÍTICO",IF(K3300&lt;0,"ATENÇÃO",IF(K3300&lt;=5,"OPORTUNO","MUITO BOM")))</f>
        <v>OPORTUNO</v>
      </c>
      <c r="M3300" s="3">
        <v>0</v>
      </c>
      <c r="N3300" s="3">
        <v>100</v>
      </c>
      <c r="O3300" s="3">
        <v>17.241379310344829</v>
      </c>
    </row>
    <row r="3301" spans="1:15" hidden="1" x14ac:dyDescent="0.25">
      <c r="A3301" s="11">
        <v>46105</v>
      </c>
      <c r="B3301" t="s">
        <v>54</v>
      </c>
      <c r="C3301" t="s">
        <v>48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>E3301+G3301+H3301</f>
        <v>23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21</v>
      </c>
      <c r="K3301" s="3">
        <f>I3301-J3301</f>
        <v>2</v>
      </c>
      <c r="L3301" s="3" t="str">
        <f>IF(K3301&lt;-5,"CRÍTICO",IF(K3301&lt;0,"ATENÇÃO",IF(K3301&lt;=5,"OPORTUNO","MUITO BOM")))</f>
        <v>OPORTUNO</v>
      </c>
      <c r="M3301">
        <v>24</v>
      </c>
      <c r="N3301">
        <v>100</v>
      </c>
      <c r="O3301">
        <v>27.04918032786885</v>
      </c>
    </row>
    <row r="3302" spans="1:15" hidden="1" x14ac:dyDescent="0.25">
      <c r="A3302" s="11">
        <v>46105</v>
      </c>
      <c r="B3302" t="s">
        <v>37</v>
      </c>
      <c r="C3302" t="s">
        <v>32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>E3302+G3302+H3302</f>
        <v>32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5</v>
      </c>
      <c r="L3302" s="3" t="str">
        <f>IF(K3302&lt;-5,"CRÍTICO",IF(K3302&lt;0,"ATENÇÃO",IF(K3302&lt;=5,"OPORTUNO","MUITO BOM")))</f>
        <v>OPORTUNO</v>
      </c>
      <c r="M3302">
        <v>31</v>
      </c>
      <c r="N3302">
        <v>97.83</v>
      </c>
      <c r="O3302">
        <v>26.315789473684209</v>
      </c>
    </row>
    <row r="3303" spans="1:15" hidden="1" x14ac:dyDescent="0.25">
      <c r="A3303" s="11">
        <v>46105</v>
      </c>
      <c r="B3303" t="s">
        <v>38</v>
      </c>
      <c r="C3303" t="s">
        <v>32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27</v>
      </c>
      <c r="K3303" s="3">
        <f>I3303-J3303</f>
        <v>-3</v>
      </c>
      <c r="L3303" s="3" t="str">
        <f>IF(K3303&lt;-5,"CRÍTICO",IF(K3303&lt;0,"ATENÇÃO",IF(K3303&lt;=5,"OPORTUNO","MUITO BOM")))</f>
        <v>ATENÇÃO</v>
      </c>
      <c r="M3303">
        <v>21</v>
      </c>
      <c r="N3303">
        <v>100</v>
      </c>
      <c r="O3303">
        <v>26.701570680628269</v>
      </c>
    </row>
    <row r="3304" spans="1:15" hidden="1" x14ac:dyDescent="0.25">
      <c r="A3304" s="11">
        <v>46105</v>
      </c>
      <c r="B3304" t="s">
        <v>55</v>
      </c>
      <c r="C3304" t="s">
        <v>48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>
        <v>0</v>
      </c>
      <c r="N3304">
        <v>97.47</v>
      </c>
      <c r="O3304">
        <v>22.887323943661968</v>
      </c>
    </row>
    <row r="3305" spans="1:15" hidden="1" x14ac:dyDescent="0.25">
      <c r="A3305" s="11">
        <v>46105</v>
      </c>
      <c r="B3305" t="s">
        <v>39</v>
      </c>
      <c r="C3305" t="s">
        <v>32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v>0</v>
      </c>
      <c r="J3305" s="3">
        <v>0</v>
      </c>
      <c r="K3305" s="3">
        <v>0</v>
      </c>
      <c r="L3305" s="3" t="str">
        <f>IF(K3305&lt;-5,"CRÍTICO",IF(K3305&lt;0,"ATENÇÃO",IF(K3305&lt;=5,"OPORTUNO","MUITO BOM")))</f>
        <v>OPORTUNO</v>
      </c>
      <c r="M3305">
        <v>0</v>
      </c>
      <c r="N3305">
        <v>0</v>
      </c>
      <c r="O3305">
        <v>0</v>
      </c>
    </row>
    <row r="3306" spans="1:15" hidden="1" x14ac:dyDescent="0.25">
      <c r="A3306" s="11">
        <v>46105</v>
      </c>
      <c r="B3306" t="s">
        <v>25</v>
      </c>
      <c r="C3306" t="s">
        <v>26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>E3306+G3306+H3306</f>
        <v>24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15</v>
      </c>
      <c r="K3306" s="3">
        <f>I3306-J3306</f>
        <v>9</v>
      </c>
      <c r="L3306" s="3" t="str">
        <f>IF(K3306&lt;-5,"CRÍTICO",IF(K3306&lt;0,"ATENÇÃO",IF(K3306&lt;=5,"OPORTUNO","MUITO BOM")))</f>
        <v>MUITO BOM</v>
      </c>
      <c r="M3306">
        <v>22</v>
      </c>
      <c r="N3306">
        <v>98.31</v>
      </c>
      <c r="O3306">
        <v>24.920127795527151</v>
      </c>
    </row>
    <row r="3307" spans="1:15" hidden="1" x14ac:dyDescent="0.25">
      <c r="A3307" s="11">
        <v>46105</v>
      </c>
      <c r="B3307" t="s">
        <v>40</v>
      </c>
      <c r="C3307" t="s">
        <v>32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>E3307+G3307+H3307</f>
        <v>20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27</v>
      </c>
      <c r="K3307" s="3">
        <f>I3307-J3307</f>
        <v>-7</v>
      </c>
      <c r="L3307" s="3" t="str">
        <f>IF(K3307&lt;-5,"CRÍTICO",IF(K3307&lt;0,"ATENÇÃO",IF(K3307&lt;=5,"OPORTUNO","MUITO BOM")))</f>
        <v>CRÍTICO</v>
      </c>
      <c r="M3307">
        <v>19</v>
      </c>
      <c r="N3307">
        <v>96.81</v>
      </c>
      <c r="O3307">
        <v>32.365145228215773</v>
      </c>
    </row>
    <row r="3308" spans="1:15" hidden="1" x14ac:dyDescent="0.25">
      <c r="A3308" s="11">
        <v>46105</v>
      </c>
      <c r="B3308" t="s">
        <v>27</v>
      </c>
      <c r="C3308" t="s">
        <v>26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>E3308+G3308+H3308</f>
        <v>14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15</v>
      </c>
      <c r="K3308" s="3">
        <f>I3308-J3308</f>
        <v>-1</v>
      </c>
      <c r="L3308" s="3" t="str">
        <f>IF(K3308&lt;-5,"CRÍTICO",IF(K3308&lt;0,"ATENÇÃO",IF(K3308&lt;=5,"OPORTUNO","MUITO BOM")))</f>
        <v>ATENÇÃO</v>
      </c>
      <c r="M3308">
        <v>10</v>
      </c>
      <c r="N3308">
        <v>100</v>
      </c>
      <c r="O3308">
        <v>26.47058823529412</v>
      </c>
    </row>
    <row r="3309" spans="1:15" hidden="1" x14ac:dyDescent="0.25">
      <c r="A3309" s="11">
        <v>46105</v>
      </c>
      <c r="B3309" t="s">
        <v>41</v>
      </c>
      <c r="C3309" t="s">
        <v>32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>E3309+G3309+H3309</f>
        <v>25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27</v>
      </c>
      <c r="K3309" s="3">
        <f>I3309-J3309</f>
        <v>-2</v>
      </c>
      <c r="L3309" s="3" t="str">
        <f>IF(K3309&lt;-5,"CRÍTICO",IF(K3309&lt;0,"ATENÇÃO",IF(K3309&lt;=5,"OPORTUNO","MUITO BOM")))</f>
        <v>ATENÇÃO</v>
      </c>
      <c r="M3309">
        <v>28</v>
      </c>
      <c r="N3309">
        <v>100</v>
      </c>
      <c r="O3309">
        <v>28.490028490028489</v>
      </c>
    </row>
    <row r="3310" spans="1:15" hidden="1" x14ac:dyDescent="0.25">
      <c r="A3310" s="11">
        <v>46105</v>
      </c>
      <c r="B3310" t="s">
        <v>56</v>
      </c>
      <c r="C3310" t="s">
        <v>48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>E3310+G3310+H3310</f>
        <v>18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21</v>
      </c>
      <c r="K3310" s="3">
        <f>I3310-J3310</f>
        <v>-3</v>
      </c>
      <c r="L3310" s="3" t="str">
        <f>IF(K3310&lt;-5,"CRÍTICO",IF(K3310&lt;0,"ATENÇÃO",IF(K3310&lt;=5,"OPORTUNO","MUITO BOM")))</f>
        <v>ATENÇÃO</v>
      </c>
      <c r="M3310">
        <v>14</v>
      </c>
      <c r="N3310">
        <v>99.14</v>
      </c>
      <c r="O3310">
        <v>27.2289156626506</v>
      </c>
    </row>
    <row r="3311" spans="1:15" hidden="1" x14ac:dyDescent="0.25">
      <c r="A3311" s="11">
        <v>46105</v>
      </c>
      <c r="B3311" t="s">
        <v>57</v>
      </c>
      <c r="C3311" t="s">
        <v>48</v>
      </c>
      <c r="D3311">
        <v>21</v>
      </c>
      <c r="E3311">
        <v>20</v>
      </c>
      <c r="F3311">
        <v>19.07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>
        <v>16</v>
      </c>
      <c r="N3311">
        <v>97.52</v>
      </c>
      <c r="O3311">
        <v>28.205128205128201</v>
      </c>
    </row>
    <row r="3312" spans="1:15" hidden="1" x14ac:dyDescent="0.25">
      <c r="A3312" s="11">
        <v>46105</v>
      </c>
      <c r="B3312" t="s">
        <v>42</v>
      </c>
      <c r="C3312" t="s">
        <v>32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v>0</v>
      </c>
      <c r="J3312" s="3">
        <v>0</v>
      </c>
      <c r="K3312" s="3">
        <v>0</v>
      </c>
      <c r="L3312" s="3" t="str">
        <f>IF(K3312&lt;-5,"CRÍTICO",IF(K3312&lt;0,"ATENÇÃO",IF(K3312&lt;=5,"OPORTUNO","MUITO BOM")))</f>
        <v>OPORTUNO</v>
      </c>
      <c r="M3312">
        <v>0</v>
      </c>
      <c r="N3312">
        <v>90</v>
      </c>
      <c r="O3312">
        <v>24.186046511627911</v>
      </c>
    </row>
    <row r="3313" spans="1:15" hidden="1" x14ac:dyDescent="0.25">
      <c r="A3313" s="11">
        <v>46105</v>
      </c>
      <c r="B3313" t="s">
        <v>62</v>
      </c>
      <c r="C3313" t="s">
        <v>23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>E3313+G3313+H3313</f>
        <v>25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17</v>
      </c>
      <c r="K3313" s="3">
        <f>I3313-J3313</f>
        <v>8</v>
      </c>
      <c r="L3313" s="3" t="str">
        <f>IF(K3313&lt;-5,"CRÍTICO",IF(K3313&lt;0,"ATENÇÃO",IF(K3313&lt;=5,"OPORTUNO","MUITO BOM")))</f>
        <v>MUITO BOM</v>
      </c>
      <c r="M3313">
        <v>23</v>
      </c>
      <c r="N3313">
        <v>98.9</v>
      </c>
      <c r="O3313">
        <v>26.763990267639901</v>
      </c>
    </row>
    <row r="3314" spans="1:15" hidden="1" x14ac:dyDescent="0.25">
      <c r="A3314" s="11">
        <v>46105</v>
      </c>
      <c r="B3314" t="s">
        <v>19</v>
      </c>
      <c r="C3314" t="s">
        <v>16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>E3314+G3314+H3314</f>
        <v>6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8</v>
      </c>
      <c r="K3314" s="3">
        <f>I3314-J3314</f>
        <v>-2</v>
      </c>
      <c r="L3314" s="3" t="str">
        <f>IF(K3314&lt;-5,"CRÍTICO",IF(K3314&lt;0,"ATENÇÃO",IF(K3314&lt;=5,"OPORTUNO","MUITO BOM")))</f>
        <v>ATENÇÃO</v>
      </c>
      <c r="M3314">
        <v>5</v>
      </c>
      <c r="N3314">
        <v>88.89</v>
      </c>
      <c r="O3314">
        <v>25.263157894736839</v>
      </c>
    </row>
    <row r="3315" spans="1:15" hidden="1" x14ac:dyDescent="0.25">
      <c r="A3315" s="11">
        <v>46105</v>
      </c>
      <c r="B3315" t="s">
        <v>43</v>
      </c>
      <c r="C3315" t="s">
        <v>32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>E3315+G3315+H3315</f>
        <v>22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-5</v>
      </c>
      <c r="L3315" s="3" t="str">
        <f>IF(K3315&lt;-5,"CRÍTICO",IF(K3315&lt;0,"ATENÇÃO",IF(K3315&lt;=5,"OPORTUNO","MUITO BOM")))</f>
        <v>ATENÇÃO</v>
      </c>
      <c r="M3315">
        <v>19</v>
      </c>
      <c r="N3315">
        <v>98.86</v>
      </c>
      <c r="O3315">
        <v>28.959276018099551</v>
      </c>
    </row>
    <row r="3316" spans="1:15" hidden="1" x14ac:dyDescent="0.25">
      <c r="A3316" s="11">
        <v>46105</v>
      </c>
      <c r="B3316" t="s">
        <v>44</v>
      </c>
      <c r="C3316" t="s">
        <v>32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>E3316+G3316+H3316</f>
        <v>23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27</v>
      </c>
      <c r="K3316" s="3">
        <f>I3316-J3316</f>
        <v>-4</v>
      </c>
      <c r="L3316" s="3" t="str">
        <f>IF(K3316&lt;-5,"CRÍTICO",IF(K3316&lt;0,"ATENÇÃO",IF(K3316&lt;=5,"OPORTUNO","MUITO BOM")))</f>
        <v>ATENÇÃO</v>
      </c>
      <c r="M3316">
        <v>23</v>
      </c>
      <c r="N3316">
        <v>98.06</v>
      </c>
      <c r="O3316">
        <v>22.40566037735849</v>
      </c>
    </row>
    <row r="3317" spans="1:15" hidden="1" x14ac:dyDescent="0.25">
      <c r="A3317" s="11">
        <v>46105</v>
      </c>
      <c r="B3317" t="s">
        <v>20</v>
      </c>
      <c r="C3317" t="s">
        <v>16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>E3317+G3317+H3317</f>
        <v>16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8</v>
      </c>
      <c r="K3317" s="3">
        <f>I3317-J3317</f>
        <v>8</v>
      </c>
      <c r="L3317" s="3" t="str">
        <f>IF(K3317&lt;-5,"CRÍTICO",IF(K3317&lt;0,"ATENÇÃO",IF(K3317&lt;=5,"OPORTUNO","MUITO BOM")))</f>
        <v>MUITO BOM</v>
      </c>
      <c r="M3317">
        <v>8</v>
      </c>
      <c r="N3317">
        <v>95.83</v>
      </c>
      <c r="O3317">
        <v>25.773195876288661</v>
      </c>
    </row>
    <row r="3318" spans="1:15" hidden="1" x14ac:dyDescent="0.25">
      <c r="A3318" s="11">
        <v>46105</v>
      </c>
      <c r="B3318" t="s">
        <v>28</v>
      </c>
      <c r="C3318" t="s">
        <v>26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v>0</v>
      </c>
      <c r="J3318" s="3">
        <v>0</v>
      </c>
      <c r="K3318" s="3">
        <v>0</v>
      </c>
      <c r="L3318" s="3" t="str">
        <f>IF(K3318&lt;-5,"CRÍTICO",IF(K3318&lt;0,"ATENÇÃO",IF(K3318&lt;=5,"OPORTUNO","MUITO BOM")))</f>
        <v>OPORTUNO</v>
      </c>
      <c r="M3318">
        <v>0</v>
      </c>
      <c r="N3318">
        <v>100</v>
      </c>
      <c r="O3318">
        <v>15.38461538461539</v>
      </c>
    </row>
    <row r="3319" spans="1:15" hidden="1" x14ac:dyDescent="0.25">
      <c r="A3319" s="11">
        <v>46105</v>
      </c>
      <c r="B3319" t="s">
        <v>58</v>
      </c>
      <c r="C3319" t="s">
        <v>48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>E3319+G3319+H3319</f>
        <v>21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21</v>
      </c>
      <c r="K3319" s="3">
        <f>I3319-J3319</f>
        <v>0</v>
      </c>
      <c r="L3319" s="3" t="str">
        <f>IF(K3319&lt;-5,"CRÍTICO",IF(K3319&lt;0,"ATENÇÃO",IF(K3319&lt;=5,"OPORTUNO","MUITO BOM")))</f>
        <v>OPORTUNO</v>
      </c>
      <c r="M3319">
        <v>20</v>
      </c>
      <c r="N3319">
        <v>100</v>
      </c>
      <c r="O3319">
        <v>27.514792899408281</v>
      </c>
    </row>
    <row r="3320" spans="1:15" hidden="1" x14ac:dyDescent="0.25">
      <c r="A3320" s="11">
        <v>46105</v>
      </c>
      <c r="B3320" t="s">
        <v>29</v>
      </c>
      <c r="C3320" t="s">
        <v>26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>E3320+G3320+H3320</f>
        <v>13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-2</v>
      </c>
      <c r="L3320" s="3" t="str">
        <f>IF(K3320&lt;-5,"CRÍTICO",IF(K3320&lt;0,"ATENÇÃO",IF(K3320&lt;=5,"OPORTUNO","MUITO BOM")))</f>
        <v>ATENÇÃO</v>
      </c>
      <c r="M3320">
        <v>12</v>
      </c>
      <c r="N3320">
        <v>100</v>
      </c>
      <c r="O3320">
        <v>24.875621890547269</v>
      </c>
    </row>
    <row r="3321" spans="1:15" hidden="1" x14ac:dyDescent="0.25">
      <c r="A3321" s="11">
        <v>46105</v>
      </c>
      <c r="B3321" t="s">
        <v>30</v>
      </c>
      <c r="C3321" t="s">
        <v>26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>E3321+G3321+H3321</f>
        <v>12</v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>15</v>
      </c>
      <c r="K3321" s="3">
        <f>I3321-J3321</f>
        <v>-3</v>
      </c>
      <c r="L3321" s="3" t="str">
        <f>IF(K3321&lt;-5,"CRÍTICO",IF(K3321&lt;0,"ATENÇÃO",IF(K3321&lt;=5,"OPORTUNO","MUITO BOM")))</f>
        <v>ATENÇÃO</v>
      </c>
      <c r="M3321">
        <v>8</v>
      </c>
      <c r="N3321">
        <v>100</v>
      </c>
      <c r="O3321">
        <v>28.108108108108109</v>
      </c>
    </row>
    <row r="3322" spans="1:15" hidden="1" x14ac:dyDescent="0.25">
      <c r="A3322" s="11">
        <v>46105</v>
      </c>
      <c r="B3322" t="s">
        <v>21</v>
      </c>
      <c r="C3322" t="s">
        <v>16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>E3322+G3322+H3322</f>
        <v>3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8</v>
      </c>
      <c r="K3322" s="3">
        <f>I3322-J3322</f>
        <v>-5</v>
      </c>
      <c r="L3322" s="3" t="str">
        <f>IF(K3322&lt;-5,"CRÍTICO",IF(K3322&lt;0,"ATENÇÃO",IF(K3322&lt;=5,"OPORTUNO","MUITO BOM")))</f>
        <v>ATENÇÃO</v>
      </c>
      <c r="M3322">
        <v>2</v>
      </c>
      <c r="N3322">
        <v>100</v>
      </c>
      <c r="O3322">
        <v>35</v>
      </c>
    </row>
    <row r="3323" spans="1:15" hidden="1" x14ac:dyDescent="0.25">
      <c r="A3323" s="11">
        <v>46105</v>
      </c>
      <c r="B3323" t="s">
        <v>63</v>
      </c>
      <c r="C3323" t="s">
        <v>23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>E3323+G3323+H3323</f>
        <v>25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17</v>
      </c>
      <c r="K3323" s="3">
        <f>I3323-J3323</f>
        <v>8</v>
      </c>
      <c r="L3323" s="3" t="str">
        <f>IF(K3323&lt;-5,"CRÍTICO",IF(K3323&lt;0,"ATENÇÃO",IF(K3323&lt;=5,"OPORTUNO","MUITO BOM")))</f>
        <v>MUITO BOM</v>
      </c>
      <c r="M3323">
        <v>18</v>
      </c>
      <c r="N3323">
        <v>95.35</v>
      </c>
      <c r="O3323">
        <v>28.61538461538461</v>
      </c>
    </row>
    <row r="3324" spans="1:15" hidden="1" x14ac:dyDescent="0.25">
      <c r="A3324" s="11">
        <v>46105</v>
      </c>
      <c r="B3324" t="s">
        <v>45</v>
      </c>
      <c r="C3324" t="s">
        <v>32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>E3324+G3324+H3324</f>
        <v>34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27</v>
      </c>
      <c r="K3324" s="3">
        <f>I3324-J3324</f>
        <v>7</v>
      </c>
      <c r="L3324" s="3" t="str">
        <f>IF(K3324&lt;-5,"CRÍTICO",IF(K3324&lt;0,"ATENÇÃO",IF(K3324&lt;=5,"OPORTUNO","MUITO BOM")))</f>
        <v>MUITO BOM</v>
      </c>
      <c r="M3324">
        <v>25</v>
      </c>
      <c r="N3324">
        <v>98.26</v>
      </c>
      <c r="O3324">
        <v>27.54491017964072</v>
      </c>
    </row>
    <row r="3325" spans="1:15" hidden="1" x14ac:dyDescent="0.25">
      <c r="A3325" s="11">
        <v>46105</v>
      </c>
      <c r="B3325" t="s">
        <v>64</v>
      </c>
      <c r="C3325" t="s">
        <v>23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>E3325+G3325+H3325</f>
        <v>11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17</v>
      </c>
      <c r="K3325" s="3">
        <f>I3325-J3325</f>
        <v>-6</v>
      </c>
      <c r="L3325" s="3" t="str">
        <f>IF(K3325&lt;-5,"CRÍTICO",IF(K3325&lt;0,"ATENÇÃO",IF(K3325&lt;=5,"OPORTUNO","MUITO BOM")))</f>
        <v>CRÍTICO</v>
      </c>
      <c r="M3325">
        <v>12</v>
      </c>
      <c r="N3325">
        <v>98.55</v>
      </c>
      <c r="O3325">
        <v>25.337837837837839</v>
      </c>
    </row>
    <row r="3326" spans="1:15" hidden="1" x14ac:dyDescent="0.25">
      <c r="A3326" s="11">
        <v>46105</v>
      </c>
      <c r="B3326" t="s">
        <v>46</v>
      </c>
      <c r="C3326" t="s">
        <v>32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>E3326+G3326+H3326</f>
        <v>27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27</v>
      </c>
      <c r="K3326" s="3">
        <f>I3326-J3326</f>
        <v>0</v>
      </c>
      <c r="L3326" s="3" t="str">
        <f>IF(K3326&lt;-5,"CRÍTICO",IF(K3326&lt;0,"ATENÇÃO",IF(K3326&lt;=5,"OPORTUNO","MUITO BOM")))</f>
        <v>OPORTUNO</v>
      </c>
      <c r="M3326">
        <v>26</v>
      </c>
      <c r="N3326">
        <v>98.39</v>
      </c>
      <c r="O3326">
        <v>25.563909774436091</v>
      </c>
    </row>
    <row r="3327" spans="1:15" hidden="1" x14ac:dyDescent="0.25">
      <c r="A3327" s="11">
        <v>46106</v>
      </c>
      <c r="B3327" t="s">
        <v>47</v>
      </c>
      <c r="C3327" t="s">
        <v>48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>E3327+G3327+H3327</f>
        <v>18</v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>19</v>
      </c>
      <c r="K3327" s="3">
        <f>I3327-J3327</f>
        <v>-1</v>
      </c>
      <c r="L3327" s="3" t="str">
        <f>IF(K3327&lt;-5,"CRÍTICO",IF(K3327&lt;0,"ATENÇÃO",IF(K3327&lt;=5,"OPORTUNO","MUITO BOM")))</f>
        <v>ATENÇÃO</v>
      </c>
      <c r="M3327">
        <v>13</v>
      </c>
      <c r="N3327">
        <v>94.29</v>
      </c>
      <c r="O3327">
        <v>25.647668393782389</v>
      </c>
    </row>
    <row r="3328" spans="1:15" hidden="1" x14ac:dyDescent="0.25">
      <c r="A3328" s="11">
        <v>46106</v>
      </c>
      <c r="B3328" t="s">
        <v>31</v>
      </c>
      <c r="C3328" t="s">
        <v>32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v>0</v>
      </c>
      <c r="J3328" s="3">
        <v>0</v>
      </c>
      <c r="K3328" s="3">
        <v>0</v>
      </c>
      <c r="L3328" s="3" t="str">
        <f>IF(K3328&lt;-5,"CRÍTICO",IF(K3328&lt;0,"ATENÇÃO",IF(K3328&lt;=5,"OPORTUNO","MUITO BOM")))</f>
        <v>OPORTUNO</v>
      </c>
      <c r="M3328">
        <v>18</v>
      </c>
      <c r="N3328">
        <v>98.26</v>
      </c>
      <c r="O3328">
        <v>26.666666666666671</v>
      </c>
    </row>
    <row r="3329" spans="1:15" hidden="1" x14ac:dyDescent="0.25">
      <c r="A3329" s="11">
        <v>46106</v>
      </c>
      <c r="B3329" t="s">
        <v>59</v>
      </c>
      <c r="C3329" t="s">
        <v>23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>E3329+G3329+H3329</f>
        <v>18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16</v>
      </c>
      <c r="K3329" s="3">
        <f>I3329-J3329</f>
        <v>2</v>
      </c>
      <c r="L3329" s="3" t="str">
        <f>IF(K3329&lt;-5,"CRÍTICO",IF(K3329&lt;0,"ATENÇÃO",IF(K3329&lt;=5,"OPORTUNO","MUITO BOM")))</f>
        <v>OPORTUNO</v>
      </c>
      <c r="M3329">
        <v>16</v>
      </c>
      <c r="N3329">
        <v>98.2</v>
      </c>
      <c r="O3329">
        <v>23.37962962962963</v>
      </c>
    </row>
    <row r="3330" spans="1:15" hidden="1" x14ac:dyDescent="0.25">
      <c r="A3330" s="11">
        <v>46106</v>
      </c>
      <c r="B3330" t="s">
        <v>33</v>
      </c>
      <c r="C3330" t="s">
        <v>32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>E3330+G3330+H3330</f>
        <v>22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24</v>
      </c>
      <c r="K3330" s="3">
        <f>I3330-J3330</f>
        <v>-2</v>
      </c>
      <c r="L3330" s="3" t="str">
        <f>IF(K3330&lt;-5,"CRÍTICO",IF(K3330&lt;0,"ATENÇÃO",IF(K3330&lt;=5,"OPORTUNO","MUITO BOM")))</f>
        <v>ATENÇÃO</v>
      </c>
      <c r="M3330">
        <v>23</v>
      </c>
      <c r="N3330">
        <v>97.3</v>
      </c>
      <c r="O3330">
        <v>23.84769539078156</v>
      </c>
    </row>
    <row r="3331" spans="1:15" hidden="1" x14ac:dyDescent="0.25">
      <c r="A3331" s="11">
        <v>46106</v>
      </c>
      <c r="B3331" t="s">
        <v>15</v>
      </c>
      <c r="C3331" t="s">
        <v>16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>E3331+G3331+H3331</f>
        <v>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7</v>
      </c>
      <c r="K3331" s="3">
        <f>I3331-J3331</f>
        <v>2</v>
      </c>
      <c r="L3331" s="3" t="str">
        <f>IF(K3331&lt;-5,"CRÍTICO",IF(K3331&lt;0,"ATENÇÃO",IF(K3331&lt;=5,"OPORTUNO","MUITO BOM")))</f>
        <v>OPORTUNO</v>
      </c>
      <c r="M3331">
        <v>8</v>
      </c>
      <c r="N3331">
        <v>100</v>
      </c>
      <c r="O3331">
        <v>25.268817204301079</v>
      </c>
    </row>
    <row r="3332" spans="1:15" hidden="1" x14ac:dyDescent="0.25">
      <c r="A3332" s="11">
        <v>46106</v>
      </c>
      <c r="B3332" t="s">
        <v>49</v>
      </c>
      <c r="C3332" t="s">
        <v>48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>E3332+G3332+H3332</f>
        <v>29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10</v>
      </c>
      <c r="L3332" s="3" t="str">
        <f>IF(K3332&lt;-5,"CRÍTICO",IF(K3332&lt;0,"ATENÇÃO",IF(K3332&lt;=5,"OPORTUNO","MUITO BOM")))</f>
        <v>MUITO BOM</v>
      </c>
      <c r="M3332">
        <v>32</v>
      </c>
      <c r="N3332">
        <v>99.32</v>
      </c>
      <c r="O3332">
        <v>22.822822822822818</v>
      </c>
    </row>
    <row r="3333" spans="1:15" hidden="1" x14ac:dyDescent="0.25">
      <c r="A3333" s="11">
        <v>46106</v>
      </c>
      <c r="B3333" t="s">
        <v>50</v>
      </c>
      <c r="C3333" t="s">
        <v>48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>E3333+G3333+H3333</f>
        <v>18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19</v>
      </c>
      <c r="K3333" s="3">
        <f>I3333-J3333</f>
        <v>-1</v>
      </c>
      <c r="L3333" s="3" t="str">
        <f>IF(K3333&lt;-5,"CRÍTICO",IF(K3333&lt;0,"ATENÇÃO",IF(K3333&lt;=5,"OPORTUNO","MUITO BOM")))</f>
        <v>ATENÇÃO</v>
      </c>
      <c r="M3333">
        <v>20</v>
      </c>
      <c r="N3333">
        <v>100</v>
      </c>
      <c r="O3333">
        <v>27.966101694915249</v>
      </c>
    </row>
    <row r="3334" spans="1:15" hidden="1" x14ac:dyDescent="0.25">
      <c r="A3334" s="11">
        <v>46106</v>
      </c>
      <c r="B3334" t="s">
        <v>17</v>
      </c>
      <c r="C3334" t="s">
        <v>16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>E3334+G3334+H3334</f>
        <v>4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7</v>
      </c>
      <c r="K3334" s="3">
        <f>I3334-J3334</f>
        <v>-3</v>
      </c>
      <c r="L3334" s="3" t="str">
        <f>IF(K3334&lt;-5,"CRÍTICO",IF(K3334&lt;0,"ATENÇÃO",IF(K3334&lt;=5,"OPORTUNO","MUITO BOM")))</f>
        <v>ATENÇÃO</v>
      </c>
      <c r="M3334">
        <v>2</v>
      </c>
      <c r="N3334">
        <v>100</v>
      </c>
      <c r="O3334">
        <v>30.434782608695659</v>
      </c>
    </row>
    <row r="3335" spans="1:15" hidden="1" x14ac:dyDescent="0.25">
      <c r="A3335" s="11">
        <v>46106</v>
      </c>
      <c r="B3335" t="s">
        <v>60</v>
      </c>
      <c r="C3335" t="s">
        <v>23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>E3335+G3335+H3335</f>
        <v>20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16</v>
      </c>
      <c r="K3335" s="3">
        <f>I3335-J3335</f>
        <v>4</v>
      </c>
      <c r="L3335" s="3" t="str">
        <f>IF(K3335&lt;-5,"CRÍTICO",IF(K3335&lt;0,"ATENÇÃO",IF(K3335&lt;=5,"OPORTUNO","MUITO BOM")))</f>
        <v>OPORTUNO</v>
      </c>
      <c r="M3335">
        <v>15</v>
      </c>
      <c r="N3335">
        <v>96.51</v>
      </c>
      <c r="O3335">
        <v>22.802850356294542</v>
      </c>
    </row>
    <row r="3336" spans="1:15" hidden="1" x14ac:dyDescent="0.25">
      <c r="A3336" s="11">
        <v>46106</v>
      </c>
      <c r="B3336" t="s">
        <v>34</v>
      </c>
      <c r="C3336" t="s">
        <v>32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>E3336+G3336+H3336</f>
        <v>27</v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>24</v>
      </c>
      <c r="K3336" s="3">
        <f>I3336-J3336</f>
        <v>3</v>
      </c>
      <c r="L3336" s="3" t="str">
        <f>IF(K3336&lt;-5,"CRÍTICO",IF(K3336&lt;0,"ATENÇÃO",IF(K3336&lt;=5,"OPORTUNO","MUITO BOM")))</f>
        <v>OPORTUNO</v>
      </c>
      <c r="M3336">
        <v>24</v>
      </c>
      <c r="N3336">
        <v>92.68</v>
      </c>
      <c r="O3336">
        <v>27.777777777777779</v>
      </c>
    </row>
    <row r="3337" spans="1:15" hidden="1" x14ac:dyDescent="0.25">
      <c r="A3337" s="11">
        <v>46106</v>
      </c>
      <c r="B3337" t="s">
        <v>51</v>
      </c>
      <c r="C3337" t="s">
        <v>48</v>
      </c>
      <c r="D3337">
        <v>31</v>
      </c>
      <c r="E3337">
        <v>26</v>
      </c>
      <c r="F3337">
        <v>15.43</v>
      </c>
      <c r="G3337">
        <v>0</v>
      </c>
      <c r="H3337">
        <v>0</v>
      </c>
      <c r="I3337" s="3">
        <v>0</v>
      </c>
      <c r="J3337" s="3">
        <v>0</v>
      </c>
      <c r="K3337" s="3">
        <v>0</v>
      </c>
      <c r="L3337" s="3" t="str">
        <f>IF(K3337&lt;-5,"CRÍTICO",IF(K3337&lt;0,"ATENÇÃO",IF(K3337&lt;=5,"OPORTUNO","MUITO BOM")))</f>
        <v>OPORTUNO</v>
      </c>
      <c r="M3337">
        <v>23</v>
      </c>
      <c r="N3337">
        <v>99.03</v>
      </c>
      <c r="O3337">
        <v>23.991507430997881</v>
      </c>
    </row>
    <row r="3338" spans="1:15" hidden="1" x14ac:dyDescent="0.25">
      <c r="A3338" s="11">
        <v>46106</v>
      </c>
      <c r="B3338" t="s">
        <v>61</v>
      </c>
      <c r="C3338" t="s">
        <v>23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>E3338+G3338+H3338</f>
        <v>20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16</v>
      </c>
      <c r="K3338" s="3">
        <f>I3338-J3338</f>
        <v>4</v>
      </c>
      <c r="L3338" s="3" t="str">
        <f>IF(K3338&lt;-5,"CRÍTICO",IF(K3338&lt;0,"ATENÇÃO",IF(K3338&lt;=5,"OPORTUNO","MUITO BOM")))</f>
        <v>OPORTUNO</v>
      </c>
      <c r="M3338">
        <v>7</v>
      </c>
      <c r="N3338">
        <v>98.41</v>
      </c>
      <c r="O3338">
        <v>28.138528138528141</v>
      </c>
    </row>
    <row r="3339" spans="1:15" hidden="1" x14ac:dyDescent="0.25">
      <c r="A3339" s="11">
        <v>46106</v>
      </c>
      <c r="B3339" t="s">
        <v>35</v>
      </c>
      <c r="C3339" t="s">
        <v>32</v>
      </c>
      <c r="D3339">
        <v>15</v>
      </c>
      <c r="E3339">
        <v>14</v>
      </c>
      <c r="F3339">
        <v>33.35</v>
      </c>
      <c r="G3339">
        <v>0</v>
      </c>
      <c r="H3339">
        <v>0</v>
      </c>
      <c r="I3339" s="3">
        <v>0</v>
      </c>
      <c r="J3339" s="3">
        <v>0</v>
      </c>
      <c r="K3339" s="3">
        <v>0</v>
      </c>
      <c r="L3339" s="3" t="str">
        <f>IF(K3339&lt;-5,"CRÍTICO",IF(K3339&lt;0,"ATENÇÃO",IF(K3339&lt;=5,"OPORTUNO","MUITO BOM")))</f>
        <v>OPORTUNO</v>
      </c>
      <c r="M3339">
        <v>14</v>
      </c>
      <c r="N3339">
        <v>98.73</v>
      </c>
      <c r="O3339">
        <v>29.142857142857139</v>
      </c>
    </row>
    <row r="3340" spans="1:15" hidden="1" x14ac:dyDescent="0.25">
      <c r="A3340" s="11">
        <v>46106</v>
      </c>
      <c r="B3340" t="s">
        <v>18</v>
      </c>
      <c r="C3340" t="s">
        <v>16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>E3340+G3340+H3340</f>
        <v>7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7</v>
      </c>
      <c r="K3340" s="3">
        <f>I3340-J3340</f>
        <v>0</v>
      </c>
      <c r="L3340" s="3" t="str">
        <f>IF(K3340&lt;-5,"CRÍTICO",IF(K3340&lt;0,"ATENÇÃO",IF(K3340&lt;=5,"OPORTUNO","MUITO BOM")))</f>
        <v>OPORTUNO</v>
      </c>
      <c r="M3340">
        <v>7</v>
      </c>
      <c r="N3340">
        <v>90.48</v>
      </c>
      <c r="O3340">
        <v>20.68965517241379</v>
      </c>
    </row>
    <row r="3341" spans="1:15" hidden="1" x14ac:dyDescent="0.25">
      <c r="A3341" s="11">
        <v>46106</v>
      </c>
      <c r="B3341" t="s">
        <v>52</v>
      </c>
      <c r="C3341" t="s">
        <v>48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>E3341+G3341+H3341</f>
        <v>23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19</v>
      </c>
      <c r="K3341" s="3">
        <f>I3341-J3341</f>
        <v>4</v>
      </c>
      <c r="L3341" s="3" t="str">
        <f>IF(K3341&lt;-5,"CRÍTICO",IF(K3341&lt;0,"ATENÇÃO",IF(K3341&lt;=5,"OPORTUNO","MUITO BOM")))</f>
        <v>OPORTUNO</v>
      </c>
      <c r="M3341">
        <v>23</v>
      </c>
      <c r="N3341">
        <v>98.06</v>
      </c>
      <c r="O3341">
        <v>24.789915966386559</v>
      </c>
    </row>
    <row r="3342" spans="1:15" hidden="1" x14ac:dyDescent="0.25">
      <c r="A3342" s="11">
        <v>46106</v>
      </c>
      <c r="B3342" t="s">
        <v>36</v>
      </c>
      <c r="C3342" t="s">
        <v>32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>E3342+G3342+H3342</f>
        <v>19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24</v>
      </c>
      <c r="K3342" s="3">
        <f>I3342-J3342</f>
        <v>-5</v>
      </c>
      <c r="L3342" s="3" t="str">
        <f>IF(K3342&lt;-5,"CRÍTICO",IF(K3342&lt;0,"ATENÇÃO",IF(K3342&lt;=5,"OPORTUNO","MUITO BOM")))</f>
        <v>ATENÇÃO</v>
      </c>
      <c r="M3342">
        <v>16</v>
      </c>
      <c r="N3342">
        <v>97.78</v>
      </c>
      <c r="O3342">
        <v>25.494071146245059</v>
      </c>
    </row>
    <row r="3343" spans="1:15" hidden="1" x14ac:dyDescent="0.25">
      <c r="A3343" s="11">
        <v>46106</v>
      </c>
      <c r="B3343" t="s">
        <v>53</v>
      </c>
      <c r="C3343" t="s">
        <v>48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>E3343+G3343+H3343</f>
        <v>17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19</v>
      </c>
      <c r="K3343" s="3">
        <f>I3343-J3343</f>
        <v>-2</v>
      </c>
      <c r="L3343" s="3" t="str">
        <f>IF(K3343&lt;-5,"CRÍTICO",IF(K3343&lt;0,"ATENÇÃO",IF(K3343&lt;=5,"OPORTUNO","MUITO BOM")))</f>
        <v>ATENÇÃO</v>
      </c>
      <c r="M3343">
        <v>19</v>
      </c>
      <c r="N3343">
        <v>98.02</v>
      </c>
      <c r="O3343">
        <v>23.484848484848481</v>
      </c>
    </row>
    <row r="3344" spans="1:15" hidden="1" x14ac:dyDescent="0.25">
      <c r="A3344" s="10">
        <v>46164</v>
      </c>
      <c r="B3344" s="6" t="s">
        <v>54</v>
      </c>
      <c r="C3344" s="3" t="s">
        <v>48</v>
      </c>
      <c r="D3344" s="3">
        <v>15</v>
      </c>
      <c r="E3344" s="3">
        <v>15</v>
      </c>
      <c r="F3344" s="3">
        <v>28.35</v>
      </c>
      <c r="G3344" s="3">
        <v>0</v>
      </c>
      <c r="H3344" s="3">
        <v>0</v>
      </c>
      <c r="I3344" s="3">
        <f>E3344+G3344+H3344</f>
        <v>15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15</v>
      </c>
      <c r="K3344" s="3">
        <f>I3344-J3344</f>
        <v>0</v>
      </c>
      <c r="L3344" s="3" t="str">
        <f>IF(K3344&lt;-5,"CRÍTICO",IF(K3344&lt;0,"ATENÇÃO",IF(K3344&lt;=5,"OPORTUNO","MUITO BOM")))</f>
        <v>OPORTUNO</v>
      </c>
      <c r="M3344" s="3">
        <v>13</v>
      </c>
      <c r="N3344" s="3">
        <v>98.98</v>
      </c>
      <c r="O3344" s="3">
        <v>19.35483870967742</v>
      </c>
    </row>
    <row r="3345" spans="1:15" hidden="1" x14ac:dyDescent="0.25">
      <c r="A3345" s="11">
        <v>46106</v>
      </c>
      <c r="B3345" t="s">
        <v>54</v>
      </c>
      <c r="C3345" t="s">
        <v>48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>E3345+G3345+H3345</f>
        <v>20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19</v>
      </c>
      <c r="K3345" s="3">
        <f>I3345-J3345</f>
        <v>1</v>
      </c>
      <c r="L3345" s="3" t="str">
        <f>IF(K3345&lt;-5,"CRÍTICO",IF(K3345&lt;0,"ATENÇÃO",IF(K3345&lt;=5,"OPORTUNO","MUITO BOM")))</f>
        <v>OPORTUNO</v>
      </c>
      <c r="M3345">
        <v>17</v>
      </c>
      <c r="N3345">
        <v>100</v>
      </c>
      <c r="O3345">
        <v>27.04918032786885</v>
      </c>
    </row>
    <row r="3346" spans="1:15" hidden="1" x14ac:dyDescent="0.25">
      <c r="A3346" s="11">
        <v>46106</v>
      </c>
      <c r="B3346" t="s">
        <v>37</v>
      </c>
      <c r="C3346" t="s">
        <v>32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>E3346+G3346+H3346</f>
        <v>29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5</v>
      </c>
      <c r="L3346" s="3" t="str">
        <f>IF(K3346&lt;-5,"CRÍTICO",IF(K3346&lt;0,"ATENÇÃO",IF(K3346&lt;=5,"OPORTUNO","MUITO BOM")))</f>
        <v>OPORTUNO</v>
      </c>
      <c r="M3346">
        <v>28</v>
      </c>
      <c r="N3346">
        <v>97.83</v>
      </c>
      <c r="O3346">
        <v>26.315789473684209</v>
      </c>
    </row>
    <row r="3347" spans="1:15" hidden="1" x14ac:dyDescent="0.25">
      <c r="A3347" s="11">
        <v>46106</v>
      </c>
      <c r="B3347" t="s">
        <v>38</v>
      </c>
      <c r="C3347" t="s">
        <v>32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>E3347+G3347+H3347</f>
        <v>15</v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>24</v>
      </c>
      <c r="K3347" s="3">
        <f>I3347-J3347</f>
        <v>-9</v>
      </c>
      <c r="L3347" s="3" t="str">
        <f>IF(K3347&lt;-5,"CRÍTICO",IF(K3347&lt;0,"ATENÇÃO",IF(K3347&lt;=5,"OPORTUNO","MUITO BOM")))</f>
        <v>CRÍTICO</v>
      </c>
      <c r="M3347">
        <v>14</v>
      </c>
      <c r="N3347">
        <v>100</v>
      </c>
      <c r="O3347">
        <v>26.701570680628269</v>
      </c>
    </row>
    <row r="3348" spans="1:15" hidden="1" x14ac:dyDescent="0.25">
      <c r="A3348" s="11">
        <v>46106</v>
      </c>
      <c r="B3348" t="s">
        <v>55</v>
      </c>
      <c r="C3348" t="s">
        <v>48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>
        <v>0</v>
      </c>
      <c r="N3348">
        <v>97.47</v>
      </c>
      <c r="O3348">
        <v>22.887323943661968</v>
      </c>
    </row>
    <row r="3349" spans="1:15" hidden="1" x14ac:dyDescent="0.25">
      <c r="A3349" s="11">
        <v>46106</v>
      </c>
      <c r="B3349" t="s">
        <v>39</v>
      </c>
      <c r="C3349" t="s">
        <v>32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v>0</v>
      </c>
      <c r="J3349" s="3">
        <v>0</v>
      </c>
      <c r="K3349" s="3">
        <v>0</v>
      </c>
      <c r="L3349" s="3" t="str">
        <f>IF(K3349&lt;-5,"CRÍTICO",IF(K3349&lt;0,"ATENÇÃO",IF(K3349&lt;=5,"OPORTUNO","MUITO BOM")))</f>
        <v>OPORTUNO</v>
      </c>
      <c r="M3349">
        <v>0</v>
      </c>
      <c r="N3349">
        <v>0</v>
      </c>
      <c r="O3349">
        <v>0</v>
      </c>
    </row>
    <row r="3350" spans="1:15" hidden="1" x14ac:dyDescent="0.25">
      <c r="A3350" s="11">
        <v>46106</v>
      </c>
      <c r="B3350" t="s">
        <v>25</v>
      </c>
      <c r="C3350" t="s">
        <v>26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>E3350+G3350+H3350</f>
        <v>14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14</v>
      </c>
      <c r="K3350" s="3">
        <f>I3350-J3350</f>
        <v>0</v>
      </c>
      <c r="L3350" s="3" t="str">
        <f>IF(K3350&lt;-5,"CRÍTICO",IF(K3350&lt;0,"ATENÇÃO",IF(K3350&lt;=5,"OPORTUNO","MUITO BOM")))</f>
        <v>OPORTUNO</v>
      </c>
      <c r="M3350">
        <v>14</v>
      </c>
      <c r="N3350">
        <v>98.31</v>
      </c>
      <c r="O3350">
        <v>24.920127795527151</v>
      </c>
    </row>
    <row r="3351" spans="1:15" hidden="1" x14ac:dyDescent="0.25">
      <c r="A3351" s="11">
        <v>46106</v>
      </c>
      <c r="B3351" t="s">
        <v>40</v>
      </c>
      <c r="C3351" t="s">
        <v>32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>E3351+G3351+H3351</f>
        <v>18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24</v>
      </c>
      <c r="K3351" s="3">
        <f>I3351-J3351</f>
        <v>-6</v>
      </c>
      <c r="L3351" s="3" t="str">
        <f>IF(K3351&lt;-5,"CRÍTICO",IF(K3351&lt;0,"ATENÇÃO",IF(K3351&lt;=5,"OPORTUNO","MUITO BOM")))</f>
        <v>CRÍTICO</v>
      </c>
      <c r="M3351">
        <v>19</v>
      </c>
      <c r="N3351">
        <v>96.81</v>
      </c>
      <c r="O3351">
        <v>32.365145228215773</v>
      </c>
    </row>
    <row r="3352" spans="1:15" hidden="1" x14ac:dyDescent="0.25">
      <c r="A3352" s="11">
        <v>46106</v>
      </c>
      <c r="B3352" t="s">
        <v>27</v>
      </c>
      <c r="C3352" t="s">
        <v>26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>E3352+G3352+H3352</f>
        <v>15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14</v>
      </c>
      <c r="K3352" s="3">
        <f>I3352-J3352</f>
        <v>1</v>
      </c>
      <c r="L3352" s="3" t="str">
        <f>IF(K3352&lt;-5,"CRÍTICO",IF(K3352&lt;0,"ATENÇÃO",IF(K3352&lt;=5,"OPORTUNO","MUITO BOM")))</f>
        <v>OPORTUNO</v>
      </c>
      <c r="M3352">
        <v>8</v>
      </c>
      <c r="N3352">
        <v>100</v>
      </c>
      <c r="O3352">
        <v>26.47058823529412</v>
      </c>
    </row>
    <row r="3353" spans="1:15" hidden="1" x14ac:dyDescent="0.25">
      <c r="A3353" s="11">
        <v>46106</v>
      </c>
      <c r="B3353" t="s">
        <v>41</v>
      </c>
      <c r="C3353" t="s">
        <v>32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>E3353+G3353+H3353</f>
        <v>24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24</v>
      </c>
      <c r="K3353" s="3">
        <f>I3353-J3353</f>
        <v>0</v>
      </c>
      <c r="L3353" s="3" t="str">
        <f>IF(K3353&lt;-5,"CRÍTICO",IF(K3353&lt;0,"ATENÇÃO",IF(K3353&lt;=5,"OPORTUNO","MUITO BOM")))</f>
        <v>OPORTUNO</v>
      </c>
      <c r="M3353">
        <v>22</v>
      </c>
      <c r="N3353">
        <v>100</v>
      </c>
      <c r="O3353">
        <v>28.490028490028489</v>
      </c>
    </row>
    <row r="3354" spans="1:15" hidden="1" x14ac:dyDescent="0.25">
      <c r="A3354" s="11">
        <v>46106</v>
      </c>
      <c r="B3354" t="s">
        <v>56</v>
      </c>
      <c r="C3354" t="s">
        <v>48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>E3354+G3354+H3354</f>
        <v>23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19</v>
      </c>
      <c r="K3354" s="3">
        <f>I3354-J3354</f>
        <v>4</v>
      </c>
      <c r="L3354" s="3" t="str">
        <f>IF(K3354&lt;-5,"CRÍTICO",IF(K3354&lt;0,"ATENÇÃO",IF(K3354&lt;=5,"OPORTUNO","MUITO BOM")))</f>
        <v>OPORTUNO</v>
      </c>
      <c r="M3354">
        <v>18</v>
      </c>
      <c r="N3354">
        <v>99.14</v>
      </c>
      <c r="O3354">
        <v>27.2289156626506</v>
      </c>
    </row>
    <row r="3355" spans="1:15" hidden="1" x14ac:dyDescent="0.25">
      <c r="A3355" s="11">
        <v>46106</v>
      </c>
      <c r="B3355" t="s">
        <v>57</v>
      </c>
      <c r="C3355" t="s">
        <v>48</v>
      </c>
      <c r="D3355">
        <v>12</v>
      </c>
      <c r="E3355">
        <v>12</v>
      </c>
      <c r="F3355">
        <v>27.1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>
        <v>9</v>
      </c>
      <c r="N3355">
        <v>97.52</v>
      </c>
      <c r="O3355">
        <v>28.205128205128201</v>
      </c>
    </row>
    <row r="3356" spans="1:15" hidden="1" x14ac:dyDescent="0.25">
      <c r="A3356" s="11">
        <v>46106</v>
      </c>
      <c r="B3356" t="s">
        <v>42</v>
      </c>
      <c r="C3356" t="s">
        <v>32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v>0</v>
      </c>
      <c r="J3356" s="3">
        <v>0</v>
      </c>
      <c r="K3356" s="3">
        <v>0</v>
      </c>
      <c r="L3356" s="3" t="str">
        <f>IF(K3356&lt;-5,"CRÍTICO",IF(K3356&lt;0,"ATENÇÃO",IF(K3356&lt;=5,"OPORTUNO","MUITO BOM")))</f>
        <v>OPORTUNO</v>
      </c>
      <c r="M3356">
        <v>0</v>
      </c>
      <c r="N3356">
        <v>90</v>
      </c>
      <c r="O3356">
        <v>24.186046511627911</v>
      </c>
    </row>
    <row r="3357" spans="1:15" hidden="1" x14ac:dyDescent="0.25">
      <c r="A3357" s="11">
        <v>46106</v>
      </c>
      <c r="B3357" t="s">
        <v>62</v>
      </c>
      <c r="C3357" t="s">
        <v>23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>E3357+G3357+H3357</f>
        <v>17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16</v>
      </c>
      <c r="K3357" s="3">
        <f>I3357-J3357</f>
        <v>1</v>
      </c>
      <c r="L3357" s="3" t="str">
        <f>IF(K3357&lt;-5,"CRÍTICO",IF(K3357&lt;0,"ATENÇÃO",IF(K3357&lt;=5,"OPORTUNO","MUITO BOM")))</f>
        <v>OPORTUNO</v>
      </c>
      <c r="M3357">
        <v>14</v>
      </c>
      <c r="N3357">
        <v>98.9</v>
      </c>
      <c r="O3357">
        <v>26.763990267639901</v>
      </c>
    </row>
    <row r="3358" spans="1:15" hidden="1" x14ac:dyDescent="0.25">
      <c r="A3358" s="11">
        <v>46106</v>
      </c>
      <c r="B3358" t="s">
        <v>19</v>
      </c>
      <c r="C3358" t="s">
        <v>16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>E3358+G3358+H3358</f>
        <v>7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7</v>
      </c>
      <c r="K3358" s="3">
        <f>I3358-J3358</f>
        <v>0</v>
      </c>
      <c r="L3358" s="3" t="str">
        <f>IF(K3358&lt;-5,"CRÍTICO",IF(K3358&lt;0,"ATENÇÃO",IF(K3358&lt;=5,"OPORTUNO","MUITO BOM")))</f>
        <v>OPORTUNO</v>
      </c>
      <c r="M3358">
        <v>6</v>
      </c>
      <c r="N3358">
        <v>88.89</v>
      </c>
      <c r="O3358">
        <v>25.263157894736839</v>
      </c>
    </row>
    <row r="3359" spans="1:15" hidden="1" x14ac:dyDescent="0.25">
      <c r="A3359" s="11">
        <v>46106</v>
      </c>
      <c r="B3359" t="s">
        <v>43</v>
      </c>
      <c r="C3359" t="s">
        <v>32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>E3359+G3359+H3359</f>
        <v>30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6</v>
      </c>
      <c r="L3359" s="3" t="str">
        <f>IF(K3359&lt;-5,"CRÍTICO",IF(K3359&lt;0,"ATENÇÃO",IF(K3359&lt;=5,"OPORTUNO","MUITO BOM")))</f>
        <v>MUITO BOM</v>
      </c>
      <c r="M3359">
        <v>27</v>
      </c>
      <c r="N3359">
        <v>98.86</v>
      </c>
      <c r="O3359">
        <v>28.959276018099551</v>
      </c>
    </row>
    <row r="3360" spans="1:15" hidden="1" x14ac:dyDescent="0.25">
      <c r="A3360" s="11">
        <v>46106</v>
      </c>
      <c r="B3360" t="s">
        <v>44</v>
      </c>
      <c r="C3360" t="s">
        <v>32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>E3360+G3360+H3360</f>
        <v>24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24</v>
      </c>
      <c r="K3360" s="3">
        <f>I3360-J3360</f>
        <v>0</v>
      </c>
      <c r="L3360" s="3" t="str">
        <f>IF(K3360&lt;-5,"CRÍTICO",IF(K3360&lt;0,"ATENÇÃO",IF(K3360&lt;=5,"OPORTUNO","MUITO BOM")))</f>
        <v>OPORTUNO</v>
      </c>
      <c r="M3360">
        <v>19</v>
      </c>
      <c r="N3360">
        <v>98.06</v>
      </c>
      <c r="O3360">
        <v>22.40566037735849</v>
      </c>
    </row>
    <row r="3361" spans="1:15" hidden="1" x14ac:dyDescent="0.25">
      <c r="A3361" s="11">
        <v>46106</v>
      </c>
      <c r="B3361" t="s">
        <v>20</v>
      </c>
      <c r="C3361" t="s">
        <v>16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>E3361+G3361+H3361</f>
        <v>13</v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>7</v>
      </c>
      <c r="K3361" s="3">
        <f>I3361-J3361</f>
        <v>6</v>
      </c>
      <c r="L3361" s="3" t="str">
        <f>IF(K3361&lt;-5,"CRÍTICO",IF(K3361&lt;0,"ATENÇÃO",IF(K3361&lt;=5,"OPORTUNO","MUITO BOM")))</f>
        <v>MUITO BOM</v>
      </c>
      <c r="M3361">
        <v>9</v>
      </c>
      <c r="N3361">
        <v>95.83</v>
      </c>
      <c r="O3361">
        <v>25.773195876288661</v>
      </c>
    </row>
    <row r="3362" spans="1:15" hidden="1" x14ac:dyDescent="0.25">
      <c r="A3362" s="11">
        <v>46106</v>
      </c>
      <c r="B3362" t="s">
        <v>28</v>
      </c>
      <c r="C3362" t="s">
        <v>26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v>0</v>
      </c>
      <c r="J3362" s="3">
        <v>0</v>
      </c>
      <c r="K3362" s="3">
        <v>0</v>
      </c>
      <c r="L3362" s="3" t="str">
        <f>IF(K3362&lt;-5,"CRÍTICO",IF(K3362&lt;0,"ATENÇÃO",IF(K3362&lt;=5,"OPORTUNO","MUITO BOM")))</f>
        <v>OPORTUNO</v>
      </c>
      <c r="M3362">
        <v>0</v>
      </c>
      <c r="N3362">
        <v>100</v>
      </c>
      <c r="O3362">
        <v>15.38461538461539</v>
      </c>
    </row>
    <row r="3363" spans="1:15" hidden="1" x14ac:dyDescent="0.25">
      <c r="A3363" s="11">
        <v>46106</v>
      </c>
      <c r="B3363" t="s">
        <v>58</v>
      </c>
      <c r="C3363" t="s">
        <v>48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>E3363+G3363+H3363</f>
        <v>5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19</v>
      </c>
      <c r="K3363" s="3">
        <f>I3363-J3363</f>
        <v>-14</v>
      </c>
      <c r="L3363" s="3" t="str">
        <f>IF(K3363&lt;-5,"CRÍTICO",IF(K3363&lt;0,"ATENÇÃO",IF(K3363&lt;=5,"OPORTUNO","MUITO BOM")))</f>
        <v>CRÍTICO</v>
      </c>
      <c r="M3363">
        <v>4</v>
      </c>
      <c r="N3363">
        <v>100</v>
      </c>
      <c r="O3363">
        <v>27.514792899408281</v>
      </c>
    </row>
    <row r="3364" spans="1:15" hidden="1" x14ac:dyDescent="0.25">
      <c r="A3364" s="11">
        <v>46106</v>
      </c>
      <c r="B3364" t="s">
        <v>29</v>
      </c>
      <c r="C3364" t="s">
        <v>26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>
        <v>15</v>
      </c>
      <c r="N3364">
        <v>100</v>
      </c>
      <c r="O3364">
        <v>24.875621890547269</v>
      </c>
    </row>
    <row r="3365" spans="1:15" hidden="1" x14ac:dyDescent="0.25">
      <c r="A3365" s="11">
        <v>46106</v>
      </c>
      <c r="B3365" t="s">
        <v>30</v>
      </c>
      <c r="C3365" t="s">
        <v>26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>E3365+G3365+H3365</f>
        <v>16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14</v>
      </c>
      <c r="K3365" s="3">
        <f>I3365-J3365</f>
        <v>2</v>
      </c>
      <c r="L3365" s="3" t="str">
        <f>IF(K3365&lt;-5,"CRÍTICO",IF(K3365&lt;0,"ATENÇÃO",IF(K3365&lt;=5,"OPORTUNO","MUITO BOM")))</f>
        <v>OPORTUNO</v>
      </c>
      <c r="M3365">
        <v>12</v>
      </c>
      <c r="N3365">
        <v>100</v>
      </c>
      <c r="O3365">
        <v>28.108108108108109</v>
      </c>
    </row>
    <row r="3366" spans="1:15" hidden="1" x14ac:dyDescent="0.25">
      <c r="A3366" s="11">
        <v>46106</v>
      </c>
      <c r="B3366" t="s">
        <v>21</v>
      </c>
      <c r="C3366" t="s">
        <v>16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>E3366+G3366+H3366</f>
        <v>5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7</v>
      </c>
      <c r="K3366" s="3">
        <f>I3366-J3366</f>
        <v>-2</v>
      </c>
      <c r="L3366" s="3" t="str">
        <f>IF(K3366&lt;-5,"CRÍTICO",IF(K3366&lt;0,"ATENÇÃO",IF(K3366&lt;=5,"OPORTUNO","MUITO BOM")))</f>
        <v>ATENÇÃO</v>
      </c>
      <c r="M3366">
        <v>3</v>
      </c>
      <c r="N3366">
        <v>100</v>
      </c>
      <c r="O3366">
        <v>35</v>
      </c>
    </row>
    <row r="3367" spans="1:15" hidden="1" x14ac:dyDescent="0.25">
      <c r="A3367" s="11">
        <v>46106</v>
      </c>
      <c r="B3367" t="s">
        <v>63</v>
      </c>
      <c r="C3367" t="s">
        <v>23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>E3367+G3367+H3367</f>
        <v>17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16</v>
      </c>
      <c r="K3367" s="3">
        <f>I3367-J3367</f>
        <v>1</v>
      </c>
      <c r="L3367" s="3" t="str">
        <f>IF(K3367&lt;-5,"CRÍTICO",IF(K3367&lt;0,"ATENÇÃO",IF(K3367&lt;=5,"OPORTUNO","MUITO BOM")))</f>
        <v>OPORTUNO</v>
      </c>
      <c r="M3367">
        <v>10</v>
      </c>
      <c r="N3367">
        <v>95.35</v>
      </c>
      <c r="O3367">
        <v>28.61538461538461</v>
      </c>
    </row>
    <row r="3368" spans="1:15" hidden="1" x14ac:dyDescent="0.25">
      <c r="A3368" s="11">
        <v>46106</v>
      </c>
      <c r="B3368" t="s">
        <v>45</v>
      </c>
      <c r="C3368" t="s">
        <v>32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>E3368+G3368+H3368</f>
        <v>31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24</v>
      </c>
      <c r="K3368" s="3">
        <f>I3368-J3368</f>
        <v>7</v>
      </c>
      <c r="L3368" s="3" t="str">
        <f>IF(K3368&lt;-5,"CRÍTICO",IF(K3368&lt;0,"ATENÇÃO",IF(K3368&lt;=5,"OPORTUNO","MUITO BOM")))</f>
        <v>MUITO BOM</v>
      </c>
      <c r="M3368">
        <v>20</v>
      </c>
      <c r="N3368">
        <v>98.26</v>
      </c>
      <c r="O3368">
        <v>27.54491017964072</v>
      </c>
    </row>
    <row r="3369" spans="1:15" hidden="1" x14ac:dyDescent="0.25">
      <c r="A3369" s="11">
        <v>46106</v>
      </c>
      <c r="B3369" t="s">
        <v>64</v>
      </c>
      <c r="C3369" t="s">
        <v>23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>E3369+G3369+H3369</f>
        <v>12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16</v>
      </c>
      <c r="K3369" s="3">
        <f>I3369-J3369</f>
        <v>-4</v>
      </c>
      <c r="L3369" s="3" t="str">
        <f>IF(K3369&lt;-5,"CRÍTICO",IF(K3369&lt;0,"ATENÇÃO",IF(K3369&lt;=5,"OPORTUNO","MUITO BOM")))</f>
        <v>ATENÇÃO</v>
      </c>
      <c r="M3369">
        <v>9</v>
      </c>
      <c r="N3369">
        <v>98.55</v>
      </c>
      <c r="O3369">
        <v>25.337837837837839</v>
      </c>
    </row>
    <row r="3370" spans="1:15" hidden="1" x14ac:dyDescent="0.25">
      <c r="A3370" s="11">
        <v>46106</v>
      </c>
      <c r="B3370" t="s">
        <v>46</v>
      </c>
      <c r="C3370" t="s">
        <v>32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>E3370+G3370+H3370</f>
        <v>21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24</v>
      </c>
      <c r="K3370" s="3">
        <f>I3370-J3370</f>
        <v>-3</v>
      </c>
      <c r="L3370" s="3" t="str">
        <f>IF(K3370&lt;-5,"CRÍTICO",IF(K3370&lt;0,"ATENÇÃO",IF(K3370&lt;=5,"OPORTUNO","MUITO BOM")))</f>
        <v>ATENÇÃO</v>
      </c>
      <c r="M3370">
        <v>17</v>
      </c>
      <c r="N3370">
        <v>98.39</v>
      </c>
      <c r="O3370">
        <v>25.563909774436091</v>
      </c>
    </row>
    <row r="3371" spans="1:15" hidden="1" x14ac:dyDescent="0.25">
      <c r="A3371" s="11">
        <v>46107</v>
      </c>
      <c r="B3371" t="s">
        <v>47</v>
      </c>
      <c r="C3371" t="s">
        <v>48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>E3371+G3371+H3371</f>
        <v>28</v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>22</v>
      </c>
      <c r="K3371" s="3">
        <f>I3371-J3371</f>
        <v>6</v>
      </c>
      <c r="L3371" s="3" t="str">
        <f>IF(K3371&lt;-5,"CRÍTICO",IF(K3371&lt;0,"ATENÇÃO",IF(K3371&lt;=5,"OPORTUNO","MUITO BOM")))</f>
        <v>MUITO BOM</v>
      </c>
      <c r="M3371">
        <v>23</v>
      </c>
      <c r="N3371">
        <v>94.29</v>
      </c>
      <c r="O3371">
        <v>25.647668393782389</v>
      </c>
    </row>
    <row r="3372" spans="1:15" hidden="1" x14ac:dyDescent="0.25">
      <c r="A3372" s="11">
        <v>46107</v>
      </c>
      <c r="B3372" t="s">
        <v>31</v>
      </c>
      <c r="C3372" t="s">
        <v>32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v>0</v>
      </c>
      <c r="J3372" s="3">
        <v>0</v>
      </c>
      <c r="K3372" s="3">
        <v>0</v>
      </c>
      <c r="L3372" s="3" t="str">
        <f>IF(K3372&lt;-5,"CRÍTICO",IF(K3372&lt;0,"ATENÇÃO",IF(K3372&lt;=5,"OPORTUNO","MUITO BOM")))</f>
        <v>OPORTUNO</v>
      </c>
      <c r="M3372">
        <v>30</v>
      </c>
      <c r="N3372">
        <v>98.26</v>
      </c>
      <c r="O3372">
        <v>26.666666666666671</v>
      </c>
    </row>
    <row r="3373" spans="1:15" hidden="1" x14ac:dyDescent="0.25">
      <c r="A3373" s="11">
        <v>46107</v>
      </c>
      <c r="B3373" t="s">
        <v>59</v>
      </c>
      <c r="C3373" t="s">
        <v>23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>E3373+G3373+H3373</f>
        <v>21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18</v>
      </c>
      <c r="K3373" s="3">
        <f>I3373-J3373</f>
        <v>3</v>
      </c>
      <c r="L3373" s="3" t="str">
        <f>IF(K3373&lt;-5,"CRÍTICO",IF(K3373&lt;0,"ATENÇÃO",IF(K3373&lt;=5,"OPORTUNO","MUITO BOM")))</f>
        <v>OPORTUNO</v>
      </c>
      <c r="M3373">
        <v>16</v>
      </c>
      <c r="N3373">
        <v>98.2</v>
      </c>
      <c r="O3373">
        <v>23.37962962962963</v>
      </c>
    </row>
    <row r="3374" spans="1:15" hidden="1" x14ac:dyDescent="0.25">
      <c r="A3374" s="11">
        <v>46107</v>
      </c>
      <c r="B3374" t="s">
        <v>33</v>
      </c>
      <c r="C3374" t="s">
        <v>32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>E3374+G3374+H3374</f>
        <v>32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28</v>
      </c>
      <c r="K3374" s="3">
        <f>I3374-J3374</f>
        <v>4</v>
      </c>
      <c r="L3374" s="3" t="str">
        <f>IF(K3374&lt;-5,"CRÍTICO",IF(K3374&lt;0,"ATENÇÃO",IF(K3374&lt;=5,"OPORTUNO","MUITO BOM")))</f>
        <v>OPORTUNO</v>
      </c>
      <c r="M3374">
        <v>29</v>
      </c>
      <c r="N3374">
        <v>97.3</v>
      </c>
      <c r="O3374">
        <v>23.84769539078156</v>
      </c>
    </row>
    <row r="3375" spans="1:15" hidden="1" x14ac:dyDescent="0.25">
      <c r="A3375" s="11">
        <v>46107</v>
      </c>
      <c r="B3375" t="s">
        <v>15</v>
      </c>
      <c r="C3375" t="s">
        <v>16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>E3375+G3375+H3375</f>
        <v>20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8</v>
      </c>
      <c r="K3375" s="3">
        <f>I3375-J3375</f>
        <v>12</v>
      </c>
      <c r="L3375" s="3" t="str">
        <f>IF(K3375&lt;-5,"CRÍTICO",IF(K3375&lt;0,"ATENÇÃO",IF(K3375&lt;=5,"OPORTUNO","MUITO BOM")))</f>
        <v>MUITO BOM</v>
      </c>
      <c r="M3375">
        <v>16</v>
      </c>
      <c r="N3375">
        <v>100</v>
      </c>
      <c r="O3375">
        <v>25.268817204301079</v>
      </c>
    </row>
    <row r="3376" spans="1:15" hidden="1" x14ac:dyDescent="0.25">
      <c r="A3376" s="11">
        <v>46107</v>
      </c>
      <c r="B3376" t="s">
        <v>49</v>
      </c>
      <c r="C3376" t="s">
        <v>48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>E3376+G3376+H3376</f>
        <v>31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9</v>
      </c>
      <c r="L3376" s="3" t="str">
        <f>IF(K3376&lt;-5,"CRÍTICO",IF(K3376&lt;0,"ATENÇÃO",IF(K3376&lt;=5,"OPORTUNO","MUITO BOM")))</f>
        <v>MUITO BOM</v>
      </c>
      <c r="M3376">
        <v>33</v>
      </c>
      <c r="N3376">
        <v>99.32</v>
      </c>
      <c r="O3376">
        <v>22.822822822822818</v>
      </c>
    </row>
    <row r="3377" spans="1:15" hidden="1" x14ac:dyDescent="0.25">
      <c r="A3377" s="11">
        <v>46107</v>
      </c>
      <c r="B3377" t="s">
        <v>50</v>
      </c>
      <c r="C3377" t="s">
        <v>48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>E3377+G3377+H3377</f>
        <v>18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22</v>
      </c>
      <c r="K3377" s="3">
        <f>I3377-J3377</f>
        <v>-4</v>
      </c>
      <c r="L3377" s="3" t="str">
        <f>IF(K3377&lt;-5,"CRÍTICO",IF(K3377&lt;0,"ATENÇÃO",IF(K3377&lt;=5,"OPORTUNO","MUITO BOM")))</f>
        <v>ATENÇÃO</v>
      </c>
      <c r="M3377">
        <v>18</v>
      </c>
      <c r="N3377">
        <v>100</v>
      </c>
      <c r="O3377">
        <v>27.966101694915249</v>
      </c>
    </row>
    <row r="3378" spans="1:15" hidden="1" x14ac:dyDescent="0.25">
      <c r="A3378" s="11">
        <v>46107</v>
      </c>
      <c r="B3378" t="s">
        <v>17</v>
      </c>
      <c r="C3378" t="s">
        <v>16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>E3378+G3378+H3378</f>
        <v>7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8</v>
      </c>
      <c r="K3378" s="3">
        <f>I3378-J3378</f>
        <v>-1</v>
      </c>
      <c r="L3378" s="3" t="str">
        <f>IF(K3378&lt;-5,"CRÍTICO",IF(K3378&lt;0,"ATENÇÃO",IF(K3378&lt;=5,"OPORTUNO","MUITO BOM")))</f>
        <v>ATENÇÃO</v>
      </c>
      <c r="M3378">
        <v>4</v>
      </c>
      <c r="N3378">
        <v>100</v>
      </c>
      <c r="O3378">
        <v>30.434782608695659</v>
      </c>
    </row>
    <row r="3379" spans="1:15" hidden="1" x14ac:dyDescent="0.25">
      <c r="A3379" s="11">
        <v>46107</v>
      </c>
      <c r="B3379" t="s">
        <v>60</v>
      </c>
      <c r="C3379" t="s">
        <v>23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>E3379+G3379+H3379</f>
        <v>22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18</v>
      </c>
      <c r="K3379" s="3">
        <f>I3379-J3379</f>
        <v>4</v>
      </c>
      <c r="L3379" s="3" t="str">
        <f>IF(K3379&lt;-5,"CRÍTICO",IF(K3379&lt;0,"ATENÇÃO",IF(K3379&lt;=5,"OPORTUNO","MUITO BOM")))</f>
        <v>OPORTUNO</v>
      </c>
      <c r="M3379">
        <v>17</v>
      </c>
      <c r="N3379">
        <v>96.51</v>
      </c>
      <c r="O3379">
        <v>22.802850356294542</v>
      </c>
    </row>
    <row r="3380" spans="1:15" hidden="1" x14ac:dyDescent="0.25">
      <c r="A3380" s="11">
        <v>46107</v>
      </c>
      <c r="B3380" t="s">
        <v>34</v>
      </c>
      <c r="C3380" t="s">
        <v>32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>E3380+G3380+H3380</f>
        <v>33</v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>28</v>
      </c>
      <c r="K3380" s="3">
        <f>I3380-J3380</f>
        <v>5</v>
      </c>
      <c r="L3380" s="3" t="str">
        <f>IF(K3380&lt;-5,"CRÍTICO",IF(K3380&lt;0,"ATENÇÃO",IF(K3380&lt;=5,"OPORTUNO","MUITO BOM")))</f>
        <v>OPORTUNO</v>
      </c>
      <c r="M3380">
        <v>28</v>
      </c>
      <c r="N3380">
        <v>92.68</v>
      </c>
      <c r="O3380">
        <v>27.777777777777779</v>
      </c>
    </row>
    <row r="3381" spans="1:15" hidden="1" x14ac:dyDescent="0.25">
      <c r="A3381" s="11">
        <v>46107</v>
      </c>
      <c r="B3381" t="s">
        <v>51</v>
      </c>
      <c r="C3381" t="s">
        <v>48</v>
      </c>
      <c r="D3381">
        <v>40</v>
      </c>
      <c r="E3381">
        <v>35</v>
      </c>
      <c r="F3381">
        <v>14.12</v>
      </c>
      <c r="G3381">
        <v>0</v>
      </c>
      <c r="H3381">
        <v>0</v>
      </c>
      <c r="I3381" s="3">
        <v>0</v>
      </c>
      <c r="J3381" s="3">
        <v>0</v>
      </c>
      <c r="K3381" s="3">
        <v>0</v>
      </c>
      <c r="L3381" s="3" t="str">
        <f>IF(K3381&lt;-5,"CRÍTICO",IF(K3381&lt;0,"ATENÇÃO",IF(K3381&lt;=5,"OPORTUNO","MUITO BOM")))</f>
        <v>OPORTUNO</v>
      </c>
      <c r="M3381">
        <v>32</v>
      </c>
      <c r="N3381">
        <v>99.03</v>
      </c>
      <c r="O3381">
        <v>23.991507430997881</v>
      </c>
    </row>
    <row r="3382" spans="1:15" hidden="1" x14ac:dyDescent="0.25">
      <c r="A3382" s="11">
        <v>46107</v>
      </c>
      <c r="B3382" t="s">
        <v>61</v>
      </c>
      <c r="C3382" t="s">
        <v>23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>E3382+G3382+H3382</f>
        <v>17</v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>18</v>
      </c>
      <c r="K3382" s="3">
        <f>I3382-J3382</f>
        <v>-1</v>
      </c>
      <c r="L3382" s="3" t="str">
        <f>IF(K3382&lt;-5,"CRÍTICO",IF(K3382&lt;0,"ATENÇÃO",IF(K3382&lt;=5,"OPORTUNO","MUITO BOM")))</f>
        <v>ATENÇÃO</v>
      </c>
      <c r="M3382">
        <v>8</v>
      </c>
      <c r="N3382">
        <v>98.41</v>
      </c>
      <c r="O3382">
        <v>28.138528138528141</v>
      </c>
    </row>
    <row r="3383" spans="1:15" hidden="1" x14ac:dyDescent="0.25">
      <c r="A3383" s="11">
        <v>46107</v>
      </c>
      <c r="B3383" t="s">
        <v>35</v>
      </c>
      <c r="C3383" t="s">
        <v>32</v>
      </c>
      <c r="D3383">
        <v>21</v>
      </c>
      <c r="E3383">
        <v>21</v>
      </c>
      <c r="F3383">
        <v>26.42</v>
      </c>
      <c r="G3383">
        <v>0</v>
      </c>
      <c r="H3383">
        <v>0</v>
      </c>
      <c r="I3383" s="3">
        <v>0</v>
      </c>
      <c r="J3383" s="3">
        <v>0</v>
      </c>
      <c r="K3383" s="3">
        <v>0</v>
      </c>
      <c r="L3383" s="3" t="str">
        <f>IF(K3383&lt;-5,"CRÍTICO",IF(K3383&lt;0,"ATENÇÃO",IF(K3383&lt;=5,"OPORTUNO","MUITO BOM")))</f>
        <v>OPORTUNO</v>
      </c>
      <c r="M3383">
        <v>22</v>
      </c>
      <c r="N3383">
        <v>98.73</v>
      </c>
      <c r="O3383">
        <v>29.142857142857139</v>
      </c>
    </row>
    <row r="3384" spans="1:15" hidden="1" x14ac:dyDescent="0.25">
      <c r="A3384" s="11">
        <v>46107</v>
      </c>
      <c r="B3384" t="s">
        <v>18</v>
      </c>
      <c r="C3384" t="s">
        <v>16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>E3384+G3384+H3384</f>
        <v>13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8</v>
      </c>
      <c r="K3384" s="3">
        <f>I3384-J3384</f>
        <v>5</v>
      </c>
      <c r="L3384" s="3" t="str">
        <f>IF(K3384&lt;-5,"CRÍTICO",IF(K3384&lt;0,"ATENÇÃO",IF(K3384&lt;=5,"OPORTUNO","MUITO BOM")))</f>
        <v>OPORTUNO</v>
      </c>
      <c r="M3384">
        <v>9</v>
      </c>
      <c r="N3384">
        <v>90.48</v>
      </c>
      <c r="O3384">
        <v>20.68965517241379</v>
      </c>
    </row>
    <row r="3385" spans="1:15" hidden="1" x14ac:dyDescent="0.25">
      <c r="A3385" s="11">
        <v>46107</v>
      </c>
      <c r="B3385" t="s">
        <v>52</v>
      </c>
      <c r="C3385" t="s">
        <v>48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>E3385+G3385+H3385</f>
        <v>26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22</v>
      </c>
      <c r="K3385" s="3">
        <f>I3385-J3385</f>
        <v>4</v>
      </c>
      <c r="L3385" s="3" t="str">
        <f>IF(K3385&lt;-5,"CRÍTICO",IF(K3385&lt;0,"ATENÇÃO",IF(K3385&lt;=5,"OPORTUNO","MUITO BOM")))</f>
        <v>OPORTUNO</v>
      </c>
      <c r="M3385">
        <v>23</v>
      </c>
      <c r="N3385">
        <v>98.06</v>
      </c>
      <c r="O3385">
        <v>24.789915966386559</v>
      </c>
    </row>
    <row r="3386" spans="1:15" hidden="1" x14ac:dyDescent="0.25">
      <c r="A3386" s="11">
        <v>46107</v>
      </c>
      <c r="B3386" t="s">
        <v>36</v>
      </c>
      <c r="C3386" t="s">
        <v>32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>E3386+G3386+H3386</f>
        <v>30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28</v>
      </c>
      <c r="K3386" s="3">
        <f>I3386-J3386</f>
        <v>2</v>
      </c>
      <c r="L3386" s="3" t="str">
        <f>IF(K3386&lt;-5,"CRÍTICO",IF(K3386&lt;0,"ATENÇÃO",IF(K3386&lt;=5,"OPORTUNO","MUITO BOM")))</f>
        <v>OPORTUNO</v>
      </c>
      <c r="M3386">
        <v>30</v>
      </c>
      <c r="N3386">
        <v>97.78</v>
      </c>
      <c r="O3386">
        <v>25.494071146245059</v>
      </c>
    </row>
    <row r="3387" spans="1:15" hidden="1" x14ac:dyDescent="0.25">
      <c r="A3387" s="11">
        <v>46107</v>
      </c>
      <c r="B3387" t="s">
        <v>53</v>
      </c>
      <c r="C3387" t="s">
        <v>48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>E3387+G3387+H3387</f>
        <v>23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22</v>
      </c>
      <c r="K3387" s="3">
        <f>I3387-J3387</f>
        <v>1</v>
      </c>
      <c r="L3387" s="3" t="str">
        <f>IF(K3387&lt;-5,"CRÍTICO",IF(K3387&lt;0,"ATENÇÃO",IF(K3387&lt;=5,"OPORTUNO","MUITO BOM")))</f>
        <v>OPORTUNO</v>
      </c>
      <c r="M3387">
        <v>22</v>
      </c>
      <c r="N3387">
        <v>98.02</v>
      </c>
      <c r="O3387">
        <v>23.484848484848481</v>
      </c>
    </row>
    <row r="3388" spans="1:15" hidden="1" x14ac:dyDescent="0.25">
      <c r="A3388" s="10">
        <v>46164</v>
      </c>
      <c r="B3388" s="6" t="s">
        <v>55</v>
      </c>
      <c r="C3388" s="3" t="s">
        <v>48</v>
      </c>
      <c r="D3388" s="3">
        <v>13</v>
      </c>
      <c r="E3388" s="3">
        <v>12</v>
      </c>
      <c r="F3388" s="3">
        <v>11.42</v>
      </c>
      <c r="G3388" s="3">
        <v>1</v>
      </c>
      <c r="H3388" s="3">
        <v>0</v>
      </c>
      <c r="I3388" s="3">
        <f>E3388+G3388+H3388</f>
        <v>13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15</v>
      </c>
      <c r="K3388" s="3">
        <f>I3388-J3388</f>
        <v>-2</v>
      </c>
      <c r="L3388" s="3" t="str">
        <f>IF(K3388&lt;-5,"CRÍTICO",IF(K3388&lt;0,"ATENÇÃO",IF(K3388&lt;=5,"OPORTUNO","MUITO BOM")))</f>
        <v>ATENÇÃO</v>
      </c>
      <c r="M3388" s="3">
        <v>10</v>
      </c>
      <c r="N3388" s="3">
        <v>98.94</v>
      </c>
      <c r="O3388" s="3">
        <v>21.270718232044199</v>
      </c>
    </row>
    <row r="3389" spans="1:15" hidden="1" x14ac:dyDescent="0.25">
      <c r="A3389" s="11">
        <v>46107</v>
      </c>
      <c r="B3389" t="s">
        <v>54</v>
      </c>
      <c r="C3389" t="s">
        <v>48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>E3389+G3389+H3389</f>
        <v>23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22</v>
      </c>
      <c r="K3389" s="3">
        <f>I3389-J3389</f>
        <v>1</v>
      </c>
      <c r="L3389" s="3" t="str">
        <f>IF(K3389&lt;-5,"CRÍTICO",IF(K3389&lt;0,"ATENÇÃO",IF(K3389&lt;=5,"OPORTUNO","MUITO BOM")))</f>
        <v>OPORTUNO</v>
      </c>
      <c r="M3389">
        <v>21</v>
      </c>
      <c r="N3389">
        <v>100</v>
      </c>
      <c r="O3389">
        <v>27.04918032786885</v>
      </c>
    </row>
    <row r="3390" spans="1:15" hidden="1" x14ac:dyDescent="0.25">
      <c r="A3390" s="11">
        <v>46107</v>
      </c>
      <c r="B3390" t="s">
        <v>37</v>
      </c>
      <c r="C3390" t="s">
        <v>32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>E3390+G3390+H3390</f>
        <v>38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10</v>
      </c>
      <c r="L3390" s="3" t="str">
        <f>IF(K3390&lt;-5,"CRÍTICO",IF(K3390&lt;0,"ATENÇÃO",IF(K3390&lt;=5,"OPORTUNO","MUITO BOM")))</f>
        <v>MUITO BOM</v>
      </c>
      <c r="M3390">
        <v>34</v>
      </c>
      <c r="N3390">
        <v>97.83</v>
      </c>
      <c r="O3390">
        <v>26.315789473684209</v>
      </c>
    </row>
    <row r="3391" spans="1:15" hidden="1" x14ac:dyDescent="0.25">
      <c r="A3391" s="11">
        <v>46107</v>
      </c>
      <c r="B3391" t="s">
        <v>38</v>
      </c>
      <c r="C3391" t="s">
        <v>32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>E3391+G3391+H3391</f>
        <v>21</v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>28</v>
      </c>
      <c r="K3391" s="3">
        <f>I3391-J3391</f>
        <v>-7</v>
      </c>
      <c r="L3391" s="3" t="str">
        <f>IF(K3391&lt;-5,"CRÍTICO",IF(K3391&lt;0,"ATENÇÃO",IF(K3391&lt;=5,"OPORTUNO","MUITO BOM")))</f>
        <v>CRÍTICO</v>
      </c>
      <c r="M3391">
        <v>18</v>
      </c>
      <c r="N3391">
        <v>100</v>
      </c>
      <c r="O3391">
        <v>26.701570680628269</v>
      </c>
    </row>
    <row r="3392" spans="1:15" hidden="1" x14ac:dyDescent="0.25">
      <c r="A3392" s="11">
        <v>46107</v>
      </c>
      <c r="B3392" t="s">
        <v>55</v>
      </c>
      <c r="C3392" t="s">
        <v>48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>
        <v>0</v>
      </c>
      <c r="N3392">
        <v>97.47</v>
      </c>
      <c r="O3392">
        <v>22.887323943661968</v>
      </c>
    </row>
    <row r="3393" spans="1:15" hidden="1" x14ac:dyDescent="0.25">
      <c r="A3393" s="11">
        <v>46107</v>
      </c>
      <c r="B3393" t="s">
        <v>39</v>
      </c>
      <c r="C3393" t="s">
        <v>32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v>0</v>
      </c>
      <c r="J3393" s="3">
        <v>0</v>
      </c>
      <c r="K3393" s="3">
        <v>0</v>
      </c>
      <c r="L3393" s="3" t="str">
        <f>IF(K3393&lt;-5,"CRÍTICO",IF(K3393&lt;0,"ATENÇÃO",IF(K3393&lt;=5,"OPORTUNO","MUITO BOM")))</f>
        <v>OPORTUNO</v>
      </c>
      <c r="M3393">
        <v>0</v>
      </c>
      <c r="N3393">
        <v>0</v>
      </c>
      <c r="O3393">
        <v>0</v>
      </c>
    </row>
    <row r="3394" spans="1:15" hidden="1" x14ac:dyDescent="0.25">
      <c r="A3394" s="11">
        <v>46107</v>
      </c>
      <c r="B3394" t="s">
        <v>25</v>
      </c>
      <c r="C3394" t="s">
        <v>26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>E3394+G3394+H3394</f>
        <v>22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16</v>
      </c>
      <c r="K3394" s="3">
        <f>I3394-J3394</f>
        <v>6</v>
      </c>
      <c r="L3394" s="3" t="str">
        <f>IF(K3394&lt;-5,"CRÍTICO",IF(K3394&lt;0,"ATENÇÃO",IF(K3394&lt;=5,"OPORTUNO","MUITO BOM")))</f>
        <v>MUITO BOM</v>
      </c>
      <c r="M3394">
        <v>20</v>
      </c>
      <c r="N3394">
        <v>98.31</v>
      </c>
      <c r="O3394">
        <v>24.920127795527151</v>
      </c>
    </row>
    <row r="3395" spans="1:15" hidden="1" x14ac:dyDescent="0.25">
      <c r="A3395" s="11">
        <v>46107</v>
      </c>
      <c r="B3395" t="s">
        <v>40</v>
      </c>
      <c r="C3395" t="s">
        <v>32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>E3395+G3395+H3395</f>
        <v>18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28</v>
      </c>
      <c r="K3395" s="3">
        <f>I3395-J3395</f>
        <v>-10</v>
      </c>
      <c r="L3395" s="3" t="str">
        <f>IF(K3395&lt;-5,"CRÍTICO",IF(K3395&lt;0,"ATENÇÃO",IF(K3395&lt;=5,"OPORTUNO","MUITO BOM")))</f>
        <v>CRÍTICO</v>
      </c>
      <c r="M3395">
        <v>19</v>
      </c>
      <c r="N3395">
        <v>96.81</v>
      </c>
      <c r="O3395">
        <v>32.365145228215773</v>
      </c>
    </row>
    <row r="3396" spans="1:15" hidden="1" x14ac:dyDescent="0.25">
      <c r="A3396" s="11">
        <v>46107</v>
      </c>
      <c r="B3396" t="s">
        <v>27</v>
      </c>
      <c r="C3396" t="s">
        <v>26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>E3396+G3396+H3396</f>
        <v>16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16</v>
      </c>
      <c r="K3396" s="3">
        <f>I3396-J3396</f>
        <v>0</v>
      </c>
      <c r="L3396" s="3" t="str">
        <f>IF(K3396&lt;-5,"CRÍTICO",IF(K3396&lt;0,"ATENÇÃO",IF(K3396&lt;=5,"OPORTUNO","MUITO BOM")))</f>
        <v>OPORTUNO</v>
      </c>
      <c r="M3396">
        <v>12</v>
      </c>
      <c r="N3396">
        <v>100</v>
      </c>
      <c r="O3396">
        <v>26.47058823529412</v>
      </c>
    </row>
    <row r="3397" spans="1:15" hidden="1" x14ac:dyDescent="0.25">
      <c r="A3397" s="11">
        <v>46107</v>
      </c>
      <c r="B3397" t="s">
        <v>41</v>
      </c>
      <c r="C3397" t="s">
        <v>32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>E3397+G3397+H3397</f>
        <v>24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28</v>
      </c>
      <c r="K3397" s="3">
        <f>I3397-J3397</f>
        <v>-4</v>
      </c>
      <c r="L3397" s="3" t="str">
        <f>IF(K3397&lt;-5,"CRÍTICO",IF(K3397&lt;0,"ATENÇÃO",IF(K3397&lt;=5,"OPORTUNO","MUITO BOM")))</f>
        <v>ATENÇÃO</v>
      </c>
      <c r="M3397">
        <v>23</v>
      </c>
      <c r="N3397">
        <v>100</v>
      </c>
      <c r="O3397">
        <v>28.490028490028489</v>
      </c>
    </row>
    <row r="3398" spans="1:15" hidden="1" x14ac:dyDescent="0.25">
      <c r="A3398" s="11">
        <v>46107</v>
      </c>
      <c r="B3398" t="s">
        <v>56</v>
      </c>
      <c r="C3398" t="s">
        <v>48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>E3398+G3398+H3398</f>
        <v>29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22</v>
      </c>
      <c r="K3398" s="3">
        <f>I3398-J3398</f>
        <v>7</v>
      </c>
      <c r="L3398" s="3" t="str">
        <f>IF(K3398&lt;-5,"CRÍTICO",IF(K3398&lt;0,"ATENÇÃO",IF(K3398&lt;=5,"OPORTUNO","MUITO BOM")))</f>
        <v>MUITO BOM</v>
      </c>
      <c r="M3398">
        <v>11</v>
      </c>
      <c r="N3398">
        <v>99.14</v>
      </c>
      <c r="O3398">
        <v>27.2289156626506</v>
      </c>
    </row>
    <row r="3399" spans="1:15" hidden="1" x14ac:dyDescent="0.25">
      <c r="A3399" s="11">
        <v>46107</v>
      </c>
      <c r="B3399" t="s">
        <v>57</v>
      </c>
      <c r="C3399" t="s">
        <v>48</v>
      </c>
      <c r="D3399">
        <v>30</v>
      </c>
      <c r="E3399">
        <v>28</v>
      </c>
      <c r="F3399">
        <v>15.35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>
        <v>25</v>
      </c>
      <c r="N3399">
        <v>97.52</v>
      </c>
      <c r="O3399">
        <v>28.205128205128201</v>
      </c>
    </row>
    <row r="3400" spans="1:15" hidden="1" x14ac:dyDescent="0.25">
      <c r="A3400" s="11">
        <v>46107</v>
      </c>
      <c r="B3400" t="s">
        <v>42</v>
      </c>
      <c r="C3400" t="s">
        <v>32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v>0</v>
      </c>
      <c r="J3400" s="3">
        <v>0</v>
      </c>
      <c r="K3400" s="3">
        <v>0</v>
      </c>
      <c r="L3400" s="3" t="str">
        <f>IF(K3400&lt;-5,"CRÍTICO",IF(K3400&lt;0,"ATENÇÃO",IF(K3400&lt;=5,"OPORTUNO","MUITO BOM")))</f>
        <v>OPORTUNO</v>
      </c>
      <c r="M3400">
        <v>0</v>
      </c>
      <c r="N3400">
        <v>90</v>
      </c>
      <c r="O3400">
        <v>24.186046511627911</v>
      </c>
    </row>
    <row r="3401" spans="1:15" hidden="1" x14ac:dyDescent="0.25">
      <c r="A3401" s="11">
        <v>46107</v>
      </c>
      <c r="B3401" t="s">
        <v>62</v>
      </c>
      <c r="C3401" t="s">
        <v>23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>E3401+G3401+H3401</f>
        <v>31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18</v>
      </c>
      <c r="K3401" s="3">
        <f>I3401-J3401</f>
        <v>13</v>
      </c>
      <c r="L3401" s="3" t="str">
        <f>IF(K3401&lt;-5,"CRÍTICO",IF(K3401&lt;0,"ATENÇÃO",IF(K3401&lt;=5,"OPORTUNO","MUITO BOM")))</f>
        <v>MUITO BOM</v>
      </c>
      <c r="M3401">
        <v>24</v>
      </c>
      <c r="N3401">
        <v>98.9</v>
      </c>
      <c r="O3401">
        <v>26.763990267639901</v>
      </c>
    </row>
    <row r="3402" spans="1:15" hidden="1" x14ac:dyDescent="0.25">
      <c r="A3402" s="11">
        <v>46107</v>
      </c>
      <c r="B3402" t="s">
        <v>19</v>
      </c>
      <c r="C3402" t="s">
        <v>16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>E3402+G3402+H3402</f>
        <v>7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8</v>
      </c>
      <c r="K3402" s="3">
        <f>I3402-J3402</f>
        <v>-1</v>
      </c>
      <c r="L3402" s="3" t="str">
        <f>IF(K3402&lt;-5,"CRÍTICO",IF(K3402&lt;0,"ATENÇÃO",IF(K3402&lt;=5,"OPORTUNO","MUITO BOM")))</f>
        <v>ATENÇÃO</v>
      </c>
      <c r="M3402">
        <v>6</v>
      </c>
      <c r="N3402">
        <v>88.89</v>
      </c>
      <c r="O3402">
        <v>25.263157894736839</v>
      </c>
    </row>
    <row r="3403" spans="1:15" hidden="1" x14ac:dyDescent="0.25">
      <c r="A3403" s="11">
        <v>46107</v>
      </c>
      <c r="B3403" t="s">
        <v>43</v>
      </c>
      <c r="C3403" t="s">
        <v>32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>E3403+G3403+H3403</f>
        <v>22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-6</v>
      </c>
      <c r="L3403" s="3" t="str">
        <f>IF(K3403&lt;-5,"CRÍTICO",IF(K3403&lt;0,"ATENÇÃO",IF(K3403&lt;=5,"OPORTUNO","MUITO BOM")))</f>
        <v>CRÍTICO</v>
      </c>
      <c r="M3403">
        <v>23</v>
      </c>
      <c r="N3403">
        <v>98.86</v>
      </c>
      <c r="O3403">
        <v>28.959276018099551</v>
      </c>
    </row>
    <row r="3404" spans="1:15" hidden="1" x14ac:dyDescent="0.25">
      <c r="A3404" s="11">
        <v>46107</v>
      </c>
      <c r="B3404" t="s">
        <v>44</v>
      </c>
      <c r="C3404" t="s">
        <v>32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>E3404+G3404+H3404</f>
        <v>13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28</v>
      </c>
      <c r="K3404" s="3">
        <f>I3404-J3404</f>
        <v>-15</v>
      </c>
      <c r="L3404" s="3" t="str">
        <f>IF(K3404&lt;-5,"CRÍTICO",IF(K3404&lt;0,"ATENÇÃO",IF(K3404&lt;=5,"OPORTUNO","MUITO BOM")))</f>
        <v>CRÍTICO</v>
      </c>
      <c r="M3404">
        <v>12</v>
      </c>
      <c r="N3404">
        <v>98.06</v>
      </c>
      <c r="O3404">
        <v>22.40566037735849</v>
      </c>
    </row>
    <row r="3405" spans="1:15" hidden="1" x14ac:dyDescent="0.25">
      <c r="A3405" s="11">
        <v>46107</v>
      </c>
      <c r="B3405" t="s">
        <v>20</v>
      </c>
      <c r="C3405" t="s">
        <v>16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>E3405+G3405+H3405</f>
        <v>7</v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>8</v>
      </c>
      <c r="K3405" s="3">
        <f>I3405-J3405</f>
        <v>-1</v>
      </c>
      <c r="L3405" s="3" t="str">
        <f>IF(K3405&lt;-5,"CRÍTICO",IF(K3405&lt;0,"ATENÇÃO",IF(K3405&lt;=5,"OPORTUNO","MUITO BOM")))</f>
        <v>ATENÇÃO</v>
      </c>
      <c r="M3405">
        <v>4</v>
      </c>
      <c r="N3405">
        <v>95.83</v>
      </c>
      <c r="O3405">
        <v>25.773195876288661</v>
      </c>
    </row>
    <row r="3406" spans="1:15" hidden="1" x14ac:dyDescent="0.25">
      <c r="A3406" s="11">
        <v>46107</v>
      </c>
      <c r="B3406" t="s">
        <v>28</v>
      </c>
      <c r="C3406" t="s">
        <v>26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v>0</v>
      </c>
      <c r="J3406" s="3">
        <v>0</v>
      </c>
      <c r="K3406" s="3">
        <v>0</v>
      </c>
      <c r="L3406" s="3" t="str">
        <f>IF(K3406&lt;-5,"CRÍTICO",IF(K3406&lt;0,"ATENÇÃO",IF(K3406&lt;=5,"OPORTUNO","MUITO BOM")))</f>
        <v>OPORTUNO</v>
      </c>
      <c r="M3406">
        <v>0</v>
      </c>
      <c r="N3406">
        <v>100</v>
      </c>
      <c r="O3406">
        <v>15.38461538461539</v>
      </c>
    </row>
    <row r="3407" spans="1:15" hidden="1" x14ac:dyDescent="0.25">
      <c r="A3407" s="11">
        <v>46107</v>
      </c>
      <c r="B3407" t="s">
        <v>58</v>
      </c>
      <c r="C3407" t="s">
        <v>48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>E3407+G3407+H3407</f>
        <v>6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22</v>
      </c>
      <c r="K3407" s="3">
        <f>I3407-J3407</f>
        <v>-16</v>
      </c>
      <c r="L3407" s="3" t="str">
        <f>IF(K3407&lt;-5,"CRÍTICO",IF(K3407&lt;0,"ATENÇÃO",IF(K3407&lt;=5,"OPORTUNO","MUITO BOM")))</f>
        <v>CRÍTICO</v>
      </c>
      <c r="M3407">
        <v>5</v>
      </c>
      <c r="N3407">
        <v>100</v>
      </c>
      <c r="O3407">
        <v>27.514792899408281</v>
      </c>
    </row>
    <row r="3408" spans="1:15" hidden="1" x14ac:dyDescent="0.25">
      <c r="A3408" s="11">
        <v>46107</v>
      </c>
      <c r="B3408" t="s">
        <v>29</v>
      </c>
      <c r="C3408" t="s">
        <v>26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>E3408+G3408+H3408</f>
        <v>20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4</v>
      </c>
      <c r="L3408" s="3" t="str">
        <f>IF(K3408&lt;-5,"CRÍTICO",IF(K3408&lt;0,"ATENÇÃO",IF(K3408&lt;=5,"OPORTUNO","MUITO BOM")))</f>
        <v>OPORTUNO</v>
      </c>
      <c r="M3408">
        <v>14</v>
      </c>
      <c r="N3408">
        <v>100</v>
      </c>
      <c r="O3408">
        <v>24.875621890547269</v>
      </c>
    </row>
    <row r="3409" spans="1:15" hidden="1" x14ac:dyDescent="0.25">
      <c r="A3409" s="11">
        <v>46107</v>
      </c>
      <c r="B3409" t="s">
        <v>30</v>
      </c>
      <c r="C3409" t="s">
        <v>26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>E3409+G3409+H3409</f>
        <v>11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16</v>
      </c>
      <c r="K3409" s="3">
        <f>I3409-J3409</f>
        <v>-5</v>
      </c>
      <c r="L3409" s="3" t="str">
        <f>IF(K3409&lt;-5,"CRÍTICO",IF(K3409&lt;0,"ATENÇÃO",IF(K3409&lt;=5,"OPORTUNO","MUITO BOM")))</f>
        <v>ATENÇÃO</v>
      </c>
      <c r="M3409">
        <v>9</v>
      </c>
      <c r="N3409">
        <v>100</v>
      </c>
      <c r="O3409">
        <v>28.108108108108109</v>
      </c>
    </row>
    <row r="3410" spans="1:15" hidden="1" x14ac:dyDescent="0.25">
      <c r="A3410" s="11">
        <v>46107</v>
      </c>
      <c r="B3410" t="s">
        <v>21</v>
      </c>
      <c r="C3410" t="s">
        <v>16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>E3410+G3410+H3410</f>
        <v>5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8</v>
      </c>
      <c r="K3410" s="3">
        <f>I3410-J3410</f>
        <v>-3</v>
      </c>
      <c r="L3410" s="3" t="str">
        <f>IF(K3410&lt;-5,"CRÍTICO",IF(K3410&lt;0,"ATENÇÃO",IF(K3410&lt;=5,"OPORTUNO","MUITO BOM")))</f>
        <v>ATENÇÃO</v>
      </c>
      <c r="M3410">
        <v>4</v>
      </c>
      <c r="N3410">
        <v>100</v>
      </c>
      <c r="O3410">
        <v>35</v>
      </c>
    </row>
    <row r="3411" spans="1:15" hidden="1" x14ac:dyDescent="0.25">
      <c r="A3411" s="11">
        <v>46107</v>
      </c>
      <c r="B3411" t="s">
        <v>63</v>
      </c>
      <c r="C3411" t="s">
        <v>23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>E3411+G3411+H3411</f>
        <v>20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18</v>
      </c>
      <c r="K3411" s="3">
        <f>I3411-J3411</f>
        <v>2</v>
      </c>
      <c r="L3411" s="3" t="str">
        <f>IF(K3411&lt;-5,"CRÍTICO",IF(K3411&lt;0,"ATENÇÃO",IF(K3411&lt;=5,"OPORTUNO","MUITO BOM")))</f>
        <v>OPORTUNO</v>
      </c>
      <c r="M3411">
        <v>15</v>
      </c>
      <c r="N3411">
        <v>95.35</v>
      </c>
      <c r="O3411">
        <v>28.61538461538461</v>
      </c>
    </row>
    <row r="3412" spans="1:15" hidden="1" x14ac:dyDescent="0.25">
      <c r="A3412" s="11">
        <v>46107</v>
      </c>
      <c r="B3412" t="s">
        <v>45</v>
      </c>
      <c r="C3412" t="s">
        <v>32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>E3412+G3412+H3412</f>
        <v>25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28</v>
      </c>
      <c r="K3412" s="3">
        <f>I3412-J3412</f>
        <v>-3</v>
      </c>
      <c r="L3412" s="3" t="str">
        <f>IF(K3412&lt;-5,"CRÍTICO",IF(K3412&lt;0,"ATENÇÃO",IF(K3412&lt;=5,"OPORTUNO","MUITO BOM")))</f>
        <v>ATENÇÃO</v>
      </c>
      <c r="M3412">
        <v>25</v>
      </c>
      <c r="N3412">
        <v>98.26</v>
      </c>
      <c r="O3412">
        <v>27.54491017964072</v>
      </c>
    </row>
    <row r="3413" spans="1:15" hidden="1" x14ac:dyDescent="0.25">
      <c r="A3413" s="11">
        <v>46107</v>
      </c>
      <c r="B3413" t="s">
        <v>64</v>
      </c>
      <c r="C3413" t="s">
        <v>23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>E3413+G3413+H3413</f>
        <v>11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18</v>
      </c>
      <c r="K3413" s="3">
        <f>I3413-J3413</f>
        <v>-7</v>
      </c>
      <c r="L3413" s="3" t="str">
        <f>IF(K3413&lt;-5,"CRÍTICO",IF(K3413&lt;0,"ATENÇÃO",IF(K3413&lt;=5,"OPORTUNO","MUITO BOM")))</f>
        <v>CRÍTICO</v>
      </c>
      <c r="M3413">
        <v>9</v>
      </c>
      <c r="N3413">
        <v>98.55</v>
      </c>
      <c r="O3413">
        <v>25.337837837837839</v>
      </c>
    </row>
    <row r="3414" spans="1:15" hidden="1" x14ac:dyDescent="0.25">
      <c r="A3414" s="11">
        <v>46107</v>
      </c>
      <c r="B3414" t="s">
        <v>46</v>
      </c>
      <c r="C3414" t="s">
        <v>32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>E3414+G3414+H3414</f>
        <v>27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28</v>
      </c>
      <c r="K3414" s="3">
        <f>I3414-J3414</f>
        <v>-1</v>
      </c>
      <c r="L3414" s="3" t="str">
        <f>IF(K3414&lt;-5,"CRÍTICO",IF(K3414&lt;0,"ATENÇÃO",IF(K3414&lt;=5,"OPORTUNO","MUITO BOM")))</f>
        <v>ATENÇÃO</v>
      </c>
      <c r="M3414">
        <v>26</v>
      </c>
      <c r="N3414">
        <v>98.39</v>
      </c>
      <c r="O3414">
        <v>25.563909774436091</v>
      </c>
    </row>
    <row r="3415" spans="1:15" hidden="1" x14ac:dyDescent="0.25">
      <c r="A3415" s="11">
        <v>46108</v>
      </c>
      <c r="B3415" t="s">
        <v>47</v>
      </c>
      <c r="C3415" t="s">
        <v>48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>E3415+G3415+H3415</f>
        <v>22</v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>21</v>
      </c>
      <c r="K3415" s="3">
        <f>I3415-J3415</f>
        <v>1</v>
      </c>
      <c r="L3415" s="3" t="str">
        <f>IF(K3415&lt;-5,"CRÍTICO",IF(K3415&lt;0,"ATENÇÃO",IF(K3415&lt;=5,"OPORTUNO","MUITO BOM")))</f>
        <v>OPORTUNO</v>
      </c>
      <c r="M3415">
        <v>19</v>
      </c>
      <c r="N3415">
        <v>94.29</v>
      </c>
      <c r="O3415">
        <v>25.647668393782389</v>
      </c>
    </row>
    <row r="3416" spans="1:15" hidden="1" x14ac:dyDescent="0.25">
      <c r="A3416" s="11">
        <v>46108</v>
      </c>
      <c r="B3416" t="s">
        <v>31</v>
      </c>
      <c r="C3416" t="s">
        <v>32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v>0</v>
      </c>
      <c r="J3416" s="3">
        <v>0</v>
      </c>
      <c r="K3416" s="3">
        <v>0</v>
      </c>
      <c r="L3416" s="3" t="str">
        <f>IF(K3416&lt;-5,"CRÍTICO",IF(K3416&lt;0,"ATENÇÃO",IF(K3416&lt;=5,"OPORTUNO","MUITO BOM")))</f>
        <v>OPORTUNO</v>
      </c>
      <c r="M3416">
        <v>24</v>
      </c>
      <c r="N3416">
        <v>98.26</v>
      </c>
      <c r="O3416">
        <v>26.666666666666671</v>
      </c>
    </row>
    <row r="3417" spans="1:15" hidden="1" x14ac:dyDescent="0.25">
      <c r="A3417" s="11">
        <v>46108</v>
      </c>
      <c r="B3417" t="s">
        <v>59</v>
      </c>
      <c r="C3417" t="s">
        <v>23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>E3417+G3417+H3417</f>
        <v>29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17</v>
      </c>
      <c r="K3417" s="3">
        <f>I3417-J3417</f>
        <v>12</v>
      </c>
      <c r="L3417" s="3" t="str">
        <f>IF(K3417&lt;-5,"CRÍTICO",IF(K3417&lt;0,"ATENÇÃO",IF(K3417&lt;=5,"OPORTUNO","MUITO BOM")))</f>
        <v>MUITO BOM</v>
      </c>
      <c r="M3417">
        <v>26</v>
      </c>
      <c r="N3417">
        <v>98.2</v>
      </c>
      <c r="O3417">
        <v>23.37962962962963</v>
      </c>
    </row>
    <row r="3418" spans="1:15" hidden="1" x14ac:dyDescent="0.25">
      <c r="A3418" s="11">
        <v>46108</v>
      </c>
      <c r="B3418" t="s">
        <v>33</v>
      </c>
      <c r="C3418" t="s">
        <v>32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>E3418+G3418+H3418</f>
        <v>22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26</v>
      </c>
      <c r="K3418" s="3">
        <f>I3418-J3418</f>
        <v>-4</v>
      </c>
      <c r="L3418" s="3" t="str">
        <f>IF(K3418&lt;-5,"CRÍTICO",IF(K3418&lt;0,"ATENÇÃO",IF(K3418&lt;=5,"OPORTUNO","MUITO BOM")))</f>
        <v>ATENÇÃO</v>
      </c>
      <c r="M3418">
        <v>19</v>
      </c>
      <c r="N3418">
        <v>97.3</v>
      </c>
      <c r="O3418">
        <v>23.84769539078156</v>
      </c>
    </row>
    <row r="3419" spans="1:15" hidden="1" x14ac:dyDescent="0.25">
      <c r="A3419" s="11">
        <v>46108</v>
      </c>
      <c r="B3419" t="s">
        <v>15</v>
      </c>
      <c r="C3419" t="s">
        <v>16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>E3419+G3419+H3419</f>
        <v>16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7</v>
      </c>
      <c r="K3419" s="3">
        <f>I3419-J3419</f>
        <v>9</v>
      </c>
      <c r="L3419" s="3" t="str">
        <f>IF(K3419&lt;-5,"CRÍTICO",IF(K3419&lt;0,"ATENÇÃO",IF(K3419&lt;=5,"OPORTUNO","MUITO BOM")))</f>
        <v>MUITO BOM</v>
      </c>
      <c r="M3419">
        <v>15</v>
      </c>
      <c r="N3419">
        <v>100</v>
      </c>
      <c r="O3419">
        <v>25.268817204301079</v>
      </c>
    </row>
    <row r="3420" spans="1:15" hidden="1" x14ac:dyDescent="0.25">
      <c r="A3420" s="11">
        <v>46108</v>
      </c>
      <c r="B3420" t="s">
        <v>49</v>
      </c>
      <c r="C3420" t="s">
        <v>48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>E3420+G3420+H3420</f>
        <v>29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8</v>
      </c>
      <c r="L3420" s="3" t="str">
        <f>IF(K3420&lt;-5,"CRÍTICO",IF(K3420&lt;0,"ATENÇÃO",IF(K3420&lt;=5,"OPORTUNO","MUITO BOM")))</f>
        <v>MUITO BOM</v>
      </c>
      <c r="M3420">
        <v>28</v>
      </c>
      <c r="N3420">
        <v>99.32</v>
      </c>
      <c r="O3420">
        <v>22.822822822822818</v>
      </c>
    </row>
    <row r="3421" spans="1:15" hidden="1" x14ac:dyDescent="0.25">
      <c r="A3421" s="11">
        <v>46108</v>
      </c>
      <c r="B3421" t="s">
        <v>50</v>
      </c>
      <c r="C3421" t="s">
        <v>48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>E3421+G3421+H3421</f>
        <v>17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21</v>
      </c>
      <c r="K3421" s="3">
        <f>I3421-J3421</f>
        <v>-4</v>
      </c>
      <c r="L3421" s="3" t="str">
        <f>IF(K3421&lt;-5,"CRÍTICO",IF(K3421&lt;0,"ATENÇÃO",IF(K3421&lt;=5,"OPORTUNO","MUITO BOM")))</f>
        <v>ATENÇÃO</v>
      </c>
      <c r="M3421">
        <v>18</v>
      </c>
      <c r="N3421">
        <v>100</v>
      </c>
      <c r="O3421">
        <v>27.966101694915249</v>
      </c>
    </row>
    <row r="3422" spans="1:15" hidden="1" x14ac:dyDescent="0.25">
      <c r="A3422" s="11">
        <v>46108</v>
      </c>
      <c r="B3422" t="s">
        <v>17</v>
      </c>
      <c r="C3422" t="s">
        <v>16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>E3422+G3422+H3422</f>
        <v>10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7</v>
      </c>
      <c r="K3422" s="3">
        <f>I3422-J3422</f>
        <v>3</v>
      </c>
      <c r="L3422" s="3" t="str">
        <f>IF(K3422&lt;-5,"CRÍTICO",IF(K3422&lt;0,"ATENÇÃO",IF(K3422&lt;=5,"OPORTUNO","MUITO BOM")))</f>
        <v>OPORTUNO</v>
      </c>
      <c r="M3422">
        <v>6</v>
      </c>
      <c r="N3422">
        <v>100</v>
      </c>
      <c r="O3422">
        <v>30.434782608695659</v>
      </c>
    </row>
    <row r="3423" spans="1:15" hidden="1" x14ac:dyDescent="0.25">
      <c r="A3423" s="11">
        <v>46108</v>
      </c>
      <c r="B3423" t="s">
        <v>60</v>
      </c>
      <c r="C3423" t="s">
        <v>23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>E3423+G3423+H3423</f>
        <v>30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17</v>
      </c>
      <c r="K3423" s="3">
        <f>I3423-J3423</f>
        <v>13</v>
      </c>
      <c r="L3423" s="3" t="str">
        <f>IF(K3423&lt;-5,"CRÍTICO",IF(K3423&lt;0,"ATENÇÃO",IF(K3423&lt;=5,"OPORTUNO","MUITO BOM")))</f>
        <v>MUITO BOM</v>
      </c>
      <c r="M3423">
        <v>31</v>
      </c>
      <c r="N3423">
        <v>96.51</v>
      </c>
      <c r="O3423">
        <v>22.802850356294542</v>
      </c>
    </row>
    <row r="3424" spans="1:15" hidden="1" x14ac:dyDescent="0.25">
      <c r="A3424" s="11">
        <v>46108</v>
      </c>
      <c r="B3424" t="s">
        <v>34</v>
      </c>
      <c r="C3424" t="s">
        <v>32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>E3424+G3424+H3424</f>
        <v>25</v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>26</v>
      </c>
      <c r="K3424" s="3">
        <f>I3424-J3424</f>
        <v>-1</v>
      </c>
      <c r="L3424" s="3" t="str">
        <f>IF(K3424&lt;-5,"CRÍTICO",IF(K3424&lt;0,"ATENÇÃO",IF(K3424&lt;=5,"OPORTUNO","MUITO BOM")))</f>
        <v>ATENÇÃO</v>
      </c>
      <c r="M3424">
        <v>22</v>
      </c>
      <c r="N3424">
        <v>92.68</v>
      </c>
      <c r="O3424">
        <v>27.777777777777779</v>
      </c>
    </row>
    <row r="3425" spans="1:15" hidden="1" x14ac:dyDescent="0.25">
      <c r="A3425" s="11">
        <v>46108</v>
      </c>
      <c r="B3425" t="s">
        <v>51</v>
      </c>
      <c r="C3425" t="s">
        <v>48</v>
      </c>
      <c r="D3425">
        <v>16</v>
      </c>
      <c r="E3425">
        <v>13</v>
      </c>
      <c r="F3425">
        <v>10.34</v>
      </c>
      <c r="G3425">
        <v>0</v>
      </c>
      <c r="H3425">
        <v>0</v>
      </c>
      <c r="I3425" s="3">
        <v>0</v>
      </c>
      <c r="J3425" s="3">
        <v>0</v>
      </c>
      <c r="K3425" s="3">
        <v>0</v>
      </c>
      <c r="L3425" s="3" t="str">
        <f>IF(K3425&lt;-5,"CRÍTICO",IF(K3425&lt;0,"ATENÇÃO",IF(K3425&lt;=5,"OPORTUNO","MUITO BOM")))</f>
        <v>OPORTUNO</v>
      </c>
      <c r="M3425">
        <v>12</v>
      </c>
      <c r="N3425">
        <v>99.03</v>
      </c>
      <c r="O3425">
        <v>23.991507430997881</v>
      </c>
    </row>
    <row r="3426" spans="1:15" hidden="1" x14ac:dyDescent="0.25">
      <c r="A3426" s="11">
        <v>46108</v>
      </c>
      <c r="B3426" t="s">
        <v>61</v>
      </c>
      <c r="C3426" t="s">
        <v>23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>E3426+G3426+H3426</f>
        <v>17</v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>17</v>
      </c>
      <c r="K3426" s="3">
        <f>I3426-J3426</f>
        <v>0</v>
      </c>
      <c r="L3426" s="3" t="str">
        <f>IF(K3426&lt;-5,"CRÍTICO",IF(K3426&lt;0,"ATENÇÃO",IF(K3426&lt;=5,"OPORTUNO","MUITO BOM")))</f>
        <v>OPORTUNO</v>
      </c>
      <c r="M3426">
        <v>6</v>
      </c>
      <c r="N3426">
        <v>98.41</v>
      </c>
      <c r="O3426">
        <v>28.138528138528141</v>
      </c>
    </row>
    <row r="3427" spans="1:15" hidden="1" x14ac:dyDescent="0.25">
      <c r="A3427" s="11">
        <v>46108</v>
      </c>
      <c r="B3427" t="s">
        <v>35</v>
      </c>
      <c r="C3427" t="s">
        <v>32</v>
      </c>
      <c r="D3427">
        <v>17</v>
      </c>
      <c r="E3427">
        <v>17</v>
      </c>
      <c r="F3427">
        <v>33.450000000000003</v>
      </c>
      <c r="G3427">
        <v>0</v>
      </c>
      <c r="H3427">
        <v>0</v>
      </c>
      <c r="I3427" s="3">
        <v>0</v>
      </c>
      <c r="J3427" s="3">
        <v>0</v>
      </c>
      <c r="K3427" s="3">
        <v>0</v>
      </c>
      <c r="L3427" s="3" t="str">
        <f>IF(K3427&lt;-5,"CRÍTICO",IF(K3427&lt;0,"ATENÇÃO",IF(K3427&lt;=5,"OPORTUNO","MUITO BOM")))</f>
        <v>OPORTUNO</v>
      </c>
      <c r="M3427">
        <v>18</v>
      </c>
      <c r="N3427">
        <v>98.73</v>
      </c>
      <c r="O3427">
        <v>29.142857142857139</v>
      </c>
    </row>
    <row r="3428" spans="1:15" hidden="1" x14ac:dyDescent="0.25">
      <c r="A3428" s="11">
        <v>46108</v>
      </c>
      <c r="B3428" t="s">
        <v>18</v>
      </c>
      <c r="C3428" t="s">
        <v>16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>E3428+G3428+H3428</f>
        <v>8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7</v>
      </c>
      <c r="K3428" s="3">
        <f>I3428-J3428</f>
        <v>1</v>
      </c>
      <c r="L3428" s="3" t="str">
        <f>IF(K3428&lt;-5,"CRÍTICO",IF(K3428&lt;0,"ATENÇÃO",IF(K3428&lt;=5,"OPORTUNO","MUITO BOM")))</f>
        <v>OPORTUNO</v>
      </c>
      <c r="M3428">
        <v>8</v>
      </c>
      <c r="N3428">
        <v>90.48</v>
      </c>
      <c r="O3428">
        <v>20.68965517241379</v>
      </c>
    </row>
    <row r="3429" spans="1:15" hidden="1" x14ac:dyDescent="0.25">
      <c r="A3429" s="11">
        <v>46108</v>
      </c>
      <c r="B3429" t="s">
        <v>52</v>
      </c>
      <c r="C3429" t="s">
        <v>48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>E3429+G3429+H3429</f>
        <v>23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21</v>
      </c>
      <c r="K3429" s="3">
        <f>I3429-J3429</f>
        <v>2</v>
      </c>
      <c r="L3429" s="3" t="str">
        <f>IF(K3429&lt;-5,"CRÍTICO",IF(K3429&lt;0,"ATENÇÃO",IF(K3429&lt;=5,"OPORTUNO","MUITO BOM")))</f>
        <v>OPORTUNO</v>
      </c>
      <c r="M3429">
        <v>21</v>
      </c>
      <c r="N3429">
        <v>98.06</v>
      </c>
      <c r="O3429">
        <v>24.789915966386559</v>
      </c>
    </row>
    <row r="3430" spans="1:15" hidden="1" x14ac:dyDescent="0.25">
      <c r="A3430" s="11">
        <v>46108</v>
      </c>
      <c r="B3430" t="s">
        <v>36</v>
      </c>
      <c r="C3430" t="s">
        <v>32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>E3430+G3430+H3430</f>
        <v>19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26</v>
      </c>
      <c r="K3430" s="3">
        <f>I3430-J3430</f>
        <v>-7</v>
      </c>
      <c r="L3430" s="3" t="str">
        <f>IF(K3430&lt;-5,"CRÍTICO",IF(K3430&lt;0,"ATENÇÃO",IF(K3430&lt;=5,"OPORTUNO","MUITO BOM")))</f>
        <v>CRÍTICO</v>
      </c>
      <c r="M3430">
        <v>20</v>
      </c>
      <c r="N3430">
        <v>97.78</v>
      </c>
      <c r="O3430">
        <v>25.494071146245059</v>
      </c>
    </row>
    <row r="3431" spans="1:15" hidden="1" x14ac:dyDescent="0.25">
      <c r="A3431" s="11">
        <v>46108</v>
      </c>
      <c r="B3431" t="s">
        <v>53</v>
      </c>
      <c r="C3431" t="s">
        <v>48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>E3431+G3431+H3431</f>
        <v>20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21</v>
      </c>
      <c r="K3431" s="3">
        <f>I3431-J3431</f>
        <v>-1</v>
      </c>
      <c r="L3431" s="3" t="str">
        <f>IF(K3431&lt;-5,"CRÍTICO",IF(K3431&lt;0,"ATENÇÃO",IF(K3431&lt;=5,"OPORTUNO","MUITO BOM")))</f>
        <v>ATENÇÃO</v>
      </c>
      <c r="M3431">
        <v>18</v>
      </c>
      <c r="N3431">
        <v>98.02</v>
      </c>
      <c r="O3431">
        <v>23.484848484848481</v>
      </c>
    </row>
    <row r="3432" spans="1:15" hidden="1" x14ac:dyDescent="0.25">
      <c r="A3432" s="10">
        <v>46164</v>
      </c>
      <c r="B3432" s="6" t="s">
        <v>56</v>
      </c>
      <c r="C3432" s="3" t="s">
        <v>48</v>
      </c>
      <c r="D3432" s="3">
        <v>19</v>
      </c>
      <c r="E3432" s="3">
        <v>18</v>
      </c>
      <c r="F3432" s="3">
        <v>20.48</v>
      </c>
      <c r="G3432" s="3">
        <v>1</v>
      </c>
      <c r="H3432" s="3">
        <v>0</v>
      </c>
      <c r="I3432" s="3">
        <f>E3432+G3432+H3432</f>
        <v>19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15</v>
      </c>
      <c r="K3432" s="3">
        <f>I3432-J3432</f>
        <v>4</v>
      </c>
      <c r="L3432" s="3" t="str">
        <f>IF(K3432&lt;-5,"CRÍTICO",IF(K3432&lt;0,"ATENÇÃO",IF(K3432&lt;=5,"OPORTUNO","MUITO BOM")))</f>
        <v>OPORTUNO</v>
      </c>
      <c r="M3432" s="3">
        <v>18</v>
      </c>
      <c r="N3432" s="3">
        <v>99</v>
      </c>
      <c r="O3432" s="3">
        <v>22.010869565217391</v>
      </c>
    </row>
    <row r="3433" spans="1:15" hidden="1" x14ac:dyDescent="0.25">
      <c r="A3433" s="11">
        <v>46108</v>
      </c>
      <c r="B3433" t="s">
        <v>54</v>
      </c>
      <c r="C3433" t="s">
        <v>48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>E3433+G3433+H3433</f>
        <v>22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21</v>
      </c>
      <c r="K3433" s="3">
        <f>I3433-J3433</f>
        <v>1</v>
      </c>
      <c r="L3433" s="3" t="str">
        <f>IF(K3433&lt;-5,"CRÍTICO",IF(K3433&lt;0,"ATENÇÃO",IF(K3433&lt;=5,"OPORTUNO","MUITO BOM")))</f>
        <v>OPORTUNO</v>
      </c>
      <c r="M3433">
        <v>14</v>
      </c>
      <c r="N3433">
        <v>100</v>
      </c>
      <c r="O3433">
        <v>27.04918032786885</v>
      </c>
    </row>
    <row r="3434" spans="1:15" hidden="1" x14ac:dyDescent="0.25">
      <c r="A3434" s="11">
        <v>46108</v>
      </c>
      <c r="B3434" t="s">
        <v>37</v>
      </c>
      <c r="C3434" t="s">
        <v>32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>E3434+G3434+H3434</f>
        <v>39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13</v>
      </c>
      <c r="L3434" s="3" t="str">
        <f>IF(K3434&lt;-5,"CRÍTICO",IF(K3434&lt;0,"ATENÇÃO",IF(K3434&lt;=5,"OPORTUNO","MUITO BOM")))</f>
        <v>MUITO BOM</v>
      </c>
      <c r="M3434">
        <v>38</v>
      </c>
      <c r="N3434">
        <v>97.83</v>
      </c>
      <c r="O3434">
        <v>26.315789473684209</v>
      </c>
    </row>
    <row r="3435" spans="1:15" hidden="1" x14ac:dyDescent="0.25">
      <c r="A3435" s="11">
        <v>46108</v>
      </c>
      <c r="B3435" t="s">
        <v>38</v>
      </c>
      <c r="C3435" t="s">
        <v>32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>E3435+G3435+H3435</f>
        <v>6</v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>26</v>
      </c>
      <c r="K3435" s="3">
        <f>I3435-J3435</f>
        <v>-20</v>
      </c>
      <c r="L3435" s="3" t="str">
        <f>IF(K3435&lt;-5,"CRÍTICO",IF(K3435&lt;0,"ATENÇÃO",IF(K3435&lt;=5,"OPORTUNO","MUITO BOM")))</f>
        <v>CRÍTICO</v>
      </c>
      <c r="M3435">
        <v>5</v>
      </c>
      <c r="N3435">
        <v>100</v>
      </c>
      <c r="O3435">
        <v>26.701570680628269</v>
      </c>
    </row>
    <row r="3436" spans="1:15" hidden="1" x14ac:dyDescent="0.25">
      <c r="A3436" s="11">
        <v>46108</v>
      </c>
      <c r="B3436" t="s">
        <v>55</v>
      </c>
      <c r="C3436" t="s">
        <v>48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>
        <v>0</v>
      </c>
      <c r="N3436">
        <v>97.47</v>
      </c>
      <c r="O3436">
        <v>22.887323943661968</v>
      </c>
    </row>
    <row r="3437" spans="1:15" hidden="1" x14ac:dyDescent="0.25">
      <c r="A3437" s="11">
        <v>46108</v>
      </c>
      <c r="B3437" t="s">
        <v>39</v>
      </c>
      <c r="C3437" t="s">
        <v>32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v>0</v>
      </c>
      <c r="J3437" s="3">
        <v>0</v>
      </c>
      <c r="K3437" s="3">
        <v>0</v>
      </c>
      <c r="L3437" s="3" t="str">
        <f>IF(K3437&lt;-5,"CRÍTICO",IF(K3437&lt;0,"ATENÇÃO",IF(K3437&lt;=5,"OPORTUNO","MUITO BOM")))</f>
        <v>OPORTUNO</v>
      </c>
      <c r="M3437">
        <v>0</v>
      </c>
      <c r="N3437">
        <v>0</v>
      </c>
      <c r="O3437">
        <v>0</v>
      </c>
    </row>
    <row r="3438" spans="1:15" hidden="1" x14ac:dyDescent="0.25">
      <c r="A3438" s="11">
        <v>46108</v>
      </c>
      <c r="B3438" t="s">
        <v>25</v>
      </c>
      <c r="C3438" t="s">
        <v>26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>E3438+G3438+H3438</f>
        <v>24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15</v>
      </c>
      <c r="K3438" s="3">
        <f>I3438-J3438</f>
        <v>9</v>
      </c>
      <c r="L3438" s="3" t="str">
        <f>IF(K3438&lt;-5,"CRÍTICO",IF(K3438&lt;0,"ATENÇÃO",IF(K3438&lt;=5,"OPORTUNO","MUITO BOM")))</f>
        <v>MUITO BOM</v>
      </c>
      <c r="M3438">
        <v>23</v>
      </c>
      <c r="N3438">
        <v>98.31</v>
      </c>
      <c r="O3438">
        <v>24.920127795527151</v>
      </c>
    </row>
    <row r="3439" spans="1:15" hidden="1" x14ac:dyDescent="0.25">
      <c r="A3439" s="11">
        <v>46108</v>
      </c>
      <c r="B3439" t="s">
        <v>40</v>
      </c>
      <c r="C3439" t="s">
        <v>32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>E3439+G3439+H3439</f>
        <v>25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26</v>
      </c>
      <c r="K3439" s="3">
        <f>I3439-J3439</f>
        <v>-1</v>
      </c>
      <c r="L3439" s="3" t="str">
        <f>IF(K3439&lt;-5,"CRÍTICO",IF(K3439&lt;0,"ATENÇÃO",IF(K3439&lt;=5,"OPORTUNO","MUITO BOM")))</f>
        <v>ATENÇÃO</v>
      </c>
      <c r="M3439">
        <v>25</v>
      </c>
      <c r="N3439">
        <v>96.81</v>
      </c>
      <c r="O3439">
        <v>32.365145228215773</v>
      </c>
    </row>
    <row r="3440" spans="1:15" hidden="1" x14ac:dyDescent="0.25">
      <c r="A3440" s="11">
        <v>46108</v>
      </c>
      <c r="B3440" t="s">
        <v>27</v>
      </c>
      <c r="C3440" t="s">
        <v>26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>E3440+G3440+H3440</f>
        <v>11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15</v>
      </c>
      <c r="K3440" s="3">
        <f>I3440-J3440</f>
        <v>-4</v>
      </c>
      <c r="L3440" s="3" t="str">
        <f>IF(K3440&lt;-5,"CRÍTICO",IF(K3440&lt;0,"ATENÇÃO",IF(K3440&lt;=5,"OPORTUNO","MUITO BOM")))</f>
        <v>ATENÇÃO</v>
      </c>
      <c r="M3440">
        <v>9</v>
      </c>
      <c r="N3440">
        <v>100</v>
      </c>
      <c r="O3440">
        <v>26.47058823529412</v>
      </c>
    </row>
    <row r="3441" spans="1:15" hidden="1" x14ac:dyDescent="0.25">
      <c r="A3441" s="11">
        <v>46108</v>
      </c>
      <c r="B3441" t="s">
        <v>41</v>
      </c>
      <c r="C3441" t="s">
        <v>32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>E3441+G3441+H3441</f>
        <v>28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26</v>
      </c>
      <c r="K3441" s="3">
        <f>I3441-J3441</f>
        <v>2</v>
      </c>
      <c r="L3441" s="3" t="str">
        <f>IF(K3441&lt;-5,"CRÍTICO",IF(K3441&lt;0,"ATENÇÃO",IF(K3441&lt;=5,"OPORTUNO","MUITO BOM")))</f>
        <v>OPORTUNO</v>
      </c>
      <c r="M3441">
        <v>26</v>
      </c>
      <c r="N3441">
        <v>100</v>
      </c>
      <c r="O3441">
        <v>28.490028490028489</v>
      </c>
    </row>
    <row r="3442" spans="1:15" hidden="1" x14ac:dyDescent="0.25">
      <c r="A3442" s="11">
        <v>46108</v>
      </c>
      <c r="B3442" t="s">
        <v>56</v>
      </c>
      <c r="C3442" t="s">
        <v>48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>E3442+G3442+H3442</f>
        <v>30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21</v>
      </c>
      <c r="K3442" s="3">
        <f>I3442-J3442</f>
        <v>9</v>
      </c>
      <c r="L3442" s="3" t="str">
        <f>IF(K3442&lt;-5,"CRÍTICO",IF(K3442&lt;0,"ATENÇÃO",IF(K3442&lt;=5,"OPORTUNO","MUITO BOM")))</f>
        <v>MUITO BOM</v>
      </c>
      <c r="M3442">
        <v>15</v>
      </c>
      <c r="N3442">
        <v>99.14</v>
      </c>
      <c r="O3442">
        <v>27.2289156626506</v>
      </c>
    </row>
    <row r="3443" spans="1:15" hidden="1" x14ac:dyDescent="0.25">
      <c r="A3443" s="11">
        <v>46108</v>
      </c>
      <c r="B3443" t="s">
        <v>57</v>
      </c>
      <c r="C3443" t="s">
        <v>48</v>
      </c>
      <c r="D3443">
        <v>21</v>
      </c>
      <c r="E3443">
        <v>19</v>
      </c>
      <c r="F3443">
        <v>21.46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>
        <v>18</v>
      </c>
      <c r="N3443">
        <v>97.52</v>
      </c>
      <c r="O3443">
        <v>28.205128205128201</v>
      </c>
    </row>
    <row r="3444" spans="1:15" hidden="1" x14ac:dyDescent="0.25">
      <c r="A3444" s="11">
        <v>46108</v>
      </c>
      <c r="B3444" t="s">
        <v>42</v>
      </c>
      <c r="C3444" t="s">
        <v>32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v>0</v>
      </c>
      <c r="J3444" s="3">
        <v>0</v>
      </c>
      <c r="K3444" s="3">
        <v>0</v>
      </c>
      <c r="L3444" s="3" t="str">
        <f>IF(K3444&lt;-5,"CRÍTICO",IF(K3444&lt;0,"ATENÇÃO",IF(K3444&lt;=5,"OPORTUNO","MUITO BOM")))</f>
        <v>OPORTUNO</v>
      </c>
      <c r="M3444">
        <v>0</v>
      </c>
      <c r="N3444">
        <v>90</v>
      </c>
      <c r="O3444">
        <v>24.186046511627911</v>
      </c>
    </row>
    <row r="3445" spans="1:15" hidden="1" x14ac:dyDescent="0.25">
      <c r="A3445" s="11">
        <v>46108</v>
      </c>
      <c r="B3445" t="s">
        <v>62</v>
      </c>
      <c r="C3445" t="s">
        <v>23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>E3445+G3445+H3445</f>
        <v>23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17</v>
      </c>
      <c r="K3445" s="3">
        <f>I3445-J3445</f>
        <v>6</v>
      </c>
      <c r="L3445" s="3" t="str">
        <f>IF(K3445&lt;-5,"CRÍTICO",IF(K3445&lt;0,"ATENÇÃO",IF(K3445&lt;=5,"OPORTUNO","MUITO BOM")))</f>
        <v>MUITO BOM</v>
      </c>
      <c r="M3445">
        <v>20</v>
      </c>
      <c r="N3445">
        <v>98.9</v>
      </c>
      <c r="O3445">
        <v>26.763990267639901</v>
      </c>
    </row>
    <row r="3446" spans="1:15" hidden="1" x14ac:dyDescent="0.25">
      <c r="A3446" s="11">
        <v>46108</v>
      </c>
      <c r="B3446" t="s">
        <v>19</v>
      </c>
      <c r="C3446" t="s">
        <v>16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>E3446+G3446+H3446</f>
        <v>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7</v>
      </c>
      <c r="K3446" s="3">
        <f>I3446-J3446</f>
        <v>0</v>
      </c>
      <c r="L3446" s="3" t="str">
        <f>IF(K3446&lt;-5,"CRÍTICO",IF(K3446&lt;0,"ATENÇÃO",IF(K3446&lt;=5,"OPORTUNO","MUITO BOM")))</f>
        <v>OPORTUNO</v>
      </c>
      <c r="M3446">
        <v>5</v>
      </c>
      <c r="N3446">
        <v>88.89</v>
      </c>
      <c r="O3446">
        <v>25.263157894736839</v>
      </c>
    </row>
    <row r="3447" spans="1:15" hidden="1" x14ac:dyDescent="0.25">
      <c r="A3447" s="11">
        <v>46108</v>
      </c>
      <c r="B3447" t="s">
        <v>43</v>
      </c>
      <c r="C3447" t="s">
        <v>32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>E3447+G3447+H3447</f>
        <v>27</v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>26</v>
      </c>
      <c r="K3447" s="3">
        <f>I3447-J3447</f>
        <v>1</v>
      </c>
      <c r="L3447" s="3" t="str">
        <f>IF(K3447&lt;-5,"CRÍTICO",IF(K3447&lt;0,"ATENÇÃO",IF(K3447&lt;=5,"OPORTUNO","MUITO BOM")))</f>
        <v>OPORTUNO</v>
      </c>
      <c r="M3447">
        <v>24</v>
      </c>
      <c r="N3447">
        <v>98.86</v>
      </c>
      <c r="O3447">
        <v>28.959276018099551</v>
      </c>
    </row>
    <row r="3448" spans="1:15" hidden="1" x14ac:dyDescent="0.25">
      <c r="A3448" s="11">
        <v>46108</v>
      </c>
      <c r="B3448" t="s">
        <v>44</v>
      </c>
      <c r="C3448" t="s">
        <v>32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v>0</v>
      </c>
      <c r="J3448" s="3">
        <v>0</v>
      </c>
      <c r="K3448" s="3">
        <v>0</v>
      </c>
      <c r="L3448" s="3" t="str">
        <f>IF(K3448&lt;-5,"CRÍTICO",IF(K3448&lt;0,"ATENÇÃO",IF(K3448&lt;=5,"OPORTUNO","MUITO BOM")))</f>
        <v>OPORTUNO</v>
      </c>
      <c r="M3448">
        <v>0</v>
      </c>
      <c r="N3448">
        <v>98.06</v>
      </c>
      <c r="O3448">
        <v>22.40566037735849</v>
      </c>
    </row>
    <row r="3449" spans="1:15" hidden="1" x14ac:dyDescent="0.25">
      <c r="A3449" s="11">
        <v>46108</v>
      </c>
      <c r="B3449" t="s">
        <v>20</v>
      </c>
      <c r="C3449" t="s">
        <v>16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>E3449+G3449+H3449</f>
        <v>9</v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7</v>
      </c>
      <c r="K3449" s="3">
        <f>I3449-J3449</f>
        <v>2</v>
      </c>
      <c r="L3449" s="3" t="str">
        <f>IF(K3449&lt;-5,"CRÍTICO",IF(K3449&lt;0,"ATENÇÃO",IF(K3449&lt;=5,"OPORTUNO","MUITO BOM")))</f>
        <v>OPORTUNO</v>
      </c>
      <c r="M3449">
        <v>4</v>
      </c>
      <c r="N3449">
        <v>95.83</v>
      </c>
      <c r="O3449">
        <v>25.773195876288661</v>
      </c>
    </row>
    <row r="3450" spans="1:15" hidden="1" x14ac:dyDescent="0.25">
      <c r="A3450" s="11">
        <v>46108</v>
      </c>
      <c r="B3450" t="s">
        <v>28</v>
      </c>
      <c r="C3450" t="s">
        <v>26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>
        <v>1</v>
      </c>
      <c r="N3450">
        <v>100</v>
      </c>
      <c r="O3450">
        <v>15.38461538461539</v>
      </c>
    </row>
    <row r="3451" spans="1:15" hidden="1" x14ac:dyDescent="0.25">
      <c r="A3451" s="11">
        <v>46108</v>
      </c>
      <c r="B3451" t="s">
        <v>58</v>
      </c>
      <c r="C3451" t="s">
        <v>48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v>0</v>
      </c>
      <c r="J3451" s="3">
        <v>0</v>
      </c>
      <c r="K3451" s="3">
        <v>0</v>
      </c>
      <c r="L3451" s="3" t="str">
        <f>IF(K3451&lt;-5,"CRÍTICO",IF(K3451&lt;0,"ATENÇÃO",IF(K3451&lt;=5,"OPORTUNO","MUITO BOM")))</f>
        <v>OPORTUNO</v>
      </c>
      <c r="M3451">
        <v>0</v>
      </c>
      <c r="N3451">
        <v>100</v>
      </c>
      <c r="O3451">
        <v>27.514792899408281</v>
      </c>
    </row>
    <row r="3452" spans="1:15" hidden="1" x14ac:dyDescent="0.25">
      <c r="A3452" s="11">
        <v>46108</v>
      </c>
      <c r="B3452" t="s">
        <v>29</v>
      </c>
      <c r="C3452" t="s">
        <v>26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>E3452+G3452+H3452</f>
        <v>15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0</v>
      </c>
      <c r="L3452" s="3" t="str">
        <f>IF(K3452&lt;-5,"CRÍTICO",IF(K3452&lt;0,"ATENÇÃO",IF(K3452&lt;=5,"OPORTUNO","MUITO BOM")))</f>
        <v>OPORTUNO</v>
      </c>
      <c r="M3452">
        <v>12</v>
      </c>
      <c r="N3452">
        <v>100</v>
      </c>
      <c r="O3452">
        <v>24.875621890547269</v>
      </c>
    </row>
    <row r="3453" spans="1:15" hidden="1" x14ac:dyDescent="0.25">
      <c r="A3453" s="11">
        <v>46108</v>
      </c>
      <c r="B3453" t="s">
        <v>30</v>
      </c>
      <c r="C3453" t="s">
        <v>26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>E3453+G3453+H3453</f>
        <v>21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15</v>
      </c>
      <c r="K3453" s="3">
        <f>I3453-J3453</f>
        <v>6</v>
      </c>
      <c r="L3453" s="3" t="str">
        <f>IF(K3453&lt;-5,"CRÍTICO",IF(K3453&lt;0,"ATENÇÃO",IF(K3453&lt;=5,"OPORTUNO","MUITO BOM")))</f>
        <v>MUITO BOM</v>
      </c>
      <c r="M3453">
        <v>18</v>
      </c>
      <c r="N3453">
        <v>100</v>
      </c>
      <c r="O3453">
        <v>28.108108108108109</v>
      </c>
    </row>
    <row r="3454" spans="1:15" hidden="1" x14ac:dyDescent="0.25">
      <c r="A3454" s="11">
        <v>46108</v>
      </c>
      <c r="B3454" t="s">
        <v>21</v>
      </c>
      <c r="C3454" t="s">
        <v>16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>E3454+G3454+H3454</f>
        <v>6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7</v>
      </c>
      <c r="K3454" s="3">
        <f>I3454-J3454</f>
        <v>-1</v>
      </c>
      <c r="L3454" s="3" t="str">
        <f>IF(K3454&lt;-5,"CRÍTICO",IF(K3454&lt;0,"ATENÇÃO",IF(K3454&lt;=5,"OPORTUNO","MUITO BOM")))</f>
        <v>ATENÇÃO</v>
      </c>
      <c r="M3454">
        <v>4</v>
      </c>
      <c r="N3454">
        <v>100</v>
      </c>
      <c r="O3454">
        <v>35</v>
      </c>
    </row>
    <row r="3455" spans="1:15" hidden="1" x14ac:dyDescent="0.25">
      <c r="A3455" s="11">
        <v>46108</v>
      </c>
      <c r="B3455" t="s">
        <v>63</v>
      </c>
      <c r="C3455" t="s">
        <v>23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>E3455+G3455+H3455</f>
        <v>21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17</v>
      </c>
      <c r="K3455" s="3">
        <f>I3455-J3455</f>
        <v>4</v>
      </c>
      <c r="L3455" s="3" t="str">
        <f>IF(K3455&lt;-5,"CRÍTICO",IF(K3455&lt;0,"ATENÇÃO",IF(K3455&lt;=5,"OPORTUNO","MUITO BOM")))</f>
        <v>OPORTUNO</v>
      </c>
      <c r="M3455">
        <v>18</v>
      </c>
      <c r="N3455">
        <v>95.35</v>
      </c>
      <c r="O3455">
        <v>28.61538461538461</v>
      </c>
    </row>
    <row r="3456" spans="1:15" hidden="1" x14ac:dyDescent="0.25">
      <c r="A3456" s="11">
        <v>46108</v>
      </c>
      <c r="B3456" t="s">
        <v>45</v>
      </c>
      <c r="C3456" t="s">
        <v>32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>E3456+G3456+H3456</f>
        <v>31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26</v>
      </c>
      <c r="K3456" s="3">
        <f>I3456-J3456</f>
        <v>5</v>
      </c>
      <c r="L3456" s="3" t="str">
        <f>IF(K3456&lt;-5,"CRÍTICO",IF(K3456&lt;0,"ATENÇÃO",IF(K3456&lt;=5,"OPORTUNO","MUITO BOM")))</f>
        <v>OPORTUNO</v>
      </c>
      <c r="M3456">
        <v>30</v>
      </c>
      <c r="N3456">
        <v>98.26</v>
      </c>
      <c r="O3456">
        <v>27.54491017964072</v>
      </c>
    </row>
    <row r="3457" spans="1:15" hidden="1" x14ac:dyDescent="0.25">
      <c r="A3457" s="11">
        <v>46108</v>
      </c>
      <c r="B3457" t="s">
        <v>64</v>
      </c>
      <c r="C3457" t="s">
        <v>23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>E3457+G3457+H3457</f>
        <v>17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17</v>
      </c>
      <c r="K3457" s="3">
        <f>I3457-J3457</f>
        <v>0</v>
      </c>
      <c r="L3457" s="3" t="str">
        <f>IF(K3457&lt;-5,"CRÍTICO",IF(K3457&lt;0,"ATENÇÃO",IF(K3457&lt;=5,"OPORTUNO","MUITO BOM")))</f>
        <v>OPORTUNO</v>
      </c>
      <c r="M3457">
        <v>14</v>
      </c>
      <c r="N3457">
        <v>98.55</v>
      </c>
      <c r="O3457">
        <v>25.337837837837839</v>
      </c>
    </row>
    <row r="3458" spans="1:15" hidden="1" x14ac:dyDescent="0.25">
      <c r="A3458" s="11">
        <v>46108</v>
      </c>
      <c r="B3458" t="s">
        <v>46</v>
      </c>
      <c r="C3458" t="s">
        <v>32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>E3458+G3458+H3458</f>
        <v>30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26</v>
      </c>
      <c r="K3458" s="3">
        <f>I3458-J3458</f>
        <v>4</v>
      </c>
      <c r="L3458" s="3" t="str">
        <f>IF(K3458&lt;-5,"CRÍTICO",IF(K3458&lt;0,"ATENÇÃO",IF(K3458&lt;=5,"OPORTUNO","MUITO BOM")))</f>
        <v>OPORTUNO</v>
      </c>
      <c r="M3458">
        <v>22</v>
      </c>
      <c r="N3458">
        <v>98.39</v>
      </c>
      <c r="O3458">
        <v>25.563909774436091</v>
      </c>
    </row>
    <row r="3459" spans="1:15" hidden="1" x14ac:dyDescent="0.25">
      <c r="A3459" s="11">
        <v>46111</v>
      </c>
      <c r="B3459" t="s">
        <v>47</v>
      </c>
      <c r="C3459" t="s">
        <v>48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>E3459+G3459+H3459</f>
        <v>25</v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>22</v>
      </c>
      <c r="K3459" s="3">
        <f>I3459-J3459</f>
        <v>3</v>
      </c>
      <c r="L3459" s="3" t="str">
        <f>IF(K3459&lt;-5,"CRÍTICO",IF(K3459&lt;0,"ATENÇÃO",IF(K3459&lt;=5,"OPORTUNO","MUITO BOM")))</f>
        <v>OPORTUNO</v>
      </c>
      <c r="M3459">
        <v>20</v>
      </c>
      <c r="N3459">
        <v>94.29</v>
      </c>
      <c r="O3459">
        <v>25.647668393782389</v>
      </c>
    </row>
    <row r="3460" spans="1:15" hidden="1" x14ac:dyDescent="0.25">
      <c r="A3460" s="11">
        <v>46111</v>
      </c>
      <c r="B3460" t="s">
        <v>31</v>
      </c>
      <c r="C3460" t="s">
        <v>32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v>0</v>
      </c>
      <c r="J3460" s="3">
        <v>0</v>
      </c>
      <c r="K3460" s="3">
        <v>0</v>
      </c>
      <c r="L3460" s="3" t="str">
        <f>IF(K3460&lt;-5,"CRÍTICO",IF(K3460&lt;0,"ATENÇÃO",IF(K3460&lt;=5,"OPORTUNO","MUITO BOM")))</f>
        <v>OPORTUNO</v>
      </c>
      <c r="M3460">
        <v>25</v>
      </c>
      <c r="N3460">
        <v>98.26</v>
      </c>
      <c r="O3460">
        <v>26.666666666666671</v>
      </c>
    </row>
    <row r="3461" spans="1:15" hidden="1" x14ac:dyDescent="0.25">
      <c r="A3461" s="11">
        <v>46111</v>
      </c>
      <c r="B3461" t="s">
        <v>59</v>
      </c>
      <c r="C3461" t="s">
        <v>23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>E3461+G3461+H3461</f>
        <v>18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18</v>
      </c>
      <c r="K3461" s="3">
        <f>I3461-J3461</f>
        <v>0</v>
      </c>
      <c r="L3461" s="3" t="str">
        <f>IF(K3461&lt;-5,"CRÍTICO",IF(K3461&lt;0,"ATENÇÃO",IF(K3461&lt;=5,"OPORTUNO","MUITO BOM")))</f>
        <v>OPORTUNO</v>
      </c>
      <c r="M3461">
        <v>18</v>
      </c>
      <c r="N3461">
        <v>98.2</v>
      </c>
      <c r="O3461">
        <v>23.37962962962963</v>
      </c>
    </row>
    <row r="3462" spans="1:15" hidden="1" x14ac:dyDescent="0.25">
      <c r="A3462" s="11">
        <v>46111</v>
      </c>
      <c r="B3462" t="s">
        <v>33</v>
      </c>
      <c r="C3462" t="s">
        <v>32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>E3462+G3462+H3462</f>
        <v>35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27</v>
      </c>
      <c r="K3462" s="3">
        <f>I3462-J3462</f>
        <v>8</v>
      </c>
      <c r="L3462" s="3" t="str">
        <f>IF(K3462&lt;-5,"CRÍTICO",IF(K3462&lt;0,"ATENÇÃO",IF(K3462&lt;=5,"OPORTUNO","MUITO BOM")))</f>
        <v>MUITO BOM</v>
      </c>
      <c r="M3462">
        <v>31</v>
      </c>
      <c r="N3462">
        <v>97.3</v>
      </c>
      <c r="O3462">
        <v>23.84769539078156</v>
      </c>
    </row>
    <row r="3463" spans="1:15" hidden="1" x14ac:dyDescent="0.25">
      <c r="A3463" s="11">
        <v>46111</v>
      </c>
      <c r="B3463" t="s">
        <v>15</v>
      </c>
      <c r="C3463" t="s">
        <v>16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>E3463+G3463+H3463</f>
        <v>15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8</v>
      </c>
      <c r="K3463" s="3">
        <f>I3463-J3463</f>
        <v>7</v>
      </c>
      <c r="L3463" s="3" t="str">
        <f>IF(K3463&lt;-5,"CRÍTICO",IF(K3463&lt;0,"ATENÇÃO",IF(K3463&lt;=5,"OPORTUNO","MUITO BOM")))</f>
        <v>MUITO BOM</v>
      </c>
      <c r="M3463">
        <v>13</v>
      </c>
      <c r="N3463">
        <v>100</v>
      </c>
      <c r="O3463">
        <v>25.268817204301079</v>
      </c>
    </row>
    <row r="3464" spans="1:15" hidden="1" x14ac:dyDescent="0.25">
      <c r="A3464" s="11">
        <v>46111</v>
      </c>
      <c r="B3464" t="s">
        <v>49</v>
      </c>
      <c r="C3464" t="s">
        <v>48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>E3464+G3464+H3464</f>
        <v>33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11</v>
      </c>
      <c r="L3464" s="3" t="str">
        <f>IF(K3464&lt;-5,"CRÍTICO",IF(K3464&lt;0,"ATENÇÃO",IF(K3464&lt;=5,"OPORTUNO","MUITO BOM")))</f>
        <v>MUITO BOM</v>
      </c>
      <c r="M3464">
        <v>32</v>
      </c>
      <c r="N3464">
        <v>99.32</v>
      </c>
      <c r="O3464">
        <v>22.822822822822818</v>
      </c>
    </row>
    <row r="3465" spans="1:15" hidden="1" x14ac:dyDescent="0.25">
      <c r="A3465" s="11">
        <v>46111</v>
      </c>
      <c r="B3465" t="s">
        <v>50</v>
      </c>
      <c r="C3465" t="s">
        <v>48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>E3465+G3465+H3465</f>
        <v>24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22</v>
      </c>
      <c r="K3465" s="3">
        <f>I3465-J3465</f>
        <v>2</v>
      </c>
      <c r="L3465" s="3" t="str">
        <f>IF(K3465&lt;-5,"CRÍTICO",IF(K3465&lt;0,"ATENÇÃO",IF(K3465&lt;=5,"OPORTUNO","MUITO BOM")))</f>
        <v>OPORTUNO</v>
      </c>
      <c r="M3465">
        <v>22</v>
      </c>
      <c r="N3465">
        <v>100</v>
      </c>
      <c r="O3465">
        <v>27.966101694915249</v>
      </c>
    </row>
    <row r="3466" spans="1:15" hidden="1" x14ac:dyDescent="0.25">
      <c r="A3466" s="11">
        <v>46111</v>
      </c>
      <c r="B3466" t="s">
        <v>17</v>
      </c>
      <c r="C3466" t="s">
        <v>16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>E3466+G3466+H3466</f>
        <v>2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8</v>
      </c>
      <c r="K3466" s="3">
        <f>I3466-J3466</f>
        <v>-6</v>
      </c>
      <c r="L3466" s="3" t="str">
        <f>IF(K3466&lt;-5,"CRÍTICO",IF(K3466&lt;0,"ATENÇÃO",IF(K3466&lt;=5,"OPORTUNO","MUITO BOM")))</f>
        <v>CRÍTICO</v>
      </c>
      <c r="M3466">
        <v>2</v>
      </c>
      <c r="N3466">
        <v>100</v>
      </c>
      <c r="O3466">
        <v>30.434782608695659</v>
      </c>
    </row>
    <row r="3467" spans="1:15" hidden="1" x14ac:dyDescent="0.25">
      <c r="A3467" s="11">
        <v>46111</v>
      </c>
      <c r="B3467" t="s">
        <v>60</v>
      </c>
      <c r="C3467" t="s">
        <v>23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>E3467+G3467+H3467</f>
        <v>25</v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>18</v>
      </c>
      <c r="K3467" s="3">
        <f>I3467-J3467</f>
        <v>7</v>
      </c>
      <c r="L3467" s="3" t="str">
        <f>IF(K3467&lt;-5,"CRÍTICO",IF(K3467&lt;0,"ATENÇÃO",IF(K3467&lt;=5,"OPORTUNO","MUITO BOM")))</f>
        <v>MUITO BOM</v>
      </c>
      <c r="M3467">
        <v>21</v>
      </c>
      <c r="N3467">
        <v>96.51</v>
      </c>
      <c r="O3467">
        <v>22.802850356294542</v>
      </c>
    </row>
    <row r="3468" spans="1:15" hidden="1" x14ac:dyDescent="0.25">
      <c r="A3468" s="11">
        <v>46111</v>
      </c>
      <c r="B3468" t="s">
        <v>34</v>
      </c>
      <c r="C3468" t="s">
        <v>32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>
        <v>0</v>
      </c>
      <c r="N3468">
        <v>92.68</v>
      </c>
      <c r="O3468">
        <v>27.777777777777779</v>
      </c>
    </row>
    <row r="3469" spans="1:15" hidden="1" x14ac:dyDescent="0.25">
      <c r="A3469" s="11">
        <v>46111</v>
      </c>
      <c r="B3469" t="s">
        <v>51</v>
      </c>
      <c r="C3469" t="s">
        <v>48</v>
      </c>
      <c r="D3469">
        <v>38</v>
      </c>
      <c r="E3469">
        <v>33</v>
      </c>
      <c r="F3469">
        <v>14</v>
      </c>
      <c r="G3469">
        <v>0</v>
      </c>
      <c r="H3469">
        <v>0</v>
      </c>
      <c r="I3469" s="3">
        <v>0</v>
      </c>
      <c r="J3469" s="3">
        <v>0</v>
      </c>
      <c r="K3469" s="3">
        <v>0</v>
      </c>
      <c r="L3469" s="3" t="str">
        <f>IF(K3469&lt;-5,"CRÍTICO",IF(K3469&lt;0,"ATENÇÃO",IF(K3469&lt;=5,"OPORTUNO","MUITO BOM")))</f>
        <v>OPORTUNO</v>
      </c>
      <c r="M3469">
        <v>27</v>
      </c>
      <c r="N3469">
        <v>99.03</v>
      </c>
      <c r="O3469">
        <v>23.991507430997881</v>
      </c>
    </row>
    <row r="3470" spans="1:15" hidden="1" x14ac:dyDescent="0.25">
      <c r="A3470" s="11">
        <v>46111</v>
      </c>
      <c r="B3470" t="s">
        <v>61</v>
      </c>
      <c r="C3470" t="s">
        <v>23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>E3470+G3470+H3470</f>
        <v>19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18</v>
      </c>
      <c r="K3470" s="3">
        <f>I3470-J3470</f>
        <v>1</v>
      </c>
      <c r="L3470" s="3" t="str">
        <f>IF(K3470&lt;-5,"CRÍTICO",IF(K3470&lt;0,"ATENÇÃO",IF(K3470&lt;=5,"OPORTUNO","MUITO BOM")))</f>
        <v>OPORTUNO</v>
      </c>
      <c r="M3470">
        <v>10</v>
      </c>
      <c r="N3470">
        <v>98.41</v>
      </c>
      <c r="O3470">
        <v>28.138528138528141</v>
      </c>
    </row>
    <row r="3471" spans="1:15" hidden="1" x14ac:dyDescent="0.25">
      <c r="A3471" s="11">
        <v>46111</v>
      </c>
      <c r="B3471" t="s">
        <v>35</v>
      </c>
      <c r="C3471" t="s">
        <v>32</v>
      </c>
      <c r="D3471">
        <v>30</v>
      </c>
      <c r="E3471">
        <v>30</v>
      </c>
      <c r="F3471">
        <v>20.23</v>
      </c>
      <c r="G3471">
        <v>0</v>
      </c>
      <c r="H3471">
        <v>0</v>
      </c>
      <c r="I3471" s="3">
        <v>0</v>
      </c>
      <c r="J3471" s="3">
        <v>0</v>
      </c>
      <c r="K3471" s="3">
        <v>0</v>
      </c>
      <c r="L3471" s="3" t="str">
        <f>IF(K3471&lt;-5,"CRÍTICO",IF(K3471&lt;0,"ATENÇÃO",IF(K3471&lt;=5,"OPORTUNO","MUITO BOM")))</f>
        <v>OPORTUNO</v>
      </c>
      <c r="M3471">
        <v>31</v>
      </c>
      <c r="N3471">
        <v>98.73</v>
      </c>
      <c r="O3471">
        <v>29.142857142857139</v>
      </c>
    </row>
    <row r="3472" spans="1:15" hidden="1" x14ac:dyDescent="0.25">
      <c r="A3472" s="11">
        <v>46111</v>
      </c>
      <c r="B3472" t="s">
        <v>18</v>
      </c>
      <c r="C3472" t="s">
        <v>16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>E3472+G3472+H3472</f>
        <v>10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8</v>
      </c>
      <c r="K3472" s="3">
        <f>I3472-J3472</f>
        <v>2</v>
      </c>
      <c r="L3472" s="3" t="str">
        <f>IF(K3472&lt;-5,"CRÍTICO",IF(K3472&lt;0,"ATENÇÃO",IF(K3472&lt;=5,"OPORTUNO","MUITO BOM")))</f>
        <v>OPORTUNO</v>
      </c>
      <c r="M3472">
        <v>7</v>
      </c>
      <c r="N3472">
        <v>90.48</v>
      </c>
      <c r="O3472">
        <v>20.68965517241379</v>
      </c>
    </row>
    <row r="3473" spans="1:15" hidden="1" x14ac:dyDescent="0.25">
      <c r="A3473" s="11">
        <v>46111</v>
      </c>
      <c r="B3473" t="s">
        <v>52</v>
      </c>
      <c r="C3473" t="s">
        <v>48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>E3473+G3473+H3473</f>
        <v>31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22</v>
      </c>
      <c r="K3473" s="3">
        <f>I3473-J3473</f>
        <v>9</v>
      </c>
      <c r="L3473" s="3" t="str">
        <f>IF(K3473&lt;-5,"CRÍTICO",IF(K3473&lt;0,"ATENÇÃO",IF(K3473&lt;=5,"OPORTUNO","MUITO BOM")))</f>
        <v>MUITO BOM</v>
      </c>
      <c r="M3473">
        <v>27</v>
      </c>
      <c r="N3473">
        <v>98.06</v>
      </c>
      <c r="O3473">
        <v>24.789915966386559</v>
      </c>
    </row>
    <row r="3474" spans="1:15" hidden="1" x14ac:dyDescent="0.25">
      <c r="A3474" s="11">
        <v>46111</v>
      </c>
      <c r="B3474" t="s">
        <v>36</v>
      </c>
      <c r="C3474" t="s">
        <v>32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>
        <v>0</v>
      </c>
      <c r="N3474">
        <v>97.78</v>
      </c>
      <c r="O3474">
        <v>25.494071146245059</v>
      </c>
    </row>
    <row r="3475" spans="1:15" hidden="1" x14ac:dyDescent="0.25">
      <c r="A3475" s="11">
        <v>46111</v>
      </c>
      <c r="B3475" t="s">
        <v>53</v>
      </c>
      <c r="C3475" t="s">
        <v>48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v>0</v>
      </c>
      <c r="J3475" s="3">
        <v>0</v>
      </c>
      <c r="K3475" s="3">
        <v>0</v>
      </c>
      <c r="L3475" s="3" t="str">
        <f>IF(K3475&lt;-5,"CRÍTICO",IF(K3475&lt;0,"ATENÇÃO",IF(K3475&lt;=5,"OPORTUNO","MUITO BOM")))</f>
        <v>OPORTUNO</v>
      </c>
      <c r="M3475">
        <v>0</v>
      </c>
      <c r="N3475">
        <v>98.02</v>
      </c>
      <c r="O3475">
        <v>23.484848484848481</v>
      </c>
    </row>
    <row r="3476" spans="1:15" hidden="1" x14ac:dyDescent="0.25">
      <c r="A3476" s="10">
        <v>46164</v>
      </c>
      <c r="B3476" s="6" t="s">
        <v>57</v>
      </c>
      <c r="C3476" s="3" t="s">
        <v>48</v>
      </c>
      <c r="D3476" s="3">
        <v>0</v>
      </c>
      <c r="E3476" s="3">
        <v>0</v>
      </c>
      <c r="F3476" s="3">
        <v>0</v>
      </c>
      <c r="G3476" s="3">
        <v>0</v>
      </c>
      <c r="H3476" s="3">
        <v>0</v>
      </c>
      <c r="I3476" s="3">
        <v>0</v>
      </c>
      <c r="J3476" s="3">
        <v>0</v>
      </c>
      <c r="K3476" s="3">
        <v>0</v>
      </c>
      <c r="L3476" s="3" t="str">
        <f>IF(K3476&lt;-5,"CRÍTICO",IF(K3476&lt;0,"ATENÇÃO",IF(K3476&lt;=5,"OPORTUNO","MUITO BOM")))</f>
        <v>OPORTUNO</v>
      </c>
      <c r="M3476" s="3">
        <v>0</v>
      </c>
      <c r="N3476" s="3">
        <v>100</v>
      </c>
      <c r="O3476" s="3">
        <v>25</v>
      </c>
    </row>
    <row r="3477" spans="1:15" hidden="1" x14ac:dyDescent="0.25">
      <c r="A3477" s="11">
        <v>46111</v>
      </c>
      <c r="B3477" t="s">
        <v>54</v>
      </c>
      <c r="C3477" t="s">
        <v>48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>E3477+G3477+H3477</f>
        <v>28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22</v>
      </c>
      <c r="K3477" s="3">
        <f>I3477-J3477</f>
        <v>6</v>
      </c>
      <c r="L3477" s="3" t="str">
        <f>IF(K3477&lt;-5,"CRÍTICO",IF(K3477&lt;0,"ATENÇÃO",IF(K3477&lt;=5,"OPORTUNO","MUITO BOM")))</f>
        <v>MUITO BOM</v>
      </c>
      <c r="M3477">
        <v>26</v>
      </c>
      <c r="N3477">
        <v>100</v>
      </c>
      <c r="O3477">
        <v>27.04918032786885</v>
      </c>
    </row>
    <row r="3478" spans="1:15" hidden="1" x14ac:dyDescent="0.25">
      <c r="A3478" s="11">
        <v>46111</v>
      </c>
      <c r="B3478" t="s">
        <v>37</v>
      </c>
      <c r="C3478" t="s">
        <v>32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>E3478+G3478+H3478</f>
        <v>40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13</v>
      </c>
      <c r="L3478" s="3" t="str">
        <f>IF(K3478&lt;-5,"CRÍTICO",IF(K3478&lt;0,"ATENÇÃO",IF(K3478&lt;=5,"OPORTUNO","MUITO BOM")))</f>
        <v>MUITO BOM</v>
      </c>
      <c r="M3478">
        <v>37</v>
      </c>
      <c r="N3478">
        <v>97.83</v>
      </c>
      <c r="O3478">
        <v>26.315789473684209</v>
      </c>
    </row>
    <row r="3479" spans="1:15" hidden="1" x14ac:dyDescent="0.25">
      <c r="A3479" s="11">
        <v>46111</v>
      </c>
      <c r="B3479" t="s">
        <v>38</v>
      </c>
      <c r="C3479" t="s">
        <v>32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>E3479+G3479+H3479</f>
        <v>8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27</v>
      </c>
      <c r="K3479" s="3">
        <f>I3479-J3479</f>
        <v>-19</v>
      </c>
      <c r="L3479" s="3" t="str">
        <f>IF(K3479&lt;-5,"CRÍTICO",IF(K3479&lt;0,"ATENÇÃO",IF(K3479&lt;=5,"OPORTUNO","MUITO BOM")))</f>
        <v>CRÍTICO</v>
      </c>
      <c r="M3479">
        <v>8</v>
      </c>
      <c r="N3479">
        <v>100</v>
      </c>
      <c r="O3479">
        <v>26.701570680628269</v>
      </c>
    </row>
    <row r="3480" spans="1:15" hidden="1" x14ac:dyDescent="0.25">
      <c r="A3480" s="11">
        <v>46111</v>
      </c>
      <c r="B3480" t="s">
        <v>55</v>
      </c>
      <c r="C3480" t="s">
        <v>48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>
        <v>0</v>
      </c>
      <c r="N3480">
        <v>97.47</v>
      </c>
      <c r="O3480">
        <v>22.887323943661968</v>
      </c>
    </row>
    <row r="3481" spans="1:15" hidden="1" x14ac:dyDescent="0.25">
      <c r="A3481" s="11">
        <v>46111</v>
      </c>
      <c r="B3481" t="s">
        <v>39</v>
      </c>
      <c r="C3481" t="s">
        <v>32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v>0</v>
      </c>
      <c r="J3481" s="3">
        <v>0</v>
      </c>
      <c r="K3481" s="3">
        <v>0</v>
      </c>
      <c r="L3481" s="3" t="str">
        <f>IF(K3481&lt;-5,"CRÍTICO",IF(K3481&lt;0,"ATENÇÃO",IF(K3481&lt;=5,"OPORTUNO","MUITO BOM")))</f>
        <v>OPORTUNO</v>
      </c>
      <c r="M3481">
        <v>0</v>
      </c>
      <c r="N3481">
        <v>0</v>
      </c>
      <c r="O3481">
        <v>0</v>
      </c>
    </row>
    <row r="3482" spans="1:15" hidden="1" x14ac:dyDescent="0.25">
      <c r="A3482" s="11">
        <v>46111</v>
      </c>
      <c r="B3482" t="s">
        <v>25</v>
      </c>
      <c r="C3482" t="s">
        <v>26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>E3482+G3482+H3482</f>
        <v>19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15</v>
      </c>
      <c r="K3482" s="3">
        <f>I3482-J3482</f>
        <v>4</v>
      </c>
      <c r="L3482" s="3" t="str">
        <f>IF(K3482&lt;-5,"CRÍTICO",IF(K3482&lt;0,"ATENÇÃO",IF(K3482&lt;=5,"OPORTUNO","MUITO BOM")))</f>
        <v>OPORTUNO</v>
      </c>
      <c r="M3482">
        <v>17</v>
      </c>
      <c r="N3482">
        <v>98.31</v>
      </c>
      <c r="O3482">
        <v>24.920127795527151</v>
      </c>
    </row>
    <row r="3483" spans="1:15" hidden="1" x14ac:dyDescent="0.25">
      <c r="A3483" s="11">
        <v>46111</v>
      </c>
      <c r="B3483" t="s">
        <v>40</v>
      </c>
      <c r="C3483" t="s">
        <v>32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>E3483+G3483+H3483</f>
        <v>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27</v>
      </c>
      <c r="K3483" s="3">
        <f>I3483-J3483</f>
        <v>-23</v>
      </c>
      <c r="L3483" s="3" t="str">
        <f>IF(K3483&lt;-5,"CRÍTICO",IF(K3483&lt;0,"ATENÇÃO",IF(K3483&lt;=5,"OPORTUNO","MUITO BOM")))</f>
        <v>CRÍTICO</v>
      </c>
      <c r="M3483">
        <v>17</v>
      </c>
      <c r="N3483">
        <v>96.81</v>
      </c>
      <c r="O3483">
        <v>32.365145228215773</v>
      </c>
    </row>
    <row r="3484" spans="1:15" hidden="1" x14ac:dyDescent="0.25">
      <c r="A3484" s="11">
        <v>46111</v>
      </c>
      <c r="B3484" t="s">
        <v>27</v>
      </c>
      <c r="C3484" t="s">
        <v>26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>E3484+G3484+H3484</f>
        <v>14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15</v>
      </c>
      <c r="K3484" s="3">
        <f>I3484-J3484</f>
        <v>-1</v>
      </c>
      <c r="L3484" s="3" t="str">
        <f>IF(K3484&lt;-5,"CRÍTICO",IF(K3484&lt;0,"ATENÇÃO",IF(K3484&lt;=5,"OPORTUNO","MUITO BOM")))</f>
        <v>ATENÇÃO</v>
      </c>
      <c r="M3484">
        <v>14</v>
      </c>
      <c r="N3484">
        <v>100</v>
      </c>
      <c r="O3484">
        <v>26.47058823529412</v>
      </c>
    </row>
    <row r="3485" spans="1:15" hidden="1" x14ac:dyDescent="0.25">
      <c r="A3485" s="11">
        <v>46111</v>
      </c>
      <c r="B3485" t="s">
        <v>41</v>
      </c>
      <c r="C3485" t="s">
        <v>32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>E3485+G3485+H3485</f>
        <v>28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27</v>
      </c>
      <c r="K3485" s="3">
        <f>I3485-J3485</f>
        <v>1</v>
      </c>
      <c r="L3485" s="3" t="str">
        <f>IF(K3485&lt;-5,"CRÍTICO",IF(K3485&lt;0,"ATENÇÃO",IF(K3485&lt;=5,"OPORTUNO","MUITO BOM")))</f>
        <v>OPORTUNO</v>
      </c>
      <c r="M3485">
        <v>26</v>
      </c>
      <c r="N3485">
        <v>100</v>
      </c>
      <c r="O3485">
        <v>28.490028490028489</v>
      </c>
    </row>
    <row r="3486" spans="1:15" hidden="1" x14ac:dyDescent="0.25">
      <c r="A3486" s="11">
        <v>46111</v>
      </c>
      <c r="B3486" t="s">
        <v>56</v>
      </c>
      <c r="C3486" t="s">
        <v>48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>E3486+G3486+H3486</f>
        <v>20</v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22</v>
      </c>
      <c r="K3486" s="3">
        <f>I3486-J3486</f>
        <v>-2</v>
      </c>
      <c r="L3486" s="3" t="str">
        <f>IF(K3486&lt;-5,"CRÍTICO",IF(K3486&lt;0,"ATENÇÃO",IF(K3486&lt;=5,"OPORTUNO","MUITO BOM")))</f>
        <v>ATENÇÃO</v>
      </c>
      <c r="M3486">
        <v>25</v>
      </c>
      <c r="N3486">
        <v>99.14</v>
      </c>
      <c r="O3486">
        <v>27.2289156626506</v>
      </c>
    </row>
    <row r="3487" spans="1:15" hidden="1" x14ac:dyDescent="0.25">
      <c r="A3487" s="11">
        <v>46111</v>
      </c>
      <c r="B3487" t="s">
        <v>57</v>
      </c>
      <c r="C3487" t="s">
        <v>48</v>
      </c>
      <c r="D3487">
        <v>2</v>
      </c>
      <c r="E3487">
        <v>2</v>
      </c>
      <c r="F3487">
        <v>27.03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>
        <v>1</v>
      </c>
      <c r="N3487">
        <v>97.52</v>
      </c>
      <c r="O3487">
        <v>28.205128205128201</v>
      </c>
    </row>
    <row r="3488" spans="1:15" hidden="1" x14ac:dyDescent="0.25">
      <c r="A3488" s="11">
        <v>46111</v>
      </c>
      <c r="B3488" t="s">
        <v>42</v>
      </c>
      <c r="C3488" t="s">
        <v>32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v>0</v>
      </c>
      <c r="J3488" s="3">
        <v>0</v>
      </c>
      <c r="K3488" s="3">
        <v>0</v>
      </c>
      <c r="L3488" s="3" t="str">
        <f>IF(K3488&lt;-5,"CRÍTICO",IF(K3488&lt;0,"ATENÇÃO",IF(K3488&lt;=5,"OPORTUNO","MUITO BOM")))</f>
        <v>OPORTUNO</v>
      </c>
      <c r="M3488">
        <v>0</v>
      </c>
      <c r="N3488">
        <v>90</v>
      </c>
      <c r="O3488">
        <v>24.186046511627911</v>
      </c>
    </row>
    <row r="3489" spans="1:15" hidden="1" x14ac:dyDescent="0.25">
      <c r="A3489" s="11">
        <v>46111</v>
      </c>
      <c r="B3489" t="s">
        <v>62</v>
      </c>
      <c r="C3489" t="s">
        <v>23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>E3489+G3489+H3489</f>
        <v>27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18</v>
      </c>
      <c r="K3489" s="3">
        <f>I3489-J3489</f>
        <v>9</v>
      </c>
      <c r="L3489" s="3" t="str">
        <f>IF(K3489&lt;-5,"CRÍTICO",IF(K3489&lt;0,"ATENÇÃO",IF(K3489&lt;=5,"OPORTUNO","MUITO BOM")))</f>
        <v>MUITO BOM</v>
      </c>
      <c r="M3489">
        <v>23</v>
      </c>
      <c r="N3489">
        <v>98.9</v>
      </c>
      <c r="O3489">
        <v>26.763990267639901</v>
      </c>
    </row>
    <row r="3490" spans="1:15" hidden="1" x14ac:dyDescent="0.25">
      <c r="A3490" s="11">
        <v>46111</v>
      </c>
      <c r="B3490" t="s">
        <v>19</v>
      </c>
      <c r="C3490" t="s">
        <v>16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>E3490+G3490+H3490</f>
        <v>10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8</v>
      </c>
      <c r="K3490" s="3">
        <f>I3490-J3490</f>
        <v>2</v>
      </c>
      <c r="L3490" s="3" t="str">
        <f>IF(K3490&lt;-5,"CRÍTICO",IF(K3490&lt;0,"ATENÇÃO",IF(K3490&lt;=5,"OPORTUNO","MUITO BOM")))</f>
        <v>OPORTUNO</v>
      </c>
      <c r="M3490">
        <v>8</v>
      </c>
      <c r="N3490">
        <v>88.89</v>
      </c>
      <c r="O3490">
        <v>25.263157894736839</v>
      </c>
    </row>
    <row r="3491" spans="1:15" hidden="1" x14ac:dyDescent="0.25">
      <c r="A3491" s="11">
        <v>46111</v>
      </c>
      <c r="B3491" t="s">
        <v>43</v>
      </c>
      <c r="C3491" t="s">
        <v>32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>E3491+G3491+H3491</f>
        <v>31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4</v>
      </c>
      <c r="L3491" s="3" t="str">
        <f>IF(K3491&lt;-5,"CRÍTICO",IF(K3491&lt;0,"ATENÇÃO",IF(K3491&lt;=5,"OPORTUNO","MUITO BOM")))</f>
        <v>OPORTUNO</v>
      </c>
      <c r="M3491">
        <v>33</v>
      </c>
      <c r="N3491">
        <v>98.86</v>
      </c>
      <c r="O3491">
        <v>28.959276018099551</v>
      </c>
    </row>
    <row r="3492" spans="1:15" hidden="1" x14ac:dyDescent="0.25">
      <c r="A3492" s="11">
        <v>46111</v>
      </c>
      <c r="B3492" t="s">
        <v>44</v>
      </c>
      <c r="C3492" t="s">
        <v>32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>E3492+G3492+H3492</f>
        <v>29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27</v>
      </c>
      <c r="K3492" s="3">
        <f>I3492-J3492</f>
        <v>2</v>
      </c>
      <c r="L3492" s="3" t="str">
        <f>IF(K3492&lt;-5,"CRÍTICO",IF(K3492&lt;0,"ATENÇÃO",IF(K3492&lt;=5,"OPORTUNO","MUITO BOM")))</f>
        <v>OPORTUNO</v>
      </c>
      <c r="M3492">
        <v>23</v>
      </c>
      <c r="N3492">
        <v>98.06</v>
      </c>
      <c r="O3492">
        <v>22.40566037735849</v>
      </c>
    </row>
    <row r="3493" spans="1:15" hidden="1" x14ac:dyDescent="0.25">
      <c r="A3493" s="11">
        <v>46111</v>
      </c>
      <c r="B3493" t="s">
        <v>20</v>
      </c>
      <c r="C3493" t="s">
        <v>16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>E3493+G3493+H3493</f>
        <v>17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8</v>
      </c>
      <c r="K3493" s="3">
        <f>I3493-J3493</f>
        <v>9</v>
      </c>
      <c r="L3493" s="3" t="str">
        <f>IF(K3493&lt;-5,"CRÍTICO",IF(K3493&lt;0,"ATENÇÃO",IF(K3493&lt;=5,"OPORTUNO","MUITO BOM")))</f>
        <v>MUITO BOM</v>
      </c>
      <c r="M3493">
        <v>8</v>
      </c>
      <c r="N3493">
        <v>95.83</v>
      </c>
      <c r="O3493">
        <v>25.773195876288661</v>
      </c>
    </row>
    <row r="3494" spans="1:15" hidden="1" x14ac:dyDescent="0.25">
      <c r="A3494" s="11">
        <v>46111</v>
      </c>
      <c r="B3494" t="s">
        <v>28</v>
      </c>
      <c r="C3494" t="s">
        <v>26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>E3494+G3494+H3494</f>
        <v>23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15</v>
      </c>
      <c r="K3494" s="3">
        <f>I3494-J3494</f>
        <v>8</v>
      </c>
      <c r="L3494" s="3" t="str">
        <f>IF(K3494&lt;-5,"CRÍTICO",IF(K3494&lt;0,"ATENÇÃO",IF(K3494&lt;=5,"OPORTUNO","MUITO BOM")))</f>
        <v>MUITO BOM</v>
      </c>
      <c r="M3494">
        <v>11</v>
      </c>
      <c r="N3494">
        <v>100</v>
      </c>
      <c r="O3494">
        <v>15.38461538461539</v>
      </c>
    </row>
    <row r="3495" spans="1:15" hidden="1" x14ac:dyDescent="0.25">
      <c r="A3495" s="11">
        <v>46111</v>
      </c>
      <c r="B3495" t="s">
        <v>58</v>
      </c>
      <c r="C3495" t="s">
        <v>48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>E3495+G3495+H3495</f>
        <v>33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22</v>
      </c>
      <c r="K3495" s="3">
        <f>I3495-J3495</f>
        <v>11</v>
      </c>
      <c r="L3495" s="3" t="str">
        <f>IF(K3495&lt;-5,"CRÍTICO",IF(K3495&lt;0,"ATENÇÃO",IF(K3495&lt;=5,"OPORTUNO","MUITO BOM")))</f>
        <v>MUITO BOM</v>
      </c>
      <c r="M3495">
        <v>32</v>
      </c>
      <c r="N3495">
        <v>100</v>
      </c>
      <c r="O3495">
        <v>27.514792899408281</v>
      </c>
    </row>
    <row r="3496" spans="1:15" hidden="1" x14ac:dyDescent="0.25">
      <c r="A3496" s="11">
        <v>46111</v>
      </c>
      <c r="B3496" t="s">
        <v>29</v>
      </c>
      <c r="C3496" t="s">
        <v>26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>E3496+G3496+H3496</f>
        <v>14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-1</v>
      </c>
      <c r="L3496" s="3" t="str">
        <f>IF(K3496&lt;-5,"CRÍTICO",IF(K3496&lt;0,"ATENÇÃO",IF(K3496&lt;=5,"OPORTUNO","MUITO BOM")))</f>
        <v>ATENÇÃO</v>
      </c>
      <c r="M3496">
        <v>12</v>
      </c>
      <c r="N3496">
        <v>100</v>
      </c>
      <c r="O3496">
        <v>24.875621890547269</v>
      </c>
    </row>
    <row r="3497" spans="1:15" hidden="1" x14ac:dyDescent="0.25">
      <c r="A3497" s="11">
        <v>46111</v>
      </c>
      <c r="B3497" t="s">
        <v>30</v>
      </c>
      <c r="C3497" t="s">
        <v>26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>E3497+G3497+H3497</f>
        <v>22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15</v>
      </c>
      <c r="K3497" s="3">
        <f>I3497-J3497</f>
        <v>7</v>
      </c>
      <c r="L3497" s="3" t="str">
        <f>IF(K3497&lt;-5,"CRÍTICO",IF(K3497&lt;0,"ATENÇÃO",IF(K3497&lt;=5,"OPORTUNO","MUITO BOM")))</f>
        <v>MUITO BOM</v>
      </c>
      <c r="M3497">
        <v>17</v>
      </c>
      <c r="N3497">
        <v>100</v>
      </c>
      <c r="O3497">
        <v>28.108108108108109</v>
      </c>
    </row>
    <row r="3498" spans="1:15" hidden="1" x14ac:dyDescent="0.25">
      <c r="A3498" s="11">
        <v>46111</v>
      </c>
      <c r="B3498" t="s">
        <v>21</v>
      </c>
      <c r="C3498" t="s">
        <v>16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>E3498+G3498+H3498</f>
        <v>4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8</v>
      </c>
      <c r="K3498" s="3">
        <f>I3498-J3498</f>
        <v>-4</v>
      </c>
      <c r="L3498" s="3" t="str">
        <f>IF(K3498&lt;-5,"CRÍTICO",IF(K3498&lt;0,"ATENÇÃO",IF(K3498&lt;=5,"OPORTUNO","MUITO BOM")))</f>
        <v>ATENÇÃO</v>
      </c>
      <c r="M3498">
        <v>4</v>
      </c>
      <c r="N3498">
        <v>100</v>
      </c>
      <c r="O3498">
        <v>35</v>
      </c>
    </row>
    <row r="3499" spans="1:15" hidden="1" x14ac:dyDescent="0.25">
      <c r="A3499" s="11">
        <v>46111</v>
      </c>
      <c r="B3499" t="s">
        <v>63</v>
      </c>
      <c r="C3499" t="s">
        <v>23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>E3499+G3499+H3499</f>
        <v>23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18</v>
      </c>
      <c r="K3499" s="3">
        <f>I3499-J3499</f>
        <v>5</v>
      </c>
      <c r="L3499" s="3" t="str">
        <f>IF(K3499&lt;-5,"CRÍTICO",IF(K3499&lt;0,"ATENÇÃO",IF(K3499&lt;=5,"OPORTUNO","MUITO BOM")))</f>
        <v>OPORTUNO</v>
      </c>
      <c r="M3499">
        <v>14</v>
      </c>
      <c r="N3499">
        <v>95.35</v>
      </c>
      <c r="O3499">
        <v>28.61538461538461</v>
      </c>
    </row>
    <row r="3500" spans="1:15" hidden="1" x14ac:dyDescent="0.25">
      <c r="A3500" s="11">
        <v>46111</v>
      </c>
      <c r="B3500" t="s">
        <v>45</v>
      </c>
      <c r="C3500" t="s">
        <v>32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>E3500+G3500+H3500</f>
        <v>38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27</v>
      </c>
      <c r="K3500" s="3">
        <f>I3500-J3500</f>
        <v>11</v>
      </c>
      <c r="L3500" s="3" t="str">
        <f>IF(K3500&lt;-5,"CRÍTICO",IF(K3500&lt;0,"ATENÇÃO",IF(K3500&lt;=5,"OPORTUNO","MUITO BOM")))</f>
        <v>MUITO BOM</v>
      </c>
      <c r="M3500">
        <v>32</v>
      </c>
      <c r="N3500">
        <v>98.26</v>
      </c>
      <c r="O3500">
        <v>27.54491017964072</v>
      </c>
    </row>
    <row r="3501" spans="1:15" hidden="1" x14ac:dyDescent="0.25">
      <c r="A3501" s="11">
        <v>46111</v>
      </c>
      <c r="B3501" t="s">
        <v>64</v>
      </c>
      <c r="C3501" t="s">
        <v>23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>E3501+G3501+H3501</f>
        <v>21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18</v>
      </c>
      <c r="K3501" s="3">
        <f>I3501-J3501</f>
        <v>3</v>
      </c>
      <c r="L3501" s="3" t="str">
        <f>IF(K3501&lt;-5,"CRÍTICO",IF(K3501&lt;0,"ATENÇÃO",IF(K3501&lt;=5,"OPORTUNO","MUITO BOM")))</f>
        <v>OPORTUNO</v>
      </c>
      <c r="M3501">
        <v>19</v>
      </c>
      <c r="N3501">
        <v>98.55</v>
      </c>
      <c r="O3501">
        <v>25.337837837837839</v>
      </c>
    </row>
    <row r="3502" spans="1:15" hidden="1" x14ac:dyDescent="0.25">
      <c r="A3502" s="11">
        <v>46111</v>
      </c>
      <c r="B3502" t="s">
        <v>46</v>
      </c>
      <c r="C3502" t="s">
        <v>32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>E3502+G3502+H3502</f>
        <v>36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27</v>
      </c>
      <c r="K3502" s="3">
        <f>I3502-J3502</f>
        <v>9</v>
      </c>
      <c r="L3502" s="3" t="str">
        <f>IF(K3502&lt;-5,"CRÍTICO",IF(K3502&lt;0,"ATENÇÃO",IF(K3502&lt;=5,"OPORTUNO","MUITO BOM")))</f>
        <v>MUITO BOM</v>
      </c>
      <c r="M3502">
        <v>30</v>
      </c>
      <c r="N3502">
        <v>98.39</v>
      </c>
      <c r="O3502">
        <v>25.563909774436091</v>
      </c>
    </row>
    <row r="3503" spans="1:15" hidden="1" x14ac:dyDescent="0.25">
      <c r="A3503" s="11">
        <v>46112</v>
      </c>
      <c r="B3503" t="s">
        <v>47</v>
      </c>
      <c r="C3503" t="s">
        <v>48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>E3503+G3503+H3503</f>
        <v>20</v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>24</v>
      </c>
      <c r="K3503" s="3">
        <f>I3503-J3503</f>
        <v>-4</v>
      </c>
      <c r="L3503" s="3" t="str">
        <f>IF(K3503&lt;-5,"CRÍTICO",IF(K3503&lt;0,"ATENÇÃO",IF(K3503&lt;=5,"OPORTUNO","MUITO BOM")))</f>
        <v>ATENÇÃO</v>
      </c>
      <c r="M3503">
        <v>10</v>
      </c>
      <c r="N3503">
        <v>94.29</v>
      </c>
      <c r="O3503">
        <v>25.647668393782389</v>
      </c>
    </row>
    <row r="3504" spans="1:15" hidden="1" x14ac:dyDescent="0.25">
      <c r="A3504" s="11">
        <v>46112</v>
      </c>
      <c r="B3504" t="s">
        <v>31</v>
      </c>
      <c r="C3504" t="s">
        <v>32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v>0</v>
      </c>
      <c r="J3504" s="3">
        <v>0</v>
      </c>
      <c r="K3504" s="3">
        <v>0</v>
      </c>
      <c r="L3504" s="3" t="str">
        <f>IF(K3504&lt;-5,"CRÍTICO",IF(K3504&lt;0,"ATENÇÃO",IF(K3504&lt;=5,"OPORTUNO","MUITO BOM")))</f>
        <v>OPORTUNO</v>
      </c>
      <c r="M3504">
        <v>23</v>
      </c>
      <c r="N3504">
        <v>98.26</v>
      </c>
      <c r="O3504">
        <v>26.666666666666671</v>
      </c>
    </row>
    <row r="3505" spans="1:15" hidden="1" x14ac:dyDescent="0.25">
      <c r="A3505" s="11">
        <v>46112</v>
      </c>
      <c r="B3505" t="s">
        <v>59</v>
      </c>
      <c r="C3505" t="s">
        <v>23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>E3505+G3505+H3505</f>
        <v>22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20</v>
      </c>
      <c r="K3505" s="3">
        <f>I3505-J3505</f>
        <v>2</v>
      </c>
      <c r="L3505" s="3" t="str">
        <f>IF(K3505&lt;-5,"CRÍTICO",IF(K3505&lt;0,"ATENÇÃO",IF(K3505&lt;=5,"OPORTUNO","MUITO BOM")))</f>
        <v>OPORTUNO</v>
      </c>
      <c r="M3505">
        <v>20</v>
      </c>
      <c r="N3505">
        <v>98.2</v>
      </c>
      <c r="O3505">
        <v>23.37962962962963</v>
      </c>
    </row>
    <row r="3506" spans="1:15" hidden="1" x14ac:dyDescent="0.25">
      <c r="A3506" s="11">
        <v>46112</v>
      </c>
      <c r="B3506" t="s">
        <v>33</v>
      </c>
      <c r="C3506" t="s">
        <v>32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>E3506+G3506+H3506</f>
        <v>27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30</v>
      </c>
      <c r="K3506" s="3">
        <f>I3506-J3506</f>
        <v>-3</v>
      </c>
      <c r="L3506" s="3" t="str">
        <f>IF(K3506&lt;-5,"CRÍTICO",IF(K3506&lt;0,"ATENÇÃO",IF(K3506&lt;=5,"OPORTUNO","MUITO BOM")))</f>
        <v>ATENÇÃO</v>
      </c>
      <c r="M3506">
        <v>23</v>
      </c>
      <c r="N3506">
        <v>97.3</v>
      </c>
      <c r="O3506">
        <v>23.84769539078156</v>
      </c>
    </row>
    <row r="3507" spans="1:15" hidden="1" x14ac:dyDescent="0.25">
      <c r="A3507" s="11">
        <v>46112</v>
      </c>
      <c r="B3507" t="s">
        <v>15</v>
      </c>
      <c r="C3507" t="s">
        <v>16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>E3507+G3507+H3507</f>
        <v>21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8</v>
      </c>
      <c r="K3507" s="3">
        <f>I3507-J3507</f>
        <v>13</v>
      </c>
      <c r="L3507" s="3" t="str">
        <f>IF(K3507&lt;-5,"CRÍTICO",IF(K3507&lt;0,"ATENÇÃO",IF(K3507&lt;=5,"OPORTUNO","MUITO BOM")))</f>
        <v>MUITO BOM</v>
      </c>
      <c r="M3507">
        <v>16</v>
      </c>
      <c r="N3507">
        <v>100</v>
      </c>
      <c r="O3507">
        <v>25.268817204301079</v>
      </c>
    </row>
    <row r="3508" spans="1:15" hidden="1" x14ac:dyDescent="0.25">
      <c r="A3508" s="11">
        <v>46112</v>
      </c>
      <c r="B3508" t="s">
        <v>49</v>
      </c>
      <c r="C3508" t="s">
        <v>48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>
        <v>30</v>
      </c>
      <c r="N3508">
        <v>99.32</v>
      </c>
      <c r="O3508">
        <v>22.822822822822818</v>
      </c>
    </row>
    <row r="3509" spans="1:15" hidden="1" x14ac:dyDescent="0.25">
      <c r="A3509" s="11">
        <v>46112</v>
      </c>
      <c r="B3509" t="s">
        <v>50</v>
      </c>
      <c r="C3509" t="s">
        <v>48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>E3509+G3509+H3509</f>
        <v>27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24</v>
      </c>
      <c r="K3509" s="3">
        <f>I3509-J3509</f>
        <v>3</v>
      </c>
      <c r="L3509" s="3" t="str">
        <f>IF(K3509&lt;-5,"CRÍTICO",IF(K3509&lt;0,"ATENÇÃO",IF(K3509&lt;=5,"OPORTUNO","MUITO BOM")))</f>
        <v>OPORTUNO</v>
      </c>
      <c r="M3509">
        <v>26</v>
      </c>
      <c r="N3509">
        <v>100</v>
      </c>
      <c r="O3509">
        <v>27.966101694915249</v>
      </c>
    </row>
    <row r="3510" spans="1:15" hidden="1" x14ac:dyDescent="0.25">
      <c r="A3510" s="11">
        <v>46112</v>
      </c>
      <c r="B3510" t="s">
        <v>17</v>
      </c>
      <c r="C3510" t="s">
        <v>16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>E3510+G3510+H3510</f>
        <v>10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8</v>
      </c>
      <c r="K3510" s="3">
        <f>I3510-J3510</f>
        <v>2</v>
      </c>
      <c r="L3510" s="3" t="str">
        <f>IF(K3510&lt;-5,"CRÍTICO",IF(K3510&lt;0,"ATENÇÃO",IF(K3510&lt;=5,"OPORTUNO","MUITO BOM")))</f>
        <v>OPORTUNO</v>
      </c>
      <c r="M3510">
        <v>6</v>
      </c>
      <c r="N3510">
        <v>100</v>
      </c>
      <c r="O3510">
        <v>30.434782608695659</v>
      </c>
    </row>
    <row r="3511" spans="1:15" hidden="1" x14ac:dyDescent="0.25">
      <c r="A3511" s="11">
        <v>46112</v>
      </c>
      <c r="B3511" t="s">
        <v>60</v>
      </c>
      <c r="C3511" t="s">
        <v>23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>E3511+G3511+H3511</f>
        <v>12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20</v>
      </c>
      <c r="K3511" s="3">
        <f>I3511-J3511</f>
        <v>-8</v>
      </c>
      <c r="L3511" s="3" t="str">
        <f>IF(K3511&lt;-5,"CRÍTICO",IF(K3511&lt;0,"ATENÇÃO",IF(K3511&lt;=5,"OPORTUNO","MUITO BOM")))</f>
        <v>CRÍTICO</v>
      </c>
      <c r="M3511">
        <v>10</v>
      </c>
      <c r="N3511">
        <v>96.51</v>
      </c>
      <c r="O3511">
        <v>22.802850356294542</v>
      </c>
    </row>
    <row r="3512" spans="1:15" hidden="1" x14ac:dyDescent="0.25">
      <c r="A3512" s="11">
        <v>46112</v>
      </c>
      <c r="B3512" t="s">
        <v>34</v>
      </c>
      <c r="C3512" t="s">
        <v>32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>E3512+G3512+H3512</f>
        <v>30</v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>30</v>
      </c>
      <c r="K3512" s="3">
        <f>I3512-J3512</f>
        <v>0</v>
      </c>
      <c r="L3512" s="3" t="str">
        <f>IF(K3512&lt;-5,"CRÍTICO",IF(K3512&lt;0,"ATENÇÃO",IF(K3512&lt;=5,"OPORTUNO","MUITO BOM")))</f>
        <v>OPORTUNO</v>
      </c>
      <c r="M3512">
        <v>26</v>
      </c>
      <c r="N3512">
        <v>92.68</v>
      </c>
      <c r="O3512">
        <v>27.777777777777779</v>
      </c>
    </row>
    <row r="3513" spans="1:15" hidden="1" x14ac:dyDescent="0.25">
      <c r="A3513" s="11">
        <v>46112</v>
      </c>
      <c r="B3513" t="s">
        <v>51</v>
      </c>
      <c r="C3513" t="s">
        <v>48</v>
      </c>
      <c r="D3513">
        <v>14</v>
      </c>
      <c r="E3513">
        <v>12</v>
      </c>
      <c r="F3513">
        <v>16.420000000000002</v>
      </c>
      <c r="G3513">
        <v>0</v>
      </c>
      <c r="H3513">
        <v>0</v>
      </c>
      <c r="I3513" s="3">
        <v>0</v>
      </c>
      <c r="J3513" s="3">
        <v>0</v>
      </c>
      <c r="K3513" s="3">
        <v>0</v>
      </c>
      <c r="L3513" s="3" t="str">
        <f>IF(K3513&lt;-5,"CRÍTICO",IF(K3513&lt;0,"ATENÇÃO",IF(K3513&lt;=5,"OPORTUNO","MUITO BOM")))</f>
        <v>OPORTUNO</v>
      </c>
      <c r="M3513">
        <v>11</v>
      </c>
      <c r="N3513">
        <v>99.03</v>
      </c>
      <c r="O3513">
        <v>23.991507430997881</v>
      </c>
    </row>
    <row r="3514" spans="1:15" hidden="1" x14ac:dyDescent="0.25">
      <c r="A3514" s="11">
        <v>46112</v>
      </c>
      <c r="B3514" t="s">
        <v>61</v>
      </c>
      <c r="C3514" t="s">
        <v>23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>E3514+G3514+H3514</f>
        <v>18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20</v>
      </c>
      <c r="K3514" s="3">
        <f>I3514-J3514</f>
        <v>-2</v>
      </c>
      <c r="L3514" s="3" t="str">
        <f>IF(K3514&lt;-5,"CRÍTICO",IF(K3514&lt;0,"ATENÇÃO",IF(K3514&lt;=5,"OPORTUNO","MUITO BOM")))</f>
        <v>ATENÇÃO</v>
      </c>
      <c r="M3514">
        <v>8</v>
      </c>
      <c r="N3514">
        <v>98.41</v>
      </c>
      <c r="O3514">
        <v>28.138528138528141</v>
      </c>
    </row>
    <row r="3515" spans="1:15" hidden="1" x14ac:dyDescent="0.25">
      <c r="A3515" s="11">
        <v>46112</v>
      </c>
      <c r="B3515" t="s">
        <v>35</v>
      </c>
      <c r="C3515" t="s">
        <v>32</v>
      </c>
      <c r="D3515">
        <v>37</v>
      </c>
      <c r="E3515">
        <v>35</v>
      </c>
      <c r="F3515">
        <v>17.059999999999999</v>
      </c>
      <c r="G3515">
        <v>0</v>
      </c>
      <c r="H3515">
        <v>0</v>
      </c>
      <c r="I3515" s="3">
        <v>0</v>
      </c>
      <c r="J3515" s="3">
        <v>0</v>
      </c>
      <c r="K3515" s="3">
        <v>0</v>
      </c>
      <c r="L3515" s="3" t="str">
        <f>IF(K3515&lt;-5,"CRÍTICO",IF(K3515&lt;0,"ATENÇÃO",IF(K3515&lt;=5,"OPORTUNO","MUITO BOM")))</f>
        <v>OPORTUNO</v>
      </c>
      <c r="M3515">
        <v>35</v>
      </c>
      <c r="N3515">
        <v>98.73</v>
      </c>
      <c r="O3515">
        <v>29.142857142857139</v>
      </c>
    </row>
    <row r="3516" spans="1:15" hidden="1" x14ac:dyDescent="0.25">
      <c r="A3516" s="11">
        <v>46112</v>
      </c>
      <c r="B3516" t="s">
        <v>18</v>
      </c>
      <c r="C3516" t="s">
        <v>16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>E3516+G3516+H3516</f>
        <v>5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8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>
        <v>3</v>
      </c>
      <c r="N3516">
        <v>90.48</v>
      </c>
      <c r="O3516">
        <v>20.68965517241379</v>
      </c>
    </row>
    <row r="3517" spans="1:15" hidden="1" x14ac:dyDescent="0.25">
      <c r="A3517" s="11">
        <v>46112</v>
      </c>
      <c r="B3517" t="s">
        <v>52</v>
      </c>
      <c r="C3517" t="s">
        <v>48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>E3517+G3517+H3517</f>
        <v>21</v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>24</v>
      </c>
      <c r="K3517" s="3">
        <f>I3517-J3517</f>
        <v>-3</v>
      </c>
      <c r="L3517" s="3" t="str">
        <f>IF(K3517&lt;-5,"CRÍTICO",IF(K3517&lt;0,"ATENÇÃO",IF(K3517&lt;=5,"OPORTUNO","MUITO BOM")))</f>
        <v>ATENÇÃO</v>
      </c>
      <c r="M3517">
        <v>18</v>
      </c>
      <c r="N3517">
        <v>98.06</v>
      </c>
      <c r="O3517">
        <v>24.789915966386559</v>
      </c>
    </row>
    <row r="3518" spans="1:15" hidden="1" x14ac:dyDescent="0.25">
      <c r="A3518" s="11">
        <v>46112</v>
      </c>
      <c r="B3518" t="s">
        <v>36</v>
      </c>
      <c r="C3518" t="s">
        <v>32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v>0</v>
      </c>
      <c r="J3518" s="3">
        <v>0</v>
      </c>
      <c r="K3518" s="3">
        <v>0</v>
      </c>
      <c r="L3518" s="3" t="str">
        <f>IF(K3518&lt;-5,"CRÍTICO",IF(K3518&lt;0,"ATENÇÃO",IF(K3518&lt;=5,"OPORTUNO","MUITO BOM")))</f>
        <v>OPORTUNO</v>
      </c>
      <c r="M3518">
        <v>0</v>
      </c>
      <c r="N3518">
        <v>97.78</v>
      </c>
      <c r="O3518">
        <v>25.494071146245059</v>
      </c>
    </row>
    <row r="3519" spans="1:15" hidden="1" x14ac:dyDescent="0.25">
      <c r="A3519" s="11">
        <v>46112</v>
      </c>
      <c r="B3519" t="s">
        <v>53</v>
      </c>
      <c r="C3519" t="s">
        <v>48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>E3519+G3519+H3519</f>
        <v>26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24</v>
      </c>
      <c r="K3519" s="3">
        <f>I3519-J3519</f>
        <v>2</v>
      </c>
      <c r="L3519" s="3" t="str">
        <f>IF(K3519&lt;-5,"CRÍTICO",IF(K3519&lt;0,"ATENÇÃO",IF(K3519&lt;=5,"OPORTUNO","MUITO BOM")))</f>
        <v>OPORTUNO</v>
      </c>
      <c r="M3519">
        <v>22</v>
      </c>
      <c r="N3519">
        <v>98.02</v>
      </c>
      <c r="O3519">
        <v>23.484848484848481</v>
      </c>
    </row>
    <row r="3520" spans="1:15" hidden="1" x14ac:dyDescent="0.25">
      <c r="A3520" s="10">
        <v>46164</v>
      </c>
      <c r="B3520" s="6" t="s">
        <v>58</v>
      </c>
      <c r="C3520" s="3" t="s">
        <v>48</v>
      </c>
      <c r="D3520" s="3">
        <v>17</v>
      </c>
      <c r="E3520" s="3">
        <v>17</v>
      </c>
      <c r="F3520" s="3">
        <v>22.2</v>
      </c>
      <c r="G3520" s="3">
        <v>0</v>
      </c>
      <c r="H3520" s="3">
        <v>0</v>
      </c>
      <c r="I3520" s="3">
        <f>E3520+G3520+H3520</f>
        <v>17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15</v>
      </c>
      <c r="K3520" s="3">
        <f>I3520-J3520</f>
        <v>2</v>
      </c>
      <c r="L3520" s="3" t="str">
        <f>IF(K3520&lt;-5,"CRÍTICO",IF(K3520&lt;0,"ATENÇÃO",IF(K3520&lt;=5,"OPORTUNO","MUITO BOM")))</f>
        <v>OPORTUNO</v>
      </c>
      <c r="M3520" s="3">
        <v>12</v>
      </c>
      <c r="N3520" s="3">
        <v>100</v>
      </c>
      <c r="O3520" s="3">
        <v>20.183486238532112</v>
      </c>
    </row>
    <row r="3521" spans="1:15" hidden="1" x14ac:dyDescent="0.25">
      <c r="A3521" s="11">
        <v>46112</v>
      </c>
      <c r="B3521" t="s">
        <v>54</v>
      </c>
      <c r="C3521" t="s">
        <v>48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>E3521+G3521+H3521</f>
        <v>29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24</v>
      </c>
      <c r="K3521" s="3">
        <f>I3521-J3521</f>
        <v>5</v>
      </c>
      <c r="L3521" s="3" t="str">
        <f>IF(K3521&lt;-5,"CRÍTICO",IF(K3521&lt;0,"ATENÇÃO",IF(K3521&lt;=5,"OPORTUNO","MUITO BOM")))</f>
        <v>OPORTUNO</v>
      </c>
      <c r="M3521">
        <v>29</v>
      </c>
      <c r="N3521">
        <v>100</v>
      </c>
      <c r="O3521">
        <v>27.04918032786885</v>
      </c>
    </row>
    <row r="3522" spans="1:15" hidden="1" x14ac:dyDescent="0.25">
      <c r="A3522" s="11">
        <v>46112</v>
      </c>
      <c r="B3522" t="s">
        <v>37</v>
      </c>
      <c r="C3522" t="s">
        <v>32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>E3522+G3522+H3522</f>
        <v>42</v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>30</v>
      </c>
      <c r="K3522" s="3">
        <f>I3522-J3522</f>
        <v>12</v>
      </c>
      <c r="L3522" s="3" t="str">
        <f>IF(K3522&lt;-5,"CRÍTICO",IF(K3522&lt;0,"ATENÇÃO",IF(K3522&lt;=5,"OPORTUNO","MUITO BOM")))</f>
        <v>MUITO BOM</v>
      </c>
      <c r="M3522">
        <v>45</v>
      </c>
      <c r="N3522">
        <v>97.83</v>
      </c>
      <c r="O3522">
        <v>26.315789473684209</v>
      </c>
    </row>
    <row r="3523" spans="1:15" hidden="1" x14ac:dyDescent="0.25">
      <c r="A3523" s="11">
        <v>46112</v>
      </c>
      <c r="B3523" t="s">
        <v>38</v>
      </c>
      <c r="C3523" t="s">
        <v>32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v>0</v>
      </c>
      <c r="J3523" s="3">
        <v>0</v>
      </c>
      <c r="K3523" s="3">
        <v>0</v>
      </c>
      <c r="L3523" s="3" t="str">
        <f>IF(K3523&lt;-5,"CRÍTICO",IF(K3523&lt;0,"ATENÇÃO",IF(K3523&lt;=5,"OPORTUNO","MUITO BOM")))</f>
        <v>OPORTUNO</v>
      </c>
      <c r="M3523">
        <v>0</v>
      </c>
      <c r="N3523">
        <v>100</v>
      </c>
      <c r="O3523">
        <v>26.701570680628269</v>
      </c>
    </row>
    <row r="3524" spans="1:15" hidden="1" x14ac:dyDescent="0.25">
      <c r="A3524" s="11">
        <v>46112</v>
      </c>
      <c r="B3524" t="s">
        <v>55</v>
      </c>
      <c r="C3524" t="s">
        <v>48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>E3524+G3524+H3524</f>
        <v>14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24</v>
      </c>
      <c r="K3524" s="3">
        <f>I3524-J3524</f>
        <v>-10</v>
      </c>
      <c r="L3524" s="3" t="str">
        <f>IF(K3524&lt;-5,"CRÍTICO",IF(K3524&lt;0,"ATENÇÃO",IF(K3524&lt;=5,"OPORTUNO","MUITO BOM")))</f>
        <v>CRÍTICO</v>
      </c>
      <c r="M3524">
        <v>13</v>
      </c>
      <c r="N3524">
        <v>97.47</v>
      </c>
      <c r="O3524">
        <v>22.887323943661968</v>
      </c>
    </row>
    <row r="3525" spans="1:15" hidden="1" x14ac:dyDescent="0.25">
      <c r="A3525" s="11">
        <v>46112</v>
      </c>
      <c r="B3525" t="s">
        <v>39</v>
      </c>
      <c r="C3525" t="s">
        <v>32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v>0</v>
      </c>
      <c r="J3525" s="3">
        <v>0</v>
      </c>
      <c r="K3525" s="3">
        <v>0</v>
      </c>
      <c r="L3525" s="3" t="str">
        <f>IF(K3525&lt;-5,"CRÍTICO",IF(K3525&lt;0,"ATENÇÃO",IF(K3525&lt;=5,"OPORTUNO","MUITO BOM")))</f>
        <v>OPORTUNO</v>
      </c>
      <c r="M3525">
        <v>0</v>
      </c>
      <c r="N3525">
        <v>0</v>
      </c>
      <c r="O3525">
        <v>0</v>
      </c>
    </row>
    <row r="3526" spans="1:15" hidden="1" x14ac:dyDescent="0.25">
      <c r="A3526" s="11">
        <v>46112</v>
      </c>
      <c r="B3526" t="s">
        <v>25</v>
      </c>
      <c r="C3526" t="s">
        <v>26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>E3526+G3526+H3526</f>
        <v>21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17</v>
      </c>
      <c r="K3526" s="3">
        <f>I3526-J3526</f>
        <v>4</v>
      </c>
      <c r="L3526" s="3" t="str">
        <f>IF(K3526&lt;-5,"CRÍTICO",IF(K3526&lt;0,"ATENÇÃO",IF(K3526&lt;=5,"OPORTUNO","MUITO BOM")))</f>
        <v>OPORTUNO</v>
      </c>
      <c r="M3526">
        <v>19</v>
      </c>
      <c r="N3526">
        <v>98.31</v>
      </c>
      <c r="O3526">
        <v>24.920127795527151</v>
      </c>
    </row>
    <row r="3527" spans="1:15" hidden="1" x14ac:dyDescent="0.25">
      <c r="A3527" s="11">
        <v>46112</v>
      </c>
      <c r="B3527" t="s">
        <v>40</v>
      </c>
      <c r="C3527" t="s">
        <v>32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>E3527+G3527+H3527</f>
        <v>6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30</v>
      </c>
      <c r="K3527" s="3">
        <f>I3527-J3527</f>
        <v>-24</v>
      </c>
      <c r="L3527" s="3" t="str">
        <f>IF(K3527&lt;-5,"CRÍTICO",IF(K3527&lt;0,"ATENÇÃO",IF(K3527&lt;=5,"OPORTUNO","MUITO BOM")))</f>
        <v>CRÍTICO</v>
      </c>
      <c r="M3527">
        <v>7</v>
      </c>
      <c r="N3527">
        <v>96.81</v>
      </c>
      <c r="O3527">
        <v>32.365145228215773</v>
      </c>
    </row>
    <row r="3528" spans="1:15" hidden="1" x14ac:dyDescent="0.25">
      <c r="A3528" s="11">
        <v>46112</v>
      </c>
      <c r="B3528" t="s">
        <v>27</v>
      </c>
      <c r="C3528" t="s">
        <v>26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>E3528+G3528+H3528</f>
        <v>18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17</v>
      </c>
      <c r="K3528" s="3">
        <f>I3528-J3528</f>
        <v>1</v>
      </c>
      <c r="L3528" s="3" t="str">
        <f>IF(K3528&lt;-5,"CRÍTICO",IF(K3528&lt;0,"ATENÇÃO",IF(K3528&lt;=5,"OPORTUNO","MUITO BOM")))</f>
        <v>OPORTUNO</v>
      </c>
      <c r="M3528">
        <v>16</v>
      </c>
      <c r="N3528">
        <v>100</v>
      </c>
      <c r="O3528">
        <v>26.47058823529412</v>
      </c>
    </row>
    <row r="3529" spans="1:15" hidden="1" x14ac:dyDescent="0.25">
      <c r="A3529" s="11">
        <v>46112</v>
      </c>
      <c r="B3529" t="s">
        <v>41</v>
      </c>
      <c r="C3529" t="s">
        <v>32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>E3529+G3529+H3529</f>
        <v>29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30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>
        <v>28</v>
      </c>
      <c r="N3529">
        <v>100</v>
      </c>
      <c r="O3529">
        <v>28.490028490028489</v>
      </c>
    </row>
    <row r="3530" spans="1:15" hidden="1" x14ac:dyDescent="0.25">
      <c r="A3530" s="11">
        <v>46112</v>
      </c>
      <c r="B3530" t="s">
        <v>56</v>
      </c>
      <c r="C3530" t="s">
        <v>48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>E3530+G3530+H3530</f>
        <v>23</v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>24</v>
      </c>
      <c r="K3530" s="3">
        <f>I3530-J3530</f>
        <v>-1</v>
      </c>
      <c r="L3530" s="3" t="str">
        <f>IF(K3530&lt;-5,"CRÍTICO",IF(K3530&lt;0,"ATENÇÃO",IF(K3530&lt;=5,"OPORTUNO","MUITO BOM")))</f>
        <v>ATENÇÃO</v>
      </c>
      <c r="M3530">
        <v>9</v>
      </c>
      <c r="N3530">
        <v>99.14</v>
      </c>
      <c r="O3530">
        <v>27.2289156626506</v>
      </c>
    </row>
    <row r="3531" spans="1:15" hidden="1" x14ac:dyDescent="0.25">
      <c r="A3531" s="11">
        <v>46112</v>
      </c>
      <c r="B3531" t="s">
        <v>57</v>
      </c>
      <c r="C3531" t="s">
        <v>48</v>
      </c>
      <c r="D3531">
        <v>6</v>
      </c>
      <c r="E3531">
        <v>6</v>
      </c>
      <c r="F3531">
        <v>16.47</v>
      </c>
      <c r="G3531">
        <v>0</v>
      </c>
      <c r="H3531">
        <v>0</v>
      </c>
      <c r="I3531" s="3">
        <v>0</v>
      </c>
      <c r="J3531" s="3">
        <v>0</v>
      </c>
      <c r="K3531" s="3">
        <v>0</v>
      </c>
      <c r="L3531" s="3" t="str">
        <f>IF(K3531&lt;-5,"CRÍTICO",IF(K3531&lt;0,"ATENÇÃO",IF(K3531&lt;=5,"OPORTUNO","MUITO BOM")))</f>
        <v>OPORTUNO</v>
      </c>
      <c r="M3531">
        <v>3</v>
      </c>
      <c r="N3531">
        <v>97.52</v>
      </c>
      <c r="O3531">
        <v>28.205128205128201</v>
      </c>
    </row>
    <row r="3532" spans="1:15" hidden="1" x14ac:dyDescent="0.25">
      <c r="A3532" s="11">
        <v>46112</v>
      </c>
      <c r="B3532" t="s">
        <v>42</v>
      </c>
      <c r="C3532" t="s">
        <v>32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>E3532+G3532+H3532</f>
        <v>36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30</v>
      </c>
      <c r="K3532" s="3">
        <f>I3532-J3532</f>
        <v>6</v>
      </c>
      <c r="L3532" s="3" t="str">
        <f>IF(K3532&lt;-5,"CRÍTICO",IF(K3532&lt;0,"ATENÇÃO",IF(K3532&lt;=5,"OPORTUNO","MUITO BOM")))</f>
        <v>MUITO BOM</v>
      </c>
      <c r="M3532">
        <v>26</v>
      </c>
      <c r="N3532">
        <v>90</v>
      </c>
      <c r="O3532">
        <v>24.186046511627911</v>
      </c>
    </row>
    <row r="3533" spans="1:15" hidden="1" x14ac:dyDescent="0.25">
      <c r="A3533" s="11">
        <v>46112</v>
      </c>
      <c r="B3533" t="s">
        <v>62</v>
      </c>
      <c r="C3533" t="s">
        <v>23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>E3533+G3533+H3533</f>
        <v>28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20</v>
      </c>
      <c r="K3533" s="3">
        <f>I3533-J3533</f>
        <v>8</v>
      </c>
      <c r="L3533" s="3" t="str">
        <f>IF(K3533&lt;-5,"CRÍTICO",IF(K3533&lt;0,"ATENÇÃO",IF(K3533&lt;=5,"OPORTUNO","MUITO BOM")))</f>
        <v>MUITO BOM</v>
      </c>
      <c r="M3533">
        <v>28</v>
      </c>
      <c r="N3533">
        <v>98.9</v>
      </c>
      <c r="O3533">
        <v>26.763990267639901</v>
      </c>
    </row>
    <row r="3534" spans="1:15" hidden="1" x14ac:dyDescent="0.25">
      <c r="A3534" s="11">
        <v>46112</v>
      </c>
      <c r="B3534" t="s">
        <v>19</v>
      </c>
      <c r="C3534" t="s">
        <v>16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>E3534+G3534+H3534</f>
        <v>8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8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>
        <v>7</v>
      </c>
      <c r="N3534">
        <v>88.89</v>
      </c>
      <c r="O3534">
        <v>25.263157894736839</v>
      </c>
    </row>
    <row r="3535" spans="1:15" hidden="1" x14ac:dyDescent="0.25">
      <c r="A3535" s="11">
        <v>46112</v>
      </c>
      <c r="B3535" t="s">
        <v>43</v>
      </c>
      <c r="C3535" t="s">
        <v>32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>E3535+G3535+H3535</f>
        <v>30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0</v>
      </c>
      <c r="L3535" s="3" t="str">
        <f>IF(K3535&lt;-5,"CRÍTICO",IF(K3535&lt;0,"ATENÇÃO",IF(K3535&lt;=5,"OPORTUNO","MUITO BOM")))</f>
        <v>OPORTUNO</v>
      </c>
      <c r="M3535">
        <v>28</v>
      </c>
      <c r="N3535">
        <v>98.86</v>
      </c>
      <c r="O3535">
        <v>28.959276018099551</v>
      </c>
    </row>
    <row r="3536" spans="1:15" hidden="1" x14ac:dyDescent="0.25">
      <c r="A3536" s="11">
        <v>46112</v>
      </c>
      <c r="B3536" t="s">
        <v>44</v>
      </c>
      <c r="C3536" t="s">
        <v>32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>E3536+G3536+H3536</f>
        <v>37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30</v>
      </c>
      <c r="K3536" s="3">
        <f>I3536-J3536</f>
        <v>7</v>
      </c>
      <c r="L3536" s="3" t="str">
        <f>IF(K3536&lt;-5,"CRÍTICO",IF(K3536&lt;0,"ATENÇÃO",IF(K3536&lt;=5,"OPORTUNO","MUITO BOM")))</f>
        <v>MUITO BOM</v>
      </c>
      <c r="M3536">
        <v>25</v>
      </c>
      <c r="N3536">
        <v>98.06</v>
      </c>
      <c r="O3536">
        <v>22.40566037735849</v>
      </c>
    </row>
    <row r="3537" spans="1:15" hidden="1" x14ac:dyDescent="0.25">
      <c r="A3537" s="11">
        <v>46112</v>
      </c>
      <c r="B3537" t="s">
        <v>20</v>
      </c>
      <c r="C3537" t="s">
        <v>16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>E3537+G3537+H3537</f>
        <v>19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8</v>
      </c>
      <c r="K3537" s="3">
        <f>I3537-J3537</f>
        <v>11</v>
      </c>
      <c r="L3537" s="3" t="str">
        <f>IF(K3537&lt;-5,"CRÍTICO",IF(K3537&lt;0,"ATENÇÃO",IF(K3537&lt;=5,"OPORTUNO","MUITO BOM")))</f>
        <v>MUITO BOM</v>
      </c>
      <c r="M3537">
        <v>7</v>
      </c>
      <c r="N3537">
        <v>95.83</v>
      </c>
      <c r="O3537">
        <v>25.773195876288661</v>
      </c>
    </row>
    <row r="3538" spans="1:15" hidden="1" x14ac:dyDescent="0.25">
      <c r="A3538" s="11">
        <v>46112</v>
      </c>
      <c r="B3538" t="s">
        <v>28</v>
      </c>
      <c r="C3538" t="s">
        <v>26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>E3538+G3538+H3538</f>
        <v>17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17</v>
      </c>
      <c r="K3538" s="3">
        <f>I3538-J3538</f>
        <v>0</v>
      </c>
      <c r="L3538" s="3" t="str">
        <f>IF(K3538&lt;-5,"CRÍTICO",IF(K3538&lt;0,"ATENÇÃO",IF(K3538&lt;=5,"OPORTUNO","MUITO BOM")))</f>
        <v>OPORTUNO</v>
      </c>
      <c r="M3538">
        <v>14</v>
      </c>
      <c r="N3538">
        <v>100</v>
      </c>
      <c r="O3538">
        <v>15.38461538461539</v>
      </c>
    </row>
    <row r="3539" spans="1:15" hidden="1" x14ac:dyDescent="0.25">
      <c r="A3539" s="11">
        <v>46112</v>
      </c>
      <c r="B3539" t="s">
        <v>58</v>
      </c>
      <c r="C3539" t="s">
        <v>48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>E3539+G3539+H3539</f>
        <v>30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24</v>
      </c>
      <c r="K3539" s="3">
        <f>I3539-J3539</f>
        <v>6</v>
      </c>
      <c r="L3539" s="3" t="str">
        <f>IF(K3539&lt;-5,"CRÍTICO",IF(K3539&lt;0,"ATENÇÃO",IF(K3539&lt;=5,"OPORTUNO","MUITO BOM")))</f>
        <v>MUITO BOM</v>
      </c>
      <c r="M3539">
        <v>20</v>
      </c>
      <c r="N3539">
        <v>100</v>
      </c>
      <c r="O3539">
        <v>27.514792899408281</v>
      </c>
    </row>
    <row r="3540" spans="1:15" hidden="1" x14ac:dyDescent="0.25">
      <c r="A3540" s="11">
        <v>46112</v>
      </c>
      <c r="B3540" t="s">
        <v>29</v>
      </c>
      <c r="C3540" t="s">
        <v>26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>E3540+G3540+H3540</f>
        <v>19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2</v>
      </c>
      <c r="L3540" s="3" t="str">
        <f>IF(K3540&lt;-5,"CRÍTICO",IF(K3540&lt;0,"ATENÇÃO",IF(K3540&lt;=5,"OPORTUNO","MUITO BOM")))</f>
        <v>OPORTUNO</v>
      </c>
      <c r="M3540">
        <v>12</v>
      </c>
      <c r="N3540">
        <v>100</v>
      </c>
      <c r="O3540">
        <v>24.875621890547269</v>
      </c>
    </row>
    <row r="3541" spans="1:15" hidden="1" x14ac:dyDescent="0.25">
      <c r="A3541" s="11">
        <v>46112</v>
      </c>
      <c r="B3541" t="s">
        <v>30</v>
      </c>
      <c r="C3541" t="s">
        <v>26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>E3541+G3541+H3541</f>
        <v>25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17</v>
      </c>
      <c r="K3541" s="3">
        <f>I3541-J3541</f>
        <v>8</v>
      </c>
      <c r="L3541" s="3" t="str">
        <f>IF(K3541&lt;-5,"CRÍTICO",IF(K3541&lt;0,"ATENÇÃO",IF(K3541&lt;=5,"OPORTUNO","MUITO BOM")))</f>
        <v>MUITO BOM</v>
      </c>
      <c r="M3541">
        <v>19</v>
      </c>
      <c r="N3541">
        <v>100</v>
      </c>
      <c r="O3541">
        <v>28.108108108108109</v>
      </c>
    </row>
    <row r="3542" spans="1:15" hidden="1" x14ac:dyDescent="0.25">
      <c r="A3542" s="11">
        <v>46112</v>
      </c>
      <c r="B3542" t="s">
        <v>21</v>
      </c>
      <c r="C3542" t="s">
        <v>16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>E3542+G3542+H3542</f>
        <v>6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8</v>
      </c>
      <c r="K3542" s="3">
        <f>I3542-J3542</f>
        <v>-2</v>
      </c>
      <c r="L3542" s="3" t="str">
        <f>IF(K3542&lt;-5,"CRÍTICO",IF(K3542&lt;0,"ATENÇÃO",IF(K3542&lt;=5,"OPORTUNO","MUITO BOM")))</f>
        <v>ATENÇÃO</v>
      </c>
      <c r="M3542">
        <v>3</v>
      </c>
      <c r="N3542">
        <v>100</v>
      </c>
      <c r="O3542">
        <v>35</v>
      </c>
    </row>
    <row r="3543" spans="1:15" hidden="1" x14ac:dyDescent="0.25">
      <c r="A3543" s="11">
        <v>46112</v>
      </c>
      <c r="B3543" t="s">
        <v>63</v>
      </c>
      <c r="C3543" t="s">
        <v>23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>E3543+G3543+H3543</f>
        <v>28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20</v>
      </c>
      <c r="K3543" s="3">
        <f>I3543-J3543</f>
        <v>8</v>
      </c>
      <c r="L3543" s="3" t="str">
        <f>IF(K3543&lt;-5,"CRÍTICO",IF(K3543&lt;0,"ATENÇÃO",IF(K3543&lt;=5,"OPORTUNO","MUITO BOM")))</f>
        <v>MUITO BOM</v>
      </c>
      <c r="M3543">
        <v>17</v>
      </c>
      <c r="N3543">
        <v>95.35</v>
      </c>
      <c r="O3543">
        <v>28.61538461538461</v>
      </c>
    </row>
    <row r="3544" spans="1:15" hidden="1" x14ac:dyDescent="0.25">
      <c r="A3544" s="11">
        <v>46112</v>
      </c>
      <c r="B3544" t="s">
        <v>45</v>
      </c>
      <c r="C3544" t="s">
        <v>32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>E3544+G3544+H3544</f>
        <v>42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30</v>
      </c>
      <c r="K3544" s="3">
        <f>I3544-J3544</f>
        <v>12</v>
      </c>
      <c r="L3544" s="3" t="str">
        <f>IF(K3544&lt;-5,"CRÍTICO",IF(K3544&lt;0,"ATENÇÃO",IF(K3544&lt;=5,"OPORTUNO","MUITO BOM")))</f>
        <v>MUITO BOM</v>
      </c>
      <c r="M3544">
        <v>35</v>
      </c>
      <c r="N3544">
        <v>98.26</v>
      </c>
      <c r="O3544">
        <v>27.54491017964072</v>
      </c>
    </row>
    <row r="3545" spans="1:15" hidden="1" x14ac:dyDescent="0.25">
      <c r="A3545" s="11">
        <v>46112</v>
      </c>
      <c r="B3545" t="s">
        <v>64</v>
      </c>
      <c r="C3545" t="s">
        <v>23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>E3545+G3545+H3545</f>
        <v>16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20</v>
      </c>
      <c r="K3545" s="3">
        <f>I3545-J3545</f>
        <v>-4</v>
      </c>
      <c r="L3545" s="3" t="str">
        <f>IF(K3545&lt;-5,"CRÍTICO",IF(K3545&lt;0,"ATENÇÃO",IF(K3545&lt;=5,"OPORTUNO","MUITO BOM")))</f>
        <v>ATENÇÃO</v>
      </c>
      <c r="M3545">
        <v>14</v>
      </c>
      <c r="N3545">
        <v>98.55</v>
      </c>
      <c r="O3545">
        <v>25.337837837837839</v>
      </c>
    </row>
    <row r="3546" spans="1:15" hidden="1" x14ac:dyDescent="0.25">
      <c r="A3546" s="11">
        <v>46112</v>
      </c>
      <c r="B3546" t="s">
        <v>46</v>
      </c>
      <c r="C3546" t="s">
        <v>32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>E3546+G3546+H3546</f>
        <v>33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30</v>
      </c>
      <c r="K3546" s="3">
        <f>I3546-J3546</f>
        <v>3</v>
      </c>
      <c r="L3546" s="3" t="str">
        <f>IF(K3546&lt;-5,"CRÍTICO",IF(K3546&lt;0,"ATENÇÃO",IF(K3546&lt;=5,"OPORTUNO","MUITO BOM")))</f>
        <v>OPORTUNO</v>
      </c>
      <c r="M3546">
        <v>27</v>
      </c>
      <c r="N3546">
        <v>98.39</v>
      </c>
      <c r="O3546">
        <v>25.563909774436091</v>
      </c>
    </row>
    <row r="3547" spans="1:15" hidden="1" x14ac:dyDescent="0.25">
      <c r="A3547" s="11">
        <v>46113</v>
      </c>
      <c r="B3547" t="s">
        <v>47</v>
      </c>
      <c r="C3547" t="s">
        <v>48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>E3547+G3547+H3547</f>
        <v>15</v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>25</v>
      </c>
      <c r="K3547" s="3">
        <f>I3547-J3547</f>
        <v>-10</v>
      </c>
      <c r="L3547" s="3" t="str">
        <f>IF(K3547&lt;-5,"CRÍTICO",IF(K3547&lt;0,"ATENÇÃO",IF(K3547&lt;=5,"OPORTUNO","MUITO BOM")))</f>
        <v>CRÍTICO</v>
      </c>
      <c r="M3547">
        <v>13</v>
      </c>
      <c r="N3547">
        <v>100</v>
      </c>
      <c r="O3547">
        <v>32.764505119453922</v>
      </c>
    </row>
    <row r="3548" spans="1:15" hidden="1" x14ac:dyDescent="0.25">
      <c r="A3548" s="11">
        <v>46113</v>
      </c>
      <c r="B3548" t="s">
        <v>31</v>
      </c>
      <c r="C3548" t="s">
        <v>32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v>0</v>
      </c>
      <c r="J3548" s="3">
        <v>0</v>
      </c>
      <c r="K3548" s="3">
        <v>0</v>
      </c>
      <c r="L3548" s="3" t="str">
        <f>IF(K3548&lt;-5,"CRÍTICO",IF(K3548&lt;0,"ATENÇÃO",IF(K3548&lt;=5,"OPORTUNO","MUITO BOM")))</f>
        <v>OPORTUNO</v>
      </c>
      <c r="M3548">
        <v>24</v>
      </c>
      <c r="N3548">
        <v>98.66</v>
      </c>
      <c r="O3548">
        <v>35.416666666666671</v>
      </c>
    </row>
    <row r="3549" spans="1:15" hidden="1" x14ac:dyDescent="0.25">
      <c r="A3549" s="11">
        <v>46113</v>
      </c>
      <c r="B3549" t="s">
        <v>59</v>
      </c>
      <c r="C3549" t="s">
        <v>23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>E3549+G3549+H3549</f>
        <v>26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21</v>
      </c>
      <c r="K3549" s="3">
        <f>I3549-J3549</f>
        <v>5</v>
      </c>
      <c r="L3549" s="3" t="str">
        <f>IF(K3549&lt;-5,"CRÍTICO",IF(K3549&lt;0,"ATENÇÃO",IF(K3549&lt;=5,"OPORTUNO","MUITO BOM")))</f>
        <v>OPORTUNO</v>
      </c>
      <c r="M3549">
        <v>26</v>
      </c>
      <c r="N3549">
        <v>99.32</v>
      </c>
      <c r="O3549">
        <v>30.648330058939099</v>
      </c>
    </row>
    <row r="3550" spans="1:15" hidden="1" x14ac:dyDescent="0.25">
      <c r="A3550" s="11">
        <v>46113</v>
      </c>
      <c r="B3550" t="s">
        <v>33</v>
      </c>
      <c r="C3550" t="s">
        <v>32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>E3550+G3550+H3550</f>
        <v>21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32</v>
      </c>
      <c r="K3550" s="3">
        <f>I3550-J3550</f>
        <v>-11</v>
      </c>
      <c r="L3550" s="3" t="str">
        <f>IF(K3550&lt;-5,"CRÍTICO",IF(K3550&lt;0,"ATENÇÃO",IF(K3550&lt;=5,"OPORTUNO","MUITO BOM")))</f>
        <v>CRÍTICO</v>
      </c>
      <c r="M3550">
        <v>20</v>
      </c>
      <c r="N3550">
        <v>100</v>
      </c>
      <c r="O3550">
        <v>27.803738317757009</v>
      </c>
    </row>
    <row r="3551" spans="1:15" hidden="1" x14ac:dyDescent="0.25">
      <c r="A3551" s="11">
        <v>46113</v>
      </c>
      <c r="B3551" t="s">
        <v>15</v>
      </c>
      <c r="C3551" t="s">
        <v>16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>E3551+G3551+H3551</f>
        <v>16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9</v>
      </c>
      <c r="K3551" s="3">
        <f>I3551-J3551</f>
        <v>7</v>
      </c>
      <c r="L3551" s="3" t="str">
        <f>IF(K3551&lt;-5,"CRÍTICO",IF(K3551&lt;0,"ATENÇÃO",IF(K3551&lt;=5,"OPORTUNO","MUITO BOM")))</f>
        <v>MUITO BOM</v>
      </c>
      <c r="M3551">
        <v>15</v>
      </c>
      <c r="N3551">
        <v>96.74</v>
      </c>
      <c r="O3551">
        <v>28.67647058823529</v>
      </c>
    </row>
    <row r="3552" spans="1:15" hidden="1" x14ac:dyDescent="0.25">
      <c r="A3552" s="11">
        <v>46113</v>
      </c>
      <c r="B3552" t="s">
        <v>49</v>
      </c>
      <c r="C3552" t="s">
        <v>48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>E3552+G3552+H3552</f>
        <v>36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11</v>
      </c>
      <c r="L3552" s="3" t="str">
        <f>IF(K3552&lt;-5,"CRÍTICO",IF(K3552&lt;0,"ATENÇÃO",IF(K3552&lt;=5,"OPORTUNO","MUITO BOM")))</f>
        <v>MUITO BOM</v>
      </c>
      <c r="M3552">
        <v>39</v>
      </c>
      <c r="N3552">
        <v>98.82</v>
      </c>
      <c r="O3552">
        <v>30.741410488245929</v>
      </c>
    </row>
    <row r="3553" spans="1:15" hidden="1" x14ac:dyDescent="0.25">
      <c r="A3553" s="11">
        <v>46113</v>
      </c>
      <c r="B3553" t="s">
        <v>50</v>
      </c>
      <c r="C3553" t="s">
        <v>48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>E3553+G3553+H3553</f>
        <v>20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25</v>
      </c>
      <c r="K3553" s="3">
        <f>I3553-J3553</f>
        <v>-5</v>
      </c>
      <c r="L3553" s="3" t="str">
        <f>IF(K3553&lt;-5,"CRÍTICO",IF(K3553&lt;0,"ATENÇÃO",IF(K3553&lt;=5,"OPORTUNO","MUITO BOM")))</f>
        <v>ATENÇÃO</v>
      </c>
      <c r="M3553">
        <v>18</v>
      </c>
      <c r="N3553">
        <v>98.2</v>
      </c>
      <c r="O3553">
        <v>27.170868347338931</v>
      </c>
    </row>
    <row r="3554" spans="1:15" hidden="1" x14ac:dyDescent="0.25">
      <c r="A3554" s="11">
        <v>46113</v>
      </c>
      <c r="B3554" t="s">
        <v>17</v>
      </c>
      <c r="C3554" t="s">
        <v>16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>E3554+G3554+H3554</f>
        <v>9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9</v>
      </c>
      <c r="K3554" s="3">
        <f>I3554-J3554</f>
        <v>0</v>
      </c>
      <c r="L3554" s="3" t="str">
        <f>IF(K3554&lt;-5,"CRÍTICO",IF(K3554&lt;0,"ATENÇÃO",IF(K3554&lt;=5,"OPORTUNO","MUITO BOM")))</f>
        <v>OPORTUNO</v>
      </c>
      <c r="M3554">
        <v>9</v>
      </c>
      <c r="N3554">
        <v>100</v>
      </c>
      <c r="O3554">
        <v>23.134328358208951</v>
      </c>
    </row>
    <row r="3555" spans="1:15" hidden="1" x14ac:dyDescent="0.25">
      <c r="A3555" s="11">
        <v>46113</v>
      </c>
      <c r="B3555" t="s">
        <v>60</v>
      </c>
      <c r="C3555" t="s">
        <v>23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>E3555+G3555+H3555</f>
        <v>26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21</v>
      </c>
      <c r="K3555" s="3">
        <f>I3555-J3555</f>
        <v>5</v>
      </c>
      <c r="L3555" s="3" t="str">
        <f>IF(K3555&lt;-5,"CRÍTICO",IF(K3555&lt;0,"ATENÇÃO",IF(K3555&lt;=5,"OPORTUNO","MUITO BOM")))</f>
        <v>OPORTUNO</v>
      </c>
      <c r="M3555">
        <v>26</v>
      </c>
      <c r="N3555">
        <v>96.3</v>
      </c>
      <c r="O3555">
        <v>32.219570405727922</v>
      </c>
    </row>
    <row r="3556" spans="1:15" hidden="1" x14ac:dyDescent="0.25">
      <c r="A3556" s="11">
        <v>46113</v>
      </c>
      <c r="B3556" t="s">
        <v>34</v>
      </c>
      <c r="C3556" t="s">
        <v>32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>E3556+G3556+H3556</f>
        <v>28</v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>32</v>
      </c>
      <c r="K3556" s="3">
        <f>I3556-J3556</f>
        <v>-4</v>
      </c>
      <c r="L3556" s="3" t="str">
        <f>IF(K3556&lt;-5,"CRÍTICO",IF(K3556&lt;0,"ATENÇÃO",IF(K3556&lt;=5,"OPORTUNO","MUITO BOM")))</f>
        <v>ATENÇÃO</v>
      </c>
      <c r="M3556">
        <v>25</v>
      </c>
      <c r="N3556">
        <v>93.75</v>
      </c>
      <c r="O3556">
        <v>26.819923371647509</v>
      </c>
    </row>
    <row r="3557" spans="1:15" hidden="1" x14ac:dyDescent="0.25">
      <c r="A3557" s="11">
        <v>46113</v>
      </c>
      <c r="B3557" t="s">
        <v>51</v>
      </c>
      <c r="C3557" t="s">
        <v>48</v>
      </c>
      <c r="D3557">
        <v>36</v>
      </c>
      <c r="E3557">
        <v>32</v>
      </c>
      <c r="F3557">
        <v>20.190000000000001</v>
      </c>
      <c r="G3557">
        <v>0</v>
      </c>
      <c r="H3557">
        <v>0</v>
      </c>
      <c r="I3557" s="3">
        <v>0</v>
      </c>
      <c r="J3557" s="3">
        <v>0</v>
      </c>
      <c r="K3557" s="3">
        <v>0</v>
      </c>
      <c r="L3557" s="3" t="str">
        <f>IF(K3557&lt;-5,"CRÍTICO",IF(K3557&lt;0,"ATENÇÃO",IF(K3557&lt;=5,"OPORTUNO","MUITO BOM")))</f>
        <v>OPORTUNO</v>
      </c>
      <c r="M3557">
        <v>28</v>
      </c>
      <c r="N3557">
        <v>97.86</v>
      </c>
      <c r="O3557">
        <v>31.018518518518519</v>
      </c>
    </row>
    <row r="3558" spans="1:15" hidden="1" x14ac:dyDescent="0.25">
      <c r="A3558" s="11">
        <v>46113</v>
      </c>
      <c r="B3558" t="s">
        <v>61</v>
      </c>
      <c r="C3558" t="s">
        <v>23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>E3558+G3558+H3558</f>
        <v>25</v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21</v>
      </c>
      <c r="K3558" s="3">
        <f>I3558-J3558</f>
        <v>4</v>
      </c>
      <c r="L3558" s="3" t="str">
        <f>IF(K3558&lt;-5,"CRÍTICO",IF(K3558&lt;0,"ATENÇÃO",IF(K3558&lt;=5,"OPORTUNO","MUITO BOM")))</f>
        <v>OPORTUNO</v>
      </c>
      <c r="M3558">
        <v>7</v>
      </c>
      <c r="N3558">
        <v>100</v>
      </c>
      <c r="O3558">
        <v>36.594202898550733</v>
      </c>
    </row>
    <row r="3559" spans="1:15" hidden="1" x14ac:dyDescent="0.25">
      <c r="A3559" s="11">
        <v>46113</v>
      </c>
      <c r="B3559" t="s">
        <v>35</v>
      </c>
      <c r="C3559" t="s">
        <v>32</v>
      </c>
      <c r="D3559">
        <v>26</v>
      </c>
      <c r="E3559">
        <v>25</v>
      </c>
      <c r="F3559">
        <v>22.07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>
        <v>25</v>
      </c>
      <c r="N3559">
        <v>100</v>
      </c>
      <c r="O3559">
        <v>38.653846153846153</v>
      </c>
    </row>
    <row r="3560" spans="1:15" hidden="1" x14ac:dyDescent="0.25">
      <c r="A3560" s="11">
        <v>46113</v>
      </c>
      <c r="B3560" t="s">
        <v>18</v>
      </c>
      <c r="C3560" t="s">
        <v>16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v>0</v>
      </c>
      <c r="J3560" s="3">
        <v>0</v>
      </c>
      <c r="K3560" s="3">
        <v>0</v>
      </c>
      <c r="L3560" s="3" t="str">
        <f>IF(K3560&lt;-5,"CRÍTICO",IF(K3560&lt;0,"ATENÇÃO",IF(K3560&lt;=5,"OPORTUNO","MUITO BOM")))</f>
        <v>OPORTUNO</v>
      </c>
      <c r="M3560">
        <v>0</v>
      </c>
      <c r="N3560">
        <v>100</v>
      </c>
      <c r="O3560">
        <v>27.368421052631579</v>
      </c>
    </row>
    <row r="3561" spans="1:15" hidden="1" x14ac:dyDescent="0.25">
      <c r="A3561" s="11">
        <v>46113</v>
      </c>
      <c r="B3561" t="s">
        <v>52</v>
      </c>
      <c r="C3561" t="s">
        <v>48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>E3561+G3561+H3561</f>
        <v>21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25</v>
      </c>
      <c r="K3561" s="3">
        <f>I3561-J3561</f>
        <v>-4</v>
      </c>
      <c r="L3561" s="3" t="str">
        <f>IF(K3561&lt;-5,"CRÍTICO",IF(K3561&lt;0,"ATENÇÃO",IF(K3561&lt;=5,"OPORTUNO","MUITO BOM")))</f>
        <v>ATENÇÃO</v>
      </c>
      <c r="M3561">
        <v>22</v>
      </c>
      <c r="N3561">
        <v>97.83</v>
      </c>
      <c r="O3561">
        <v>28.35164835164835</v>
      </c>
    </row>
    <row r="3562" spans="1:15" hidden="1" x14ac:dyDescent="0.25">
      <c r="A3562" s="11">
        <v>46113</v>
      </c>
      <c r="B3562" t="s">
        <v>36</v>
      </c>
      <c r="C3562" t="s">
        <v>32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>E3562+G3562+H3562</f>
        <v>25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32</v>
      </c>
      <c r="K3562" s="3">
        <f>I3562-J3562</f>
        <v>-7</v>
      </c>
      <c r="L3562" s="3" t="str">
        <f>IF(K3562&lt;-5,"CRÍTICO",IF(K3562&lt;0,"ATENÇÃO",IF(K3562&lt;=5,"OPORTUNO","MUITO BOM")))</f>
        <v>CRÍTICO</v>
      </c>
      <c r="M3562">
        <v>25</v>
      </c>
      <c r="N3562">
        <v>99.26</v>
      </c>
      <c r="O3562">
        <v>29.766536964980549</v>
      </c>
    </row>
    <row r="3563" spans="1:15" hidden="1" x14ac:dyDescent="0.25">
      <c r="A3563" s="11">
        <v>46113</v>
      </c>
      <c r="B3563" t="s">
        <v>53</v>
      </c>
      <c r="C3563" t="s">
        <v>48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>E3563+G3563+H3563</f>
        <v>35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25</v>
      </c>
      <c r="K3563" s="3">
        <f>I3563-J3563</f>
        <v>10</v>
      </c>
      <c r="L3563" s="3" t="str">
        <f>IF(K3563&lt;-5,"CRÍTICO",IF(K3563&lt;0,"ATENÇÃO",IF(K3563&lt;=5,"OPORTUNO","MUITO BOM")))</f>
        <v>MUITO BOM</v>
      </c>
      <c r="M3563">
        <v>37</v>
      </c>
      <c r="N3563">
        <v>99.19</v>
      </c>
      <c r="O3563">
        <v>29.462365591397852</v>
      </c>
    </row>
    <row r="3564" spans="1:15" hidden="1" x14ac:dyDescent="0.25">
      <c r="A3564" s="11">
        <v>46167</v>
      </c>
      <c r="B3564" t="s">
        <v>47</v>
      </c>
      <c r="C3564" t="s">
        <v>48</v>
      </c>
      <c r="D3564">
        <v>34</v>
      </c>
      <c r="E3564">
        <v>30</v>
      </c>
      <c r="F3564">
        <v>10.14</v>
      </c>
      <c r="G3564">
        <v>0</v>
      </c>
      <c r="H3564">
        <v>0</v>
      </c>
      <c r="I3564" s="3">
        <v>0</v>
      </c>
      <c r="J3564" s="3">
        <v>0</v>
      </c>
      <c r="K3564" s="3">
        <v>0</v>
      </c>
      <c r="L3564" s="3" t="str">
        <f>IF(K3564&lt;-5,"CRÍTICO",IF(K3564&lt;0,"ATENÇÃO",IF(K3564&lt;=5,"OPORTUNO","MUITO BOM")))</f>
        <v>OPORTUNO</v>
      </c>
      <c r="M3564">
        <v>23</v>
      </c>
      <c r="N3564">
        <v>99.18</v>
      </c>
      <c r="O3564">
        <v>24.501424501424498</v>
      </c>
    </row>
    <row r="3565" spans="1:15" hidden="1" x14ac:dyDescent="0.25">
      <c r="A3565" s="11">
        <v>46113</v>
      </c>
      <c r="B3565" t="s">
        <v>54</v>
      </c>
      <c r="C3565" t="s">
        <v>48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>E3565+G3565+H3565</f>
        <v>35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25</v>
      </c>
      <c r="K3565" s="3">
        <f>I3565-J3565</f>
        <v>10</v>
      </c>
      <c r="L3565" s="3" t="str">
        <f>IF(K3565&lt;-5,"CRÍTICO",IF(K3565&lt;0,"ATENÇÃO",IF(K3565&lt;=5,"OPORTUNO","MUITO BOM")))</f>
        <v>MUITO BOM</v>
      </c>
      <c r="M3565">
        <v>32</v>
      </c>
      <c r="N3565">
        <v>100</v>
      </c>
      <c r="O3565">
        <v>28.921568627450981</v>
      </c>
    </row>
    <row r="3566" spans="1:15" hidden="1" x14ac:dyDescent="0.25">
      <c r="A3566" s="11">
        <v>46113</v>
      </c>
      <c r="B3566" t="s">
        <v>37</v>
      </c>
      <c r="C3566" t="s">
        <v>32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>E3566+G3566+H3566</f>
        <v>41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9</v>
      </c>
      <c r="L3566" s="3" t="str">
        <f>IF(K3566&lt;-5,"CRÍTICO",IF(K3566&lt;0,"ATENÇÃO",IF(K3566&lt;=5,"OPORTUNO","MUITO BOM")))</f>
        <v>MUITO BOM</v>
      </c>
      <c r="M3566">
        <v>41</v>
      </c>
      <c r="N3566">
        <v>99.57</v>
      </c>
      <c r="O3566">
        <v>30.635838150289018</v>
      </c>
    </row>
    <row r="3567" spans="1:15" hidden="1" x14ac:dyDescent="0.25">
      <c r="A3567" s="11">
        <v>46113</v>
      </c>
      <c r="B3567" t="s">
        <v>38</v>
      </c>
      <c r="C3567" t="s">
        <v>32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>E3567+G3567+H3567</f>
        <v>2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32</v>
      </c>
      <c r="K3567" s="3">
        <f>I3567-J3567</f>
        <v>-30</v>
      </c>
      <c r="L3567" s="3" t="str">
        <f>IF(K3567&lt;-5,"CRÍTICO",IF(K3567&lt;0,"ATENÇÃO",IF(K3567&lt;=5,"OPORTUNO","MUITO BOM")))</f>
        <v>CRÍTICO</v>
      </c>
      <c r="M3567">
        <v>2</v>
      </c>
      <c r="N3567">
        <v>95.65</v>
      </c>
      <c r="O3567">
        <v>32.432432432432442</v>
      </c>
    </row>
    <row r="3568" spans="1:15" hidden="1" x14ac:dyDescent="0.25">
      <c r="A3568" s="11">
        <v>46113</v>
      </c>
      <c r="B3568" t="s">
        <v>55</v>
      </c>
      <c r="C3568" t="s">
        <v>48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>E3568+G3568+H3568</f>
        <v>25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25</v>
      </c>
      <c r="K3568" s="3">
        <f>I3568-J3568</f>
        <v>0</v>
      </c>
      <c r="L3568" s="3" t="str">
        <f>IF(K3568&lt;-5,"CRÍTICO",IF(K3568&lt;0,"ATENÇÃO",IF(K3568&lt;=5,"OPORTUNO","MUITO BOM")))</f>
        <v>OPORTUNO</v>
      </c>
      <c r="M3568">
        <v>26</v>
      </c>
      <c r="N3568">
        <v>98.81</v>
      </c>
      <c r="O3568">
        <v>26.256983240223459</v>
      </c>
    </row>
    <row r="3569" spans="1:15" hidden="1" x14ac:dyDescent="0.25">
      <c r="A3569" s="11">
        <v>46113</v>
      </c>
      <c r="B3569" t="s">
        <v>39</v>
      </c>
      <c r="C3569" t="s">
        <v>32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v>0</v>
      </c>
      <c r="J3569" s="3">
        <v>0</v>
      </c>
      <c r="K3569" s="3">
        <v>0</v>
      </c>
      <c r="L3569" s="3" t="str">
        <f>IF(K3569&lt;-5,"CRÍTICO",IF(K3569&lt;0,"ATENÇÃO",IF(K3569&lt;=5,"OPORTUNO","MUITO BOM")))</f>
        <v>OPORTUNO</v>
      </c>
      <c r="M3569">
        <v>0</v>
      </c>
      <c r="N3569">
        <v>0</v>
      </c>
      <c r="O3569">
        <v>0</v>
      </c>
    </row>
    <row r="3570" spans="1:15" hidden="1" x14ac:dyDescent="0.25">
      <c r="A3570" s="11">
        <v>46113</v>
      </c>
      <c r="B3570" t="s">
        <v>25</v>
      </c>
      <c r="C3570" t="s">
        <v>26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>E3570+G3570+H3570</f>
        <v>18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18</v>
      </c>
      <c r="K3570" s="3">
        <f>I3570-J3570</f>
        <v>0</v>
      </c>
      <c r="L3570" s="3" t="str">
        <f>IF(K3570&lt;-5,"CRÍTICO",IF(K3570&lt;0,"ATENÇÃO",IF(K3570&lt;=5,"OPORTUNO","MUITO BOM")))</f>
        <v>OPORTUNO</v>
      </c>
      <c r="M3570">
        <v>19</v>
      </c>
      <c r="N3570">
        <v>97.17</v>
      </c>
      <c r="O3570">
        <v>28.81844380403458</v>
      </c>
    </row>
    <row r="3571" spans="1:15" hidden="1" x14ac:dyDescent="0.25">
      <c r="A3571" s="11">
        <v>46113</v>
      </c>
      <c r="B3571" t="s">
        <v>40</v>
      </c>
      <c r="C3571" t="s">
        <v>32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>E3571+G3571+H3571</f>
        <v>19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32</v>
      </c>
      <c r="K3571" s="3">
        <f>I3571-J3571</f>
        <v>-13</v>
      </c>
      <c r="L3571" s="3" t="str">
        <f>IF(K3571&lt;-5,"CRÍTICO",IF(K3571&lt;0,"ATENÇÃO",IF(K3571&lt;=5,"OPORTUNO","MUITO BOM")))</f>
        <v>CRÍTICO</v>
      </c>
      <c r="M3571">
        <v>19</v>
      </c>
      <c r="N3571">
        <v>96.81</v>
      </c>
      <c r="O3571">
        <v>48.018648018648022</v>
      </c>
    </row>
    <row r="3572" spans="1:15" hidden="1" x14ac:dyDescent="0.25">
      <c r="A3572" s="11">
        <v>46113</v>
      </c>
      <c r="B3572" t="s">
        <v>27</v>
      </c>
      <c r="C3572" t="s">
        <v>26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>E3572+G3572+H3572</f>
        <v>14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18</v>
      </c>
      <c r="K3572" s="3">
        <f>I3572-J3572</f>
        <v>-4</v>
      </c>
      <c r="L3572" s="3" t="str">
        <f>IF(K3572&lt;-5,"CRÍTICO",IF(K3572&lt;0,"ATENÇÃO",IF(K3572&lt;=5,"OPORTUNO","MUITO BOM")))</f>
        <v>ATENÇÃO</v>
      </c>
      <c r="M3572">
        <v>11</v>
      </c>
      <c r="N3572">
        <v>98.15</v>
      </c>
      <c r="O3572">
        <v>27.1551724137931</v>
      </c>
    </row>
    <row r="3573" spans="1:15" hidden="1" x14ac:dyDescent="0.25">
      <c r="A3573" s="11">
        <v>46113</v>
      </c>
      <c r="B3573" t="s">
        <v>41</v>
      </c>
      <c r="C3573" t="s">
        <v>32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32</v>
      </c>
      <c r="K3573" s="3">
        <f>I3573-J3573</f>
        <v>-8</v>
      </c>
      <c r="L3573" s="3" t="str">
        <f>IF(K3573&lt;-5,"CRÍTICO",IF(K3573&lt;0,"ATENÇÃO",IF(K3573&lt;=5,"OPORTUNO","MUITO BOM")))</f>
        <v>CRÍTICO</v>
      </c>
      <c r="M3573">
        <v>21</v>
      </c>
      <c r="N3573">
        <v>99.15</v>
      </c>
      <c r="O3573">
        <v>27.586206896551719</v>
      </c>
    </row>
    <row r="3574" spans="1:15" hidden="1" x14ac:dyDescent="0.25">
      <c r="A3574" s="11">
        <v>46113</v>
      </c>
      <c r="B3574" t="s">
        <v>56</v>
      </c>
      <c r="C3574" t="s">
        <v>48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25</v>
      </c>
      <c r="K3574" s="3">
        <f>I3574-J3574</f>
        <v>-1</v>
      </c>
      <c r="L3574" s="3" t="str">
        <f>IF(K3574&lt;-5,"CRÍTICO",IF(K3574&lt;0,"ATENÇÃO",IF(K3574&lt;=5,"OPORTUNO","MUITO BOM")))</f>
        <v>ATENÇÃO</v>
      </c>
      <c r="M3574">
        <v>23</v>
      </c>
      <c r="N3574">
        <v>99.17</v>
      </c>
      <c r="O3574">
        <v>29.75206611570248</v>
      </c>
    </row>
    <row r="3575" spans="1:15" hidden="1" x14ac:dyDescent="0.25">
      <c r="A3575" s="11">
        <v>46113</v>
      </c>
      <c r="B3575" t="s">
        <v>57</v>
      </c>
      <c r="C3575" t="s">
        <v>48</v>
      </c>
      <c r="D3575">
        <v>35</v>
      </c>
      <c r="E3575">
        <v>34</v>
      </c>
      <c r="F3575">
        <v>15.59</v>
      </c>
      <c r="G3575">
        <v>0</v>
      </c>
      <c r="H3575">
        <v>0</v>
      </c>
      <c r="I3575" s="3">
        <v>0</v>
      </c>
      <c r="J3575" s="3">
        <v>0</v>
      </c>
      <c r="K3575" s="3">
        <v>0</v>
      </c>
      <c r="L3575" s="3" t="str">
        <f>IF(K3575&lt;-5,"CRÍTICO",IF(K3575&lt;0,"ATENÇÃO",IF(K3575&lt;=5,"OPORTUNO","MUITO BOM")))</f>
        <v>OPORTUNO</v>
      </c>
      <c r="M3575">
        <v>33</v>
      </c>
      <c r="N3575">
        <v>98.73</v>
      </c>
      <c r="O3575">
        <v>28.961748633879779</v>
      </c>
    </row>
    <row r="3576" spans="1:15" hidden="1" x14ac:dyDescent="0.25">
      <c r="A3576" s="11">
        <v>46113</v>
      </c>
      <c r="B3576" t="s">
        <v>42</v>
      </c>
      <c r="C3576" t="s">
        <v>32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>E3576+G3576+H3576</f>
        <v>48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32</v>
      </c>
      <c r="K3576" s="3">
        <f>I3576-J3576</f>
        <v>16</v>
      </c>
      <c r="L3576" s="3" t="str">
        <f>IF(K3576&lt;-5,"CRÍTICO",IF(K3576&lt;0,"ATENÇÃO",IF(K3576&lt;=5,"OPORTUNO","MUITO BOM")))</f>
        <v>MUITO BOM</v>
      </c>
      <c r="M3576">
        <v>39</v>
      </c>
      <c r="N3576">
        <v>88.68</v>
      </c>
      <c r="O3576">
        <v>22.03389830508474</v>
      </c>
    </row>
    <row r="3577" spans="1:15" hidden="1" x14ac:dyDescent="0.25">
      <c r="A3577" s="11">
        <v>46113</v>
      </c>
      <c r="B3577" t="s">
        <v>62</v>
      </c>
      <c r="C3577" t="s">
        <v>23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>E3577+G3577+H3577</f>
        <v>24</v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21</v>
      </c>
      <c r="K3577" s="3">
        <f>I3577-J3577</f>
        <v>3</v>
      </c>
      <c r="L3577" s="3" t="str">
        <f>IF(K3577&lt;-5,"CRÍTICO",IF(K3577&lt;0,"ATENÇÃO",IF(K3577&lt;=5,"OPORTUNO","MUITO BOM")))</f>
        <v>OPORTUNO</v>
      </c>
      <c r="M3577">
        <v>27</v>
      </c>
      <c r="N3577">
        <v>97.37</v>
      </c>
      <c r="O3577">
        <v>25.76530612244898</v>
      </c>
    </row>
    <row r="3578" spans="1:15" hidden="1" x14ac:dyDescent="0.25">
      <c r="A3578" s="11">
        <v>46113</v>
      </c>
      <c r="B3578" t="s">
        <v>19</v>
      </c>
      <c r="C3578" t="s">
        <v>16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v>0</v>
      </c>
      <c r="J3578" s="3">
        <v>0</v>
      </c>
      <c r="K3578" s="3">
        <v>0</v>
      </c>
      <c r="L3578" s="3" t="str">
        <f>IF(K3578&lt;-5,"CRÍTICO",IF(K3578&lt;0,"ATENÇÃO",IF(K3578&lt;=5,"OPORTUNO","MUITO BOM")))</f>
        <v>OPORTUNO</v>
      </c>
      <c r="M3578">
        <v>0</v>
      </c>
      <c r="N3578">
        <v>100</v>
      </c>
      <c r="O3578">
        <v>25</v>
      </c>
    </row>
    <row r="3579" spans="1:15" hidden="1" x14ac:dyDescent="0.25">
      <c r="A3579" s="11">
        <v>46113</v>
      </c>
      <c r="B3579" t="s">
        <v>43</v>
      </c>
      <c r="C3579" t="s">
        <v>32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>E3579+G3579+H3579</f>
        <v>48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16</v>
      </c>
      <c r="L3579" s="3" t="str">
        <f>IF(K3579&lt;-5,"CRÍTICO",IF(K3579&lt;0,"ATENÇÃO",IF(K3579&lt;=5,"OPORTUNO","MUITO BOM")))</f>
        <v>MUITO BOM</v>
      </c>
      <c r="M3579">
        <v>47</v>
      </c>
      <c r="N3579">
        <v>100</v>
      </c>
      <c r="O3579">
        <v>23.9870340356564</v>
      </c>
    </row>
    <row r="3580" spans="1:15" hidden="1" x14ac:dyDescent="0.25">
      <c r="A3580" s="11">
        <v>46113</v>
      </c>
      <c r="B3580" t="s">
        <v>44</v>
      </c>
      <c r="C3580" t="s">
        <v>32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>E3580+G3580+H3580</f>
        <v>31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32</v>
      </c>
      <c r="K3580" s="3">
        <f>I3580-J3580</f>
        <v>-1</v>
      </c>
      <c r="L3580" s="3" t="str">
        <f>IF(K3580&lt;-5,"CRÍTICO",IF(K3580&lt;0,"ATENÇÃO",IF(K3580&lt;=5,"OPORTUNO","MUITO BOM")))</f>
        <v>ATENÇÃO</v>
      </c>
      <c r="M3580">
        <v>25</v>
      </c>
      <c r="N3580">
        <v>95.49</v>
      </c>
      <c r="O3580">
        <v>28.370221327967808</v>
      </c>
    </row>
    <row r="3581" spans="1:15" hidden="1" x14ac:dyDescent="0.25">
      <c r="A3581" s="11">
        <v>46113</v>
      </c>
      <c r="B3581" t="s">
        <v>20</v>
      </c>
      <c r="C3581" t="s">
        <v>16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>E3581+G3581+H3581</f>
        <v>16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9</v>
      </c>
      <c r="K3581" s="3">
        <f>I3581-J3581</f>
        <v>7</v>
      </c>
      <c r="L3581" s="3" t="str">
        <f>IF(K3581&lt;-5,"CRÍTICO",IF(K3581&lt;0,"ATENÇÃO",IF(K3581&lt;=5,"OPORTUNO","MUITO BOM")))</f>
        <v>MUITO BOM</v>
      </c>
      <c r="M3581">
        <v>9</v>
      </c>
      <c r="N3581">
        <v>100</v>
      </c>
      <c r="O3581">
        <v>23.77622377622378</v>
      </c>
    </row>
    <row r="3582" spans="1:15" hidden="1" x14ac:dyDescent="0.25">
      <c r="A3582" s="11">
        <v>46113</v>
      </c>
      <c r="B3582" t="s">
        <v>28</v>
      </c>
      <c r="C3582" t="s">
        <v>26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>E3582+G3582+H3582</f>
        <v>23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18</v>
      </c>
      <c r="K3582" s="3">
        <f>I3582-J3582</f>
        <v>5</v>
      </c>
      <c r="L3582" s="3" t="str">
        <f>IF(K3582&lt;-5,"CRÍTICO",IF(K3582&lt;0,"ATENÇÃO",IF(K3582&lt;=5,"OPORTUNO","MUITO BOM")))</f>
        <v>OPORTUNO</v>
      </c>
      <c r="M3582">
        <v>11</v>
      </c>
      <c r="N3582">
        <v>96.15</v>
      </c>
      <c r="O3582">
        <v>24.045801526717561</v>
      </c>
    </row>
    <row r="3583" spans="1:15" hidden="1" x14ac:dyDescent="0.25">
      <c r="A3583" s="11">
        <v>46113</v>
      </c>
      <c r="B3583" t="s">
        <v>58</v>
      </c>
      <c r="C3583" t="s">
        <v>48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25</v>
      </c>
      <c r="K3583" s="3">
        <f>I3583-J3583</f>
        <v>-4</v>
      </c>
      <c r="L3583" s="3" t="str">
        <f>IF(K3583&lt;-5,"CRÍTICO",IF(K3583&lt;0,"ATENÇÃO",IF(K3583&lt;=5,"OPORTUNO","MUITO BOM")))</f>
        <v>ATENÇÃO</v>
      </c>
      <c r="M3583">
        <v>19</v>
      </c>
      <c r="N3583">
        <v>99.02</v>
      </c>
      <c r="O3583">
        <v>34.797297297297298</v>
      </c>
    </row>
    <row r="3584" spans="1:15" hidden="1" x14ac:dyDescent="0.25">
      <c r="A3584" s="11">
        <v>46113</v>
      </c>
      <c r="B3584" t="s">
        <v>29</v>
      </c>
      <c r="C3584" t="s">
        <v>26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>E3584+G3584+H3584</f>
        <v>21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3</v>
      </c>
      <c r="L3584" s="3" t="str">
        <f>IF(K3584&lt;-5,"CRÍTICO",IF(K3584&lt;0,"ATENÇÃO",IF(K3584&lt;=5,"OPORTUNO","MUITO BOM")))</f>
        <v>OPORTUNO</v>
      </c>
      <c r="M3584">
        <v>16</v>
      </c>
      <c r="N3584">
        <v>98.84</v>
      </c>
      <c r="O3584">
        <v>31.868131868131869</v>
      </c>
    </row>
    <row r="3585" spans="1:15" hidden="1" x14ac:dyDescent="0.25">
      <c r="A3585" s="11">
        <v>46113</v>
      </c>
      <c r="B3585" t="s">
        <v>30</v>
      </c>
      <c r="C3585" t="s">
        <v>26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>E3585+G3585+H3585</f>
        <v>19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18</v>
      </c>
      <c r="K3585" s="3">
        <f>I3585-J3585</f>
        <v>1</v>
      </c>
      <c r="L3585" s="3" t="str">
        <f>IF(K3585&lt;-5,"CRÍTICO",IF(K3585&lt;0,"ATENÇÃO",IF(K3585&lt;=5,"OPORTUNO","MUITO BOM")))</f>
        <v>OPORTUNO</v>
      </c>
      <c r="M3585">
        <v>18</v>
      </c>
      <c r="N3585">
        <v>100</v>
      </c>
      <c r="O3585">
        <v>34.666666666666671</v>
      </c>
    </row>
    <row r="3586" spans="1:15" hidden="1" x14ac:dyDescent="0.25">
      <c r="A3586" s="11">
        <v>46113</v>
      </c>
      <c r="B3586" t="s">
        <v>21</v>
      </c>
      <c r="C3586" t="s">
        <v>16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>E3586+G3586+H3586</f>
        <v>10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9</v>
      </c>
      <c r="K3586" s="3">
        <f>I3586-J3586</f>
        <v>1</v>
      </c>
      <c r="L3586" s="3" t="str">
        <f>IF(K3586&lt;-5,"CRÍTICO",IF(K3586&lt;0,"ATENÇÃO",IF(K3586&lt;=5,"OPORTUNO","MUITO BOM")))</f>
        <v>OPORTUNO</v>
      </c>
      <c r="M3586">
        <v>9</v>
      </c>
      <c r="N3586">
        <v>94.12</v>
      </c>
      <c r="O3586">
        <v>32.799999999999997</v>
      </c>
    </row>
    <row r="3587" spans="1:15" hidden="1" x14ac:dyDescent="0.25">
      <c r="A3587" s="11">
        <v>46113</v>
      </c>
      <c r="B3587" t="s">
        <v>63</v>
      </c>
      <c r="C3587" t="s">
        <v>23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>E3587+G3587+H3587</f>
        <v>32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21</v>
      </c>
      <c r="K3587" s="3">
        <f>I3587-J3587</f>
        <v>11</v>
      </c>
      <c r="L3587" s="3" t="str">
        <f>IF(K3587&lt;-5,"CRÍTICO",IF(K3587&lt;0,"ATENÇÃO",IF(K3587&lt;=5,"OPORTUNO","MUITO BOM")))</f>
        <v>MUITO BOM</v>
      </c>
      <c r="M3587">
        <v>28</v>
      </c>
      <c r="N3587">
        <v>98.32</v>
      </c>
      <c r="O3587">
        <v>26.858513189448441</v>
      </c>
    </row>
    <row r="3588" spans="1:15" hidden="1" x14ac:dyDescent="0.25">
      <c r="A3588" s="11">
        <v>46113</v>
      </c>
      <c r="B3588" t="s">
        <v>45</v>
      </c>
      <c r="C3588" t="s">
        <v>32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>E3588+G3588+H3588</f>
        <v>42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32</v>
      </c>
      <c r="K3588" s="3">
        <f>I3588-J3588</f>
        <v>10</v>
      </c>
      <c r="L3588" s="3" t="str">
        <f>IF(K3588&lt;-5,"CRÍTICO",IF(K3588&lt;0,"ATENÇÃO",IF(K3588&lt;=5,"OPORTUNO","MUITO BOM")))</f>
        <v>MUITO BOM</v>
      </c>
      <c r="M3588">
        <v>37</v>
      </c>
      <c r="N3588">
        <v>100</v>
      </c>
      <c r="O3588">
        <v>31.135531135531139</v>
      </c>
    </row>
    <row r="3589" spans="1:15" hidden="1" x14ac:dyDescent="0.25">
      <c r="A3589" s="11">
        <v>46113</v>
      </c>
      <c r="B3589" t="s">
        <v>64</v>
      </c>
      <c r="C3589" t="s">
        <v>23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>E3589+G3589+H3589</f>
        <v>24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21</v>
      </c>
      <c r="K3589" s="3">
        <f>I3589-J3589</f>
        <v>3</v>
      </c>
      <c r="L3589" s="3" t="str">
        <f>IF(K3589&lt;-5,"CRÍTICO",IF(K3589&lt;0,"ATENÇÃO",IF(K3589&lt;=5,"OPORTUNO","MUITO BOM")))</f>
        <v>OPORTUNO</v>
      </c>
      <c r="M3589">
        <v>26</v>
      </c>
      <c r="N3589">
        <v>100</v>
      </c>
      <c r="O3589">
        <v>26.36986301369863</v>
      </c>
    </row>
    <row r="3590" spans="1:15" hidden="1" x14ac:dyDescent="0.25">
      <c r="A3590" s="11">
        <v>46113</v>
      </c>
      <c r="B3590" t="s">
        <v>46</v>
      </c>
      <c r="C3590" t="s">
        <v>32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>E3590+G3590+H3590</f>
        <v>31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32</v>
      </c>
      <c r="K3590" s="3">
        <f>I3590-J3590</f>
        <v>-1</v>
      </c>
      <c r="L3590" s="3" t="str">
        <f>IF(K3590&lt;-5,"CRÍTICO",IF(K3590&lt;0,"ATENÇÃO",IF(K3590&lt;=5,"OPORTUNO","MUITO BOM")))</f>
        <v>ATENÇÃO</v>
      </c>
      <c r="M3590">
        <v>31</v>
      </c>
      <c r="N3590">
        <v>99.21</v>
      </c>
      <c r="O3590">
        <v>25.188916876574311</v>
      </c>
    </row>
    <row r="3591" spans="1:15" hidden="1" x14ac:dyDescent="0.25">
      <c r="A3591" s="11">
        <v>46114</v>
      </c>
      <c r="B3591" t="s">
        <v>47</v>
      </c>
      <c r="C3591" t="s">
        <v>48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>E3591+G3591+H3591</f>
        <v>8</v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>27</v>
      </c>
      <c r="K3591" s="3">
        <f>I3591-J3591</f>
        <v>-19</v>
      </c>
      <c r="L3591" s="3" t="str">
        <f>IF(K3591&lt;-5,"CRÍTICO",IF(K3591&lt;0,"ATENÇÃO",IF(K3591&lt;=5,"OPORTUNO","MUITO BOM")))</f>
        <v>CRÍTICO</v>
      </c>
      <c r="M3591">
        <v>4</v>
      </c>
      <c r="N3591">
        <v>100</v>
      </c>
      <c r="O3591">
        <v>32.764505119453922</v>
      </c>
    </row>
    <row r="3592" spans="1:15" hidden="1" x14ac:dyDescent="0.25">
      <c r="A3592" s="11">
        <v>46114</v>
      </c>
      <c r="B3592" t="s">
        <v>31</v>
      </c>
      <c r="C3592" t="s">
        <v>32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v>0</v>
      </c>
      <c r="J3592" s="3">
        <v>0</v>
      </c>
      <c r="K3592" s="3">
        <v>0</v>
      </c>
      <c r="L3592" s="3" t="str">
        <f>IF(K3592&lt;-5,"CRÍTICO",IF(K3592&lt;0,"ATENÇÃO",IF(K3592&lt;=5,"OPORTUNO","MUITO BOM")))</f>
        <v>OPORTUNO</v>
      </c>
      <c r="M3592">
        <v>31</v>
      </c>
      <c r="N3592">
        <v>98.66</v>
      </c>
      <c r="O3592">
        <v>35.416666666666671</v>
      </c>
    </row>
    <row r="3593" spans="1:15" hidden="1" x14ac:dyDescent="0.25">
      <c r="A3593" s="11">
        <v>46114</v>
      </c>
      <c r="B3593" t="s">
        <v>59</v>
      </c>
      <c r="C3593" t="s">
        <v>23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>E3593+G3593+H3593</f>
        <v>35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22</v>
      </c>
      <c r="K3593" s="3">
        <f>I3593-J3593</f>
        <v>13</v>
      </c>
      <c r="L3593" s="3" t="str">
        <f>IF(K3593&lt;-5,"CRÍTICO",IF(K3593&lt;0,"ATENÇÃO",IF(K3593&lt;=5,"OPORTUNO","MUITO BOM")))</f>
        <v>MUITO BOM</v>
      </c>
      <c r="M3593">
        <v>31</v>
      </c>
      <c r="N3593">
        <v>99.32</v>
      </c>
      <c r="O3593">
        <v>30.648330058939099</v>
      </c>
    </row>
    <row r="3594" spans="1:15" hidden="1" x14ac:dyDescent="0.25">
      <c r="A3594" s="11">
        <v>46114</v>
      </c>
      <c r="B3594" t="s">
        <v>33</v>
      </c>
      <c r="C3594" t="s">
        <v>32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>E3594+G3594+H3594</f>
        <v>28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34</v>
      </c>
      <c r="K3594" s="3">
        <f>I3594-J3594</f>
        <v>-6</v>
      </c>
      <c r="L3594" s="3" t="str">
        <f>IF(K3594&lt;-5,"CRÍTICO",IF(K3594&lt;0,"ATENÇÃO",IF(K3594&lt;=5,"OPORTUNO","MUITO BOM")))</f>
        <v>CRÍTICO</v>
      </c>
      <c r="M3594">
        <v>32</v>
      </c>
      <c r="N3594">
        <v>100</v>
      </c>
      <c r="O3594">
        <v>27.803738317757009</v>
      </c>
    </row>
    <row r="3595" spans="1:15" hidden="1" x14ac:dyDescent="0.25">
      <c r="A3595" s="11">
        <v>46114</v>
      </c>
      <c r="B3595" t="s">
        <v>15</v>
      </c>
      <c r="C3595" t="s">
        <v>16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>E3595+G3595+H3595</f>
        <v>13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10</v>
      </c>
      <c r="K3595" s="3">
        <f>I3595-J3595</f>
        <v>3</v>
      </c>
      <c r="L3595" s="3" t="str">
        <f>IF(K3595&lt;-5,"CRÍTICO",IF(K3595&lt;0,"ATENÇÃO",IF(K3595&lt;=5,"OPORTUNO","MUITO BOM")))</f>
        <v>OPORTUNO</v>
      </c>
      <c r="M3595">
        <v>12</v>
      </c>
      <c r="N3595">
        <v>96.74</v>
      </c>
      <c r="O3595">
        <v>28.67647058823529</v>
      </c>
    </row>
    <row r="3596" spans="1:15" hidden="1" x14ac:dyDescent="0.25">
      <c r="A3596" s="11">
        <v>46114</v>
      </c>
      <c r="B3596" t="s">
        <v>49</v>
      </c>
      <c r="C3596" t="s">
        <v>48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>E3596+G3596+H3596</f>
        <v>31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4</v>
      </c>
      <c r="L3596" s="3" t="str">
        <f>IF(K3596&lt;-5,"CRÍTICO",IF(K3596&lt;0,"ATENÇÃO",IF(K3596&lt;=5,"OPORTUNO","MUITO BOM")))</f>
        <v>OPORTUNO</v>
      </c>
      <c r="M3596">
        <v>37</v>
      </c>
      <c r="N3596">
        <v>98.82</v>
      </c>
      <c r="O3596">
        <v>30.741410488245929</v>
      </c>
    </row>
    <row r="3597" spans="1:15" hidden="1" x14ac:dyDescent="0.25">
      <c r="A3597" s="11">
        <v>46114</v>
      </c>
      <c r="B3597" t="s">
        <v>50</v>
      </c>
      <c r="C3597" t="s">
        <v>48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>E3597+G3597+H3597</f>
        <v>28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27</v>
      </c>
      <c r="K3597" s="3">
        <f>I3597-J3597</f>
        <v>1</v>
      </c>
      <c r="L3597" s="3" t="str">
        <f>IF(K3597&lt;-5,"CRÍTICO",IF(K3597&lt;0,"ATENÇÃO",IF(K3597&lt;=5,"OPORTUNO","MUITO BOM")))</f>
        <v>OPORTUNO</v>
      </c>
      <c r="M3597">
        <v>27</v>
      </c>
      <c r="N3597">
        <v>98.2</v>
      </c>
      <c r="O3597">
        <v>27.170868347338931</v>
      </c>
    </row>
    <row r="3598" spans="1:15" hidden="1" x14ac:dyDescent="0.25">
      <c r="A3598" s="11">
        <v>46114</v>
      </c>
      <c r="B3598" t="s">
        <v>17</v>
      </c>
      <c r="C3598" t="s">
        <v>16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>E3598+G3598+H3598</f>
        <v>10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10</v>
      </c>
      <c r="K3598" s="3">
        <f>I3598-J3598</f>
        <v>0</v>
      </c>
      <c r="L3598" s="3" t="str">
        <f>IF(K3598&lt;-5,"CRÍTICO",IF(K3598&lt;0,"ATENÇÃO",IF(K3598&lt;=5,"OPORTUNO","MUITO BOM")))</f>
        <v>OPORTUNO</v>
      </c>
      <c r="M3598">
        <v>10</v>
      </c>
      <c r="N3598">
        <v>100</v>
      </c>
      <c r="O3598">
        <v>23.134328358208951</v>
      </c>
    </row>
    <row r="3599" spans="1:15" hidden="1" x14ac:dyDescent="0.25">
      <c r="A3599" s="11">
        <v>46114</v>
      </c>
      <c r="B3599" t="s">
        <v>60</v>
      </c>
      <c r="C3599" t="s">
        <v>23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>E3599+G3599+H3599</f>
        <v>21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22</v>
      </c>
      <c r="K3599" s="3">
        <f>I3599-J3599</f>
        <v>-1</v>
      </c>
      <c r="L3599" s="3" t="str">
        <f>IF(K3599&lt;-5,"CRÍTICO",IF(K3599&lt;0,"ATENÇÃO",IF(K3599&lt;=5,"OPORTUNO","MUITO BOM")))</f>
        <v>ATENÇÃO</v>
      </c>
      <c r="M3599">
        <v>25</v>
      </c>
      <c r="N3599">
        <v>96.3</v>
      </c>
      <c r="O3599">
        <v>32.219570405727922</v>
      </c>
    </row>
    <row r="3600" spans="1:15" hidden="1" x14ac:dyDescent="0.25">
      <c r="A3600" s="11">
        <v>46114</v>
      </c>
      <c r="B3600" t="s">
        <v>34</v>
      </c>
      <c r="C3600" t="s">
        <v>32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>E3600+G3600+H3600</f>
        <v>42</v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>34</v>
      </c>
      <c r="K3600" s="3">
        <f>I3600-J3600</f>
        <v>8</v>
      </c>
      <c r="L3600" s="3" t="str">
        <f>IF(K3600&lt;-5,"CRÍTICO",IF(K3600&lt;0,"ATENÇÃO",IF(K3600&lt;=5,"OPORTUNO","MUITO BOM")))</f>
        <v>MUITO BOM</v>
      </c>
      <c r="M3600">
        <v>33</v>
      </c>
      <c r="N3600">
        <v>93.75</v>
      </c>
      <c r="O3600">
        <v>26.819923371647509</v>
      </c>
    </row>
    <row r="3601" spans="1:15" hidden="1" x14ac:dyDescent="0.25">
      <c r="A3601" s="11">
        <v>46114</v>
      </c>
      <c r="B3601" t="s">
        <v>51</v>
      </c>
      <c r="C3601" t="s">
        <v>48</v>
      </c>
      <c r="D3601">
        <v>25</v>
      </c>
      <c r="E3601">
        <v>21</v>
      </c>
      <c r="F3601">
        <v>23.35</v>
      </c>
      <c r="G3601">
        <v>0</v>
      </c>
      <c r="H3601">
        <v>0</v>
      </c>
      <c r="I3601" s="3">
        <v>0</v>
      </c>
      <c r="J3601" s="3">
        <v>0</v>
      </c>
      <c r="K3601" s="3">
        <v>0</v>
      </c>
      <c r="L3601" s="3" t="str">
        <f>IF(K3601&lt;-5,"CRÍTICO",IF(K3601&lt;0,"ATENÇÃO",IF(K3601&lt;=5,"OPORTUNO","MUITO BOM")))</f>
        <v>OPORTUNO</v>
      </c>
      <c r="M3601">
        <v>21</v>
      </c>
      <c r="N3601">
        <v>97.86</v>
      </c>
      <c r="O3601">
        <v>31.018518518518519</v>
      </c>
    </row>
    <row r="3602" spans="1:15" hidden="1" x14ac:dyDescent="0.25">
      <c r="A3602" s="11">
        <v>46114</v>
      </c>
      <c r="B3602" t="s">
        <v>61</v>
      </c>
      <c r="C3602" t="s">
        <v>23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>E3602+G3602+H3602</f>
        <v>18</v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>22</v>
      </c>
      <c r="K3602" s="3">
        <f>I3602-J3602</f>
        <v>-4</v>
      </c>
      <c r="L3602" s="3" t="str">
        <f>IF(K3602&lt;-5,"CRÍTICO",IF(K3602&lt;0,"ATENÇÃO",IF(K3602&lt;=5,"OPORTUNO","MUITO BOM")))</f>
        <v>ATENÇÃO</v>
      </c>
      <c r="M3602">
        <v>6</v>
      </c>
      <c r="N3602">
        <v>100</v>
      </c>
      <c r="O3602">
        <v>36.594202898550733</v>
      </c>
    </row>
    <row r="3603" spans="1:15" hidden="1" x14ac:dyDescent="0.25">
      <c r="A3603" s="11">
        <v>46114</v>
      </c>
      <c r="B3603" t="s">
        <v>35</v>
      </c>
      <c r="C3603" t="s">
        <v>32</v>
      </c>
      <c r="D3603">
        <v>35</v>
      </c>
      <c r="E3603">
        <v>33</v>
      </c>
      <c r="F3603">
        <v>18.2</v>
      </c>
      <c r="G3603">
        <v>0</v>
      </c>
      <c r="H3603">
        <v>0</v>
      </c>
      <c r="I3603" s="3">
        <v>0</v>
      </c>
      <c r="J3603" s="3">
        <v>0</v>
      </c>
      <c r="K3603" s="3">
        <v>0</v>
      </c>
      <c r="L3603" s="3" t="str">
        <f>IF(K3603&lt;-5,"CRÍTICO",IF(K3603&lt;0,"ATENÇÃO",IF(K3603&lt;=5,"OPORTUNO","MUITO BOM")))</f>
        <v>OPORTUNO</v>
      </c>
      <c r="M3603">
        <v>33</v>
      </c>
      <c r="N3603">
        <v>100</v>
      </c>
      <c r="O3603">
        <v>38.653846153846153</v>
      </c>
    </row>
    <row r="3604" spans="1:15" hidden="1" x14ac:dyDescent="0.25">
      <c r="A3604" s="11">
        <v>46114</v>
      </c>
      <c r="B3604" t="s">
        <v>18</v>
      </c>
      <c r="C3604" t="s">
        <v>16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>E3604+G3604+H3604</f>
        <v>6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10</v>
      </c>
      <c r="K3604" s="3">
        <f>I3604-J3604</f>
        <v>-4</v>
      </c>
      <c r="L3604" s="3" t="str">
        <f>IF(K3604&lt;-5,"CRÍTICO",IF(K3604&lt;0,"ATENÇÃO",IF(K3604&lt;=5,"OPORTUNO","MUITO BOM")))</f>
        <v>ATENÇÃO</v>
      </c>
      <c r="M3604">
        <v>5</v>
      </c>
      <c r="N3604">
        <v>100</v>
      </c>
      <c r="O3604">
        <v>27.368421052631579</v>
      </c>
    </row>
    <row r="3605" spans="1:15" hidden="1" x14ac:dyDescent="0.25">
      <c r="A3605" s="11">
        <v>46114</v>
      </c>
      <c r="B3605" t="s">
        <v>52</v>
      </c>
      <c r="C3605" t="s">
        <v>48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>E3605+G3605+H3605</f>
        <v>31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27</v>
      </c>
      <c r="K3605" s="3">
        <f>I3605-J3605</f>
        <v>4</v>
      </c>
      <c r="L3605" s="3" t="str">
        <f>IF(K3605&lt;-5,"CRÍTICO",IF(K3605&lt;0,"ATENÇÃO",IF(K3605&lt;=5,"OPORTUNO","MUITO BOM")))</f>
        <v>OPORTUNO</v>
      </c>
      <c r="M3605">
        <v>24</v>
      </c>
      <c r="N3605">
        <v>97.83</v>
      </c>
      <c r="O3605">
        <v>28.35164835164835</v>
      </c>
    </row>
    <row r="3606" spans="1:15" hidden="1" x14ac:dyDescent="0.25">
      <c r="A3606" s="11">
        <v>46114</v>
      </c>
      <c r="B3606" t="s">
        <v>36</v>
      </c>
      <c r="C3606" t="s">
        <v>32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>E3606+G3606+H3606</f>
        <v>26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34</v>
      </c>
      <c r="K3606" s="3">
        <f>I3606-J3606</f>
        <v>-8</v>
      </c>
      <c r="L3606" s="3" t="str">
        <f>IF(K3606&lt;-5,"CRÍTICO",IF(K3606&lt;0,"ATENÇÃO",IF(K3606&lt;=5,"OPORTUNO","MUITO BOM")))</f>
        <v>CRÍTICO</v>
      </c>
      <c r="M3606">
        <v>26</v>
      </c>
      <c r="N3606">
        <v>99.26</v>
      </c>
      <c r="O3606">
        <v>29.766536964980549</v>
      </c>
    </row>
    <row r="3607" spans="1:15" hidden="1" x14ac:dyDescent="0.25">
      <c r="A3607" s="11">
        <v>46114</v>
      </c>
      <c r="B3607" t="s">
        <v>53</v>
      </c>
      <c r="C3607" t="s">
        <v>48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>E3607+G3607+H3607</f>
        <v>33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27</v>
      </c>
      <c r="K3607" s="3">
        <f>I3607-J3607</f>
        <v>6</v>
      </c>
      <c r="L3607" s="3" t="str">
        <f>IF(K3607&lt;-5,"CRÍTICO",IF(K3607&lt;0,"ATENÇÃO",IF(K3607&lt;=5,"OPORTUNO","MUITO BOM")))</f>
        <v>MUITO BOM</v>
      </c>
      <c r="M3607">
        <v>29</v>
      </c>
      <c r="N3607">
        <v>99.19</v>
      </c>
      <c r="O3607">
        <v>29.462365591397852</v>
      </c>
    </row>
    <row r="3608" spans="1:15" hidden="1" x14ac:dyDescent="0.25">
      <c r="A3608" s="11">
        <v>46167</v>
      </c>
      <c r="B3608" t="s">
        <v>49</v>
      </c>
      <c r="C3608" t="s">
        <v>48</v>
      </c>
      <c r="D3608">
        <v>35</v>
      </c>
      <c r="E3608">
        <v>31</v>
      </c>
      <c r="F3608">
        <v>10.11</v>
      </c>
      <c r="G3608">
        <v>0</v>
      </c>
      <c r="H3608">
        <v>0</v>
      </c>
      <c r="I3608" s="3">
        <v>0</v>
      </c>
      <c r="J3608" s="3">
        <v>0</v>
      </c>
      <c r="K3608" s="3">
        <v>0</v>
      </c>
      <c r="L3608" s="3" t="str">
        <f>IF(K3608&lt;-5,"CRÍTICO",IF(K3608&lt;0,"ATENÇÃO",IF(K3608&lt;=5,"OPORTUNO","MUITO BOM")))</f>
        <v>OPORTUNO</v>
      </c>
      <c r="M3608">
        <v>30</v>
      </c>
      <c r="N3608">
        <v>99.35</v>
      </c>
      <c r="O3608">
        <v>19.852941176470591</v>
      </c>
    </row>
    <row r="3609" spans="1:15" hidden="1" x14ac:dyDescent="0.25">
      <c r="A3609" s="11">
        <v>46114</v>
      </c>
      <c r="B3609" t="s">
        <v>54</v>
      </c>
      <c r="C3609" t="s">
        <v>48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>E3609+G3609+H3609</f>
        <v>34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27</v>
      </c>
      <c r="K3609" s="3">
        <f>I3609-J3609</f>
        <v>7</v>
      </c>
      <c r="L3609" s="3" t="str">
        <f>IF(K3609&lt;-5,"CRÍTICO",IF(K3609&lt;0,"ATENÇÃO",IF(K3609&lt;=5,"OPORTUNO","MUITO BOM")))</f>
        <v>MUITO BOM</v>
      </c>
      <c r="M3609">
        <v>30</v>
      </c>
      <c r="N3609">
        <v>100</v>
      </c>
      <c r="O3609">
        <v>28.921568627450981</v>
      </c>
    </row>
    <row r="3610" spans="1:15" hidden="1" x14ac:dyDescent="0.25">
      <c r="A3610" s="11">
        <v>46114</v>
      </c>
      <c r="B3610" t="s">
        <v>37</v>
      </c>
      <c r="C3610" t="s">
        <v>32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>E3610+G3610+H3610</f>
        <v>50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16</v>
      </c>
      <c r="L3610" s="3" t="str">
        <f>IF(K3610&lt;-5,"CRÍTICO",IF(K3610&lt;0,"ATENÇÃO",IF(K3610&lt;=5,"OPORTUNO","MUITO BOM")))</f>
        <v>MUITO BOM</v>
      </c>
      <c r="M3610">
        <v>49</v>
      </c>
      <c r="N3610">
        <v>99.57</v>
      </c>
      <c r="O3610">
        <v>30.635838150289018</v>
      </c>
    </row>
    <row r="3611" spans="1:15" hidden="1" x14ac:dyDescent="0.25">
      <c r="A3611" s="11">
        <v>46114</v>
      </c>
      <c r="B3611" t="s">
        <v>38</v>
      </c>
      <c r="C3611" t="s">
        <v>32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>E3611+G3611+H3611</f>
        <v>12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34</v>
      </c>
      <c r="K3611" s="3">
        <f>I3611-J3611</f>
        <v>-22</v>
      </c>
      <c r="L3611" s="3" t="str">
        <f>IF(K3611&lt;-5,"CRÍTICO",IF(K3611&lt;0,"ATENÇÃO",IF(K3611&lt;=5,"OPORTUNO","MUITO BOM")))</f>
        <v>CRÍTICO</v>
      </c>
      <c r="M3611">
        <v>10</v>
      </c>
      <c r="N3611">
        <v>95.65</v>
      </c>
      <c r="O3611">
        <v>32.432432432432442</v>
      </c>
    </row>
    <row r="3612" spans="1:15" hidden="1" x14ac:dyDescent="0.25">
      <c r="A3612" s="11">
        <v>46114</v>
      </c>
      <c r="B3612" t="s">
        <v>55</v>
      </c>
      <c r="C3612" t="s">
        <v>48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>E3612+G3612+H3612</f>
        <v>18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27</v>
      </c>
      <c r="K3612" s="3">
        <f>I3612-J3612</f>
        <v>-9</v>
      </c>
      <c r="L3612" s="3" t="str">
        <f>IF(K3612&lt;-5,"CRÍTICO",IF(K3612&lt;0,"ATENÇÃO",IF(K3612&lt;=5,"OPORTUNO","MUITO BOM")))</f>
        <v>CRÍTICO</v>
      </c>
      <c r="M3612">
        <v>15</v>
      </c>
      <c r="N3612">
        <v>98.81</v>
      </c>
      <c r="O3612">
        <v>26.256983240223459</v>
      </c>
    </row>
    <row r="3613" spans="1:15" hidden="1" x14ac:dyDescent="0.25">
      <c r="A3613" s="11">
        <v>46114</v>
      </c>
      <c r="B3613" t="s">
        <v>39</v>
      </c>
      <c r="C3613" t="s">
        <v>32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v>0</v>
      </c>
      <c r="J3613" s="3">
        <v>0</v>
      </c>
      <c r="K3613" s="3">
        <v>0</v>
      </c>
      <c r="L3613" s="3" t="str">
        <f>IF(K3613&lt;-5,"CRÍTICO",IF(K3613&lt;0,"ATENÇÃO",IF(K3613&lt;=5,"OPORTUNO","MUITO BOM")))</f>
        <v>OPORTUNO</v>
      </c>
      <c r="M3613">
        <v>0</v>
      </c>
      <c r="N3613">
        <v>0</v>
      </c>
      <c r="O3613">
        <v>0</v>
      </c>
    </row>
    <row r="3614" spans="1:15" hidden="1" x14ac:dyDescent="0.25">
      <c r="A3614" s="11">
        <v>46114</v>
      </c>
      <c r="B3614" t="s">
        <v>25</v>
      </c>
      <c r="C3614" t="s">
        <v>26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>E3614+G3614+H3614</f>
        <v>22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19</v>
      </c>
      <c r="K3614" s="3">
        <f>I3614-J3614</f>
        <v>3</v>
      </c>
      <c r="L3614" s="3" t="str">
        <f>IF(K3614&lt;-5,"CRÍTICO",IF(K3614&lt;0,"ATENÇÃO",IF(K3614&lt;=5,"OPORTUNO","MUITO BOM")))</f>
        <v>OPORTUNO</v>
      </c>
      <c r="M3614">
        <v>20</v>
      </c>
      <c r="N3614">
        <v>97.17</v>
      </c>
      <c r="O3614">
        <v>28.81844380403458</v>
      </c>
    </row>
    <row r="3615" spans="1:15" hidden="1" x14ac:dyDescent="0.25">
      <c r="A3615" s="11">
        <v>46114</v>
      </c>
      <c r="B3615" t="s">
        <v>40</v>
      </c>
      <c r="C3615" t="s">
        <v>32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>E3615+G3615+H3615</f>
        <v>6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34</v>
      </c>
      <c r="K3615" s="3">
        <f>I3615-J3615</f>
        <v>-28</v>
      </c>
      <c r="L3615" s="3" t="str">
        <f>IF(K3615&lt;-5,"CRÍTICO",IF(K3615&lt;0,"ATENÇÃO",IF(K3615&lt;=5,"OPORTUNO","MUITO BOM")))</f>
        <v>CRÍTICO</v>
      </c>
      <c r="M3615">
        <v>6</v>
      </c>
      <c r="N3615">
        <v>96.81</v>
      </c>
      <c r="O3615">
        <v>48.018648018648022</v>
      </c>
    </row>
    <row r="3616" spans="1:15" hidden="1" x14ac:dyDescent="0.25">
      <c r="A3616" s="11">
        <v>46114</v>
      </c>
      <c r="B3616" t="s">
        <v>27</v>
      </c>
      <c r="C3616" t="s">
        <v>26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>E3616+G3616+H3616</f>
        <v>21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19</v>
      </c>
      <c r="K3616" s="3">
        <f>I3616-J3616</f>
        <v>2</v>
      </c>
      <c r="L3616" s="3" t="str">
        <f>IF(K3616&lt;-5,"CRÍTICO",IF(K3616&lt;0,"ATENÇÃO",IF(K3616&lt;=5,"OPORTUNO","MUITO BOM")))</f>
        <v>OPORTUNO</v>
      </c>
      <c r="M3616">
        <v>19</v>
      </c>
      <c r="N3616">
        <v>98.15</v>
      </c>
      <c r="O3616">
        <v>27.1551724137931</v>
      </c>
    </row>
    <row r="3617" spans="1:15" hidden="1" x14ac:dyDescent="0.25">
      <c r="A3617" s="11">
        <v>46114</v>
      </c>
      <c r="B3617" t="s">
        <v>41</v>
      </c>
      <c r="C3617" t="s">
        <v>32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>E3617+G3617+H3617</f>
        <v>38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34</v>
      </c>
      <c r="K3617" s="3">
        <f>I3617-J3617</f>
        <v>4</v>
      </c>
      <c r="L3617" s="3" t="str">
        <f>IF(K3617&lt;-5,"CRÍTICO",IF(K3617&lt;0,"ATENÇÃO",IF(K3617&lt;=5,"OPORTUNO","MUITO BOM")))</f>
        <v>OPORTUNO</v>
      </c>
      <c r="M3617">
        <v>35</v>
      </c>
      <c r="N3617">
        <v>99.15</v>
      </c>
      <c r="O3617">
        <v>27.586206896551719</v>
      </c>
    </row>
    <row r="3618" spans="1:15" hidden="1" x14ac:dyDescent="0.25">
      <c r="A3618" s="11">
        <v>46114</v>
      </c>
      <c r="B3618" t="s">
        <v>56</v>
      </c>
      <c r="C3618" t="s">
        <v>48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>E3618+G3618+H3618</f>
        <v>35</v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>27</v>
      </c>
      <c r="K3618" s="3">
        <f>I3618-J3618</f>
        <v>8</v>
      </c>
      <c r="L3618" s="3" t="str">
        <f>IF(K3618&lt;-5,"CRÍTICO",IF(K3618&lt;0,"ATENÇÃO",IF(K3618&lt;=5,"OPORTUNO","MUITO BOM")))</f>
        <v>MUITO BOM</v>
      </c>
      <c r="M3618">
        <v>20</v>
      </c>
      <c r="N3618">
        <v>99.17</v>
      </c>
      <c r="O3618">
        <v>29.75206611570248</v>
      </c>
    </row>
    <row r="3619" spans="1:15" hidden="1" x14ac:dyDescent="0.25">
      <c r="A3619" s="11">
        <v>46114</v>
      </c>
      <c r="B3619" t="s">
        <v>57</v>
      </c>
      <c r="C3619" t="s">
        <v>48</v>
      </c>
      <c r="D3619">
        <v>45</v>
      </c>
      <c r="E3619">
        <v>42</v>
      </c>
      <c r="F3619">
        <v>16.47</v>
      </c>
      <c r="G3619">
        <v>0</v>
      </c>
      <c r="H3619">
        <v>0</v>
      </c>
      <c r="I3619" s="3">
        <v>0</v>
      </c>
      <c r="J3619" s="3">
        <v>0</v>
      </c>
      <c r="K3619" s="3">
        <v>0</v>
      </c>
      <c r="L3619" s="3" t="str">
        <f>IF(K3619&lt;-5,"CRÍTICO",IF(K3619&lt;0,"ATENÇÃO",IF(K3619&lt;=5,"OPORTUNO","MUITO BOM")))</f>
        <v>OPORTUNO</v>
      </c>
      <c r="M3619">
        <v>39</v>
      </c>
      <c r="N3619">
        <v>98.73</v>
      </c>
      <c r="O3619">
        <v>28.961748633879779</v>
      </c>
    </row>
    <row r="3620" spans="1:15" hidden="1" x14ac:dyDescent="0.25">
      <c r="A3620" s="11">
        <v>46114</v>
      </c>
      <c r="B3620" t="s">
        <v>42</v>
      </c>
      <c r="C3620" t="s">
        <v>32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>E3620+G3620+H3620</f>
        <v>32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34</v>
      </c>
      <c r="K3620" s="3">
        <f>I3620-J3620</f>
        <v>-2</v>
      </c>
      <c r="L3620" s="3" t="str">
        <f>IF(K3620&lt;-5,"CRÍTICO",IF(K3620&lt;0,"ATENÇÃO",IF(K3620&lt;=5,"OPORTUNO","MUITO BOM")))</f>
        <v>ATENÇÃO</v>
      </c>
      <c r="M3620">
        <v>27</v>
      </c>
      <c r="N3620">
        <v>88.68</v>
      </c>
      <c r="O3620">
        <v>22.03389830508474</v>
      </c>
    </row>
    <row r="3621" spans="1:15" hidden="1" x14ac:dyDescent="0.25">
      <c r="A3621" s="11">
        <v>46114</v>
      </c>
      <c r="B3621" t="s">
        <v>62</v>
      </c>
      <c r="C3621" t="s">
        <v>23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>E3621+G3621+H3621</f>
        <v>27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22</v>
      </c>
      <c r="K3621" s="3">
        <f>I3621-J3621</f>
        <v>5</v>
      </c>
      <c r="L3621" s="3" t="str">
        <f>IF(K3621&lt;-5,"CRÍTICO",IF(K3621&lt;0,"ATENÇÃO",IF(K3621&lt;=5,"OPORTUNO","MUITO BOM")))</f>
        <v>OPORTUNO</v>
      </c>
      <c r="M3621">
        <v>28</v>
      </c>
      <c r="N3621">
        <v>97.37</v>
      </c>
      <c r="O3621">
        <v>25.76530612244898</v>
      </c>
    </row>
    <row r="3622" spans="1:15" hidden="1" x14ac:dyDescent="0.25">
      <c r="A3622" s="11">
        <v>46114</v>
      </c>
      <c r="B3622" t="s">
        <v>19</v>
      </c>
      <c r="C3622" t="s">
        <v>16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>E3622+G3622+H3622</f>
        <v>10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10</v>
      </c>
      <c r="K3622" s="3">
        <f>I3622-J3622</f>
        <v>0</v>
      </c>
      <c r="L3622" s="3" t="str">
        <f>IF(K3622&lt;-5,"CRÍTICO",IF(K3622&lt;0,"ATENÇÃO",IF(K3622&lt;=5,"OPORTUNO","MUITO BOM")))</f>
        <v>OPORTUNO</v>
      </c>
      <c r="M3622">
        <v>7</v>
      </c>
      <c r="N3622">
        <v>100</v>
      </c>
      <c r="O3622">
        <v>25</v>
      </c>
    </row>
    <row r="3623" spans="1:15" hidden="1" x14ac:dyDescent="0.25">
      <c r="A3623" s="11">
        <v>46114</v>
      </c>
      <c r="B3623" t="s">
        <v>43</v>
      </c>
      <c r="C3623" t="s">
        <v>32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>E3623+G3623+H3623</f>
        <v>41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7</v>
      </c>
      <c r="L3623" s="3" t="str">
        <f>IF(K3623&lt;-5,"CRÍTICO",IF(K3623&lt;0,"ATENÇÃO",IF(K3623&lt;=5,"OPORTUNO","MUITO BOM")))</f>
        <v>MUITO BOM</v>
      </c>
      <c r="M3623">
        <v>37</v>
      </c>
      <c r="N3623">
        <v>100</v>
      </c>
      <c r="O3623">
        <v>23.9870340356564</v>
      </c>
    </row>
    <row r="3624" spans="1:15" hidden="1" x14ac:dyDescent="0.25">
      <c r="A3624" s="11">
        <v>46114</v>
      </c>
      <c r="B3624" t="s">
        <v>44</v>
      </c>
      <c r="C3624" t="s">
        <v>32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>E3624+G3624+H3624</f>
        <v>32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34</v>
      </c>
      <c r="K3624" s="3">
        <f>I3624-J3624</f>
        <v>-2</v>
      </c>
      <c r="L3624" s="3" t="str">
        <f>IF(K3624&lt;-5,"CRÍTICO",IF(K3624&lt;0,"ATENÇÃO",IF(K3624&lt;=5,"OPORTUNO","MUITO BOM")))</f>
        <v>ATENÇÃO</v>
      </c>
      <c r="M3624">
        <v>29</v>
      </c>
      <c r="N3624">
        <v>95.49</v>
      </c>
      <c r="O3624">
        <v>28.370221327967808</v>
      </c>
    </row>
    <row r="3625" spans="1:15" hidden="1" x14ac:dyDescent="0.25">
      <c r="A3625" s="11">
        <v>46114</v>
      </c>
      <c r="B3625" t="s">
        <v>20</v>
      </c>
      <c r="C3625" t="s">
        <v>16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>E3625+G3625+H3625</f>
        <v>18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10</v>
      </c>
      <c r="K3625" s="3">
        <f>I3625-J3625</f>
        <v>8</v>
      </c>
      <c r="L3625" s="3" t="str">
        <f>IF(K3625&lt;-5,"CRÍTICO",IF(K3625&lt;0,"ATENÇÃO",IF(K3625&lt;=5,"OPORTUNO","MUITO BOM")))</f>
        <v>MUITO BOM</v>
      </c>
      <c r="M3625">
        <v>11</v>
      </c>
      <c r="N3625">
        <v>100</v>
      </c>
      <c r="O3625">
        <v>23.77622377622378</v>
      </c>
    </row>
    <row r="3626" spans="1:15" hidden="1" x14ac:dyDescent="0.25">
      <c r="A3626" s="11">
        <v>46114</v>
      </c>
      <c r="B3626" t="s">
        <v>28</v>
      </c>
      <c r="C3626" t="s">
        <v>26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>E3626+G3626+H3626</f>
        <v>17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19</v>
      </c>
      <c r="K3626" s="3">
        <f>I3626-J3626</f>
        <v>-2</v>
      </c>
      <c r="L3626" s="3" t="str">
        <f>IF(K3626&lt;-5,"CRÍTICO",IF(K3626&lt;0,"ATENÇÃO",IF(K3626&lt;=5,"OPORTUNO","MUITO BOM")))</f>
        <v>ATENÇÃO</v>
      </c>
      <c r="M3626">
        <v>16</v>
      </c>
      <c r="N3626">
        <v>96.15</v>
      </c>
      <c r="O3626">
        <v>24.045801526717561</v>
      </c>
    </row>
    <row r="3627" spans="1:15" hidden="1" x14ac:dyDescent="0.25">
      <c r="A3627" s="11">
        <v>46114</v>
      </c>
      <c r="B3627" t="s">
        <v>58</v>
      </c>
      <c r="C3627" t="s">
        <v>48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>E3627+G3627+H3627</f>
        <v>18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27</v>
      </c>
      <c r="K3627" s="3">
        <f>I3627-J3627</f>
        <v>-9</v>
      </c>
      <c r="L3627" s="3" t="str">
        <f>IF(K3627&lt;-5,"CRÍTICO",IF(K3627&lt;0,"ATENÇÃO",IF(K3627&lt;=5,"OPORTUNO","MUITO BOM")))</f>
        <v>CRÍTICO</v>
      </c>
      <c r="M3627">
        <v>15</v>
      </c>
      <c r="N3627">
        <v>99.02</v>
      </c>
      <c r="O3627">
        <v>34.797297297297298</v>
      </c>
    </row>
    <row r="3628" spans="1:15" hidden="1" x14ac:dyDescent="0.25">
      <c r="A3628" s="11">
        <v>46114</v>
      </c>
      <c r="B3628" t="s">
        <v>29</v>
      </c>
      <c r="C3628" t="s">
        <v>26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>E3628+G3628+H3628</f>
        <v>21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2</v>
      </c>
      <c r="L3628" s="3" t="str">
        <f>IF(K3628&lt;-5,"CRÍTICO",IF(K3628&lt;0,"ATENÇÃO",IF(K3628&lt;=5,"OPORTUNO","MUITO BOM")))</f>
        <v>OPORTUNO</v>
      </c>
      <c r="M3628">
        <v>18</v>
      </c>
      <c r="N3628">
        <v>98.84</v>
      </c>
      <c r="O3628">
        <v>31.868131868131869</v>
      </c>
    </row>
    <row r="3629" spans="1:15" hidden="1" x14ac:dyDescent="0.25">
      <c r="A3629" s="11">
        <v>46114</v>
      </c>
      <c r="B3629" t="s">
        <v>30</v>
      </c>
      <c r="C3629" t="s">
        <v>26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>E3629+G3629+H3629</f>
        <v>17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19</v>
      </c>
      <c r="K3629" s="3">
        <f>I3629-J3629</f>
        <v>-2</v>
      </c>
      <c r="L3629" s="3" t="str">
        <f>IF(K3629&lt;-5,"CRÍTICO",IF(K3629&lt;0,"ATENÇÃO",IF(K3629&lt;=5,"OPORTUNO","MUITO BOM")))</f>
        <v>ATENÇÃO</v>
      </c>
      <c r="M3629">
        <v>15</v>
      </c>
      <c r="N3629">
        <v>100</v>
      </c>
      <c r="O3629">
        <v>34.666666666666671</v>
      </c>
    </row>
    <row r="3630" spans="1:15" hidden="1" x14ac:dyDescent="0.25">
      <c r="A3630" s="11">
        <v>46114</v>
      </c>
      <c r="B3630" t="s">
        <v>21</v>
      </c>
      <c r="C3630" t="s">
        <v>16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>E3630+G3630+H3630</f>
        <v>7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10</v>
      </c>
      <c r="K3630" s="3">
        <f>I3630-J3630</f>
        <v>-3</v>
      </c>
      <c r="L3630" s="3" t="str">
        <f>IF(K3630&lt;-5,"CRÍTICO",IF(K3630&lt;0,"ATENÇÃO",IF(K3630&lt;=5,"OPORTUNO","MUITO BOM")))</f>
        <v>ATENÇÃO</v>
      </c>
      <c r="M3630">
        <v>3</v>
      </c>
      <c r="N3630">
        <v>94.12</v>
      </c>
      <c r="O3630">
        <v>32.799999999999997</v>
      </c>
    </row>
    <row r="3631" spans="1:15" hidden="1" x14ac:dyDescent="0.25">
      <c r="A3631" s="11">
        <v>46114</v>
      </c>
      <c r="B3631" t="s">
        <v>63</v>
      </c>
      <c r="C3631" t="s">
        <v>23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>E3631+G3631+H3631</f>
        <v>29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22</v>
      </c>
      <c r="K3631" s="3">
        <f>I3631-J3631</f>
        <v>7</v>
      </c>
      <c r="L3631" s="3" t="str">
        <f>IF(K3631&lt;-5,"CRÍTICO",IF(K3631&lt;0,"ATENÇÃO",IF(K3631&lt;=5,"OPORTUNO","MUITO BOM")))</f>
        <v>MUITO BOM</v>
      </c>
      <c r="M3631">
        <v>23</v>
      </c>
      <c r="N3631">
        <v>98.32</v>
      </c>
      <c r="O3631">
        <v>26.858513189448441</v>
      </c>
    </row>
    <row r="3632" spans="1:15" hidden="1" x14ac:dyDescent="0.25">
      <c r="A3632" s="11">
        <v>46114</v>
      </c>
      <c r="B3632" t="s">
        <v>45</v>
      </c>
      <c r="C3632" t="s">
        <v>32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>E3632+G3632+H3632</f>
        <v>38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34</v>
      </c>
      <c r="K3632" s="3">
        <f>I3632-J3632</f>
        <v>4</v>
      </c>
      <c r="L3632" s="3" t="str">
        <f>IF(K3632&lt;-5,"CRÍTICO",IF(K3632&lt;0,"ATENÇÃO",IF(K3632&lt;=5,"OPORTUNO","MUITO BOM")))</f>
        <v>OPORTUNO</v>
      </c>
      <c r="M3632">
        <v>35</v>
      </c>
      <c r="N3632">
        <v>100</v>
      </c>
      <c r="O3632">
        <v>31.135531135531139</v>
      </c>
    </row>
    <row r="3633" spans="1:15" hidden="1" x14ac:dyDescent="0.25">
      <c r="A3633" s="11">
        <v>46114</v>
      </c>
      <c r="B3633" t="s">
        <v>64</v>
      </c>
      <c r="C3633" t="s">
        <v>23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>E3633+G3633+H3633</f>
        <v>18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22</v>
      </c>
      <c r="K3633" s="3">
        <f>I3633-J3633</f>
        <v>-4</v>
      </c>
      <c r="L3633" s="3" t="str">
        <f>IF(K3633&lt;-5,"CRÍTICO",IF(K3633&lt;0,"ATENÇÃO",IF(K3633&lt;=5,"OPORTUNO","MUITO BOM")))</f>
        <v>ATENÇÃO</v>
      </c>
      <c r="M3633">
        <v>17</v>
      </c>
      <c r="N3633">
        <v>100</v>
      </c>
      <c r="O3633">
        <v>26.36986301369863</v>
      </c>
    </row>
    <row r="3634" spans="1:15" hidden="1" x14ac:dyDescent="0.25">
      <c r="A3634" s="11">
        <v>46114</v>
      </c>
      <c r="B3634" t="s">
        <v>46</v>
      </c>
      <c r="C3634" t="s">
        <v>32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>E3634+G3634+H3634</f>
        <v>32</v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>34</v>
      </c>
      <c r="K3634" s="3">
        <f>I3634-J3634</f>
        <v>-2</v>
      </c>
      <c r="L3634" s="3" t="str">
        <f>IF(K3634&lt;-5,"CRÍTICO",IF(K3634&lt;0,"ATENÇÃO",IF(K3634&lt;=5,"OPORTUNO","MUITO BOM")))</f>
        <v>ATENÇÃO</v>
      </c>
      <c r="M3634">
        <v>28</v>
      </c>
      <c r="N3634">
        <v>99.21</v>
      </c>
      <c r="O3634">
        <v>25.188916876574311</v>
      </c>
    </row>
    <row r="3635" spans="1:15" hidden="1" x14ac:dyDescent="0.25">
      <c r="A3635" s="11">
        <v>46115</v>
      </c>
      <c r="B3635" t="s">
        <v>47</v>
      </c>
      <c r="C3635" t="s">
        <v>48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>
        <v>0</v>
      </c>
      <c r="N3635">
        <v>100</v>
      </c>
      <c r="O3635">
        <v>32.764505119453922</v>
      </c>
    </row>
    <row r="3636" spans="1:15" hidden="1" x14ac:dyDescent="0.25">
      <c r="A3636" s="11">
        <v>46115</v>
      </c>
      <c r="B3636" t="s">
        <v>31</v>
      </c>
      <c r="C3636" t="s">
        <v>32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>
        <v>0</v>
      </c>
      <c r="N3636">
        <v>98.66</v>
      </c>
      <c r="O3636">
        <v>35.416666666666671</v>
      </c>
    </row>
    <row r="3637" spans="1:15" hidden="1" x14ac:dyDescent="0.25">
      <c r="A3637" s="11">
        <v>46115</v>
      </c>
      <c r="B3637" t="s">
        <v>59</v>
      </c>
      <c r="C3637" t="s">
        <v>23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>
        <v>0</v>
      </c>
      <c r="N3637">
        <v>99.32</v>
      </c>
      <c r="O3637">
        <v>30.648330058939099</v>
      </c>
    </row>
    <row r="3638" spans="1:15" hidden="1" x14ac:dyDescent="0.25">
      <c r="A3638" s="11">
        <v>46115</v>
      </c>
      <c r="B3638" t="s">
        <v>33</v>
      </c>
      <c r="C3638" t="s">
        <v>32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>
        <v>0</v>
      </c>
      <c r="N3638">
        <v>100</v>
      </c>
      <c r="O3638">
        <v>27.803738317757009</v>
      </c>
    </row>
    <row r="3639" spans="1:15" hidden="1" x14ac:dyDescent="0.25">
      <c r="A3639" s="11">
        <v>46115</v>
      </c>
      <c r="B3639" t="s">
        <v>15</v>
      </c>
      <c r="C3639" t="s">
        <v>16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>
        <v>0</v>
      </c>
      <c r="N3639">
        <v>96.74</v>
      </c>
      <c r="O3639">
        <v>28.67647058823529</v>
      </c>
    </row>
    <row r="3640" spans="1:15" hidden="1" x14ac:dyDescent="0.25">
      <c r="A3640" s="11">
        <v>46115</v>
      </c>
      <c r="B3640" t="s">
        <v>49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>
        <v>0</v>
      </c>
      <c r="N3640">
        <v>98.82</v>
      </c>
      <c r="O3640">
        <v>30.741410488245929</v>
      </c>
    </row>
    <row r="3641" spans="1:15" hidden="1" x14ac:dyDescent="0.25">
      <c r="A3641" s="11">
        <v>46115</v>
      </c>
      <c r="B3641" t="s">
        <v>50</v>
      </c>
      <c r="C3641" t="s">
        <v>48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>
        <v>0</v>
      </c>
      <c r="N3641">
        <v>98.2</v>
      </c>
      <c r="O3641">
        <v>27.170868347338931</v>
      </c>
    </row>
    <row r="3642" spans="1:15" hidden="1" x14ac:dyDescent="0.25">
      <c r="A3642" s="11">
        <v>46115</v>
      </c>
      <c r="B3642" t="s">
        <v>17</v>
      </c>
      <c r="C3642" t="s">
        <v>16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>
        <v>0</v>
      </c>
      <c r="N3642">
        <v>100</v>
      </c>
      <c r="O3642">
        <v>23.134328358208951</v>
      </c>
    </row>
    <row r="3643" spans="1:15" hidden="1" x14ac:dyDescent="0.25">
      <c r="A3643" s="11">
        <v>46115</v>
      </c>
      <c r="B3643" t="s">
        <v>60</v>
      </c>
      <c r="C3643" t="s">
        <v>23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>
        <v>0</v>
      </c>
      <c r="N3643">
        <v>96.3</v>
      </c>
      <c r="O3643">
        <v>32.219570405727922</v>
      </c>
    </row>
    <row r="3644" spans="1:15" hidden="1" x14ac:dyDescent="0.25">
      <c r="A3644" s="11">
        <v>46115</v>
      </c>
      <c r="B3644" t="s">
        <v>34</v>
      </c>
      <c r="C3644" t="s">
        <v>32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>
        <v>0</v>
      </c>
      <c r="N3644">
        <v>93.75</v>
      </c>
      <c r="O3644">
        <v>26.819923371647509</v>
      </c>
    </row>
    <row r="3645" spans="1:15" hidden="1" x14ac:dyDescent="0.25">
      <c r="A3645" s="11">
        <v>46115</v>
      </c>
      <c r="B3645" t="s">
        <v>51</v>
      </c>
      <c r="C3645" t="s">
        <v>48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>
        <v>0</v>
      </c>
      <c r="N3645">
        <v>97.86</v>
      </c>
      <c r="O3645">
        <v>31.018518518518519</v>
      </c>
    </row>
    <row r="3646" spans="1:15" hidden="1" x14ac:dyDescent="0.25">
      <c r="A3646" s="11">
        <v>46115</v>
      </c>
      <c r="B3646" t="s">
        <v>61</v>
      </c>
      <c r="C3646" t="s">
        <v>23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>
        <v>0</v>
      </c>
      <c r="N3646">
        <v>100</v>
      </c>
      <c r="O3646">
        <v>36.594202898550733</v>
      </c>
    </row>
    <row r="3647" spans="1:15" hidden="1" x14ac:dyDescent="0.25">
      <c r="A3647" s="11">
        <v>46115</v>
      </c>
      <c r="B3647" t="s">
        <v>35</v>
      </c>
      <c r="C3647" t="s">
        <v>32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>
        <v>0</v>
      </c>
      <c r="N3647">
        <v>100</v>
      </c>
      <c r="O3647">
        <v>38.653846153846153</v>
      </c>
    </row>
    <row r="3648" spans="1:15" hidden="1" x14ac:dyDescent="0.25">
      <c r="A3648" s="11">
        <v>46115</v>
      </c>
      <c r="B3648" t="s">
        <v>18</v>
      </c>
      <c r="C3648" t="s">
        <v>16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>
        <v>0</v>
      </c>
      <c r="N3648">
        <v>100</v>
      </c>
      <c r="O3648">
        <v>27.368421052631579</v>
      </c>
    </row>
    <row r="3649" spans="1:15" hidden="1" x14ac:dyDescent="0.25">
      <c r="A3649" s="11">
        <v>46115</v>
      </c>
      <c r="B3649" t="s">
        <v>52</v>
      </c>
      <c r="C3649" t="s">
        <v>48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>
        <v>0</v>
      </c>
      <c r="N3649">
        <v>97.83</v>
      </c>
      <c r="O3649">
        <v>28.35164835164835</v>
      </c>
    </row>
    <row r="3650" spans="1:15" hidden="1" x14ac:dyDescent="0.25">
      <c r="A3650" s="11">
        <v>46115</v>
      </c>
      <c r="B3650" t="s">
        <v>36</v>
      </c>
      <c r="C3650" t="s">
        <v>32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>
        <v>0</v>
      </c>
      <c r="N3650">
        <v>99.26</v>
      </c>
      <c r="O3650">
        <v>29.766536964980549</v>
      </c>
    </row>
    <row r="3651" spans="1:15" hidden="1" x14ac:dyDescent="0.25">
      <c r="A3651" s="11">
        <v>46115</v>
      </c>
      <c r="B3651" t="s">
        <v>53</v>
      </c>
      <c r="C3651" t="s">
        <v>48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v>0</v>
      </c>
      <c r="J3651" s="3">
        <v>0</v>
      </c>
      <c r="K3651" s="3">
        <v>0</v>
      </c>
      <c r="L3651" s="3" t="str">
        <f>IF(K3651&lt;-5,"CRÍTICO",IF(K3651&lt;0,"ATENÇÃO",IF(K3651&lt;=5,"OPORTUNO","MUITO BOM")))</f>
        <v>OPORTUNO</v>
      </c>
      <c r="M3651">
        <v>0</v>
      </c>
      <c r="N3651">
        <v>99.19</v>
      </c>
      <c r="O3651">
        <v>29.462365591397852</v>
      </c>
    </row>
    <row r="3652" spans="1:15" hidden="1" x14ac:dyDescent="0.25">
      <c r="A3652" s="11">
        <v>46167</v>
      </c>
      <c r="B3652" t="s">
        <v>50</v>
      </c>
      <c r="C3652" t="s">
        <v>48</v>
      </c>
      <c r="D3652">
        <v>23</v>
      </c>
      <c r="E3652">
        <v>23</v>
      </c>
      <c r="F3652">
        <v>20.51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>
        <v>20</v>
      </c>
      <c r="N3652">
        <v>99.07</v>
      </c>
      <c r="O3652">
        <v>20.098039215686271</v>
      </c>
    </row>
    <row r="3653" spans="1:15" hidden="1" x14ac:dyDescent="0.25">
      <c r="A3653" s="11">
        <v>46115</v>
      </c>
      <c r="B3653" t="s">
        <v>54</v>
      </c>
      <c r="C3653" t="s">
        <v>48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>
        <v>0</v>
      </c>
      <c r="N3653">
        <v>100</v>
      </c>
      <c r="O3653">
        <v>28.921568627450981</v>
      </c>
    </row>
    <row r="3654" spans="1:15" hidden="1" x14ac:dyDescent="0.25">
      <c r="A3654" s="11">
        <v>46115</v>
      </c>
      <c r="B3654" t="s">
        <v>37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>
        <v>0</v>
      </c>
      <c r="N3654">
        <v>99.57</v>
      </c>
      <c r="O3654">
        <v>30.635838150289018</v>
      </c>
    </row>
    <row r="3655" spans="1:15" hidden="1" x14ac:dyDescent="0.25">
      <c r="A3655" s="11">
        <v>46115</v>
      </c>
      <c r="B3655" t="s">
        <v>38</v>
      </c>
      <c r="C3655" t="s">
        <v>32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>
        <v>0</v>
      </c>
      <c r="N3655">
        <v>95.65</v>
      </c>
      <c r="O3655">
        <v>32.432432432432442</v>
      </c>
    </row>
    <row r="3656" spans="1:15" hidden="1" x14ac:dyDescent="0.25">
      <c r="A3656" s="11">
        <v>46115</v>
      </c>
      <c r="B3656" t="s">
        <v>55</v>
      </c>
      <c r="C3656" t="s">
        <v>48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>
        <v>0</v>
      </c>
      <c r="N3656">
        <v>98.81</v>
      </c>
      <c r="O3656">
        <v>26.256983240223459</v>
      </c>
    </row>
    <row r="3657" spans="1:15" hidden="1" x14ac:dyDescent="0.25">
      <c r="A3657" s="11">
        <v>46115</v>
      </c>
      <c r="B3657" t="s">
        <v>39</v>
      </c>
      <c r="C3657" t="s">
        <v>32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>
        <v>0</v>
      </c>
      <c r="N3657">
        <v>0</v>
      </c>
      <c r="O3657">
        <v>0</v>
      </c>
    </row>
    <row r="3658" spans="1:15" hidden="1" x14ac:dyDescent="0.25">
      <c r="A3658" s="11">
        <v>46115</v>
      </c>
      <c r="B3658" t="s">
        <v>25</v>
      </c>
      <c r="C3658" t="s">
        <v>26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>
        <v>0</v>
      </c>
      <c r="N3658">
        <v>97.17</v>
      </c>
      <c r="O3658">
        <v>28.81844380403458</v>
      </c>
    </row>
    <row r="3659" spans="1:15" hidden="1" x14ac:dyDescent="0.25">
      <c r="A3659" s="11">
        <v>46115</v>
      </c>
      <c r="B3659" t="s">
        <v>40</v>
      </c>
      <c r="C3659" t="s">
        <v>32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>
        <v>0</v>
      </c>
      <c r="N3659">
        <v>96.81</v>
      </c>
      <c r="O3659">
        <v>48.018648018648022</v>
      </c>
    </row>
    <row r="3660" spans="1:15" hidden="1" x14ac:dyDescent="0.25">
      <c r="A3660" s="11">
        <v>46115</v>
      </c>
      <c r="B3660" t="s">
        <v>27</v>
      </c>
      <c r="C3660" t="s">
        <v>26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>
        <v>0</v>
      </c>
      <c r="N3660">
        <v>98.15</v>
      </c>
      <c r="O3660">
        <v>27.1551724137931</v>
      </c>
    </row>
    <row r="3661" spans="1:15" hidden="1" x14ac:dyDescent="0.25">
      <c r="A3661" s="11">
        <v>46115</v>
      </c>
      <c r="B3661" t="s">
        <v>41</v>
      </c>
      <c r="C3661" t="s">
        <v>32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>
        <v>0</v>
      </c>
      <c r="N3661">
        <v>99.15</v>
      </c>
      <c r="O3661">
        <v>27.586206896551719</v>
      </c>
    </row>
    <row r="3662" spans="1:15" hidden="1" x14ac:dyDescent="0.25">
      <c r="A3662" s="11">
        <v>46115</v>
      </c>
      <c r="B3662" t="s">
        <v>56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>
        <v>10</v>
      </c>
      <c r="N3662">
        <v>99.17</v>
      </c>
      <c r="O3662">
        <v>29.75206611570248</v>
      </c>
    </row>
    <row r="3663" spans="1:15" hidden="1" x14ac:dyDescent="0.25">
      <c r="A3663" s="11">
        <v>46115</v>
      </c>
      <c r="B3663" t="s">
        <v>57</v>
      </c>
      <c r="C3663" t="s">
        <v>48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>
        <v>0</v>
      </c>
      <c r="N3663">
        <v>98.73</v>
      </c>
      <c r="O3663">
        <v>28.961748633879779</v>
      </c>
    </row>
    <row r="3664" spans="1:15" hidden="1" x14ac:dyDescent="0.25">
      <c r="A3664" s="11">
        <v>46115</v>
      </c>
      <c r="B3664" t="s">
        <v>42</v>
      </c>
      <c r="C3664" t="s">
        <v>32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>
        <v>0</v>
      </c>
      <c r="N3664">
        <v>88.68</v>
      </c>
      <c r="O3664">
        <v>22.03389830508474</v>
      </c>
    </row>
    <row r="3665" spans="1:15" hidden="1" x14ac:dyDescent="0.25">
      <c r="A3665" s="11">
        <v>46115</v>
      </c>
      <c r="B3665" t="s">
        <v>62</v>
      </c>
      <c r="C3665" t="s">
        <v>23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>
        <v>0</v>
      </c>
      <c r="N3665">
        <v>97.37</v>
      </c>
      <c r="O3665">
        <v>25.76530612244898</v>
      </c>
    </row>
    <row r="3666" spans="1:15" hidden="1" x14ac:dyDescent="0.25">
      <c r="A3666" s="11">
        <v>46115</v>
      </c>
      <c r="B3666" t="s">
        <v>19</v>
      </c>
      <c r="C3666" t="s">
        <v>16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>IF(K3666&lt;-5,"CRÍTICO",IF(K3666&lt;0,"ATENÇÃO",IF(K3666&lt;=5,"OPORTUNO","MUITO BOM")))</f>
        <v>OPORTUNO</v>
      </c>
      <c r="M3666">
        <v>0</v>
      </c>
      <c r="N3666">
        <v>100</v>
      </c>
      <c r="O3666">
        <v>25</v>
      </c>
    </row>
    <row r="3667" spans="1:15" hidden="1" x14ac:dyDescent="0.25">
      <c r="A3667" s="11">
        <v>46115</v>
      </c>
      <c r="B3667" t="s">
        <v>43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>
        <v>0</v>
      </c>
      <c r="N3667">
        <v>100</v>
      </c>
      <c r="O3667">
        <v>23.9870340356564</v>
      </c>
    </row>
    <row r="3668" spans="1:15" hidden="1" x14ac:dyDescent="0.25">
      <c r="A3668" s="11">
        <v>46115</v>
      </c>
      <c r="B3668" t="s">
        <v>44</v>
      </c>
      <c r="C3668" t="s">
        <v>32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>IF(K3668&lt;-5,"CRÍTICO",IF(K3668&lt;0,"ATENÇÃO",IF(K3668&lt;=5,"OPORTUNO","MUITO BOM")))</f>
        <v>OPORTUNO</v>
      </c>
      <c r="M3668">
        <v>0</v>
      </c>
      <c r="N3668">
        <v>95.49</v>
      </c>
      <c r="O3668">
        <v>28.370221327967808</v>
      </c>
    </row>
    <row r="3669" spans="1:15" hidden="1" x14ac:dyDescent="0.25">
      <c r="A3669" s="11">
        <v>46115</v>
      </c>
      <c r="B3669" t="s">
        <v>20</v>
      </c>
      <c r="C3669" t="s">
        <v>16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>
        <v>0</v>
      </c>
      <c r="N3669">
        <v>100</v>
      </c>
      <c r="O3669">
        <v>23.77622377622378</v>
      </c>
    </row>
    <row r="3670" spans="1:15" hidden="1" x14ac:dyDescent="0.25">
      <c r="A3670" s="11">
        <v>46115</v>
      </c>
      <c r="B3670" t="s">
        <v>28</v>
      </c>
      <c r="C3670" t="s">
        <v>26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>
        <v>0</v>
      </c>
      <c r="N3670">
        <v>96.15</v>
      </c>
      <c r="O3670">
        <v>24.045801526717561</v>
      </c>
    </row>
    <row r="3671" spans="1:15" hidden="1" x14ac:dyDescent="0.25">
      <c r="A3671" s="11">
        <v>46115</v>
      </c>
      <c r="B3671" t="s">
        <v>58</v>
      </c>
      <c r="C3671" t="s">
        <v>48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>
        <v>0</v>
      </c>
      <c r="N3671">
        <v>99.02</v>
      </c>
      <c r="O3671">
        <v>34.797297297297298</v>
      </c>
    </row>
    <row r="3672" spans="1:15" hidden="1" x14ac:dyDescent="0.25">
      <c r="A3672" s="11">
        <v>46115</v>
      </c>
      <c r="B3672" t="s">
        <v>29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>
        <v>0</v>
      </c>
      <c r="N3672">
        <v>98.84</v>
      </c>
      <c r="O3672">
        <v>31.868131868131869</v>
      </c>
    </row>
    <row r="3673" spans="1:15" hidden="1" x14ac:dyDescent="0.25">
      <c r="A3673" s="11">
        <v>46115</v>
      </c>
      <c r="B3673" t="s">
        <v>30</v>
      </c>
      <c r="C3673" t="s">
        <v>26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>IF(K3673&lt;-5,"CRÍTICO",IF(K3673&lt;0,"ATENÇÃO",IF(K3673&lt;=5,"OPORTUNO","MUITO BOM")))</f>
        <v>OPORTUNO</v>
      </c>
      <c r="M3673">
        <v>0</v>
      </c>
      <c r="N3673">
        <v>100</v>
      </c>
      <c r="O3673">
        <v>34.666666666666671</v>
      </c>
    </row>
    <row r="3674" spans="1:15" hidden="1" x14ac:dyDescent="0.25">
      <c r="A3674" s="11">
        <v>46115</v>
      </c>
      <c r="B3674" t="s">
        <v>21</v>
      </c>
      <c r="C3674" t="s">
        <v>16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>
        <v>0</v>
      </c>
      <c r="N3674">
        <v>94.12</v>
      </c>
      <c r="O3674">
        <v>32.799999999999997</v>
      </c>
    </row>
    <row r="3675" spans="1:15" hidden="1" x14ac:dyDescent="0.25">
      <c r="A3675" s="11">
        <v>46115</v>
      </c>
      <c r="B3675" t="s">
        <v>63</v>
      </c>
      <c r="C3675" t="s">
        <v>23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>
        <v>0</v>
      </c>
      <c r="N3675">
        <v>98.32</v>
      </c>
      <c r="O3675">
        <v>26.858513189448441</v>
      </c>
    </row>
    <row r="3676" spans="1:15" hidden="1" x14ac:dyDescent="0.25">
      <c r="A3676" s="11">
        <v>46115</v>
      </c>
      <c r="B3676" t="s">
        <v>45</v>
      </c>
      <c r="C3676" t="s">
        <v>32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>
        <v>0</v>
      </c>
      <c r="N3676">
        <v>100</v>
      </c>
      <c r="O3676">
        <v>31.135531135531139</v>
      </c>
    </row>
    <row r="3677" spans="1:15" hidden="1" x14ac:dyDescent="0.25">
      <c r="A3677" s="11">
        <v>46115</v>
      </c>
      <c r="B3677" t="s">
        <v>64</v>
      </c>
      <c r="C3677" t="s">
        <v>23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>
        <v>0</v>
      </c>
      <c r="N3677">
        <v>100</v>
      </c>
      <c r="O3677">
        <v>26.36986301369863</v>
      </c>
    </row>
    <row r="3678" spans="1:15" hidden="1" x14ac:dyDescent="0.25">
      <c r="A3678" s="11">
        <v>46115</v>
      </c>
      <c r="B3678" t="s">
        <v>46</v>
      </c>
      <c r="C3678" t="s">
        <v>32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v>0</v>
      </c>
      <c r="J3678" s="3">
        <v>0</v>
      </c>
      <c r="K3678" s="3">
        <v>0</v>
      </c>
      <c r="L3678" s="3" t="str">
        <f>IF(K3678&lt;-5,"CRÍTICO",IF(K3678&lt;0,"ATENÇÃO",IF(K3678&lt;=5,"OPORTUNO","MUITO BOM")))</f>
        <v>OPORTUNO</v>
      </c>
      <c r="M3678">
        <v>0</v>
      </c>
      <c r="N3678">
        <v>99.21</v>
      </c>
      <c r="O3678">
        <v>25.188916876574311</v>
      </c>
    </row>
    <row r="3679" spans="1:15" hidden="1" x14ac:dyDescent="0.25">
      <c r="A3679" s="11">
        <v>46118</v>
      </c>
      <c r="B3679" t="s">
        <v>47</v>
      </c>
      <c r="C3679" t="s">
        <v>48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>E3679+G3679+H3679</f>
        <v>14</v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>25</v>
      </c>
      <c r="K3679" s="3">
        <f>I3679-J3679</f>
        <v>-11</v>
      </c>
      <c r="L3679" s="3" t="str">
        <f>IF(K3679&lt;-5,"CRÍTICO",IF(K3679&lt;0,"ATENÇÃO",IF(K3679&lt;=5,"OPORTUNO","MUITO BOM")))</f>
        <v>CRÍTICO</v>
      </c>
      <c r="M3679">
        <v>14</v>
      </c>
      <c r="N3679">
        <v>100</v>
      </c>
      <c r="O3679">
        <v>32.764505119453922</v>
      </c>
    </row>
    <row r="3680" spans="1:15" hidden="1" x14ac:dyDescent="0.25">
      <c r="A3680" s="11">
        <v>46118</v>
      </c>
      <c r="B3680" t="s">
        <v>31</v>
      </c>
      <c r="C3680" t="s">
        <v>32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v>0</v>
      </c>
      <c r="J3680" s="3">
        <v>0</v>
      </c>
      <c r="K3680" s="3">
        <v>0</v>
      </c>
      <c r="L3680" s="3" t="str">
        <f>IF(K3680&lt;-5,"CRÍTICO",IF(K3680&lt;0,"ATENÇÃO",IF(K3680&lt;=5,"OPORTUNO","MUITO BOM")))</f>
        <v>OPORTUNO</v>
      </c>
      <c r="M3680">
        <v>32</v>
      </c>
      <c r="N3680">
        <v>98.66</v>
      </c>
      <c r="O3680">
        <v>35.416666666666671</v>
      </c>
    </row>
    <row r="3681" spans="1:15" hidden="1" x14ac:dyDescent="0.25">
      <c r="A3681" s="11">
        <v>46118</v>
      </c>
      <c r="B3681" t="s">
        <v>59</v>
      </c>
      <c r="C3681" t="s">
        <v>23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>E3681+G3681+H3681</f>
        <v>25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20</v>
      </c>
      <c r="K3681" s="3">
        <f>I3681-J3681</f>
        <v>5</v>
      </c>
      <c r="L3681" s="3" t="str">
        <f>IF(K3681&lt;-5,"CRÍTICO",IF(K3681&lt;0,"ATENÇÃO",IF(K3681&lt;=5,"OPORTUNO","MUITO BOM")))</f>
        <v>OPORTUNO</v>
      </c>
      <c r="M3681">
        <v>31</v>
      </c>
      <c r="N3681">
        <v>99.32</v>
      </c>
      <c r="O3681">
        <v>30.648330058939099</v>
      </c>
    </row>
    <row r="3682" spans="1:15" hidden="1" x14ac:dyDescent="0.25">
      <c r="A3682" s="11">
        <v>46118</v>
      </c>
      <c r="B3682" t="s">
        <v>33</v>
      </c>
      <c r="C3682" t="s">
        <v>32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>E3682+G3682+H3682</f>
        <v>41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31</v>
      </c>
      <c r="K3682" s="3">
        <f>I3682-J3682</f>
        <v>10</v>
      </c>
      <c r="L3682" s="3" t="str">
        <f>IF(K3682&lt;-5,"CRÍTICO",IF(K3682&lt;0,"ATENÇÃO",IF(K3682&lt;=5,"OPORTUNO","MUITO BOM")))</f>
        <v>MUITO BOM</v>
      </c>
      <c r="M3682">
        <v>40</v>
      </c>
      <c r="N3682">
        <v>100</v>
      </c>
      <c r="O3682">
        <v>27.803738317757009</v>
      </c>
    </row>
    <row r="3683" spans="1:15" hidden="1" x14ac:dyDescent="0.25">
      <c r="A3683" s="11">
        <v>46118</v>
      </c>
      <c r="B3683" t="s">
        <v>15</v>
      </c>
      <c r="C3683" t="s">
        <v>16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>E3683+G3683+H3683</f>
        <v>21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9</v>
      </c>
      <c r="K3683" s="3">
        <f>I3683-J3683</f>
        <v>12</v>
      </c>
      <c r="L3683" s="3" t="str">
        <f>IF(K3683&lt;-5,"CRÍTICO",IF(K3683&lt;0,"ATENÇÃO",IF(K3683&lt;=5,"OPORTUNO","MUITO BOM")))</f>
        <v>MUITO BOM</v>
      </c>
      <c r="M3683">
        <v>20</v>
      </c>
      <c r="N3683">
        <v>96.74</v>
      </c>
      <c r="O3683">
        <v>28.67647058823529</v>
      </c>
    </row>
    <row r="3684" spans="1:15" hidden="1" x14ac:dyDescent="0.25">
      <c r="A3684" s="11">
        <v>46118</v>
      </c>
      <c r="B3684" t="s">
        <v>49</v>
      </c>
      <c r="C3684" t="s">
        <v>48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>E3684+G3684+H3684</f>
        <v>36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11</v>
      </c>
      <c r="L3684" s="3" t="str">
        <f>IF(K3684&lt;-5,"CRÍTICO",IF(K3684&lt;0,"ATENÇÃO",IF(K3684&lt;=5,"OPORTUNO","MUITO BOM")))</f>
        <v>MUITO BOM</v>
      </c>
      <c r="M3684">
        <v>38</v>
      </c>
      <c r="N3684">
        <v>98.82</v>
      </c>
      <c r="O3684">
        <v>30.741410488245929</v>
      </c>
    </row>
    <row r="3685" spans="1:15" hidden="1" x14ac:dyDescent="0.25">
      <c r="A3685" s="11">
        <v>46118</v>
      </c>
      <c r="B3685" t="s">
        <v>50</v>
      </c>
      <c r="C3685" t="s">
        <v>48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>E3685+G3685+H3685</f>
        <v>31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25</v>
      </c>
      <c r="K3685" s="3">
        <f>I3685-J3685</f>
        <v>6</v>
      </c>
      <c r="L3685" s="3" t="str">
        <f>IF(K3685&lt;-5,"CRÍTICO",IF(K3685&lt;0,"ATENÇÃO",IF(K3685&lt;=5,"OPORTUNO","MUITO BOM")))</f>
        <v>MUITO BOM</v>
      </c>
      <c r="M3685">
        <v>28</v>
      </c>
      <c r="N3685">
        <v>98.2</v>
      </c>
      <c r="O3685">
        <v>27.170868347338931</v>
      </c>
    </row>
    <row r="3686" spans="1:15" hidden="1" x14ac:dyDescent="0.25">
      <c r="A3686" s="11">
        <v>46118</v>
      </c>
      <c r="B3686" t="s">
        <v>17</v>
      </c>
      <c r="C3686" t="s">
        <v>16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>E3686+G3686+H3686</f>
        <v>11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9</v>
      </c>
      <c r="K3686" s="3">
        <f>I3686-J3686</f>
        <v>2</v>
      </c>
      <c r="L3686" s="3" t="str">
        <f>IF(K3686&lt;-5,"CRÍTICO",IF(K3686&lt;0,"ATENÇÃO",IF(K3686&lt;=5,"OPORTUNO","MUITO BOM")))</f>
        <v>OPORTUNO</v>
      </c>
      <c r="M3686">
        <v>11</v>
      </c>
      <c r="N3686">
        <v>100</v>
      </c>
      <c r="O3686">
        <v>23.134328358208951</v>
      </c>
    </row>
    <row r="3687" spans="1:15" hidden="1" x14ac:dyDescent="0.25">
      <c r="A3687" s="11">
        <v>46118</v>
      </c>
      <c r="B3687" t="s">
        <v>60</v>
      </c>
      <c r="C3687" t="s">
        <v>23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>E3687+G3687+H3687</f>
        <v>32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20</v>
      </c>
      <c r="K3687" s="3">
        <f>I3687-J3687</f>
        <v>12</v>
      </c>
      <c r="L3687" s="3" t="str">
        <f>IF(K3687&lt;-5,"CRÍTICO",IF(K3687&lt;0,"ATENÇÃO",IF(K3687&lt;=5,"OPORTUNO","MUITO BOM")))</f>
        <v>MUITO BOM</v>
      </c>
      <c r="M3687">
        <v>32</v>
      </c>
      <c r="N3687">
        <v>96.3</v>
      </c>
      <c r="O3687">
        <v>32.219570405727922</v>
      </c>
    </row>
    <row r="3688" spans="1:15" hidden="1" x14ac:dyDescent="0.25">
      <c r="A3688" s="11">
        <v>46118</v>
      </c>
      <c r="B3688" t="s">
        <v>34</v>
      </c>
      <c r="C3688" t="s">
        <v>32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>E3688+G3688+H3688</f>
        <v>34</v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>31</v>
      </c>
      <c r="K3688" s="3">
        <f>I3688-J3688</f>
        <v>3</v>
      </c>
      <c r="L3688" s="3" t="str">
        <f>IF(K3688&lt;-5,"CRÍTICO",IF(K3688&lt;0,"ATENÇÃO",IF(K3688&lt;=5,"OPORTUNO","MUITO BOM")))</f>
        <v>OPORTUNO</v>
      </c>
      <c r="M3688">
        <v>35</v>
      </c>
      <c r="N3688">
        <v>93.75</v>
      </c>
      <c r="O3688">
        <v>26.819923371647509</v>
      </c>
    </row>
    <row r="3689" spans="1:15" hidden="1" x14ac:dyDescent="0.25">
      <c r="A3689" s="11">
        <v>46118</v>
      </c>
      <c r="B3689" t="s">
        <v>51</v>
      </c>
      <c r="C3689" t="s">
        <v>48</v>
      </c>
      <c r="D3689">
        <v>33</v>
      </c>
      <c r="E3689">
        <v>29</v>
      </c>
      <c r="F3689">
        <v>13.56</v>
      </c>
      <c r="G3689">
        <v>0</v>
      </c>
      <c r="H3689">
        <v>0</v>
      </c>
      <c r="I3689" s="3">
        <v>0</v>
      </c>
      <c r="J3689" s="3">
        <v>0</v>
      </c>
      <c r="K3689" s="3">
        <v>0</v>
      </c>
      <c r="L3689" s="3" t="str">
        <f>IF(K3689&lt;-5,"CRÍTICO",IF(K3689&lt;0,"ATENÇÃO",IF(K3689&lt;=5,"OPORTUNO","MUITO BOM")))</f>
        <v>OPORTUNO</v>
      </c>
      <c r="M3689">
        <v>28</v>
      </c>
      <c r="N3689">
        <v>97.86</v>
      </c>
      <c r="O3689">
        <v>31.018518518518519</v>
      </c>
    </row>
    <row r="3690" spans="1:15" hidden="1" x14ac:dyDescent="0.25">
      <c r="A3690" s="11">
        <v>46118</v>
      </c>
      <c r="B3690" t="s">
        <v>61</v>
      </c>
      <c r="C3690" t="s">
        <v>23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>E3690+G3690+H3690</f>
        <v>22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20</v>
      </c>
      <c r="K3690" s="3">
        <f>I3690-J3690</f>
        <v>2</v>
      </c>
      <c r="L3690" s="3" t="str">
        <f>IF(K3690&lt;-5,"CRÍTICO",IF(K3690&lt;0,"ATENÇÃO",IF(K3690&lt;=5,"OPORTUNO","MUITO BOM")))</f>
        <v>OPORTUNO</v>
      </c>
      <c r="M3690">
        <v>12</v>
      </c>
      <c r="N3690">
        <v>100</v>
      </c>
      <c r="O3690">
        <v>36.594202898550733</v>
      </c>
    </row>
    <row r="3691" spans="1:15" hidden="1" x14ac:dyDescent="0.25">
      <c r="A3691" s="11">
        <v>46118</v>
      </c>
      <c r="B3691" t="s">
        <v>35</v>
      </c>
      <c r="C3691" t="s">
        <v>32</v>
      </c>
      <c r="D3691">
        <v>27</v>
      </c>
      <c r="E3691">
        <v>27</v>
      </c>
      <c r="F3691">
        <v>20.3</v>
      </c>
      <c r="G3691">
        <v>0</v>
      </c>
      <c r="H3691">
        <v>0</v>
      </c>
      <c r="I3691" s="3">
        <v>0</v>
      </c>
      <c r="J3691" s="3">
        <v>0</v>
      </c>
      <c r="K3691" s="3">
        <v>0</v>
      </c>
      <c r="L3691" s="3" t="str">
        <f>IF(K3691&lt;-5,"CRÍTICO",IF(K3691&lt;0,"ATENÇÃO",IF(K3691&lt;=5,"OPORTUNO","MUITO BOM")))</f>
        <v>OPORTUNO</v>
      </c>
      <c r="M3691">
        <v>35</v>
      </c>
      <c r="N3691">
        <v>100</v>
      </c>
      <c r="O3691">
        <v>38.653846153846153</v>
      </c>
    </row>
    <row r="3692" spans="1:15" hidden="1" x14ac:dyDescent="0.25">
      <c r="A3692" s="11">
        <v>46118</v>
      </c>
      <c r="B3692" t="s">
        <v>18</v>
      </c>
      <c r="C3692" t="s">
        <v>16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>E3692+G3692+H3692</f>
        <v>8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9</v>
      </c>
      <c r="K3692" s="3">
        <f>I3692-J3692</f>
        <v>-1</v>
      </c>
      <c r="L3692" s="3" t="str">
        <f>IF(K3692&lt;-5,"CRÍTICO",IF(K3692&lt;0,"ATENÇÃO",IF(K3692&lt;=5,"OPORTUNO","MUITO BOM")))</f>
        <v>ATENÇÃO</v>
      </c>
      <c r="M3692">
        <v>8</v>
      </c>
      <c r="N3692">
        <v>100</v>
      </c>
      <c r="O3692">
        <v>27.368421052631579</v>
      </c>
    </row>
    <row r="3693" spans="1:15" hidden="1" x14ac:dyDescent="0.25">
      <c r="A3693" s="11">
        <v>46118</v>
      </c>
      <c r="B3693" t="s">
        <v>52</v>
      </c>
      <c r="C3693" t="s">
        <v>48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>E3693+G3693+H3693</f>
        <v>33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25</v>
      </c>
      <c r="K3693" s="3">
        <f>I3693-J3693</f>
        <v>8</v>
      </c>
      <c r="L3693" s="3" t="str">
        <f>IF(K3693&lt;-5,"CRÍTICO",IF(K3693&lt;0,"ATENÇÃO",IF(K3693&lt;=5,"OPORTUNO","MUITO BOM")))</f>
        <v>MUITO BOM</v>
      </c>
      <c r="M3693">
        <v>31</v>
      </c>
      <c r="N3693">
        <v>97.83</v>
      </c>
      <c r="O3693">
        <v>28.35164835164835</v>
      </c>
    </row>
    <row r="3694" spans="1:15" hidden="1" x14ac:dyDescent="0.25">
      <c r="A3694" s="11">
        <v>46118</v>
      </c>
      <c r="B3694" t="s">
        <v>36</v>
      </c>
      <c r="C3694" t="s">
        <v>32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>E3694+G3694+H3694</f>
        <v>28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31</v>
      </c>
      <c r="K3694" s="3">
        <f>I3694-J3694</f>
        <v>-3</v>
      </c>
      <c r="L3694" s="3" t="str">
        <f>IF(K3694&lt;-5,"CRÍTICO",IF(K3694&lt;0,"ATENÇÃO",IF(K3694&lt;=5,"OPORTUNO","MUITO BOM")))</f>
        <v>ATENÇÃO</v>
      </c>
      <c r="M3694">
        <v>29</v>
      </c>
      <c r="N3694">
        <v>99.26</v>
      </c>
      <c r="O3694">
        <v>29.766536964980549</v>
      </c>
    </row>
    <row r="3695" spans="1:15" hidden="1" x14ac:dyDescent="0.25">
      <c r="A3695" s="11">
        <v>46118</v>
      </c>
      <c r="B3695" t="s">
        <v>53</v>
      </c>
      <c r="C3695" t="s">
        <v>48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>E3695+G3695+H3695</f>
        <v>30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25</v>
      </c>
      <c r="K3695" s="3">
        <f>I3695-J3695</f>
        <v>5</v>
      </c>
      <c r="L3695" s="3" t="str">
        <f>IF(K3695&lt;-5,"CRÍTICO",IF(K3695&lt;0,"ATENÇÃO",IF(K3695&lt;=5,"OPORTUNO","MUITO BOM")))</f>
        <v>OPORTUNO</v>
      </c>
      <c r="M3695">
        <v>29</v>
      </c>
      <c r="N3695">
        <v>99.19</v>
      </c>
      <c r="O3695">
        <v>29.462365591397852</v>
      </c>
    </row>
    <row r="3696" spans="1:15" hidden="1" x14ac:dyDescent="0.25">
      <c r="A3696" s="11">
        <v>46167</v>
      </c>
      <c r="B3696" t="s">
        <v>51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>
        <v>0</v>
      </c>
      <c r="N3696">
        <v>98.81</v>
      </c>
      <c r="O3696">
        <v>22.767857142857139</v>
      </c>
    </row>
    <row r="3697" spans="1:15" hidden="1" x14ac:dyDescent="0.25">
      <c r="A3697" s="11">
        <v>46118</v>
      </c>
      <c r="B3697" t="s">
        <v>54</v>
      </c>
      <c r="C3697" t="s">
        <v>48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v>0</v>
      </c>
      <c r="J3697" s="3">
        <v>0</v>
      </c>
      <c r="K3697" s="3">
        <v>0</v>
      </c>
      <c r="L3697" s="3" t="str">
        <f>IF(K3697&lt;-5,"CRÍTICO",IF(K3697&lt;0,"ATENÇÃO",IF(K3697&lt;=5,"OPORTUNO","MUITO BOM")))</f>
        <v>OPORTUNO</v>
      </c>
      <c r="M3697">
        <v>0</v>
      </c>
      <c r="N3697">
        <v>100</v>
      </c>
      <c r="O3697">
        <v>28.921568627450981</v>
      </c>
    </row>
    <row r="3698" spans="1:15" hidden="1" x14ac:dyDescent="0.25">
      <c r="A3698" s="11">
        <v>46118</v>
      </c>
      <c r="B3698" t="s">
        <v>37</v>
      </c>
      <c r="C3698" t="s">
        <v>32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>E3698+G3698+H3698</f>
        <v>46</v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>31</v>
      </c>
      <c r="K3698" s="3">
        <f>I3698-J3698</f>
        <v>15</v>
      </c>
      <c r="L3698" s="3" t="str">
        <f>IF(K3698&lt;-5,"CRÍTICO",IF(K3698&lt;0,"ATENÇÃO",IF(K3698&lt;=5,"OPORTUNO","MUITO BOM")))</f>
        <v>MUITO BOM</v>
      </c>
      <c r="M3698">
        <v>44</v>
      </c>
      <c r="N3698">
        <v>99.57</v>
      </c>
      <c r="O3698">
        <v>30.635838150289018</v>
      </c>
    </row>
    <row r="3699" spans="1:15" hidden="1" x14ac:dyDescent="0.25">
      <c r="A3699" s="11">
        <v>46118</v>
      </c>
      <c r="B3699" t="s">
        <v>38</v>
      </c>
      <c r="C3699" t="s">
        <v>32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v>0</v>
      </c>
      <c r="J3699" s="3">
        <v>0</v>
      </c>
      <c r="K3699" s="3">
        <v>0</v>
      </c>
      <c r="L3699" s="3" t="str">
        <f>IF(K3699&lt;-5,"CRÍTICO",IF(K3699&lt;0,"ATENÇÃO",IF(K3699&lt;=5,"OPORTUNO","MUITO BOM")))</f>
        <v>OPORTUNO</v>
      </c>
      <c r="M3699">
        <v>0</v>
      </c>
      <c r="N3699">
        <v>95.65</v>
      </c>
      <c r="O3699">
        <v>32.432432432432442</v>
      </c>
    </row>
    <row r="3700" spans="1:15" hidden="1" x14ac:dyDescent="0.25">
      <c r="A3700" s="11">
        <v>46118</v>
      </c>
      <c r="B3700" t="s">
        <v>55</v>
      </c>
      <c r="C3700" t="s">
        <v>48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>E3700+G3700+H3700</f>
        <v>12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25</v>
      </c>
      <c r="K3700" s="3">
        <f>I3700-J3700</f>
        <v>-13</v>
      </c>
      <c r="L3700" s="3" t="str">
        <f>IF(K3700&lt;-5,"CRÍTICO",IF(K3700&lt;0,"ATENÇÃO",IF(K3700&lt;=5,"OPORTUNO","MUITO BOM")))</f>
        <v>CRÍTICO</v>
      </c>
      <c r="M3700">
        <v>14</v>
      </c>
      <c r="N3700">
        <v>98.81</v>
      </c>
      <c r="O3700">
        <v>26.256983240223459</v>
      </c>
    </row>
    <row r="3701" spans="1:15" hidden="1" x14ac:dyDescent="0.25">
      <c r="A3701" s="11">
        <v>46118</v>
      </c>
      <c r="B3701" t="s">
        <v>39</v>
      </c>
      <c r="C3701" t="s">
        <v>32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v>0</v>
      </c>
      <c r="J3701" s="3">
        <v>0</v>
      </c>
      <c r="K3701" s="3">
        <v>0</v>
      </c>
      <c r="L3701" s="3" t="str">
        <f>IF(K3701&lt;-5,"CRÍTICO",IF(K3701&lt;0,"ATENÇÃO",IF(K3701&lt;=5,"OPORTUNO","MUITO BOM")))</f>
        <v>OPORTUNO</v>
      </c>
      <c r="M3701">
        <v>0</v>
      </c>
      <c r="N3701">
        <v>0</v>
      </c>
      <c r="O3701">
        <v>0</v>
      </c>
    </row>
    <row r="3702" spans="1:15" hidden="1" x14ac:dyDescent="0.25">
      <c r="A3702" s="11">
        <v>46118</v>
      </c>
      <c r="B3702" t="s">
        <v>25</v>
      </c>
      <c r="C3702" t="s">
        <v>26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>E3702+G3702+H3702</f>
        <v>17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18</v>
      </c>
      <c r="K3702" s="3">
        <f>I3702-J3702</f>
        <v>-1</v>
      </c>
      <c r="L3702" s="3" t="str">
        <f>IF(K3702&lt;-5,"CRÍTICO",IF(K3702&lt;0,"ATENÇÃO",IF(K3702&lt;=5,"OPORTUNO","MUITO BOM")))</f>
        <v>ATENÇÃO</v>
      </c>
      <c r="M3702">
        <v>17</v>
      </c>
      <c r="N3702">
        <v>97.17</v>
      </c>
      <c r="O3702">
        <v>28.81844380403458</v>
      </c>
    </row>
    <row r="3703" spans="1:15" hidden="1" x14ac:dyDescent="0.25">
      <c r="A3703" s="11">
        <v>46118</v>
      </c>
      <c r="B3703" t="s">
        <v>40</v>
      </c>
      <c r="C3703" t="s">
        <v>32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>E3703+G3703+H3703</f>
        <v>9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31</v>
      </c>
      <c r="K3703" s="3">
        <f>I3703-J3703</f>
        <v>-22</v>
      </c>
      <c r="L3703" s="3" t="str">
        <f>IF(K3703&lt;-5,"CRÍTICO",IF(K3703&lt;0,"ATENÇÃO",IF(K3703&lt;=5,"OPORTUNO","MUITO BOM")))</f>
        <v>CRÍTICO</v>
      </c>
      <c r="M3703">
        <v>11</v>
      </c>
      <c r="N3703">
        <v>96.81</v>
      </c>
      <c r="O3703">
        <v>48.018648018648022</v>
      </c>
    </row>
    <row r="3704" spans="1:15" hidden="1" x14ac:dyDescent="0.25">
      <c r="A3704" s="11">
        <v>46118</v>
      </c>
      <c r="B3704" t="s">
        <v>27</v>
      </c>
      <c r="C3704" t="s">
        <v>26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>E3704+G3704+H3704</f>
        <v>12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18</v>
      </c>
      <c r="K3704" s="3">
        <f>I3704-J3704</f>
        <v>-6</v>
      </c>
      <c r="L3704" s="3" t="str">
        <f>IF(K3704&lt;-5,"CRÍTICO",IF(K3704&lt;0,"ATENÇÃO",IF(K3704&lt;=5,"OPORTUNO","MUITO BOM")))</f>
        <v>CRÍTICO</v>
      </c>
      <c r="M3704">
        <v>12</v>
      </c>
      <c r="N3704">
        <v>98.15</v>
      </c>
      <c r="O3704">
        <v>27.1551724137931</v>
      </c>
    </row>
    <row r="3705" spans="1:15" hidden="1" x14ac:dyDescent="0.25">
      <c r="A3705" s="11">
        <v>46118</v>
      </c>
      <c r="B3705" t="s">
        <v>41</v>
      </c>
      <c r="C3705" t="s">
        <v>32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>E3705+G3705+H3705</f>
        <v>29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31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>
        <v>29</v>
      </c>
      <c r="N3705">
        <v>99.15</v>
      </c>
      <c r="O3705">
        <v>27.586206896551719</v>
      </c>
    </row>
    <row r="3706" spans="1:15" hidden="1" x14ac:dyDescent="0.25">
      <c r="A3706" s="11">
        <v>46118</v>
      </c>
      <c r="B3706" t="s">
        <v>56</v>
      </c>
      <c r="C3706" t="s">
        <v>48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>E3706+G3706+H3706</f>
        <v>23</v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25</v>
      </c>
      <c r="K3706" s="3">
        <f>I3706-J3706</f>
        <v>-2</v>
      </c>
      <c r="L3706" s="3" t="str">
        <f>IF(K3706&lt;-5,"CRÍTICO",IF(K3706&lt;0,"ATENÇÃO",IF(K3706&lt;=5,"OPORTUNO","MUITO BOM")))</f>
        <v>ATENÇÃO</v>
      </c>
      <c r="M3706">
        <v>10</v>
      </c>
      <c r="N3706">
        <v>99.17</v>
      </c>
      <c r="O3706">
        <v>29.75206611570248</v>
      </c>
    </row>
    <row r="3707" spans="1:15" hidden="1" x14ac:dyDescent="0.25">
      <c r="A3707" s="11">
        <v>46118</v>
      </c>
      <c r="B3707" t="s">
        <v>57</v>
      </c>
      <c r="C3707" t="s">
        <v>48</v>
      </c>
      <c r="D3707">
        <v>36</v>
      </c>
      <c r="E3707">
        <v>35</v>
      </c>
      <c r="F3707">
        <v>18.25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>
        <v>31</v>
      </c>
      <c r="N3707">
        <v>98.73</v>
      </c>
      <c r="O3707">
        <v>28.961748633879779</v>
      </c>
    </row>
    <row r="3708" spans="1:15" hidden="1" x14ac:dyDescent="0.25">
      <c r="A3708" s="11">
        <v>46118</v>
      </c>
      <c r="B3708" t="s">
        <v>42</v>
      </c>
      <c r="C3708" t="s">
        <v>32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v>0</v>
      </c>
      <c r="J3708" s="3">
        <v>0</v>
      </c>
      <c r="K3708" s="3">
        <v>0</v>
      </c>
      <c r="L3708" s="3" t="str">
        <f>IF(K3708&lt;-5,"CRÍTICO",IF(K3708&lt;0,"ATENÇÃO",IF(K3708&lt;=5,"OPORTUNO","MUITO BOM")))</f>
        <v>OPORTUNO</v>
      </c>
      <c r="M3708">
        <v>0</v>
      </c>
      <c r="N3708">
        <v>88.68</v>
      </c>
      <c r="O3708">
        <v>22.03389830508474</v>
      </c>
    </row>
    <row r="3709" spans="1:15" hidden="1" x14ac:dyDescent="0.25">
      <c r="A3709" s="11">
        <v>46118</v>
      </c>
      <c r="B3709" t="s">
        <v>62</v>
      </c>
      <c r="C3709" t="s">
        <v>23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>E3709+G3709+H3709</f>
        <v>23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20</v>
      </c>
      <c r="K3709" s="3">
        <f>I3709-J3709</f>
        <v>3</v>
      </c>
      <c r="L3709" s="3" t="str">
        <f>IF(K3709&lt;-5,"CRÍTICO",IF(K3709&lt;0,"ATENÇÃO",IF(K3709&lt;=5,"OPORTUNO","MUITO BOM")))</f>
        <v>OPORTUNO</v>
      </c>
      <c r="M3709">
        <v>21</v>
      </c>
      <c r="N3709">
        <v>97.37</v>
      </c>
      <c r="O3709">
        <v>25.76530612244898</v>
      </c>
    </row>
    <row r="3710" spans="1:15" hidden="1" x14ac:dyDescent="0.25">
      <c r="A3710" s="11">
        <v>46118</v>
      </c>
      <c r="B3710" t="s">
        <v>19</v>
      </c>
      <c r="C3710" t="s">
        <v>16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>E3710+G3710+H3710</f>
        <v>10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9</v>
      </c>
      <c r="K3710" s="3">
        <f>I3710-J3710</f>
        <v>1</v>
      </c>
      <c r="L3710" s="3" t="str">
        <f>IF(K3710&lt;-5,"CRÍTICO",IF(K3710&lt;0,"ATENÇÃO",IF(K3710&lt;=5,"OPORTUNO","MUITO BOM")))</f>
        <v>OPORTUNO</v>
      </c>
      <c r="M3710">
        <v>9</v>
      </c>
      <c r="N3710">
        <v>100</v>
      </c>
      <c r="O3710">
        <v>25</v>
      </c>
    </row>
    <row r="3711" spans="1:15" hidden="1" x14ac:dyDescent="0.25">
      <c r="A3711" s="11">
        <v>46118</v>
      </c>
      <c r="B3711" t="s">
        <v>43</v>
      </c>
      <c r="C3711" t="s">
        <v>32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>E3711+G3711+H3711</f>
        <v>42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11</v>
      </c>
      <c r="L3711" s="3" t="str">
        <f>IF(K3711&lt;-5,"CRÍTICO",IF(K3711&lt;0,"ATENÇÃO",IF(K3711&lt;=5,"OPORTUNO","MUITO BOM")))</f>
        <v>MUITO BOM</v>
      </c>
      <c r="M3711">
        <v>41</v>
      </c>
      <c r="N3711">
        <v>100</v>
      </c>
      <c r="O3711">
        <v>23.9870340356564</v>
      </c>
    </row>
    <row r="3712" spans="1:15" hidden="1" x14ac:dyDescent="0.25">
      <c r="A3712" s="11">
        <v>46118</v>
      </c>
      <c r="B3712" t="s">
        <v>44</v>
      </c>
      <c r="C3712" t="s">
        <v>32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>E3712+G3712+H3712</f>
        <v>25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31</v>
      </c>
      <c r="K3712" s="3">
        <f>I3712-J3712</f>
        <v>-6</v>
      </c>
      <c r="L3712" s="3" t="str">
        <f>IF(K3712&lt;-5,"CRÍTICO",IF(K3712&lt;0,"ATENÇÃO",IF(K3712&lt;=5,"OPORTUNO","MUITO BOM")))</f>
        <v>CRÍTICO</v>
      </c>
      <c r="M3712">
        <v>20</v>
      </c>
      <c r="N3712">
        <v>95.49</v>
      </c>
      <c r="O3712">
        <v>28.370221327967808</v>
      </c>
    </row>
    <row r="3713" spans="1:15" hidden="1" x14ac:dyDescent="0.25">
      <c r="A3713" s="11">
        <v>46118</v>
      </c>
      <c r="B3713" t="s">
        <v>20</v>
      </c>
      <c r="C3713" t="s">
        <v>16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>E3713+G3713+H3713</f>
        <v>5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9</v>
      </c>
      <c r="K3713" s="3">
        <f>I3713-J3713</f>
        <v>-4</v>
      </c>
      <c r="L3713" s="3" t="str">
        <f>IF(K3713&lt;-5,"CRÍTICO",IF(K3713&lt;0,"ATENÇÃO",IF(K3713&lt;=5,"OPORTUNO","MUITO BOM")))</f>
        <v>ATENÇÃO</v>
      </c>
      <c r="M3713">
        <v>4</v>
      </c>
      <c r="N3713">
        <v>100</v>
      </c>
      <c r="O3713">
        <v>23.77622377622378</v>
      </c>
    </row>
    <row r="3714" spans="1:15" hidden="1" x14ac:dyDescent="0.25">
      <c r="A3714" s="11">
        <v>46118</v>
      </c>
      <c r="B3714" t="s">
        <v>28</v>
      </c>
      <c r="C3714" t="s">
        <v>26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>E3714+G3714+H3714</f>
        <v>23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18</v>
      </c>
      <c r="K3714" s="3">
        <f>I3714-J3714</f>
        <v>5</v>
      </c>
      <c r="L3714" s="3" t="str">
        <f>IF(K3714&lt;-5,"CRÍTICO",IF(K3714&lt;0,"ATENÇÃO",IF(K3714&lt;=5,"OPORTUNO","MUITO BOM")))</f>
        <v>OPORTUNO</v>
      </c>
      <c r="M3714">
        <v>16</v>
      </c>
      <c r="N3714">
        <v>96.15</v>
      </c>
      <c r="O3714">
        <v>24.045801526717561</v>
      </c>
    </row>
    <row r="3715" spans="1:15" hidden="1" x14ac:dyDescent="0.25">
      <c r="A3715" s="11">
        <v>46118</v>
      </c>
      <c r="B3715" t="s">
        <v>58</v>
      </c>
      <c r="C3715" t="s">
        <v>48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>E3715+G3715+H3715</f>
        <v>27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25</v>
      </c>
      <c r="K3715" s="3">
        <f>I3715-J3715</f>
        <v>2</v>
      </c>
      <c r="L3715" s="3" t="str">
        <f>IF(K3715&lt;-5,"CRÍTICO",IF(K3715&lt;0,"ATENÇÃO",IF(K3715&lt;=5,"OPORTUNO","MUITO BOM")))</f>
        <v>OPORTUNO</v>
      </c>
      <c r="M3715">
        <v>24</v>
      </c>
      <c r="N3715">
        <v>99.02</v>
      </c>
      <c r="O3715">
        <v>34.797297297297298</v>
      </c>
    </row>
    <row r="3716" spans="1:15" hidden="1" x14ac:dyDescent="0.25">
      <c r="A3716" s="11">
        <v>46118</v>
      </c>
      <c r="B3716" t="s">
        <v>29</v>
      </c>
      <c r="C3716" t="s">
        <v>26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>E3716+G3716+H3716</f>
        <v>17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-1</v>
      </c>
      <c r="L3716" s="3" t="str">
        <f>IF(K3716&lt;-5,"CRÍTICO",IF(K3716&lt;0,"ATENÇÃO",IF(K3716&lt;=5,"OPORTUNO","MUITO BOM")))</f>
        <v>ATENÇÃO</v>
      </c>
      <c r="M3716">
        <v>18</v>
      </c>
      <c r="N3716">
        <v>98.84</v>
      </c>
      <c r="O3716">
        <v>31.868131868131869</v>
      </c>
    </row>
    <row r="3717" spans="1:15" hidden="1" x14ac:dyDescent="0.25">
      <c r="A3717" s="11">
        <v>46118</v>
      </c>
      <c r="B3717" t="s">
        <v>30</v>
      </c>
      <c r="C3717" t="s">
        <v>26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>E3717+G3717+H3717</f>
        <v>20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18</v>
      </c>
      <c r="K3717" s="3">
        <f>I3717-J3717</f>
        <v>2</v>
      </c>
      <c r="L3717" s="3" t="str">
        <f>IF(K3717&lt;-5,"CRÍTICO",IF(K3717&lt;0,"ATENÇÃO",IF(K3717&lt;=5,"OPORTUNO","MUITO BOM")))</f>
        <v>OPORTUNO</v>
      </c>
      <c r="M3717">
        <v>21</v>
      </c>
      <c r="N3717">
        <v>100</v>
      </c>
      <c r="O3717">
        <v>34.666666666666671</v>
      </c>
    </row>
    <row r="3718" spans="1:15" hidden="1" x14ac:dyDescent="0.25">
      <c r="A3718" s="11">
        <v>46118</v>
      </c>
      <c r="B3718" t="s">
        <v>21</v>
      </c>
      <c r="C3718" t="s">
        <v>16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>E3718+G3718+H3718</f>
        <v>9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9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>
        <v>4</v>
      </c>
      <c r="N3718">
        <v>94.12</v>
      </c>
      <c r="O3718">
        <v>32.799999999999997</v>
      </c>
    </row>
    <row r="3719" spans="1:15" hidden="1" x14ac:dyDescent="0.25">
      <c r="A3719" s="11">
        <v>46118</v>
      </c>
      <c r="B3719" t="s">
        <v>63</v>
      </c>
      <c r="C3719" t="s">
        <v>23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>E3719+G3719+H3719</f>
        <v>20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20</v>
      </c>
      <c r="K3719" s="3">
        <f>I3719-J3719</f>
        <v>0</v>
      </c>
      <c r="L3719" s="3" t="str">
        <f>IF(K3719&lt;-5,"CRÍTICO",IF(K3719&lt;0,"ATENÇÃO",IF(K3719&lt;=5,"OPORTUNO","MUITO BOM")))</f>
        <v>OPORTUNO</v>
      </c>
      <c r="M3719">
        <v>16</v>
      </c>
      <c r="N3719">
        <v>98.32</v>
      </c>
      <c r="O3719">
        <v>26.858513189448441</v>
      </c>
    </row>
    <row r="3720" spans="1:15" hidden="1" x14ac:dyDescent="0.25">
      <c r="A3720" s="11">
        <v>46118</v>
      </c>
      <c r="B3720" t="s">
        <v>45</v>
      </c>
      <c r="C3720" t="s">
        <v>32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>E3720+G3720+H3720</f>
        <v>37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31</v>
      </c>
      <c r="K3720" s="3">
        <f>I3720-J3720</f>
        <v>6</v>
      </c>
      <c r="L3720" s="3" t="str">
        <f>IF(K3720&lt;-5,"CRÍTICO",IF(K3720&lt;0,"ATENÇÃO",IF(K3720&lt;=5,"OPORTUNO","MUITO BOM")))</f>
        <v>MUITO BOM</v>
      </c>
      <c r="M3720">
        <v>33</v>
      </c>
      <c r="N3720">
        <v>100</v>
      </c>
      <c r="O3720">
        <v>31.135531135531139</v>
      </c>
    </row>
    <row r="3721" spans="1:15" hidden="1" x14ac:dyDescent="0.25">
      <c r="A3721" s="11">
        <v>46118</v>
      </c>
      <c r="B3721" t="s">
        <v>64</v>
      </c>
      <c r="C3721" t="s">
        <v>23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>E3721+G3721+H3721</f>
        <v>17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20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>
        <v>14</v>
      </c>
      <c r="N3721">
        <v>100</v>
      </c>
      <c r="O3721">
        <v>26.36986301369863</v>
      </c>
    </row>
    <row r="3722" spans="1:15" hidden="1" x14ac:dyDescent="0.25">
      <c r="A3722" s="11">
        <v>46118</v>
      </c>
      <c r="B3722" t="s">
        <v>46</v>
      </c>
      <c r="C3722" t="s">
        <v>32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>E3722+G3722+H3722</f>
        <v>28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31</v>
      </c>
      <c r="K3722" s="3">
        <f>I3722-J3722</f>
        <v>-3</v>
      </c>
      <c r="L3722" s="3" t="str">
        <f>IF(K3722&lt;-5,"CRÍTICO",IF(K3722&lt;0,"ATENÇÃO",IF(K3722&lt;=5,"OPORTUNO","MUITO BOM")))</f>
        <v>ATENÇÃO</v>
      </c>
      <c r="M3722">
        <v>24</v>
      </c>
      <c r="N3722">
        <v>99.21</v>
      </c>
      <c r="O3722">
        <v>25.188916876574311</v>
      </c>
    </row>
    <row r="3723" spans="1:15" hidden="1" x14ac:dyDescent="0.25">
      <c r="A3723" s="11">
        <v>46119</v>
      </c>
      <c r="B3723" t="s">
        <v>47</v>
      </c>
      <c r="C3723" t="s">
        <v>48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>E3723+G3723+H3723</f>
        <v>6</v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>25</v>
      </c>
      <c r="K3723" s="3">
        <f>I3723-J3723</f>
        <v>-19</v>
      </c>
      <c r="L3723" s="3" t="str">
        <f>IF(K3723&lt;-5,"CRÍTICO",IF(K3723&lt;0,"ATENÇÃO",IF(K3723&lt;=5,"OPORTUNO","MUITO BOM")))</f>
        <v>CRÍTICO</v>
      </c>
      <c r="M3723">
        <v>3</v>
      </c>
      <c r="N3723">
        <v>100</v>
      </c>
      <c r="O3723">
        <v>32.764505119453922</v>
      </c>
    </row>
    <row r="3724" spans="1:15" hidden="1" x14ac:dyDescent="0.25">
      <c r="A3724" s="11">
        <v>46119</v>
      </c>
      <c r="B3724" t="s">
        <v>31</v>
      </c>
      <c r="C3724" t="s">
        <v>32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v>0</v>
      </c>
      <c r="J3724" s="3">
        <v>0</v>
      </c>
      <c r="K3724" s="3">
        <v>0</v>
      </c>
      <c r="L3724" s="3" t="str">
        <f>IF(K3724&lt;-5,"CRÍTICO",IF(K3724&lt;0,"ATENÇÃO",IF(K3724&lt;=5,"OPORTUNO","MUITO BOM")))</f>
        <v>OPORTUNO</v>
      </c>
      <c r="M3724">
        <v>28</v>
      </c>
      <c r="N3724">
        <v>98.66</v>
      </c>
      <c r="O3724">
        <v>35.416666666666671</v>
      </c>
    </row>
    <row r="3725" spans="1:15" hidden="1" x14ac:dyDescent="0.25">
      <c r="A3725" s="11">
        <v>46119</v>
      </c>
      <c r="B3725" t="s">
        <v>59</v>
      </c>
      <c r="C3725" t="s">
        <v>23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>E3725+G3725+H3725</f>
        <v>33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21</v>
      </c>
      <c r="K3725" s="3">
        <f>I3725-J3725</f>
        <v>12</v>
      </c>
      <c r="L3725" s="3" t="str">
        <f>IF(K3725&lt;-5,"CRÍTICO",IF(K3725&lt;0,"ATENÇÃO",IF(K3725&lt;=5,"OPORTUNO","MUITO BOM")))</f>
        <v>MUITO BOM</v>
      </c>
      <c r="M3725">
        <v>34</v>
      </c>
      <c r="N3725">
        <v>99.32</v>
      </c>
      <c r="O3725">
        <v>30.648330058939099</v>
      </c>
    </row>
    <row r="3726" spans="1:15" hidden="1" x14ac:dyDescent="0.25">
      <c r="A3726" s="11">
        <v>46119</v>
      </c>
      <c r="B3726" t="s">
        <v>33</v>
      </c>
      <c r="C3726" t="s">
        <v>32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>E3726+G3726+H3726</f>
        <v>28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31</v>
      </c>
      <c r="K3726" s="3">
        <f>I3726-J3726</f>
        <v>-3</v>
      </c>
      <c r="L3726" s="3" t="str">
        <f>IF(K3726&lt;-5,"CRÍTICO",IF(K3726&lt;0,"ATENÇÃO",IF(K3726&lt;=5,"OPORTUNO","MUITO BOM")))</f>
        <v>ATENÇÃO</v>
      </c>
      <c r="M3726">
        <v>27</v>
      </c>
      <c r="N3726">
        <v>100</v>
      </c>
      <c r="O3726">
        <v>27.803738317757009</v>
      </c>
    </row>
    <row r="3727" spans="1:15" hidden="1" x14ac:dyDescent="0.25">
      <c r="A3727" s="11">
        <v>46119</v>
      </c>
      <c r="B3727" t="s">
        <v>15</v>
      </c>
      <c r="C3727" t="s">
        <v>16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>E3727+G3727+H3727</f>
        <v>23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9</v>
      </c>
      <c r="K3727" s="3">
        <f>I3727-J3727</f>
        <v>14</v>
      </c>
      <c r="L3727" s="3" t="str">
        <f>IF(K3727&lt;-5,"CRÍTICO",IF(K3727&lt;0,"ATENÇÃO",IF(K3727&lt;=5,"OPORTUNO","MUITO BOM")))</f>
        <v>MUITO BOM</v>
      </c>
      <c r="M3727">
        <v>20</v>
      </c>
      <c r="N3727">
        <v>96.74</v>
      </c>
      <c r="O3727">
        <v>28.67647058823529</v>
      </c>
    </row>
    <row r="3728" spans="1:15" hidden="1" x14ac:dyDescent="0.25">
      <c r="A3728" s="11">
        <v>46119</v>
      </c>
      <c r="B3728" t="s">
        <v>49</v>
      </c>
      <c r="C3728" t="s">
        <v>48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>E3728+G3728+H3728</f>
        <v>38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13</v>
      </c>
      <c r="L3728" s="3" t="str">
        <f>IF(K3728&lt;-5,"CRÍTICO",IF(K3728&lt;0,"ATENÇÃO",IF(K3728&lt;=5,"OPORTUNO","MUITO BOM")))</f>
        <v>MUITO BOM</v>
      </c>
      <c r="M3728">
        <v>38</v>
      </c>
      <c r="N3728">
        <v>98.82</v>
      </c>
      <c r="O3728">
        <v>30.741410488245929</v>
      </c>
    </row>
    <row r="3729" spans="1:15" hidden="1" x14ac:dyDescent="0.25">
      <c r="A3729" s="11">
        <v>46119</v>
      </c>
      <c r="B3729" t="s">
        <v>50</v>
      </c>
      <c r="C3729" t="s">
        <v>48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>E3729+G3729+H3729</f>
        <v>28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25</v>
      </c>
      <c r="K3729" s="3">
        <f>I3729-J3729</f>
        <v>3</v>
      </c>
      <c r="L3729" s="3" t="str">
        <f>IF(K3729&lt;-5,"CRÍTICO",IF(K3729&lt;0,"ATENÇÃO",IF(K3729&lt;=5,"OPORTUNO","MUITO BOM")))</f>
        <v>OPORTUNO</v>
      </c>
      <c r="M3729">
        <v>30</v>
      </c>
      <c r="N3729">
        <v>98.2</v>
      </c>
      <c r="O3729">
        <v>27.170868347338931</v>
      </c>
    </row>
    <row r="3730" spans="1:15" hidden="1" x14ac:dyDescent="0.25">
      <c r="A3730" s="11">
        <v>46119</v>
      </c>
      <c r="B3730" t="s">
        <v>17</v>
      </c>
      <c r="C3730" t="s">
        <v>16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>E3730+G3730+H3730</f>
        <v>10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9</v>
      </c>
      <c r="K3730" s="3">
        <f>I3730-J3730</f>
        <v>1</v>
      </c>
      <c r="L3730" s="3" t="str">
        <f>IF(K3730&lt;-5,"CRÍTICO",IF(K3730&lt;0,"ATENÇÃO",IF(K3730&lt;=5,"OPORTUNO","MUITO BOM")))</f>
        <v>OPORTUNO</v>
      </c>
      <c r="M3730">
        <v>10</v>
      </c>
      <c r="N3730">
        <v>100</v>
      </c>
      <c r="O3730">
        <v>23.134328358208951</v>
      </c>
    </row>
    <row r="3731" spans="1:15" hidden="1" x14ac:dyDescent="0.25">
      <c r="A3731" s="11">
        <v>46119</v>
      </c>
      <c r="B3731" t="s">
        <v>60</v>
      </c>
      <c r="C3731" t="s">
        <v>23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>E3731+G3731+H3731</f>
        <v>24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21</v>
      </c>
      <c r="K3731" s="3">
        <f>I3731-J3731</f>
        <v>3</v>
      </c>
      <c r="L3731" s="3" t="str">
        <f>IF(K3731&lt;-5,"CRÍTICO",IF(K3731&lt;0,"ATENÇÃO",IF(K3731&lt;=5,"OPORTUNO","MUITO BOM")))</f>
        <v>OPORTUNO</v>
      </c>
      <c r="M3731">
        <v>20</v>
      </c>
      <c r="N3731">
        <v>96.3</v>
      </c>
      <c r="O3731">
        <v>32.219570405727922</v>
      </c>
    </row>
    <row r="3732" spans="1:15" hidden="1" x14ac:dyDescent="0.25">
      <c r="A3732" s="11">
        <v>46119</v>
      </c>
      <c r="B3732" t="s">
        <v>34</v>
      </c>
      <c r="C3732" t="s">
        <v>32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>E3732+G3732+H3732</f>
        <v>39</v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>31</v>
      </c>
      <c r="K3732" s="3">
        <f>I3732-J3732</f>
        <v>8</v>
      </c>
      <c r="L3732" s="3" t="str">
        <f>IF(K3732&lt;-5,"CRÍTICO",IF(K3732&lt;0,"ATENÇÃO",IF(K3732&lt;=5,"OPORTUNO","MUITO BOM")))</f>
        <v>MUITO BOM</v>
      </c>
      <c r="M3732">
        <v>37</v>
      </c>
      <c r="N3732">
        <v>93.75</v>
      </c>
      <c r="O3732">
        <v>26.819923371647509</v>
      </c>
    </row>
    <row r="3733" spans="1:15" hidden="1" x14ac:dyDescent="0.25">
      <c r="A3733" s="11">
        <v>46119</v>
      </c>
      <c r="B3733" t="s">
        <v>51</v>
      </c>
      <c r="C3733" t="s">
        <v>48</v>
      </c>
      <c r="D3733">
        <v>33</v>
      </c>
      <c r="E3733">
        <v>31</v>
      </c>
      <c r="F3733">
        <v>15.14</v>
      </c>
      <c r="G3733">
        <v>0</v>
      </c>
      <c r="H3733">
        <v>0</v>
      </c>
      <c r="I3733" s="3">
        <v>0</v>
      </c>
      <c r="J3733" s="3">
        <v>0</v>
      </c>
      <c r="K3733" s="3">
        <v>0</v>
      </c>
      <c r="L3733" s="3" t="str">
        <f>IF(K3733&lt;-5,"CRÍTICO",IF(K3733&lt;0,"ATENÇÃO",IF(K3733&lt;=5,"OPORTUNO","MUITO BOM")))</f>
        <v>OPORTUNO</v>
      </c>
      <c r="M3733">
        <v>23</v>
      </c>
      <c r="N3733">
        <v>97.86</v>
      </c>
      <c r="O3733">
        <v>31.018518518518519</v>
      </c>
    </row>
    <row r="3734" spans="1:15" hidden="1" x14ac:dyDescent="0.25">
      <c r="A3734" s="11">
        <v>46119</v>
      </c>
      <c r="B3734" t="s">
        <v>61</v>
      </c>
      <c r="C3734" t="s">
        <v>23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>E3734+G3734+H3734</f>
        <v>28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21</v>
      </c>
      <c r="K3734" s="3">
        <f>I3734-J3734</f>
        <v>7</v>
      </c>
      <c r="L3734" s="3" t="str">
        <f>IF(K3734&lt;-5,"CRÍTICO",IF(K3734&lt;0,"ATENÇÃO",IF(K3734&lt;=5,"OPORTUNO","MUITO BOM")))</f>
        <v>MUITO BOM</v>
      </c>
      <c r="M3734">
        <v>23</v>
      </c>
      <c r="N3734">
        <v>100</v>
      </c>
      <c r="O3734">
        <v>36.594202898550733</v>
      </c>
    </row>
    <row r="3735" spans="1:15" hidden="1" x14ac:dyDescent="0.25">
      <c r="A3735" s="11">
        <v>46119</v>
      </c>
      <c r="B3735" t="s">
        <v>35</v>
      </c>
      <c r="C3735" t="s">
        <v>32</v>
      </c>
      <c r="D3735">
        <v>30</v>
      </c>
      <c r="E3735">
        <v>30</v>
      </c>
      <c r="F3735">
        <v>20.47</v>
      </c>
      <c r="G3735">
        <v>0</v>
      </c>
      <c r="H3735">
        <v>0</v>
      </c>
      <c r="I3735" s="3">
        <v>0</v>
      </c>
      <c r="J3735" s="3">
        <v>0</v>
      </c>
      <c r="K3735" s="3">
        <v>0</v>
      </c>
      <c r="L3735" s="3" t="str">
        <f>IF(K3735&lt;-5,"CRÍTICO",IF(K3735&lt;0,"ATENÇÃO",IF(K3735&lt;=5,"OPORTUNO","MUITO BOM")))</f>
        <v>OPORTUNO</v>
      </c>
      <c r="M3735">
        <v>29</v>
      </c>
      <c r="N3735">
        <v>100</v>
      </c>
      <c r="O3735">
        <v>38.653846153846153</v>
      </c>
    </row>
    <row r="3736" spans="1:15" hidden="1" x14ac:dyDescent="0.25">
      <c r="A3736" s="11">
        <v>46119</v>
      </c>
      <c r="B3736" t="s">
        <v>18</v>
      </c>
      <c r="C3736" t="s">
        <v>16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>E3736+G3736+H3736</f>
        <v>5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9</v>
      </c>
      <c r="K3736" s="3">
        <f>I3736-J3736</f>
        <v>-4</v>
      </c>
      <c r="L3736" s="3" t="str">
        <f>IF(K3736&lt;-5,"CRÍTICO",IF(K3736&lt;0,"ATENÇÃO",IF(K3736&lt;=5,"OPORTUNO","MUITO BOM")))</f>
        <v>ATENÇÃO</v>
      </c>
      <c r="M3736">
        <v>5</v>
      </c>
      <c r="N3736">
        <v>100</v>
      </c>
      <c r="O3736">
        <v>27.368421052631579</v>
      </c>
    </row>
    <row r="3737" spans="1:15" hidden="1" x14ac:dyDescent="0.25">
      <c r="A3737" s="11">
        <v>46119</v>
      </c>
      <c r="B3737" t="s">
        <v>52</v>
      </c>
      <c r="C3737" t="s">
        <v>48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>E3737+G3737+H3737</f>
        <v>18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25</v>
      </c>
      <c r="K3737" s="3">
        <f>I3737-J3737</f>
        <v>-7</v>
      </c>
      <c r="L3737" s="3" t="str">
        <f>IF(K3737&lt;-5,"CRÍTICO",IF(K3737&lt;0,"ATENÇÃO",IF(K3737&lt;=5,"OPORTUNO","MUITO BOM")))</f>
        <v>CRÍTICO</v>
      </c>
      <c r="M3737">
        <v>19</v>
      </c>
      <c r="N3737">
        <v>97.83</v>
      </c>
      <c r="O3737">
        <v>28.35164835164835</v>
      </c>
    </row>
    <row r="3738" spans="1:15" hidden="1" x14ac:dyDescent="0.25">
      <c r="A3738" s="11">
        <v>46119</v>
      </c>
      <c r="B3738" t="s">
        <v>36</v>
      </c>
      <c r="C3738" t="s">
        <v>32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>E3738+G3738+H3738</f>
        <v>29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31</v>
      </c>
      <c r="K3738" s="3">
        <f>I3738-J3738</f>
        <v>-2</v>
      </c>
      <c r="L3738" s="3" t="str">
        <f>IF(K3738&lt;-5,"CRÍTICO",IF(K3738&lt;0,"ATENÇÃO",IF(K3738&lt;=5,"OPORTUNO","MUITO BOM")))</f>
        <v>ATENÇÃO</v>
      </c>
      <c r="M3738">
        <v>29</v>
      </c>
      <c r="N3738">
        <v>99.26</v>
      </c>
      <c r="O3738">
        <v>29.766536964980549</v>
      </c>
    </row>
    <row r="3739" spans="1:15" hidden="1" x14ac:dyDescent="0.25">
      <c r="A3739" s="11">
        <v>46119</v>
      </c>
      <c r="B3739" t="s">
        <v>53</v>
      </c>
      <c r="C3739" t="s">
        <v>48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>E3739+G3739+H3739</f>
        <v>26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25</v>
      </c>
      <c r="K3739" s="3">
        <f>I3739-J3739</f>
        <v>1</v>
      </c>
      <c r="L3739" s="3" t="str">
        <f>IF(K3739&lt;-5,"CRÍTICO",IF(K3739&lt;0,"ATENÇÃO",IF(K3739&lt;=5,"OPORTUNO","MUITO BOM")))</f>
        <v>OPORTUNO</v>
      </c>
      <c r="M3739">
        <v>24</v>
      </c>
      <c r="N3739">
        <v>99.19</v>
      </c>
      <c r="O3739">
        <v>29.462365591397852</v>
      </c>
    </row>
    <row r="3740" spans="1:15" hidden="1" x14ac:dyDescent="0.25">
      <c r="A3740" s="11">
        <v>46167</v>
      </c>
      <c r="B3740" t="s">
        <v>52</v>
      </c>
      <c r="C3740" t="s">
        <v>48</v>
      </c>
      <c r="D3740">
        <v>23</v>
      </c>
      <c r="E3740">
        <v>21</v>
      </c>
      <c r="F3740">
        <v>13.4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>
        <v>17</v>
      </c>
      <c r="N3740">
        <v>99.01</v>
      </c>
      <c r="O3740">
        <v>17.766497461928939</v>
      </c>
    </row>
    <row r="3741" spans="1:15" hidden="1" x14ac:dyDescent="0.25">
      <c r="A3741" s="11">
        <v>46119</v>
      </c>
      <c r="B3741" t="s">
        <v>54</v>
      </c>
      <c r="C3741" t="s">
        <v>48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v>0</v>
      </c>
      <c r="J3741" s="3">
        <v>0</v>
      </c>
      <c r="K3741" s="3">
        <v>0</v>
      </c>
      <c r="L3741" s="3" t="str">
        <f>IF(K3741&lt;-5,"CRÍTICO",IF(K3741&lt;0,"ATENÇÃO",IF(K3741&lt;=5,"OPORTUNO","MUITO BOM")))</f>
        <v>OPORTUNO</v>
      </c>
      <c r="M3741">
        <v>0</v>
      </c>
      <c r="N3741">
        <v>100</v>
      </c>
      <c r="O3741">
        <v>28.921568627450981</v>
      </c>
    </row>
    <row r="3742" spans="1:15" hidden="1" x14ac:dyDescent="0.25">
      <c r="A3742" s="11">
        <v>46119</v>
      </c>
      <c r="B3742" t="s">
        <v>37</v>
      </c>
      <c r="C3742" t="s">
        <v>32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>E3742+G3742+H3742</f>
        <v>43</v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>31</v>
      </c>
      <c r="K3742" s="3">
        <f>I3742-J3742</f>
        <v>12</v>
      </c>
      <c r="L3742" s="3" t="str">
        <f>IF(K3742&lt;-5,"CRÍTICO",IF(K3742&lt;0,"ATENÇÃO",IF(K3742&lt;=5,"OPORTUNO","MUITO BOM")))</f>
        <v>MUITO BOM</v>
      </c>
      <c r="M3742">
        <v>48</v>
      </c>
      <c r="N3742">
        <v>99.57</v>
      </c>
      <c r="O3742">
        <v>30.635838150289018</v>
      </c>
    </row>
    <row r="3743" spans="1:15" hidden="1" x14ac:dyDescent="0.25">
      <c r="A3743" s="11">
        <v>46119</v>
      </c>
      <c r="B3743" t="s">
        <v>38</v>
      </c>
      <c r="C3743" t="s">
        <v>32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v>0</v>
      </c>
      <c r="J3743" s="3">
        <v>0</v>
      </c>
      <c r="K3743" s="3">
        <v>0</v>
      </c>
      <c r="L3743" s="3" t="str">
        <f>IF(K3743&lt;-5,"CRÍTICO",IF(K3743&lt;0,"ATENÇÃO",IF(K3743&lt;=5,"OPORTUNO","MUITO BOM")))</f>
        <v>OPORTUNO</v>
      </c>
      <c r="M3743">
        <v>0</v>
      </c>
      <c r="N3743">
        <v>95.65</v>
      </c>
      <c r="O3743">
        <v>32.432432432432442</v>
      </c>
    </row>
    <row r="3744" spans="1:15" hidden="1" x14ac:dyDescent="0.25">
      <c r="A3744" s="11">
        <v>46119</v>
      </c>
      <c r="B3744" t="s">
        <v>55</v>
      </c>
      <c r="C3744" t="s">
        <v>48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25</v>
      </c>
      <c r="K3744" s="3">
        <f>I3744-J3744</f>
        <v>-1</v>
      </c>
      <c r="L3744" s="3" t="str">
        <f>IF(K3744&lt;-5,"CRÍTICO",IF(K3744&lt;0,"ATENÇÃO",IF(K3744&lt;=5,"OPORTUNO","MUITO BOM")))</f>
        <v>ATENÇÃO</v>
      </c>
      <c r="M3744">
        <v>20</v>
      </c>
      <c r="N3744">
        <v>98.81</v>
      </c>
      <c r="O3744">
        <v>26.256983240223459</v>
      </c>
    </row>
    <row r="3745" spans="1:15" hidden="1" x14ac:dyDescent="0.25">
      <c r="A3745" s="11">
        <v>46119</v>
      </c>
      <c r="B3745" t="s">
        <v>39</v>
      </c>
      <c r="C3745" t="s">
        <v>32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v>0</v>
      </c>
      <c r="J3745" s="3">
        <v>0</v>
      </c>
      <c r="K3745" s="3">
        <v>0</v>
      </c>
      <c r="L3745" s="3" t="str">
        <f>IF(K3745&lt;-5,"CRÍTICO",IF(K3745&lt;0,"ATENÇÃO",IF(K3745&lt;=5,"OPORTUNO","MUITO BOM")))</f>
        <v>OPORTUNO</v>
      </c>
      <c r="M3745">
        <v>0</v>
      </c>
      <c r="N3745">
        <v>0</v>
      </c>
      <c r="O3745">
        <v>0</v>
      </c>
    </row>
    <row r="3746" spans="1:15" hidden="1" x14ac:dyDescent="0.25">
      <c r="A3746" s="11">
        <v>46119</v>
      </c>
      <c r="B3746" t="s">
        <v>25</v>
      </c>
      <c r="C3746" t="s">
        <v>26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18</v>
      </c>
      <c r="K3746" s="3">
        <f>I3746-J3746</f>
        <v>6</v>
      </c>
      <c r="L3746" s="3" t="str">
        <f>IF(K3746&lt;-5,"CRÍTICO",IF(K3746&lt;0,"ATENÇÃO",IF(K3746&lt;=5,"OPORTUNO","MUITO BOM")))</f>
        <v>MUITO BOM</v>
      </c>
      <c r="M3746">
        <v>22</v>
      </c>
      <c r="N3746">
        <v>97.17</v>
      </c>
      <c r="O3746">
        <v>28.81844380403458</v>
      </c>
    </row>
    <row r="3747" spans="1:15" hidden="1" x14ac:dyDescent="0.25">
      <c r="A3747" s="11">
        <v>46119</v>
      </c>
      <c r="B3747" t="s">
        <v>40</v>
      </c>
      <c r="C3747" t="s">
        <v>32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>E3747+G3747+H3747</f>
        <v>24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31</v>
      </c>
      <c r="K3747" s="3">
        <f>I3747-J3747</f>
        <v>-7</v>
      </c>
      <c r="L3747" s="3" t="str">
        <f>IF(K3747&lt;-5,"CRÍTICO",IF(K3747&lt;0,"ATENÇÃO",IF(K3747&lt;=5,"OPORTUNO","MUITO BOM")))</f>
        <v>CRÍTICO</v>
      </c>
      <c r="M3747">
        <v>23</v>
      </c>
      <c r="N3747">
        <v>96.81</v>
      </c>
      <c r="O3747">
        <v>48.018648018648022</v>
      </c>
    </row>
    <row r="3748" spans="1:15" hidden="1" x14ac:dyDescent="0.25">
      <c r="A3748" s="11">
        <v>46119</v>
      </c>
      <c r="B3748" t="s">
        <v>27</v>
      </c>
      <c r="C3748" t="s">
        <v>26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>E3748+G3748+H3748</f>
        <v>16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18</v>
      </c>
      <c r="K3748" s="3">
        <f>I3748-J3748</f>
        <v>-2</v>
      </c>
      <c r="L3748" s="3" t="str">
        <f>IF(K3748&lt;-5,"CRÍTICO",IF(K3748&lt;0,"ATENÇÃO",IF(K3748&lt;=5,"OPORTUNO","MUITO BOM")))</f>
        <v>ATENÇÃO</v>
      </c>
      <c r="M3748">
        <v>13</v>
      </c>
      <c r="N3748">
        <v>98.15</v>
      </c>
      <c r="O3748">
        <v>27.1551724137931</v>
      </c>
    </row>
    <row r="3749" spans="1:15" hidden="1" x14ac:dyDescent="0.25">
      <c r="A3749" s="11">
        <v>46119</v>
      </c>
      <c r="B3749" t="s">
        <v>41</v>
      </c>
      <c r="C3749" t="s">
        <v>32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>E3749+G3749+H3749</f>
        <v>25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31</v>
      </c>
      <c r="K3749" s="3">
        <f>I3749-J3749</f>
        <v>-6</v>
      </c>
      <c r="L3749" s="3" t="str">
        <f>IF(K3749&lt;-5,"CRÍTICO",IF(K3749&lt;0,"ATENÇÃO",IF(K3749&lt;=5,"OPORTUNO","MUITO BOM")))</f>
        <v>CRÍTICO</v>
      </c>
      <c r="M3749">
        <v>25</v>
      </c>
      <c r="N3749">
        <v>99.15</v>
      </c>
      <c r="O3749">
        <v>27.586206896551719</v>
      </c>
    </row>
    <row r="3750" spans="1:15" hidden="1" x14ac:dyDescent="0.25">
      <c r="A3750" s="11">
        <v>46119</v>
      </c>
      <c r="B3750" t="s">
        <v>56</v>
      </c>
      <c r="C3750" t="s">
        <v>48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>E3750+G3750+H3750</f>
        <v>29</v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>25</v>
      </c>
      <c r="K3750" s="3">
        <f>I3750-J3750</f>
        <v>4</v>
      </c>
      <c r="L3750" s="3" t="str">
        <f>IF(K3750&lt;-5,"CRÍTICO",IF(K3750&lt;0,"ATENÇÃO",IF(K3750&lt;=5,"OPORTUNO","MUITO BOM")))</f>
        <v>OPORTUNO</v>
      </c>
      <c r="M3750">
        <v>26</v>
      </c>
      <c r="N3750">
        <v>99.17</v>
      </c>
      <c r="O3750">
        <v>29.75206611570248</v>
      </c>
    </row>
    <row r="3751" spans="1:15" hidden="1" x14ac:dyDescent="0.25">
      <c r="A3751" s="11">
        <v>46119</v>
      </c>
      <c r="B3751" t="s">
        <v>57</v>
      </c>
      <c r="C3751" t="s">
        <v>48</v>
      </c>
      <c r="D3751">
        <v>37</v>
      </c>
      <c r="E3751">
        <v>34</v>
      </c>
      <c r="F3751">
        <v>16.52</v>
      </c>
      <c r="G3751">
        <v>0</v>
      </c>
      <c r="H3751">
        <v>0</v>
      </c>
      <c r="I3751" s="3">
        <v>0</v>
      </c>
      <c r="J3751" s="3">
        <v>0</v>
      </c>
      <c r="K3751" s="3">
        <v>0</v>
      </c>
      <c r="L3751" s="3" t="str">
        <f>IF(K3751&lt;-5,"CRÍTICO",IF(K3751&lt;0,"ATENÇÃO",IF(K3751&lt;=5,"OPORTUNO","MUITO BOM")))</f>
        <v>OPORTUNO</v>
      </c>
      <c r="M3751">
        <v>33</v>
      </c>
      <c r="N3751">
        <v>98.73</v>
      </c>
      <c r="O3751">
        <v>28.961748633879779</v>
      </c>
    </row>
    <row r="3752" spans="1:15" hidden="1" x14ac:dyDescent="0.25">
      <c r="A3752" s="11">
        <v>46119</v>
      </c>
      <c r="B3752" t="s">
        <v>42</v>
      </c>
      <c r="C3752" t="s">
        <v>32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>E3752+G3752+H3752</f>
        <v>30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31</v>
      </c>
      <c r="K3752" s="3">
        <f>I3752-J3752</f>
        <v>-1</v>
      </c>
      <c r="L3752" s="3" t="str">
        <f>IF(K3752&lt;-5,"CRÍTICO",IF(K3752&lt;0,"ATENÇÃO",IF(K3752&lt;=5,"OPORTUNO","MUITO BOM")))</f>
        <v>ATENÇÃO</v>
      </c>
      <c r="M3752">
        <v>21</v>
      </c>
      <c r="N3752">
        <v>88.68</v>
      </c>
      <c r="O3752">
        <v>22.03389830508474</v>
      </c>
    </row>
    <row r="3753" spans="1:15" hidden="1" x14ac:dyDescent="0.25">
      <c r="A3753" s="11">
        <v>46119</v>
      </c>
      <c r="B3753" t="s">
        <v>62</v>
      </c>
      <c r="C3753" t="s">
        <v>23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>E3753+G3753+H3753</f>
        <v>12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21</v>
      </c>
      <c r="K3753" s="3">
        <f>I3753-J3753</f>
        <v>-9</v>
      </c>
      <c r="L3753" s="3" t="str">
        <f>IF(K3753&lt;-5,"CRÍTICO",IF(K3753&lt;0,"ATENÇÃO",IF(K3753&lt;=5,"OPORTUNO","MUITO BOM")))</f>
        <v>CRÍTICO</v>
      </c>
      <c r="M3753">
        <v>11</v>
      </c>
      <c r="N3753">
        <v>97.37</v>
      </c>
      <c r="O3753">
        <v>25.76530612244898</v>
      </c>
    </row>
    <row r="3754" spans="1:15" hidden="1" x14ac:dyDescent="0.25">
      <c r="A3754" s="11">
        <v>46119</v>
      </c>
      <c r="B3754" t="s">
        <v>19</v>
      </c>
      <c r="C3754" t="s">
        <v>16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>E3754+G3754+H3754</f>
        <v>10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9</v>
      </c>
      <c r="K3754" s="3">
        <f>I3754-J3754</f>
        <v>1</v>
      </c>
      <c r="L3754" s="3" t="str">
        <f>IF(K3754&lt;-5,"CRÍTICO",IF(K3754&lt;0,"ATENÇÃO",IF(K3754&lt;=5,"OPORTUNO","MUITO BOM")))</f>
        <v>OPORTUNO</v>
      </c>
      <c r="M3754">
        <v>7</v>
      </c>
      <c r="N3754">
        <v>100</v>
      </c>
      <c r="O3754">
        <v>25</v>
      </c>
    </row>
    <row r="3755" spans="1:15" hidden="1" x14ac:dyDescent="0.25">
      <c r="A3755" s="11">
        <v>46119</v>
      </c>
      <c r="B3755" t="s">
        <v>43</v>
      </c>
      <c r="C3755" t="s">
        <v>32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>E3755+G3755+H3755</f>
        <v>43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12</v>
      </c>
      <c r="L3755" s="3" t="str">
        <f>IF(K3755&lt;-5,"CRÍTICO",IF(K3755&lt;0,"ATENÇÃO",IF(K3755&lt;=5,"OPORTUNO","MUITO BOM")))</f>
        <v>MUITO BOM</v>
      </c>
      <c r="M3755">
        <v>40</v>
      </c>
      <c r="N3755">
        <v>100</v>
      </c>
      <c r="O3755">
        <v>23.9870340356564</v>
      </c>
    </row>
    <row r="3756" spans="1:15" hidden="1" x14ac:dyDescent="0.25">
      <c r="A3756" s="11">
        <v>46119</v>
      </c>
      <c r="B3756" t="s">
        <v>44</v>
      </c>
      <c r="C3756" t="s">
        <v>32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>E3756+G3756+H3756</f>
        <v>35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31</v>
      </c>
      <c r="K3756" s="3">
        <f>I3756-J3756</f>
        <v>4</v>
      </c>
      <c r="L3756" s="3" t="str">
        <f>IF(K3756&lt;-5,"CRÍTICO",IF(K3756&lt;0,"ATENÇÃO",IF(K3756&lt;=5,"OPORTUNO","MUITO BOM")))</f>
        <v>OPORTUNO</v>
      </c>
      <c r="M3756">
        <v>27</v>
      </c>
      <c r="N3756">
        <v>95.49</v>
      </c>
      <c r="O3756">
        <v>28.370221327967808</v>
      </c>
    </row>
    <row r="3757" spans="1:15" hidden="1" x14ac:dyDescent="0.25">
      <c r="A3757" s="11">
        <v>46119</v>
      </c>
      <c r="B3757" t="s">
        <v>20</v>
      </c>
      <c r="C3757" t="s">
        <v>16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>E3757+G3757+H3757</f>
        <v>10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9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>
        <v>9</v>
      </c>
      <c r="N3757">
        <v>100</v>
      </c>
      <c r="O3757">
        <v>23.77622377622378</v>
      </c>
    </row>
    <row r="3758" spans="1:15" hidden="1" x14ac:dyDescent="0.25">
      <c r="A3758" s="11">
        <v>46119</v>
      </c>
      <c r="B3758" t="s">
        <v>28</v>
      </c>
      <c r="C3758" t="s">
        <v>26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18</v>
      </c>
      <c r="K3758" s="3">
        <f>I3758-J3758</f>
        <v>1</v>
      </c>
      <c r="L3758" s="3" t="str">
        <f>IF(K3758&lt;-5,"CRÍTICO",IF(K3758&lt;0,"ATENÇÃO",IF(K3758&lt;=5,"OPORTUNO","MUITO BOM")))</f>
        <v>OPORTUNO</v>
      </c>
      <c r="M3758">
        <v>12</v>
      </c>
      <c r="N3758">
        <v>96.15</v>
      </c>
      <c r="O3758">
        <v>24.045801526717561</v>
      </c>
    </row>
    <row r="3759" spans="1:15" hidden="1" x14ac:dyDescent="0.25">
      <c r="A3759" s="11">
        <v>46119</v>
      </c>
      <c r="B3759" t="s">
        <v>58</v>
      </c>
      <c r="C3759" t="s">
        <v>48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>E3759+G3759+H3759</f>
        <v>19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25</v>
      </c>
      <c r="K3759" s="3">
        <f>I3759-J3759</f>
        <v>-6</v>
      </c>
      <c r="L3759" s="3" t="str">
        <f>IF(K3759&lt;-5,"CRÍTICO",IF(K3759&lt;0,"ATENÇÃO",IF(K3759&lt;=5,"OPORTUNO","MUITO BOM")))</f>
        <v>CRÍTICO</v>
      </c>
      <c r="M3759">
        <v>18</v>
      </c>
      <c r="N3759">
        <v>99.02</v>
      </c>
      <c r="O3759">
        <v>34.797297297297298</v>
      </c>
    </row>
    <row r="3760" spans="1:15" hidden="1" x14ac:dyDescent="0.25">
      <c r="A3760" s="11">
        <v>46119</v>
      </c>
      <c r="B3760" t="s">
        <v>29</v>
      </c>
      <c r="C3760" t="s">
        <v>26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>
        <v>15</v>
      </c>
      <c r="N3760">
        <v>98.84</v>
      </c>
      <c r="O3760">
        <v>31.868131868131869</v>
      </c>
    </row>
    <row r="3761" spans="1:15" hidden="1" x14ac:dyDescent="0.25">
      <c r="A3761" s="11">
        <v>46119</v>
      </c>
      <c r="B3761" t="s">
        <v>30</v>
      </c>
      <c r="C3761" t="s">
        <v>26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>E3761+G3761+H3761</f>
        <v>16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18</v>
      </c>
      <c r="K3761" s="3">
        <f>I3761-J3761</f>
        <v>-2</v>
      </c>
      <c r="L3761" s="3" t="str">
        <f>IF(K3761&lt;-5,"CRÍTICO",IF(K3761&lt;0,"ATENÇÃO",IF(K3761&lt;=5,"OPORTUNO","MUITO BOM")))</f>
        <v>ATENÇÃO</v>
      </c>
      <c r="M3761">
        <v>13</v>
      </c>
      <c r="N3761">
        <v>100</v>
      </c>
      <c r="O3761">
        <v>34.666666666666671</v>
      </c>
    </row>
    <row r="3762" spans="1:15" hidden="1" x14ac:dyDescent="0.25">
      <c r="A3762" s="11">
        <v>46119</v>
      </c>
      <c r="B3762" t="s">
        <v>21</v>
      </c>
      <c r="C3762" t="s">
        <v>16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>E3762+G3762+H3762</f>
        <v>9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9</v>
      </c>
      <c r="K3762" s="3">
        <f>I3762-J3762</f>
        <v>0</v>
      </c>
      <c r="L3762" s="3" t="str">
        <f>IF(K3762&lt;-5,"CRÍTICO",IF(K3762&lt;0,"ATENÇÃO",IF(K3762&lt;=5,"OPORTUNO","MUITO BOM")))</f>
        <v>OPORTUNO</v>
      </c>
      <c r="M3762">
        <v>5</v>
      </c>
      <c r="N3762">
        <v>94.12</v>
      </c>
      <c r="O3762">
        <v>32.799999999999997</v>
      </c>
    </row>
    <row r="3763" spans="1:15" hidden="1" x14ac:dyDescent="0.25">
      <c r="A3763" s="11">
        <v>46119</v>
      </c>
      <c r="B3763" t="s">
        <v>63</v>
      </c>
      <c r="C3763" t="s">
        <v>23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>E3763+G3763+H3763</f>
        <v>31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21</v>
      </c>
      <c r="K3763" s="3">
        <f>I3763-J3763</f>
        <v>10</v>
      </c>
      <c r="L3763" s="3" t="str">
        <f>IF(K3763&lt;-5,"CRÍTICO",IF(K3763&lt;0,"ATENÇÃO",IF(K3763&lt;=5,"OPORTUNO","MUITO BOM")))</f>
        <v>MUITO BOM</v>
      </c>
      <c r="M3763">
        <v>28</v>
      </c>
      <c r="N3763">
        <v>98.32</v>
      </c>
      <c r="O3763">
        <v>26.858513189448441</v>
      </c>
    </row>
    <row r="3764" spans="1:15" hidden="1" x14ac:dyDescent="0.25">
      <c r="A3764" s="11">
        <v>46119</v>
      </c>
      <c r="B3764" t="s">
        <v>45</v>
      </c>
      <c r="C3764" t="s">
        <v>32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>E3764+G3764+H3764</f>
        <v>39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31</v>
      </c>
      <c r="K3764" s="3">
        <f>I3764-J3764</f>
        <v>8</v>
      </c>
      <c r="L3764" s="3" t="str">
        <f>IF(K3764&lt;-5,"CRÍTICO",IF(K3764&lt;0,"ATENÇÃO",IF(K3764&lt;=5,"OPORTUNO","MUITO BOM")))</f>
        <v>MUITO BOM</v>
      </c>
      <c r="M3764">
        <v>31</v>
      </c>
      <c r="N3764">
        <v>100</v>
      </c>
      <c r="O3764">
        <v>31.135531135531139</v>
      </c>
    </row>
    <row r="3765" spans="1:15" hidden="1" x14ac:dyDescent="0.25">
      <c r="A3765" s="11">
        <v>46119</v>
      </c>
      <c r="B3765" t="s">
        <v>64</v>
      </c>
      <c r="C3765" t="s">
        <v>23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>E3765+G3765+H3765</f>
        <v>21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21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>
        <v>20</v>
      </c>
      <c r="N3765">
        <v>100</v>
      </c>
      <c r="O3765">
        <v>26.36986301369863</v>
      </c>
    </row>
    <row r="3766" spans="1:15" hidden="1" x14ac:dyDescent="0.25">
      <c r="A3766" s="11">
        <v>46119</v>
      </c>
      <c r="B3766" t="s">
        <v>46</v>
      </c>
      <c r="C3766" t="s">
        <v>32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>E3766+G3766+H3766</f>
        <v>31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31</v>
      </c>
      <c r="K3766" s="3">
        <f>I3766-J3766</f>
        <v>0</v>
      </c>
      <c r="L3766" s="3" t="str">
        <f>IF(K3766&lt;-5,"CRÍTICO",IF(K3766&lt;0,"ATENÇÃO",IF(K3766&lt;=5,"OPORTUNO","MUITO BOM")))</f>
        <v>OPORTUNO</v>
      </c>
      <c r="M3766">
        <v>26</v>
      </c>
      <c r="N3766">
        <v>99.21</v>
      </c>
      <c r="O3766">
        <v>25.188916876574311</v>
      </c>
    </row>
    <row r="3767" spans="1:15" hidden="1" x14ac:dyDescent="0.25">
      <c r="A3767" s="11">
        <v>46120</v>
      </c>
      <c r="B3767" t="s">
        <v>47</v>
      </c>
      <c r="C3767" t="s">
        <v>48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>E3767+G3767+H3767</f>
        <v>25</v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>24</v>
      </c>
      <c r="K3767" s="3">
        <f>I3767-J3767</f>
        <v>1</v>
      </c>
      <c r="L3767" s="3" t="str">
        <f>IF(K3767&lt;-5,"CRÍTICO",IF(K3767&lt;0,"ATENÇÃO",IF(K3767&lt;=5,"OPORTUNO","MUITO BOM")))</f>
        <v>OPORTUNO</v>
      </c>
      <c r="M3767">
        <v>15</v>
      </c>
      <c r="N3767">
        <v>100</v>
      </c>
      <c r="O3767">
        <v>32.764505119453922</v>
      </c>
    </row>
    <row r="3768" spans="1:15" hidden="1" x14ac:dyDescent="0.25">
      <c r="A3768" s="11">
        <v>46120</v>
      </c>
      <c r="B3768" t="s">
        <v>31</v>
      </c>
      <c r="C3768" t="s">
        <v>32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v>0</v>
      </c>
      <c r="J3768" s="3">
        <v>0</v>
      </c>
      <c r="K3768" s="3">
        <v>0</v>
      </c>
      <c r="L3768" s="3" t="str">
        <f>IF(K3768&lt;-5,"CRÍTICO",IF(K3768&lt;0,"ATENÇÃO",IF(K3768&lt;=5,"OPORTUNO","MUITO BOM")))</f>
        <v>OPORTUNO</v>
      </c>
      <c r="M3768">
        <v>26</v>
      </c>
      <c r="N3768">
        <v>98.66</v>
      </c>
      <c r="O3768">
        <v>35.416666666666671</v>
      </c>
    </row>
    <row r="3769" spans="1:15" hidden="1" x14ac:dyDescent="0.25">
      <c r="A3769" s="11">
        <v>46120</v>
      </c>
      <c r="B3769" t="s">
        <v>59</v>
      </c>
      <c r="C3769" t="s">
        <v>23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>E3769+G3769+H3769</f>
        <v>33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20</v>
      </c>
      <c r="K3769" s="3">
        <f>I3769-J3769</f>
        <v>13</v>
      </c>
      <c r="L3769" s="3" t="str">
        <f>IF(K3769&lt;-5,"CRÍTICO",IF(K3769&lt;0,"ATENÇÃO",IF(K3769&lt;=5,"OPORTUNO","MUITO BOM")))</f>
        <v>MUITO BOM</v>
      </c>
      <c r="M3769">
        <v>32</v>
      </c>
      <c r="N3769">
        <v>99.32</v>
      </c>
      <c r="O3769">
        <v>30.648330058939099</v>
      </c>
    </row>
    <row r="3770" spans="1:15" hidden="1" x14ac:dyDescent="0.25">
      <c r="A3770" s="11">
        <v>46120</v>
      </c>
      <c r="B3770" t="s">
        <v>33</v>
      </c>
      <c r="C3770" t="s">
        <v>32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>E3770+G3770+H3770</f>
        <v>35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30</v>
      </c>
      <c r="K3770" s="3">
        <f>I3770-J3770</f>
        <v>5</v>
      </c>
      <c r="L3770" s="3" t="str">
        <f>IF(K3770&lt;-5,"CRÍTICO",IF(K3770&lt;0,"ATENÇÃO",IF(K3770&lt;=5,"OPORTUNO","MUITO BOM")))</f>
        <v>OPORTUNO</v>
      </c>
      <c r="M3770">
        <v>31</v>
      </c>
      <c r="N3770">
        <v>100</v>
      </c>
      <c r="O3770">
        <v>27.803738317757009</v>
      </c>
    </row>
    <row r="3771" spans="1:15" hidden="1" x14ac:dyDescent="0.25">
      <c r="A3771" s="11">
        <v>46120</v>
      </c>
      <c r="B3771" t="s">
        <v>15</v>
      </c>
      <c r="C3771" t="s">
        <v>16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>E3771+G3771+H3771</f>
        <v>15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9</v>
      </c>
      <c r="K3771" s="3">
        <f>I3771-J3771</f>
        <v>6</v>
      </c>
      <c r="L3771" s="3" t="str">
        <f>IF(K3771&lt;-5,"CRÍTICO",IF(K3771&lt;0,"ATENÇÃO",IF(K3771&lt;=5,"OPORTUNO","MUITO BOM")))</f>
        <v>MUITO BOM</v>
      </c>
      <c r="M3771">
        <v>13</v>
      </c>
      <c r="N3771">
        <v>96.74</v>
      </c>
      <c r="O3771">
        <v>28.67647058823529</v>
      </c>
    </row>
    <row r="3772" spans="1:15" hidden="1" x14ac:dyDescent="0.25">
      <c r="A3772" s="11">
        <v>46120</v>
      </c>
      <c r="B3772" t="s">
        <v>49</v>
      </c>
      <c r="C3772" t="s">
        <v>48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>E3772+G3772+H3772</f>
        <v>27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3</v>
      </c>
      <c r="L3772" s="3" t="str">
        <f>IF(K3772&lt;-5,"CRÍTICO",IF(K3772&lt;0,"ATENÇÃO",IF(K3772&lt;=5,"OPORTUNO","MUITO BOM")))</f>
        <v>OPORTUNO</v>
      </c>
      <c r="M3772">
        <v>29</v>
      </c>
      <c r="N3772">
        <v>98.82</v>
      </c>
      <c r="O3772">
        <v>30.741410488245929</v>
      </c>
    </row>
    <row r="3773" spans="1:15" hidden="1" x14ac:dyDescent="0.25">
      <c r="A3773" s="11">
        <v>46120</v>
      </c>
      <c r="B3773" t="s">
        <v>50</v>
      </c>
      <c r="C3773" t="s">
        <v>48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>E3773+G3773+H3773</f>
        <v>14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24</v>
      </c>
      <c r="K3773" s="3">
        <f>I3773-J3773</f>
        <v>-10</v>
      </c>
      <c r="L3773" s="3" t="str">
        <f>IF(K3773&lt;-5,"CRÍTICO",IF(K3773&lt;0,"ATENÇÃO",IF(K3773&lt;=5,"OPORTUNO","MUITO BOM")))</f>
        <v>CRÍTICO</v>
      </c>
      <c r="M3773">
        <v>18</v>
      </c>
      <c r="N3773">
        <v>98.2</v>
      </c>
      <c r="O3773">
        <v>27.170868347338931</v>
      </c>
    </row>
    <row r="3774" spans="1:15" hidden="1" x14ac:dyDescent="0.25">
      <c r="A3774" s="11">
        <v>46120</v>
      </c>
      <c r="B3774" t="s">
        <v>17</v>
      </c>
      <c r="C3774" t="s">
        <v>16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>E3774+G3774+H3774</f>
        <v>4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9</v>
      </c>
      <c r="K3774" s="3">
        <f>I3774-J3774</f>
        <v>-5</v>
      </c>
      <c r="L3774" s="3" t="str">
        <f>IF(K3774&lt;-5,"CRÍTICO",IF(K3774&lt;0,"ATENÇÃO",IF(K3774&lt;=5,"OPORTUNO","MUITO BOM")))</f>
        <v>ATENÇÃO</v>
      </c>
      <c r="M3774">
        <v>4</v>
      </c>
      <c r="N3774">
        <v>100</v>
      </c>
      <c r="O3774">
        <v>23.134328358208951</v>
      </c>
    </row>
    <row r="3775" spans="1:15" hidden="1" x14ac:dyDescent="0.25">
      <c r="A3775" s="11">
        <v>46120</v>
      </c>
      <c r="B3775" t="s">
        <v>60</v>
      </c>
      <c r="C3775" t="s">
        <v>23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>E3775+G3775+H3775</f>
        <v>22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20</v>
      </c>
      <c r="K3775" s="3">
        <f>I3775-J3775</f>
        <v>2</v>
      </c>
      <c r="L3775" s="3" t="str">
        <f>IF(K3775&lt;-5,"CRÍTICO",IF(K3775&lt;0,"ATENÇÃO",IF(K3775&lt;=5,"OPORTUNO","MUITO BOM")))</f>
        <v>OPORTUNO</v>
      </c>
      <c r="M3775">
        <v>30</v>
      </c>
      <c r="N3775">
        <v>96.3</v>
      </c>
      <c r="O3775">
        <v>32.219570405727922</v>
      </c>
    </row>
    <row r="3776" spans="1:15" hidden="1" x14ac:dyDescent="0.25">
      <c r="A3776" s="11">
        <v>46120</v>
      </c>
      <c r="B3776" t="s">
        <v>34</v>
      </c>
      <c r="C3776" t="s">
        <v>32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>E3776+G3776+H3776</f>
        <v>21</v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>30</v>
      </c>
      <c r="K3776" s="3">
        <f>I3776-J3776</f>
        <v>-9</v>
      </c>
      <c r="L3776" s="3" t="str">
        <f>IF(K3776&lt;-5,"CRÍTICO",IF(K3776&lt;0,"ATENÇÃO",IF(K3776&lt;=5,"OPORTUNO","MUITO BOM")))</f>
        <v>CRÍTICO</v>
      </c>
      <c r="M3776">
        <v>17</v>
      </c>
      <c r="N3776">
        <v>93.75</v>
      </c>
      <c r="O3776">
        <v>26.819923371647509</v>
      </c>
    </row>
    <row r="3777" spans="1:15" hidden="1" x14ac:dyDescent="0.25">
      <c r="A3777" s="11">
        <v>46120</v>
      </c>
      <c r="B3777" t="s">
        <v>51</v>
      </c>
      <c r="C3777" t="s">
        <v>48</v>
      </c>
      <c r="D3777">
        <v>37</v>
      </c>
      <c r="E3777">
        <v>33</v>
      </c>
      <c r="F3777">
        <v>15.35</v>
      </c>
      <c r="G3777">
        <v>0</v>
      </c>
      <c r="H3777">
        <v>0</v>
      </c>
      <c r="I3777" s="3">
        <v>0</v>
      </c>
      <c r="J3777" s="3">
        <v>0</v>
      </c>
      <c r="K3777" s="3">
        <v>0</v>
      </c>
      <c r="L3777" s="3" t="str">
        <f>IF(K3777&lt;-5,"CRÍTICO",IF(K3777&lt;0,"ATENÇÃO",IF(K3777&lt;=5,"OPORTUNO","MUITO BOM")))</f>
        <v>OPORTUNO</v>
      </c>
      <c r="M3777">
        <v>31</v>
      </c>
      <c r="N3777">
        <v>97.86</v>
      </c>
      <c r="O3777">
        <v>31.018518518518519</v>
      </c>
    </row>
    <row r="3778" spans="1:15" hidden="1" x14ac:dyDescent="0.25">
      <c r="A3778" s="11">
        <v>46120</v>
      </c>
      <c r="B3778" t="s">
        <v>61</v>
      </c>
      <c r="C3778" t="s">
        <v>23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>E3778+G3778+H3778</f>
        <v>28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20</v>
      </c>
      <c r="K3778" s="3">
        <f>I3778-J3778</f>
        <v>8</v>
      </c>
      <c r="L3778" s="3" t="str">
        <f>IF(K3778&lt;-5,"CRÍTICO",IF(K3778&lt;0,"ATENÇÃO",IF(K3778&lt;=5,"OPORTUNO","MUITO BOM")))</f>
        <v>MUITO BOM</v>
      </c>
      <c r="M3778">
        <v>19</v>
      </c>
      <c r="N3778">
        <v>100</v>
      </c>
      <c r="O3778">
        <v>36.594202898550733</v>
      </c>
    </row>
    <row r="3779" spans="1:15" hidden="1" x14ac:dyDescent="0.25">
      <c r="A3779" s="11">
        <v>46120</v>
      </c>
      <c r="B3779" t="s">
        <v>35</v>
      </c>
      <c r="C3779" t="s">
        <v>32</v>
      </c>
      <c r="D3779">
        <v>34</v>
      </c>
      <c r="E3779">
        <v>34</v>
      </c>
      <c r="F3779">
        <v>19.03</v>
      </c>
      <c r="G3779">
        <v>0</v>
      </c>
      <c r="H3779">
        <v>0</v>
      </c>
      <c r="I3779" s="3">
        <v>0</v>
      </c>
      <c r="J3779" s="3">
        <v>0</v>
      </c>
      <c r="K3779" s="3">
        <v>0</v>
      </c>
      <c r="L3779" s="3" t="str">
        <f>IF(K3779&lt;-5,"CRÍTICO",IF(K3779&lt;0,"ATENÇÃO",IF(K3779&lt;=5,"OPORTUNO","MUITO BOM")))</f>
        <v>OPORTUNO</v>
      </c>
      <c r="M3779">
        <v>39</v>
      </c>
      <c r="N3779">
        <v>100</v>
      </c>
      <c r="O3779">
        <v>38.653846153846153</v>
      </c>
    </row>
    <row r="3780" spans="1:15" hidden="1" x14ac:dyDescent="0.25">
      <c r="A3780" s="11">
        <v>46120</v>
      </c>
      <c r="B3780" t="s">
        <v>18</v>
      </c>
      <c r="C3780" t="s">
        <v>16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>E3780+G3780+H3780</f>
        <v>4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9</v>
      </c>
      <c r="K3780" s="3">
        <f>I3780-J3780</f>
        <v>-5</v>
      </c>
      <c r="L3780" s="3" t="str">
        <f>IF(K3780&lt;-5,"CRÍTICO",IF(K3780&lt;0,"ATENÇÃO",IF(K3780&lt;=5,"OPORTUNO","MUITO BOM")))</f>
        <v>ATENÇÃO</v>
      </c>
      <c r="M3780">
        <v>2</v>
      </c>
      <c r="N3780">
        <v>100</v>
      </c>
      <c r="O3780">
        <v>27.368421052631579</v>
      </c>
    </row>
    <row r="3781" spans="1:15" hidden="1" x14ac:dyDescent="0.25">
      <c r="A3781" s="11">
        <v>46120</v>
      </c>
      <c r="B3781" t="s">
        <v>52</v>
      </c>
      <c r="C3781" t="s">
        <v>48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>E3781+G3781+H3781</f>
        <v>27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24</v>
      </c>
      <c r="K3781" s="3">
        <f>I3781-J3781</f>
        <v>3</v>
      </c>
      <c r="L3781" s="3" t="str">
        <f>IF(K3781&lt;-5,"CRÍTICO",IF(K3781&lt;0,"ATENÇÃO",IF(K3781&lt;=5,"OPORTUNO","MUITO BOM")))</f>
        <v>OPORTUNO</v>
      </c>
      <c r="M3781">
        <v>25</v>
      </c>
      <c r="N3781">
        <v>97.83</v>
      </c>
      <c r="O3781">
        <v>28.35164835164835</v>
      </c>
    </row>
    <row r="3782" spans="1:15" hidden="1" x14ac:dyDescent="0.25">
      <c r="A3782" s="11">
        <v>46120</v>
      </c>
      <c r="B3782" t="s">
        <v>36</v>
      </c>
      <c r="C3782" t="s">
        <v>32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>E3782+G3782+H3782</f>
        <v>26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30</v>
      </c>
      <c r="K3782" s="3">
        <f>I3782-J3782</f>
        <v>-4</v>
      </c>
      <c r="L3782" s="3" t="str">
        <f>IF(K3782&lt;-5,"CRÍTICO",IF(K3782&lt;0,"ATENÇÃO",IF(K3782&lt;=5,"OPORTUNO","MUITO BOM")))</f>
        <v>ATENÇÃO</v>
      </c>
      <c r="M3782">
        <v>23</v>
      </c>
      <c r="N3782">
        <v>99.26</v>
      </c>
      <c r="O3782">
        <v>29.766536964980549</v>
      </c>
    </row>
    <row r="3783" spans="1:15" hidden="1" x14ac:dyDescent="0.25">
      <c r="A3783" s="11">
        <v>46120</v>
      </c>
      <c r="B3783" t="s">
        <v>53</v>
      </c>
      <c r="C3783" t="s">
        <v>48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>E3783+G3783+H3783</f>
        <v>33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24</v>
      </c>
      <c r="K3783" s="3">
        <f>I3783-J3783</f>
        <v>9</v>
      </c>
      <c r="L3783" s="3" t="str">
        <f>IF(K3783&lt;-5,"CRÍTICO",IF(K3783&lt;0,"ATENÇÃO",IF(K3783&lt;=5,"OPORTUNO","MUITO BOM")))</f>
        <v>MUITO BOM</v>
      </c>
      <c r="M3783">
        <v>28</v>
      </c>
      <c r="N3783">
        <v>99.19</v>
      </c>
      <c r="O3783">
        <v>29.462365591397852</v>
      </c>
    </row>
    <row r="3784" spans="1:15" hidden="1" x14ac:dyDescent="0.25">
      <c r="A3784" s="11">
        <v>46167</v>
      </c>
      <c r="B3784" t="s">
        <v>53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>
        <v>0</v>
      </c>
      <c r="N3784">
        <v>100</v>
      </c>
      <c r="O3784">
        <v>17.241379310344829</v>
      </c>
    </row>
    <row r="3785" spans="1:15" hidden="1" x14ac:dyDescent="0.25">
      <c r="A3785" s="11">
        <v>46120</v>
      </c>
      <c r="B3785" t="s">
        <v>54</v>
      </c>
      <c r="C3785" t="s">
        <v>48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v>0</v>
      </c>
      <c r="J3785" s="3">
        <v>0</v>
      </c>
      <c r="K3785" s="3">
        <v>0</v>
      </c>
      <c r="L3785" s="3" t="str">
        <f>IF(K3785&lt;-5,"CRÍTICO",IF(K3785&lt;0,"ATENÇÃO",IF(K3785&lt;=5,"OPORTUNO","MUITO BOM")))</f>
        <v>OPORTUNO</v>
      </c>
      <c r="M3785">
        <v>0</v>
      </c>
      <c r="N3785">
        <v>100</v>
      </c>
      <c r="O3785">
        <v>28.921568627450981</v>
      </c>
    </row>
    <row r="3786" spans="1:15" hidden="1" x14ac:dyDescent="0.25">
      <c r="A3786" s="11">
        <v>46120</v>
      </c>
      <c r="B3786" t="s">
        <v>37</v>
      </c>
      <c r="C3786" t="s">
        <v>32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>E3786+G3786+H3786</f>
        <v>37</v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>30</v>
      </c>
      <c r="K3786" s="3">
        <f>I3786-J3786</f>
        <v>7</v>
      </c>
      <c r="L3786" s="3" t="str">
        <f>IF(K3786&lt;-5,"CRÍTICO",IF(K3786&lt;0,"ATENÇÃO",IF(K3786&lt;=5,"OPORTUNO","MUITO BOM")))</f>
        <v>MUITO BOM</v>
      </c>
      <c r="M3786">
        <v>37</v>
      </c>
      <c r="N3786">
        <v>99.57</v>
      </c>
      <c r="O3786">
        <v>30.635838150289018</v>
      </c>
    </row>
    <row r="3787" spans="1:15" hidden="1" x14ac:dyDescent="0.25">
      <c r="A3787" s="11">
        <v>46120</v>
      </c>
      <c r="B3787" t="s">
        <v>38</v>
      </c>
      <c r="C3787" t="s">
        <v>32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v>0</v>
      </c>
      <c r="J3787" s="3">
        <v>0</v>
      </c>
      <c r="K3787" s="3">
        <v>0</v>
      </c>
      <c r="L3787" s="3" t="str">
        <f>IF(K3787&lt;-5,"CRÍTICO",IF(K3787&lt;0,"ATENÇÃO",IF(K3787&lt;=5,"OPORTUNO","MUITO BOM")))</f>
        <v>OPORTUNO</v>
      </c>
      <c r="M3787">
        <v>0</v>
      </c>
      <c r="N3787">
        <v>95.65</v>
      </c>
      <c r="O3787">
        <v>32.432432432432442</v>
      </c>
    </row>
    <row r="3788" spans="1:15" hidden="1" x14ac:dyDescent="0.25">
      <c r="A3788" s="11">
        <v>46120</v>
      </c>
      <c r="B3788" t="s">
        <v>55</v>
      </c>
      <c r="C3788" t="s">
        <v>48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>E3788+G3788+H3788</f>
        <v>25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24</v>
      </c>
      <c r="K3788" s="3">
        <f>I3788-J3788</f>
        <v>1</v>
      </c>
      <c r="L3788" s="3" t="str">
        <f>IF(K3788&lt;-5,"CRÍTICO",IF(K3788&lt;0,"ATENÇÃO",IF(K3788&lt;=5,"OPORTUNO","MUITO BOM")))</f>
        <v>OPORTUNO</v>
      </c>
      <c r="M3788">
        <v>24</v>
      </c>
      <c r="N3788">
        <v>98.81</v>
      </c>
      <c r="O3788">
        <v>26.256983240223459</v>
      </c>
    </row>
    <row r="3789" spans="1:15" hidden="1" x14ac:dyDescent="0.25">
      <c r="A3789" s="11">
        <v>46120</v>
      </c>
      <c r="B3789" t="s">
        <v>39</v>
      </c>
      <c r="C3789" t="s">
        <v>32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v>0</v>
      </c>
      <c r="J3789" s="3">
        <v>0</v>
      </c>
      <c r="K3789" s="3">
        <v>0</v>
      </c>
      <c r="L3789" s="3" t="str">
        <f>IF(K3789&lt;-5,"CRÍTICO",IF(K3789&lt;0,"ATENÇÃO",IF(K3789&lt;=5,"OPORTUNO","MUITO BOM")))</f>
        <v>OPORTUNO</v>
      </c>
      <c r="M3789">
        <v>0</v>
      </c>
      <c r="N3789">
        <v>0</v>
      </c>
      <c r="O3789">
        <v>0</v>
      </c>
    </row>
    <row r="3790" spans="1:15" hidden="1" x14ac:dyDescent="0.25">
      <c r="A3790" s="11">
        <v>46120</v>
      </c>
      <c r="B3790" t="s">
        <v>25</v>
      </c>
      <c r="C3790" t="s">
        <v>26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>E3790+G3790+H3790</f>
        <v>22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17</v>
      </c>
      <c r="K3790" s="3">
        <f>I3790-J3790</f>
        <v>5</v>
      </c>
      <c r="L3790" s="3" t="str">
        <f>IF(K3790&lt;-5,"CRÍTICO",IF(K3790&lt;0,"ATENÇÃO",IF(K3790&lt;=5,"OPORTUNO","MUITO BOM")))</f>
        <v>OPORTUNO</v>
      </c>
      <c r="M3790">
        <v>14</v>
      </c>
      <c r="N3790">
        <v>97.17</v>
      </c>
      <c r="O3790">
        <v>28.81844380403458</v>
      </c>
    </row>
    <row r="3791" spans="1:15" hidden="1" x14ac:dyDescent="0.25">
      <c r="A3791" s="11">
        <v>46120</v>
      </c>
      <c r="B3791" t="s">
        <v>40</v>
      </c>
      <c r="C3791" t="s">
        <v>32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30</v>
      </c>
      <c r="K3791" s="3">
        <f>I3791-J3791</f>
        <v>-13</v>
      </c>
      <c r="L3791" s="3" t="str">
        <f>IF(K3791&lt;-5,"CRÍTICO",IF(K3791&lt;0,"ATENÇÃO",IF(K3791&lt;=5,"OPORTUNO","MUITO BOM")))</f>
        <v>CRÍTICO</v>
      </c>
      <c r="M3791">
        <v>18</v>
      </c>
      <c r="N3791">
        <v>96.81</v>
      </c>
      <c r="O3791">
        <v>48.018648018648022</v>
      </c>
    </row>
    <row r="3792" spans="1:15" hidden="1" x14ac:dyDescent="0.25">
      <c r="A3792" s="11">
        <v>46120</v>
      </c>
      <c r="B3792" t="s">
        <v>27</v>
      </c>
      <c r="C3792" t="s">
        <v>26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>E3792+G3792+H3792</f>
        <v>17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17</v>
      </c>
      <c r="K3792" s="3">
        <f>I3792-J3792</f>
        <v>0</v>
      </c>
      <c r="L3792" s="3" t="str">
        <f>IF(K3792&lt;-5,"CRÍTICO",IF(K3792&lt;0,"ATENÇÃO",IF(K3792&lt;=5,"OPORTUNO","MUITO BOM")))</f>
        <v>OPORTUNO</v>
      </c>
      <c r="M3792">
        <v>13</v>
      </c>
      <c r="N3792">
        <v>98.15</v>
      </c>
      <c r="O3792">
        <v>27.1551724137931</v>
      </c>
    </row>
    <row r="3793" spans="1:15" hidden="1" x14ac:dyDescent="0.25">
      <c r="A3793" s="11">
        <v>46120</v>
      </c>
      <c r="B3793" t="s">
        <v>41</v>
      </c>
      <c r="C3793" t="s">
        <v>32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>E3793+G3793+H3793</f>
        <v>29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30</v>
      </c>
      <c r="K3793" s="3">
        <f>I3793-J3793</f>
        <v>-1</v>
      </c>
      <c r="L3793" s="3" t="str">
        <f>IF(K3793&lt;-5,"CRÍTICO",IF(K3793&lt;0,"ATENÇÃO",IF(K3793&lt;=5,"OPORTUNO","MUITO BOM")))</f>
        <v>ATENÇÃO</v>
      </c>
      <c r="M3793">
        <v>28</v>
      </c>
      <c r="N3793">
        <v>99.15</v>
      </c>
      <c r="O3793">
        <v>27.586206896551719</v>
      </c>
    </row>
    <row r="3794" spans="1:15" hidden="1" x14ac:dyDescent="0.25">
      <c r="A3794" s="11">
        <v>46120</v>
      </c>
      <c r="B3794" t="s">
        <v>56</v>
      </c>
      <c r="C3794" t="s">
        <v>48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>E3794+G3794+H3794</f>
        <v>24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24</v>
      </c>
      <c r="K3794" s="3">
        <f>I3794-J3794</f>
        <v>0</v>
      </c>
      <c r="L3794" s="3" t="str">
        <f>IF(K3794&lt;-5,"CRÍTICO",IF(K3794&lt;0,"ATENÇÃO",IF(K3794&lt;=5,"OPORTUNO","MUITO BOM")))</f>
        <v>OPORTUNO</v>
      </c>
      <c r="M3794">
        <v>13</v>
      </c>
      <c r="N3794">
        <v>99.17</v>
      </c>
      <c r="O3794">
        <v>29.75206611570248</v>
      </c>
    </row>
    <row r="3795" spans="1:15" hidden="1" x14ac:dyDescent="0.25">
      <c r="A3795" s="11">
        <v>46120</v>
      </c>
      <c r="B3795" t="s">
        <v>57</v>
      </c>
      <c r="C3795" t="s">
        <v>48</v>
      </c>
      <c r="D3795">
        <v>21</v>
      </c>
      <c r="E3795">
        <v>20</v>
      </c>
      <c r="F3795">
        <v>21.5</v>
      </c>
      <c r="G3795">
        <v>0</v>
      </c>
      <c r="H3795">
        <v>0</v>
      </c>
      <c r="I3795" s="3">
        <v>0</v>
      </c>
      <c r="J3795" s="3">
        <v>0</v>
      </c>
      <c r="K3795" s="3">
        <v>0</v>
      </c>
      <c r="L3795" s="3" t="str">
        <f>IF(K3795&lt;-5,"CRÍTICO",IF(K3795&lt;0,"ATENÇÃO",IF(K3795&lt;=5,"OPORTUNO","MUITO BOM")))</f>
        <v>OPORTUNO</v>
      </c>
      <c r="M3795">
        <v>23</v>
      </c>
      <c r="N3795">
        <v>98.73</v>
      </c>
      <c r="O3795">
        <v>28.961748633879779</v>
      </c>
    </row>
    <row r="3796" spans="1:15" hidden="1" x14ac:dyDescent="0.25">
      <c r="A3796" s="11">
        <v>46120</v>
      </c>
      <c r="B3796" t="s">
        <v>42</v>
      </c>
      <c r="C3796" t="s">
        <v>32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>E3796+G3796+H3796</f>
        <v>36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30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>
        <v>21</v>
      </c>
      <c r="N3796">
        <v>88.68</v>
      </c>
      <c r="O3796">
        <v>22.03389830508474</v>
      </c>
    </row>
    <row r="3797" spans="1:15" hidden="1" x14ac:dyDescent="0.25">
      <c r="A3797" s="11">
        <v>46120</v>
      </c>
      <c r="B3797" t="s">
        <v>62</v>
      </c>
      <c r="C3797" t="s">
        <v>23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>E3797+G3797+H3797</f>
        <v>26</v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>20</v>
      </c>
      <c r="K3797" s="3">
        <f>I3797-J3797</f>
        <v>6</v>
      </c>
      <c r="L3797" s="3" t="str">
        <f>IF(K3797&lt;-5,"CRÍTICO",IF(K3797&lt;0,"ATENÇÃO",IF(K3797&lt;=5,"OPORTUNO","MUITO BOM")))</f>
        <v>MUITO BOM</v>
      </c>
      <c r="M3797">
        <v>28</v>
      </c>
      <c r="N3797">
        <v>97.37</v>
      </c>
      <c r="O3797">
        <v>25.76530612244898</v>
      </c>
    </row>
    <row r="3798" spans="1:15" hidden="1" x14ac:dyDescent="0.25">
      <c r="A3798" s="11">
        <v>46120</v>
      </c>
      <c r="B3798" t="s">
        <v>19</v>
      </c>
      <c r="C3798" t="s">
        <v>16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v>0</v>
      </c>
      <c r="J3798" s="3">
        <v>0</v>
      </c>
      <c r="K3798" s="3">
        <v>0</v>
      </c>
      <c r="L3798" s="3" t="str">
        <f>IF(K3798&lt;-5,"CRÍTICO",IF(K3798&lt;0,"ATENÇÃO",IF(K3798&lt;=5,"OPORTUNO","MUITO BOM")))</f>
        <v>OPORTUNO</v>
      </c>
      <c r="M3798">
        <v>0</v>
      </c>
      <c r="N3798">
        <v>100</v>
      </c>
      <c r="O3798">
        <v>25</v>
      </c>
    </row>
    <row r="3799" spans="1:15" hidden="1" x14ac:dyDescent="0.25">
      <c r="A3799" s="11">
        <v>46120</v>
      </c>
      <c r="B3799" t="s">
        <v>43</v>
      </c>
      <c r="C3799" t="s">
        <v>32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>E3799+G3799+H3799</f>
        <v>18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-12</v>
      </c>
      <c r="L3799" s="3" t="str">
        <f>IF(K3799&lt;-5,"CRÍTICO",IF(K3799&lt;0,"ATENÇÃO",IF(K3799&lt;=5,"OPORTUNO","MUITO BOM")))</f>
        <v>CRÍTICO</v>
      </c>
      <c r="M3799">
        <v>20</v>
      </c>
      <c r="N3799">
        <v>100</v>
      </c>
      <c r="O3799">
        <v>23.9870340356564</v>
      </c>
    </row>
    <row r="3800" spans="1:15" hidden="1" x14ac:dyDescent="0.25">
      <c r="A3800" s="11">
        <v>46120</v>
      </c>
      <c r="B3800" t="s">
        <v>44</v>
      </c>
      <c r="C3800" t="s">
        <v>32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>E3800+G3800+H3800</f>
        <v>37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30</v>
      </c>
      <c r="K3800" s="3">
        <f>I3800-J3800</f>
        <v>7</v>
      </c>
      <c r="L3800" s="3" t="str">
        <f>IF(K3800&lt;-5,"CRÍTICO",IF(K3800&lt;0,"ATENÇÃO",IF(K3800&lt;=5,"OPORTUNO","MUITO BOM")))</f>
        <v>MUITO BOM</v>
      </c>
      <c r="M3800">
        <v>32</v>
      </c>
      <c r="N3800">
        <v>95.49</v>
      </c>
      <c r="O3800">
        <v>28.370221327967808</v>
      </c>
    </row>
    <row r="3801" spans="1:15" hidden="1" x14ac:dyDescent="0.25">
      <c r="A3801" s="11">
        <v>46120</v>
      </c>
      <c r="B3801" t="s">
        <v>20</v>
      </c>
      <c r="C3801" t="s">
        <v>16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>E3801+G3801+H3801</f>
        <v>5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9</v>
      </c>
      <c r="K3801" s="3">
        <f>I3801-J3801</f>
        <v>-4</v>
      </c>
      <c r="L3801" s="3" t="str">
        <f>IF(K3801&lt;-5,"CRÍTICO",IF(K3801&lt;0,"ATENÇÃO",IF(K3801&lt;=5,"OPORTUNO","MUITO BOM")))</f>
        <v>ATENÇÃO</v>
      </c>
      <c r="M3801">
        <v>2</v>
      </c>
      <c r="N3801">
        <v>100</v>
      </c>
      <c r="O3801">
        <v>23.77622377622378</v>
      </c>
    </row>
    <row r="3802" spans="1:15" hidden="1" x14ac:dyDescent="0.25">
      <c r="A3802" s="11">
        <v>46120</v>
      </c>
      <c r="B3802" t="s">
        <v>28</v>
      </c>
      <c r="C3802" t="s">
        <v>26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>E3802+G3802+H3802</f>
        <v>30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17</v>
      </c>
      <c r="K3802" s="3">
        <f>I3802-J3802</f>
        <v>13</v>
      </c>
      <c r="L3802" s="3" t="str">
        <f>IF(K3802&lt;-5,"CRÍTICO",IF(K3802&lt;0,"ATENÇÃO",IF(K3802&lt;=5,"OPORTUNO","MUITO BOM")))</f>
        <v>MUITO BOM</v>
      </c>
      <c r="M3802">
        <v>23</v>
      </c>
      <c r="N3802">
        <v>96.15</v>
      </c>
      <c r="O3802">
        <v>24.045801526717561</v>
      </c>
    </row>
    <row r="3803" spans="1:15" hidden="1" x14ac:dyDescent="0.25">
      <c r="A3803" s="11">
        <v>46120</v>
      </c>
      <c r="B3803" t="s">
        <v>58</v>
      </c>
      <c r="C3803" t="s">
        <v>48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>E3803+G3803+H3803</f>
        <v>8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24</v>
      </c>
      <c r="K3803" s="3">
        <f>I3803-J3803</f>
        <v>-16</v>
      </c>
      <c r="L3803" s="3" t="str">
        <f>IF(K3803&lt;-5,"CRÍTICO",IF(K3803&lt;0,"ATENÇÃO",IF(K3803&lt;=5,"OPORTUNO","MUITO BOM")))</f>
        <v>CRÍTICO</v>
      </c>
      <c r="M3803">
        <v>8</v>
      </c>
      <c r="N3803">
        <v>99.02</v>
      </c>
      <c r="O3803">
        <v>34.797297297297298</v>
      </c>
    </row>
    <row r="3804" spans="1:15" hidden="1" x14ac:dyDescent="0.25">
      <c r="A3804" s="11">
        <v>46120</v>
      </c>
      <c r="B3804" t="s">
        <v>29</v>
      </c>
      <c r="C3804" t="s">
        <v>26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>E3804+G3804+H3804</f>
        <v>17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0</v>
      </c>
      <c r="L3804" s="3" t="str">
        <f>IF(K3804&lt;-5,"CRÍTICO",IF(K3804&lt;0,"ATENÇÃO",IF(K3804&lt;=5,"OPORTUNO","MUITO BOM")))</f>
        <v>OPORTUNO</v>
      </c>
      <c r="M3804">
        <v>13</v>
      </c>
      <c r="N3804">
        <v>98.84</v>
      </c>
      <c r="O3804">
        <v>31.868131868131869</v>
      </c>
    </row>
    <row r="3805" spans="1:15" hidden="1" x14ac:dyDescent="0.25">
      <c r="A3805" s="11">
        <v>46120</v>
      </c>
      <c r="B3805" t="s">
        <v>30</v>
      </c>
      <c r="C3805" t="s">
        <v>26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>E3805+G3805+H3805</f>
        <v>18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17</v>
      </c>
      <c r="K3805" s="3">
        <f>I3805-J3805</f>
        <v>1</v>
      </c>
      <c r="L3805" s="3" t="str">
        <f>IF(K3805&lt;-5,"CRÍTICO",IF(K3805&lt;0,"ATENÇÃO",IF(K3805&lt;=5,"OPORTUNO","MUITO BOM")))</f>
        <v>OPORTUNO</v>
      </c>
      <c r="M3805">
        <v>18</v>
      </c>
      <c r="N3805">
        <v>100</v>
      </c>
      <c r="O3805">
        <v>34.666666666666671</v>
      </c>
    </row>
    <row r="3806" spans="1:15" hidden="1" x14ac:dyDescent="0.25">
      <c r="A3806" s="11">
        <v>46120</v>
      </c>
      <c r="B3806" t="s">
        <v>21</v>
      </c>
      <c r="C3806" t="s">
        <v>16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>E3806+G3806+H3806</f>
        <v>6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9</v>
      </c>
      <c r="K3806" s="3">
        <f>I3806-J3806</f>
        <v>-3</v>
      </c>
      <c r="L3806" s="3" t="str">
        <f>IF(K3806&lt;-5,"CRÍTICO",IF(K3806&lt;0,"ATENÇÃO",IF(K3806&lt;=5,"OPORTUNO","MUITO BOM")))</f>
        <v>ATENÇÃO</v>
      </c>
      <c r="M3806">
        <v>7</v>
      </c>
      <c r="N3806">
        <v>94.12</v>
      </c>
      <c r="O3806">
        <v>32.799999999999997</v>
      </c>
    </row>
    <row r="3807" spans="1:15" hidden="1" x14ac:dyDescent="0.25">
      <c r="A3807" s="11">
        <v>46120</v>
      </c>
      <c r="B3807" t="s">
        <v>63</v>
      </c>
      <c r="C3807" t="s">
        <v>23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>E3807+G3807+H3807</f>
        <v>29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20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>
        <v>25</v>
      </c>
      <c r="N3807">
        <v>98.32</v>
      </c>
      <c r="O3807">
        <v>26.858513189448441</v>
      </c>
    </row>
    <row r="3808" spans="1:15" hidden="1" x14ac:dyDescent="0.25">
      <c r="A3808" s="11">
        <v>46120</v>
      </c>
      <c r="B3808" t="s">
        <v>45</v>
      </c>
      <c r="C3808" t="s">
        <v>32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>E3808+G3808+H3808</f>
        <v>39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30</v>
      </c>
      <c r="K3808" s="3">
        <f>I3808-J3808</f>
        <v>9</v>
      </c>
      <c r="L3808" s="3" t="str">
        <f>IF(K3808&lt;-5,"CRÍTICO",IF(K3808&lt;0,"ATENÇÃO",IF(K3808&lt;=5,"OPORTUNO","MUITO BOM")))</f>
        <v>MUITO BOM</v>
      </c>
      <c r="M3808">
        <v>30</v>
      </c>
      <c r="N3808">
        <v>100</v>
      </c>
      <c r="O3808">
        <v>31.135531135531139</v>
      </c>
    </row>
    <row r="3809" spans="1:15" hidden="1" x14ac:dyDescent="0.25">
      <c r="A3809" s="11">
        <v>46120</v>
      </c>
      <c r="B3809" t="s">
        <v>64</v>
      </c>
      <c r="C3809" t="s">
        <v>23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>E3809+G3809+H3809</f>
        <v>23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20</v>
      </c>
      <c r="K3809" s="3">
        <f>I3809-J3809</f>
        <v>3</v>
      </c>
      <c r="L3809" s="3" t="str">
        <f>IF(K3809&lt;-5,"CRÍTICO",IF(K3809&lt;0,"ATENÇÃO",IF(K3809&lt;=5,"OPORTUNO","MUITO BOM")))</f>
        <v>OPORTUNO</v>
      </c>
      <c r="M3809">
        <v>16</v>
      </c>
      <c r="N3809">
        <v>100</v>
      </c>
      <c r="O3809">
        <v>26.36986301369863</v>
      </c>
    </row>
    <row r="3810" spans="1:15" hidden="1" x14ac:dyDescent="0.25">
      <c r="A3810" s="11">
        <v>46120</v>
      </c>
      <c r="B3810" t="s">
        <v>46</v>
      </c>
      <c r="C3810" t="s">
        <v>32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>E3810+G3810+H3810</f>
        <v>25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30</v>
      </c>
      <c r="K3810" s="3">
        <f>I3810-J3810</f>
        <v>-5</v>
      </c>
      <c r="L3810" s="3" t="str">
        <f>IF(K3810&lt;-5,"CRÍTICO",IF(K3810&lt;0,"ATENÇÃO",IF(K3810&lt;=5,"OPORTUNO","MUITO BOM")))</f>
        <v>ATENÇÃO</v>
      </c>
      <c r="M3810">
        <v>21</v>
      </c>
      <c r="N3810">
        <v>99.21</v>
      </c>
      <c r="O3810">
        <v>25.188916876574311</v>
      </c>
    </row>
    <row r="3811" spans="1:15" hidden="1" x14ac:dyDescent="0.25">
      <c r="A3811" s="11">
        <v>46121</v>
      </c>
      <c r="B3811" t="s">
        <v>47</v>
      </c>
      <c r="C3811" t="s">
        <v>48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>E3811+G3811+H3811</f>
        <v>11</v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>21</v>
      </c>
      <c r="K3811" s="3">
        <f>I3811-J3811</f>
        <v>-10</v>
      </c>
      <c r="L3811" s="3" t="str">
        <f>IF(K3811&lt;-5,"CRÍTICO",IF(K3811&lt;0,"ATENÇÃO",IF(K3811&lt;=5,"OPORTUNO","MUITO BOM")))</f>
        <v>CRÍTICO</v>
      </c>
      <c r="M3811">
        <v>11</v>
      </c>
      <c r="N3811">
        <v>100</v>
      </c>
      <c r="O3811">
        <v>32.764505119453922</v>
      </c>
    </row>
    <row r="3812" spans="1:15" hidden="1" x14ac:dyDescent="0.25">
      <c r="A3812" s="11">
        <v>46121</v>
      </c>
      <c r="B3812" t="s">
        <v>31</v>
      </c>
      <c r="C3812" t="s">
        <v>32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v>0</v>
      </c>
      <c r="J3812" s="3">
        <v>0</v>
      </c>
      <c r="K3812" s="3">
        <v>0</v>
      </c>
      <c r="L3812" s="3" t="str">
        <f>IF(K3812&lt;-5,"CRÍTICO",IF(K3812&lt;0,"ATENÇÃO",IF(K3812&lt;=5,"OPORTUNO","MUITO BOM")))</f>
        <v>OPORTUNO</v>
      </c>
      <c r="M3812">
        <v>15</v>
      </c>
      <c r="N3812">
        <v>98.66</v>
      </c>
      <c r="O3812">
        <v>35.416666666666671</v>
      </c>
    </row>
    <row r="3813" spans="1:15" hidden="1" x14ac:dyDescent="0.25">
      <c r="A3813" s="11">
        <v>46121</v>
      </c>
      <c r="B3813" t="s">
        <v>59</v>
      </c>
      <c r="C3813" t="s">
        <v>23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>E3813+G3813+H3813</f>
        <v>20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17</v>
      </c>
      <c r="K3813" s="3">
        <f>I3813-J3813</f>
        <v>3</v>
      </c>
      <c r="L3813" s="3" t="str">
        <f>IF(K3813&lt;-5,"CRÍTICO",IF(K3813&lt;0,"ATENÇÃO",IF(K3813&lt;=5,"OPORTUNO","MUITO BOM")))</f>
        <v>OPORTUNO</v>
      </c>
      <c r="M3813">
        <v>20</v>
      </c>
      <c r="N3813">
        <v>99.32</v>
      </c>
      <c r="O3813">
        <v>30.648330058939099</v>
      </c>
    </row>
    <row r="3814" spans="1:15" hidden="1" x14ac:dyDescent="0.25">
      <c r="A3814" s="11">
        <v>46121</v>
      </c>
      <c r="B3814" t="s">
        <v>33</v>
      </c>
      <c r="C3814" t="s">
        <v>32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>E3814+G3814+H3814</f>
        <v>21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26</v>
      </c>
      <c r="K3814" s="3">
        <f>I3814-J3814</f>
        <v>-5</v>
      </c>
      <c r="L3814" s="3" t="str">
        <f>IF(K3814&lt;-5,"CRÍTICO",IF(K3814&lt;0,"ATENÇÃO",IF(K3814&lt;=5,"OPORTUNO","MUITO BOM")))</f>
        <v>ATENÇÃO</v>
      </c>
      <c r="M3814">
        <v>25</v>
      </c>
      <c r="N3814">
        <v>100</v>
      </c>
      <c r="O3814">
        <v>27.803738317757009</v>
      </c>
    </row>
    <row r="3815" spans="1:15" hidden="1" x14ac:dyDescent="0.25">
      <c r="A3815" s="11">
        <v>46121</v>
      </c>
      <c r="B3815" t="s">
        <v>15</v>
      </c>
      <c r="C3815" t="s">
        <v>16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>E3815+G3815+H3815</f>
        <v>17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7</v>
      </c>
      <c r="K3815" s="3">
        <f>I3815-J3815</f>
        <v>10</v>
      </c>
      <c r="L3815" s="3" t="str">
        <f>IF(K3815&lt;-5,"CRÍTICO",IF(K3815&lt;0,"ATENÇÃO",IF(K3815&lt;=5,"OPORTUNO","MUITO BOM")))</f>
        <v>MUITO BOM</v>
      </c>
      <c r="M3815">
        <v>17</v>
      </c>
      <c r="N3815">
        <v>96.74</v>
      </c>
      <c r="O3815">
        <v>28.67647058823529</v>
      </c>
    </row>
    <row r="3816" spans="1:15" hidden="1" x14ac:dyDescent="0.25">
      <c r="A3816" s="11">
        <v>46121</v>
      </c>
      <c r="B3816" t="s">
        <v>49</v>
      </c>
      <c r="C3816" t="s">
        <v>48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>E3816+G3816+H3816</f>
        <v>34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13</v>
      </c>
      <c r="L3816" s="3" t="str">
        <f>IF(K3816&lt;-5,"CRÍTICO",IF(K3816&lt;0,"ATENÇÃO",IF(K3816&lt;=5,"OPORTUNO","MUITO BOM")))</f>
        <v>MUITO BOM</v>
      </c>
      <c r="M3816">
        <v>32</v>
      </c>
      <c r="N3816">
        <v>98.82</v>
      </c>
      <c r="O3816">
        <v>30.741410488245929</v>
      </c>
    </row>
    <row r="3817" spans="1:15" hidden="1" x14ac:dyDescent="0.25">
      <c r="A3817" s="11">
        <v>46121</v>
      </c>
      <c r="B3817" t="s">
        <v>50</v>
      </c>
      <c r="C3817" t="s">
        <v>48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>E3817+G3817+H3817</f>
        <v>19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21</v>
      </c>
      <c r="K3817" s="3">
        <f>I3817-J3817</f>
        <v>-2</v>
      </c>
      <c r="L3817" s="3" t="str">
        <f>IF(K3817&lt;-5,"CRÍTICO",IF(K3817&lt;0,"ATENÇÃO",IF(K3817&lt;=5,"OPORTUNO","MUITO BOM")))</f>
        <v>ATENÇÃO</v>
      </c>
      <c r="M3817">
        <v>19</v>
      </c>
      <c r="N3817">
        <v>98.2</v>
      </c>
      <c r="O3817">
        <v>27.170868347338931</v>
      </c>
    </row>
    <row r="3818" spans="1:15" hidden="1" x14ac:dyDescent="0.25">
      <c r="A3818" s="11">
        <v>46121</v>
      </c>
      <c r="B3818" t="s">
        <v>17</v>
      </c>
      <c r="C3818" t="s">
        <v>16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>E3818+G3818+H3818</f>
        <v>6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7</v>
      </c>
      <c r="K3818" s="3">
        <f>I3818-J3818</f>
        <v>-1</v>
      </c>
      <c r="L3818" s="3" t="str">
        <f>IF(K3818&lt;-5,"CRÍTICO",IF(K3818&lt;0,"ATENÇÃO",IF(K3818&lt;=5,"OPORTUNO","MUITO BOM")))</f>
        <v>ATENÇÃO</v>
      </c>
      <c r="M3818">
        <v>6</v>
      </c>
      <c r="N3818">
        <v>100</v>
      </c>
      <c r="O3818">
        <v>23.134328358208951</v>
      </c>
    </row>
    <row r="3819" spans="1:15" hidden="1" x14ac:dyDescent="0.25">
      <c r="A3819" s="11">
        <v>46121</v>
      </c>
      <c r="B3819" t="s">
        <v>60</v>
      </c>
      <c r="C3819" t="s">
        <v>23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>E3819+G3819+H3819</f>
        <v>22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17</v>
      </c>
      <c r="K3819" s="3">
        <f>I3819-J3819</f>
        <v>5</v>
      </c>
      <c r="L3819" s="3" t="str">
        <f>IF(K3819&lt;-5,"CRÍTICO",IF(K3819&lt;0,"ATENÇÃO",IF(K3819&lt;=5,"OPORTUNO","MUITO BOM")))</f>
        <v>OPORTUNO</v>
      </c>
      <c r="M3819">
        <v>20</v>
      </c>
      <c r="N3819">
        <v>96.3</v>
      </c>
      <c r="O3819">
        <v>32.219570405727922</v>
      </c>
    </row>
    <row r="3820" spans="1:15" hidden="1" x14ac:dyDescent="0.25">
      <c r="A3820" s="11">
        <v>46121</v>
      </c>
      <c r="B3820" t="s">
        <v>34</v>
      </c>
      <c r="C3820" t="s">
        <v>32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>E3820+G3820+H3820</f>
        <v>17</v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>26</v>
      </c>
      <c r="K3820" s="3">
        <f>I3820-J3820</f>
        <v>-9</v>
      </c>
      <c r="L3820" s="3" t="str">
        <f>IF(K3820&lt;-5,"CRÍTICO",IF(K3820&lt;0,"ATENÇÃO",IF(K3820&lt;=5,"OPORTUNO","MUITO BOM")))</f>
        <v>CRÍTICO</v>
      </c>
      <c r="M3820">
        <v>16</v>
      </c>
      <c r="N3820">
        <v>93.75</v>
      </c>
      <c r="O3820">
        <v>26.819923371647509</v>
      </c>
    </row>
    <row r="3821" spans="1:15" hidden="1" x14ac:dyDescent="0.25">
      <c r="A3821" s="11">
        <v>46121</v>
      </c>
      <c r="B3821" t="s">
        <v>51</v>
      </c>
      <c r="C3821" t="s">
        <v>48</v>
      </c>
      <c r="D3821">
        <v>25</v>
      </c>
      <c r="E3821">
        <v>20</v>
      </c>
      <c r="F3821">
        <v>18.260000000000002</v>
      </c>
      <c r="G3821">
        <v>0</v>
      </c>
      <c r="H3821">
        <v>0</v>
      </c>
      <c r="I3821" s="3">
        <v>0</v>
      </c>
      <c r="J3821" s="3">
        <v>0</v>
      </c>
      <c r="K3821" s="3">
        <v>0</v>
      </c>
      <c r="L3821" s="3" t="str">
        <f>IF(K3821&lt;-5,"CRÍTICO",IF(K3821&lt;0,"ATENÇÃO",IF(K3821&lt;=5,"OPORTUNO","MUITO BOM")))</f>
        <v>OPORTUNO</v>
      </c>
      <c r="M3821">
        <v>17</v>
      </c>
      <c r="N3821">
        <v>97.86</v>
      </c>
      <c r="O3821">
        <v>31.018518518518519</v>
      </c>
    </row>
    <row r="3822" spans="1:15" hidden="1" x14ac:dyDescent="0.25">
      <c r="A3822" s="11">
        <v>46121</v>
      </c>
      <c r="B3822" t="s">
        <v>61</v>
      </c>
      <c r="C3822" t="s">
        <v>23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17</v>
      </c>
      <c r="K3822" s="3">
        <f>I3822-J3822</f>
        <v>5</v>
      </c>
      <c r="L3822" s="3" t="str">
        <f>IF(K3822&lt;-5,"CRÍTICO",IF(K3822&lt;0,"ATENÇÃO",IF(K3822&lt;=5,"OPORTUNO","MUITO BOM")))</f>
        <v>OPORTUNO</v>
      </c>
      <c r="M3822">
        <v>15</v>
      </c>
      <c r="N3822">
        <v>100</v>
      </c>
      <c r="O3822">
        <v>36.594202898550733</v>
      </c>
    </row>
    <row r="3823" spans="1:15" hidden="1" x14ac:dyDescent="0.25">
      <c r="A3823" s="11">
        <v>46121</v>
      </c>
      <c r="B3823" t="s">
        <v>35</v>
      </c>
      <c r="C3823" t="s">
        <v>32</v>
      </c>
      <c r="D3823">
        <v>30</v>
      </c>
      <c r="E3823">
        <v>29</v>
      </c>
      <c r="F3823">
        <v>22.26</v>
      </c>
      <c r="G3823">
        <v>0</v>
      </c>
      <c r="H3823">
        <v>0</v>
      </c>
      <c r="I3823" s="3">
        <v>0</v>
      </c>
      <c r="J3823" s="3">
        <v>0</v>
      </c>
      <c r="K3823" s="3">
        <v>0</v>
      </c>
      <c r="L3823" s="3" t="str">
        <f>IF(K3823&lt;-5,"CRÍTICO",IF(K3823&lt;0,"ATENÇÃO",IF(K3823&lt;=5,"OPORTUNO","MUITO BOM")))</f>
        <v>OPORTUNO</v>
      </c>
      <c r="M3823">
        <v>28</v>
      </c>
      <c r="N3823">
        <v>100</v>
      </c>
      <c r="O3823">
        <v>38.653846153846153</v>
      </c>
    </row>
    <row r="3824" spans="1:15" hidden="1" x14ac:dyDescent="0.25">
      <c r="A3824" s="11">
        <v>46121</v>
      </c>
      <c r="B3824" t="s">
        <v>18</v>
      </c>
      <c r="C3824" t="s">
        <v>16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>E3824+G3824+H3824</f>
        <v>13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7</v>
      </c>
      <c r="K3824" s="3">
        <f>I3824-J3824</f>
        <v>6</v>
      </c>
      <c r="L3824" s="3" t="str">
        <f>IF(K3824&lt;-5,"CRÍTICO",IF(K3824&lt;0,"ATENÇÃO",IF(K3824&lt;=5,"OPORTUNO","MUITO BOM")))</f>
        <v>MUITO BOM</v>
      </c>
      <c r="M3824">
        <v>5</v>
      </c>
      <c r="N3824">
        <v>100</v>
      </c>
      <c r="O3824">
        <v>27.368421052631579</v>
      </c>
    </row>
    <row r="3825" spans="1:15" hidden="1" x14ac:dyDescent="0.25">
      <c r="A3825" s="11">
        <v>46121</v>
      </c>
      <c r="B3825" t="s">
        <v>52</v>
      </c>
      <c r="C3825" t="s">
        <v>48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21</v>
      </c>
      <c r="K3825" s="3">
        <f>I3825-J3825</f>
        <v>1</v>
      </c>
      <c r="L3825" s="3" t="str">
        <f>IF(K3825&lt;-5,"CRÍTICO",IF(K3825&lt;0,"ATENÇÃO",IF(K3825&lt;=5,"OPORTUNO","MUITO BOM")))</f>
        <v>OPORTUNO</v>
      </c>
      <c r="M3825">
        <v>19</v>
      </c>
      <c r="N3825">
        <v>97.83</v>
      </c>
      <c r="O3825">
        <v>28.35164835164835</v>
      </c>
    </row>
    <row r="3826" spans="1:15" hidden="1" x14ac:dyDescent="0.25">
      <c r="A3826" s="11">
        <v>46121</v>
      </c>
      <c r="B3826" t="s">
        <v>36</v>
      </c>
      <c r="C3826" t="s">
        <v>32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>E3826+G3826+H3826</f>
        <v>22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26</v>
      </c>
      <c r="K3826" s="3">
        <f>I3826-J3826</f>
        <v>-4</v>
      </c>
      <c r="L3826" s="3" t="str">
        <f>IF(K3826&lt;-5,"CRÍTICO",IF(K3826&lt;0,"ATENÇÃO",IF(K3826&lt;=5,"OPORTUNO","MUITO BOM")))</f>
        <v>ATENÇÃO</v>
      </c>
      <c r="M3826">
        <v>20</v>
      </c>
      <c r="N3826">
        <v>99.26</v>
      </c>
      <c r="O3826">
        <v>29.766536964980549</v>
      </c>
    </row>
    <row r="3827" spans="1:15" hidden="1" x14ac:dyDescent="0.25">
      <c r="A3827" s="11">
        <v>46121</v>
      </c>
      <c r="B3827" t="s">
        <v>53</v>
      </c>
      <c r="C3827" t="s">
        <v>48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>E3827+G3827+H3827</f>
        <v>12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21</v>
      </c>
      <c r="K3827" s="3">
        <f>I3827-J3827</f>
        <v>-9</v>
      </c>
      <c r="L3827" s="3" t="str">
        <f>IF(K3827&lt;-5,"CRÍTICO",IF(K3827&lt;0,"ATENÇÃO",IF(K3827&lt;=5,"OPORTUNO","MUITO BOM")))</f>
        <v>CRÍTICO</v>
      </c>
      <c r="M3827">
        <v>17</v>
      </c>
      <c r="N3827">
        <v>99.19</v>
      </c>
      <c r="O3827">
        <v>29.462365591397852</v>
      </c>
    </row>
    <row r="3828" spans="1:15" hidden="1" x14ac:dyDescent="0.25">
      <c r="A3828" s="11">
        <v>46167</v>
      </c>
      <c r="B3828" t="s">
        <v>54</v>
      </c>
      <c r="C3828" t="s">
        <v>48</v>
      </c>
      <c r="D3828">
        <v>27</v>
      </c>
      <c r="E3828">
        <v>23</v>
      </c>
      <c r="F3828">
        <v>15.42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>
        <v>23</v>
      </c>
      <c r="N3828">
        <v>98.98</v>
      </c>
      <c r="O3828">
        <v>19.35483870967742</v>
      </c>
    </row>
    <row r="3829" spans="1:15" hidden="1" x14ac:dyDescent="0.25">
      <c r="A3829" s="11">
        <v>46121</v>
      </c>
      <c r="B3829" t="s">
        <v>54</v>
      </c>
      <c r="C3829" t="s">
        <v>48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v>0</v>
      </c>
      <c r="J3829" s="3">
        <v>0</v>
      </c>
      <c r="K3829" s="3">
        <v>0</v>
      </c>
      <c r="L3829" s="3" t="str">
        <f>IF(K3829&lt;-5,"CRÍTICO",IF(K3829&lt;0,"ATENÇÃO",IF(K3829&lt;=5,"OPORTUNO","MUITO BOM")))</f>
        <v>OPORTUNO</v>
      </c>
      <c r="M3829">
        <v>0</v>
      </c>
      <c r="N3829">
        <v>100</v>
      </c>
      <c r="O3829">
        <v>28.921568627450981</v>
      </c>
    </row>
    <row r="3830" spans="1:15" hidden="1" x14ac:dyDescent="0.25">
      <c r="A3830" s="11">
        <v>46121</v>
      </c>
      <c r="B3830" t="s">
        <v>37</v>
      </c>
      <c r="C3830" t="s">
        <v>32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>E3830+G3830+H3830</f>
        <v>32</v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>26</v>
      </c>
      <c r="K3830" s="3">
        <f>I3830-J3830</f>
        <v>6</v>
      </c>
      <c r="L3830" s="3" t="str">
        <f>IF(K3830&lt;-5,"CRÍTICO",IF(K3830&lt;0,"ATENÇÃO",IF(K3830&lt;=5,"OPORTUNO","MUITO BOM")))</f>
        <v>MUITO BOM</v>
      </c>
      <c r="M3830">
        <v>29</v>
      </c>
      <c r="N3830">
        <v>99.57</v>
      </c>
      <c r="O3830">
        <v>30.635838150289018</v>
      </c>
    </row>
    <row r="3831" spans="1:15" hidden="1" x14ac:dyDescent="0.25">
      <c r="A3831" s="11">
        <v>46121</v>
      </c>
      <c r="B3831" t="s">
        <v>38</v>
      </c>
      <c r="C3831" t="s">
        <v>32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v>0</v>
      </c>
      <c r="J3831" s="3">
        <v>0</v>
      </c>
      <c r="K3831" s="3">
        <v>0</v>
      </c>
      <c r="L3831" s="3" t="str">
        <f>IF(K3831&lt;-5,"CRÍTICO",IF(K3831&lt;0,"ATENÇÃO",IF(K3831&lt;=5,"OPORTUNO","MUITO BOM")))</f>
        <v>OPORTUNO</v>
      </c>
      <c r="M3831">
        <v>0</v>
      </c>
      <c r="N3831">
        <v>95.65</v>
      </c>
      <c r="O3831">
        <v>32.432432432432442</v>
      </c>
    </row>
    <row r="3832" spans="1:15" hidden="1" x14ac:dyDescent="0.25">
      <c r="A3832" s="11">
        <v>46121</v>
      </c>
      <c r="B3832" t="s">
        <v>55</v>
      </c>
      <c r="C3832" t="s">
        <v>48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>E3832+G3832+H3832</f>
        <v>21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21</v>
      </c>
      <c r="K3832" s="3">
        <f>I3832-J3832</f>
        <v>0</v>
      </c>
      <c r="L3832" s="3" t="str">
        <f>IF(K3832&lt;-5,"CRÍTICO",IF(K3832&lt;0,"ATENÇÃO",IF(K3832&lt;=5,"OPORTUNO","MUITO BOM")))</f>
        <v>OPORTUNO</v>
      </c>
      <c r="M3832">
        <v>19</v>
      </c>
      <c r="N3832">
        <v>98.81</v>
      </c>
      <c r="O3832">
        <v>26.256983240223459</v>
      </c>
    </row>
    <row r="3833" spans="1:15" hidden="1" x14ac:dyDescent="0.25">
      <c r="A3833" s="11">
        <v>46121</v>
      </c>
      <c r="B3833" t="s">
        <v>39</v>
      </c>
      <c r="C3833" t="s">
        <v>32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v>0</v>
      </c>
      <c r="J3833" s="3">
        <v>0</v>
      </c>
      <c r="K3833" s="3">
        <v>0</v>
      </c>
      <c r="L3833" s="3" t="str">
        <f>IF(K3833&lt;-5,"CRÍTICO",IF(K3833&lt;0,"ATENÇÃO",IF(K3833&lt;=5,"OPORTUNO","MUITO BOM")))</f>
        <v>OPORTUNO</v>
      </c>
      <c r="M3833">
        <v>0</v>
      </c>
      <c r="N3833">
        <v>0</v>
      </c>
      <c r="O3833">
        <v>0</v>
      </c>
    </row>
    <row r="3834" spans="1:15" hidden="1" x14ac:dyDescent="0.25">
      <c r="A3834" s="11">
        <v>46121</v>
      </c>
      <c r="B3834" t="s">
        <v>25</v>
      </c>
      <c r="C3834" t="s">
        <v>26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>E3834+G3834+H3834</f>
        <v>28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15</v>
      </c>
      <c r="K3834" s="3">
        <f>I3834-J3834</f>
        <v>13</v>
      </c>
      <c r="L3834" s="3" t="str">
        <f>IF(K3834&lt;-5,"CRÍTICO",IF(K3834&lt;0,"ATENÇÃO",IF(K3834&lt;=5,"OPORTUNO","MUITO BOM")))</f>
        <v>MUITO BOM</v>
      </c>
      <c r="M3834">
        <v>24</v>
      </c>
      <c r="N3834">
        <v>97.17</v>
      </c>
      <c r="O3834">
        <v>28.81844380403458</v>
      </c>
    </row>
    <row r="3835" spans="1:15" hidden="1" x14ac:dyDescent="0.25">
      <c r="A3835" s="11">
        <v>46121</v>
      </c>
      <c r="B3835" t="s">
        <v>40</v>
      </c>
      <c r="C3835" t="s">
        <v>32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26</v>
      </c>
      <c r="K3835" s="3">
        <f>I3835-J3835</f>
        <v>-11</v>
      </c>
      <c r="L3835" s="3" t="str">
        <f>IF(K3835&lt;-5,"CRÍTICO",IF(K3835&lt;0,"ATENÇÃO",IF(K3835&lt;=5,"OPORTUNO","MUITO BOM")))</f>
        <v>CRÍTICO</v>
      </c>
      <c r="M3835">
        <v>16</v>
      </c>
      <c r="N3835">
        <v>96.81</v>
      </c>
      <c r="O3835">
        <v>48.018648018648022</v>
      </c>
    </row>
    <row r="3836" spans="1:15" hidden="1" x14ac:dyDescent="0.25">
      <c r="A3836" s="11">
        <v>46121</v>
      </c>
      <c r="B3836" t="s">
        <v>27</v>
      </c>
      <c r="C3836" t="s">
        <v>26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>E3836+G3836+H3836</f>
        <v>15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15</v>
      </c>
      <c r="K3836" s="3">
        <f>I3836-J3836</f>
        <v>0</v>
      </c>
      <c r="L3836" s="3" t="str">
        <f>IF(K3836&lt;-5,"CRÍTICO",IF(K3836&lt;0,"ATENÇÃO",IF(K3836&lt;=5,"OPORTUNO","MUITO BOM")))</f>
        <v>OPORTUNO</v>
      </c>
      <c r="M3836">
        <v>11</v>
      </c>
      <c r="N3836">
        <v>98.15</v>
      </c>
      <c r="O3836">
        <v>27.1551724137931</v>
      </c>
    </row>
    <row r="3837" spans="1:15" hidden="1" x14ac:dyDescent="0.25">
      <c r="A3837" s="11">
        <v>46121</v>
      </c>
      <c r="B3837" t="s">
        <v>41</v>
      </c>
      <c r="C3837" t="s">
        <v>32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>E3837+G3837+H3837</f>
        <v>12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26</v>
      </c>
      <c r="K3837" s="3">
        <f>I3837-J3837</f>
        <v>-14</v>
      </c>
      <c r="L3837" s="3" t="str">
        <f>IF(K3837&lt;-5,"CRÍTICO",IF(K3837&lt;0,"ATENÇÃO",IF(K3837&lt;=5,"OPORTUNO","MUITO BOM")))</f>
        <v>CRÍTICO</v>
      </c>
      <c r="M3837">
        <v>8</v>
      </c>
      <c r="N3837">
        <v>99.15</v>
      </c>
      <c r="O3837">
        <v>27.586206896551719</v>
      </c>
    </row>
    <row r="3838" spans="1:15" hidden="1" x14ac:dyDescent="0.25">
      <c r="A3838" s="11">
        <v>46121</v>
      </c>
      <c r="B3838" t="s">
        <v>56</v>
      </c>
      <c r="C3838" t="s">
        <v>48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>E3838+G3838+H3838</f>
        <v>18</v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>21</v>
      </c>
      <c r="K3838" s="3">
        <f>I3838-J3838</f>
        <v>-3</v>
      </c>
      <c r="L3838" s="3" t="str">
        <f>IF(K3838&lt;-5,"CRÍTICO",IF(K3838&lt;0,"ATENÇÃO",IF(K3838&lt;=5,"OPORTUNO","MUITO BOM")))</f>
        <v>ATENÇÃO</v>
      </c>
      <c r="M3838">
        <v>28</v>
      </c>
      <c r="N3838">
        <v>99.17</v>
      </c>
      <c r="O3838">
        <v>29.75206611570248</v>
      </c>
    </row>
    <row r="3839" spans="1:15" hidden="1" x14ac:dyDescent="0.25">
      <c r="A3839" s="11">
        <v>46121</v>
      </c>
      <c r="B3839" t="s">
        <v>57</v>
      </c>
      <c r="C3839" t="s">
        <v>48</v>
      </c>
      <c r="D3839">
        <v>22</v>
      </c>
      <c r="E3839">
        <v>21</v>
      </c>
      <c r="F3839">
        <v>25.13</v>
      </c>
      <c r="G3839">
        <v>0</v>
      </c>
      <c r="H3839">
        <v>0</v>
      </c>
      <c r="I3839" s="3">
        <v>0</v>
      </c>
      <c r="J3839" s="3">
        <v>0</v>
      </c>
      <c r="K3839" s="3">
        <v>0</v>
      </c>
      <c r="L3839" s="3" t="str">
        <f>IF(K3839&lt;-5,"CRÍTICO",IF(K3839&lt;0,"ATENÇÃO",IF(K3839&lt;=5,"OPORTUNO","MUITO BOM")))</f>
        <v>OPORTUNO</v>
      </c>
      <c r="M3839">
        <v>16</v>
      </c>
      <c r="N3839">
        <v>98.73</v>
      </c>
      <c r="O3839">
        <v>28.961748633879779</v>
      </c>
    </row>
    <row r="3840" spans="1:15" hidden="1" x14ac:dyDescent="0.25">
      <c r="A3840" s="11">
        <v>46121</v>
      </c>
      <c r="B3840" t="s">
        <v>42</v>
      </c>
      <c r="C3840" t="s">
        <v>32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>E3840+G3840+H3840</f>
        <v>30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26</v>
      </c>
      <c r="K3840" s="3">
        <f>I3840-J3840</f>
        <v>4</v>
      </c>
      <c r="L3840" s="3" t="str">
        <f>IF(K3840&lt;-5,"CRÍTICO",IF(K3840&lt;0,"ATENÇÃO",IF(K3840&lt;=5,"OPORTUNO","MUITO BOM")))</f>
        <v>OPORTUNO</v>
      </c>
      <c r="M3840">
        <v>17</v>
      </c>
      <c r="N3840">
        <v>88.68</v>
      </c>
      <c r="O3840">
        <v>22.03389830508474</v>
      </c>
    </row>
    <row r="3841" spans="1:15" hidden="1" x14ac:dyDescent="0.25">
      <c r="A3841" s="11">
        <v>46121</v>
      </c>
      <c r="B3841" t="s">
        <v>62</v>
      </c>
      <c r="C3841" t="s">
        <v>23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>E3841+G3841+H3841</f>
        <v>23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17</v>
      </c>
      <c r="K3841" s="3">
        <f>I3841-J3841</f>
        <v>6</v>
      </c>
      <c r="L3841" s="3" t="str">
        <f>IF(K3841&lt;-5,"CRÍTICO",IF(K3841&lt;0,"ATENÇÃO",IF(K3841&lt;=5,"OPORTUNO","MUITO BOM")))</f>
        <v>MUITO BOM</v>
      </c>
      <c r="M3841">
        <v>23</v>
      </c>
      <c r="N3841">
        <v>97.37</v>
      </c>
      <c r="O3841">
        <v>25.76530612244898</v>
      </c>
    </row>
    <row r="3842" spans="1:15" hidden="1" x14ac:dyDescent="0.25">
      <c r="A3842" s="11">
        <v>46121</v>
      </c>
      <c r="B3842" t="s">
        <v>19</v>
      </c>
      <c r="C3842" t="s">
        <v>16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>E3842+G3842+H3842</f>
        <v>9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7</v>
      </c>
      <c r="K3842" s="3">
        <f>I3842-J3842</f>
        <v>2</v>
      </c>
      <c r="L3842" s="3" t="str">
        <f>IF(K3842&lt;-5,"CRÍTICO",IF(K3842&lt;0,"ATENÇÃO",IF(K3842&lt;=5,"OPORTUNO","MUITO BOM")))</f>
        <v>OPORTUNO</v>
      </c>
      <c r="M3842">
        <v>6</v>
      </c>
      <c r="N3842">
        <v>100</v>
      </c>
      <c r="O3842">
        <v>25</v>
      </c>
    </row>
    <row r="3843" spans="1:15" hidden="1" x14ac:dyDescent="0.25">
      <c r="A3843" s="11">
        <v>46121</v>
      </c>
      <c r="B3843" t="s">
        <v>43</v>
      </c>
      <c r="C3843" t="s">
        <v>32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>E3843+G3843+H3843</f>
        <v>27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1</v>
      </c>
      <c r="L3843" s="3" t="str">
        <f>IF(K3843&lt;-5,"CRÍTICO",IF(K3843&lt;0,"ATENÇÃO",IF(K3843&lt;=5,"OPORTUNO","MUITO BOM")))</f>
        <v>OPORTUNO</v>
      </c>
      <c r="M3843">
        <v>28</v>
      </c>
      <c r="N3843">
        <v>100</v>
      </c>
      <c r="O3843">
        <v>23.9870340356564</v>
      </c>
    </row>
    <row r="3844" spans="1:15" hidden="1" x14ac:dyDescent="0.25">
      <c r="A3844" s="11">
        <v>46121</v>
      </c>
      <c r="B3844" t="s">
        <v>44</v>
      </c>
      <c r="C3844" t="s">
        <v>32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>E3844+G3844+H3844</f>
        <v>30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26</v>
      </c>
      <c r="K3844" s="3">
        <f>I3844-J3844</f>
        <v>4</v>
      </c>
      <c r="L3844" s="3" t="str">
        <f>IF(K3844&lt;-5,"CRÍTICO",IF(K3844&lt;0,"ATENÇÃO",IF(K3844&lt;=5,"OPORTUNO","MUITO BOM")))</f>
        <v>OPORTUNO</v>
      </c>
      <c r="M3844">
        <v>27</v>
      </c>
      <c r="N3844">
        <v>95.49</v>
      </c>
      <c r="O3844">
        <v>28.370221327967808</v>
      </c>
    </row>
    <row r="3845" spans="1:15" hidden="1" x14ac:dyDescent="0.25">
      <c r="A3845" s="11">
        <v>46121</v>
      </c>
      <c r="B3845" t="s">
        <v>20</v>
      </c>
      <c r="C3845" t="s">
        <v>16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>E3845+G3845+H3845</f>
        <v>12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7</v>
      </c>
      <c r="K3845" s="3">
        <f>I3845-J3845</f>
        <v>5</v>
      </c>
      <c r="L3845" s="3" t="str">
        <f>IF(K3845&lt;-5,"CRÍTICO",IF(K3845&lt;0,"ATENÇÃO",IF(K3845&lt;=5,"OPORTUNO","MUITO BOM")))</f>
        <v>OPORTUNO</v>
      </c>
      <c r="M3845">
        <v>8</v>
      </c>
      <c r="N3845">
        <v>100</v>
      </c>
      <c r="O3845">
        <v>23.77622377622378</v>
      </c>
    </row>
    <row r="3846" spans="1:15" hidden="1" x14ac:dyDescent="0.25">
      <c r="A3846" s="11">
        <v>46121</v>
      </c>
      <c r="B3846" t="s">
        <v>28</v>
      </c>
      <c r="C3846" t="s">
        <v>26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>E3846+G3846+H3846</f>
        <v>15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15</v>
      </c>
      <c r="K3846" s="3">
        <f>I3846-J3846</f>
        <v>0</v>
      </c>
      <c r="L3846" s="3" t="str">
        <f>IF(K3846&lt;-5,"CRÍTICO",IF(K3846&lt;0,"ATENÇÃO",IF(K3846&lt;=5,"OPORTUNO","MUITO BOM")))</f>
        <v>OPORTUNO</v>
      </c>
      <c r="M3846">
        <v>12</v>
      </c>
      <c r="N3846">
        <v>96.15</v>
      </c>
      <c r="O3846">
        <v>24.045801526717561</v>
      </c>
    </row>
    <row r="3847" spans="1:15" hidden="1" x14ac:dyDescent="0.25">
      <c r="A3847" s="11">
        <v>46121</v>
      </c>
      <c r="B3847" t="s">
        <v>58</v>
      </c>
      <c r="C3847" t="s">
        <v>48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>E3847+G3847+H3847</f>
        <v>25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21</v>
      </c>
      <c r="K3847" s="3">
        <f>I3847-J3847</f>
        <v>4</v>
      </c>
      <c r="L3847" s="3" t="str">
        <f>IF(K3847&lt;-5,"CRÍTICO",IF(K3847&lt;0,"ATENÇÃO",IF(K3847&lt;=5,"OPORTUNO","MUITO BOM")))</f>
        <v>OPORTUNO</v>
      </c>
      <c r="M3847">
        <v>22</v>
      </c>
      <c r="N3847">
        <v>99.02</v>
      </c>
      <c r="O3847">
        <v>34.797297297297298</v>
      </c>
    </row>
    <row r="3848" spans="1:15" hidden="1" x14ac:dyDescent="0.25">
      <c r="A3848" s="11">
        <v>46121</v>
      </c>
      <c r="B3848" t="s">
        <v>29</v>
      </c>
      <c r="C3848" t="s">
        <v>26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>E3848+G3848+H3848</f>
        <v>18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3</v>
      </c>
      <c r="L3848" s="3" t="str">
        <f>IF(K3848&lt;-5,"CRÍTICO",IF(K3848&lt;0,"ATENÇÃO",IF(K3848&lt;=5,"OPORTUNO","MUITO BOM")))</f>
        <v>OPORTUNO</v>
      </c>
      <c r="M3848">
        <v>12</v>
      </c>
      <c r="N3848">
        <v>98.84</v>
      </c>
      <c r="O3848">
        <v>31.868131868131869</v>
      </c>
    </row>
    <row r="3849" spans="1:15" hidden="1" x14ac:dyDescent="0.25">
      <c r="A3849" s="11">
        <v>46121</v>
      </c>
      <c r="B3849" t="s">
        <v>30</v>
      </c>
      <c r="C3849" t="s">
        <v>26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>E3849+G3849+H3849</f>
        <v>21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15</v>
      </c>
      <c r="K3849" s="3">
        <f>I3849-J3849</f>
        <v>6</v>
      </c>
      <c r="L3849" s="3" t="str">
        <f>IF(K3849&lt;-5,"CRÍTICO",IF(K3849&lt;0,"ATENÇÃO",IF(K3849&lt;=5,"OPORTUNO","MUITO BOM")))</f>
        <v>MUITO BOM</v>
      </c>
      <c r="M3849">
        <v>18</v>
      </c>
      <c r="N3849">
        <v>100</v>
      </c>
      <c r="O3849">
        <v>34.666666666666671</v>
      </c>
    </row>
    <row r="3850" spans="1:15" hidden="1" x14ac:dyDescent="0.25">
      <c r="A3850" s="11">
        <v>46121</v>
      </c>
      <c r="B3850" t="s">
        <v>21</v>
      </c>
      <c r="C3850" t="s">
        <v>16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>E3850+G3850+H3850</f>
        <v>6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7</v>
      </c>
      <c r="K3850" s="3">
        <f>I3850-J3850</f>
        <v>-1</v>
      </c>
      <c r="L3850" s="3" t="str">
        <f>IF(K3850&lt;-5,"CRÍTICO",IF(K3850&lt;0,"ATENÇÃO",IF(K3850&lt;=5,"OPORTUNO","MUITO BOM")))</f>
        <v>ATENÇÃO</v>
      </c>
      <c r="M3850">
        <v>4</v>
      </c>
      <c r="N3850">
        <v>94.12</v>
      </c>
      <c r="O3850">
        <v>32.799999999999997</v>
      </c>
    </row>
    <row r="3851" spans="1:15" hidden="1" x14ac:dyDescent="0.25">
      <c r="A3851" s="11">
        <v>46121</v>
      </c>
      <c r="B3851" t="s">
        <v>63</v>
      </c>
      <c r="C3851" t="s">
        <v>23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>E3851+G3851+H3851</f>
        <v>31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17</v>
      </c>
      <c r="K3851" s="3">
        <f>I3851-J3851</f>
        <v>14</v>
      </c>
      <c r="L3851" s="3" t="str">
        <f>IF(K3851&lt;-5,"CRÍTICO",IF(K3851&lt;0,"ATENÇÃO",IF(K3851&lt;=5,"OPORTUNO","MUITO BOM")))</f>
        <v>MUITO BOM</v>
      </c>
      <c r="M3851">
        <v>24</v>
      </c>
      <c r="N3851">
        <v>98.32</v>
      </c>
      <c r="O3851">
        <v>26.858513189448441</v>
      </c>
    </row>
    <row r="3852" spans="1:15" hidden="1" x14ac:dyDescent="0.25">
      <c r="A3852" s="11">
        <v>46121</v>
      </c>
      <c r="B3852" t="s">
        <v>45</v>
      </c>
      <c r="C3852" t="s">
        <v>32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>E3852+G3852+H3852</f>
        <v>30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26</v>
      </c>
      <c r="K3852" s="3">
        <f>I3852-J3852</f>
        <v>4</v>
      </c>
      <c r="L3852" s="3" t="str">
        <f>IF(K3852&lt;-5,"CRÍTICO",IF(K3852&lt;0,"ATENÇÃO",IF(K3852&lt;=5,"OPORTUNO","MUITO BOM")))</f>
        <v>OPORTUNO</v>
      </c>
      <c r="M3852">
        <v>30</v>
      </c>
      <c r="N3852">
        <v>100</v>
      </c>
      <c r="O3852">
        <v>31.135531135531139</v>
      </c>
    </row>
    <row r="3853" spans="1:15" hidden="1" x14ac:dyDescent="0.25">
      <c r="A3853" s="11">
        <v>46121</v>
      </c>
      <c r="B3853" t="s">
        <v>64</v>
      </c>
      <c r="C3853" t="s">
        <v>23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>E3853+G3853+H3853</f>
        <v>15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17</v>
      </c>
      <c r="K3853" s="3">
        <f>I3853-J3853</f>
        <v>-2</v>
      </c>
      <c r="L3853" s="3" t="str">
        <f>IF(K3853&lt;-5,"CRÍTICO",IF(K3853&lt;0,"ATENÇÃO",IF(K3853&lt;=5,"OPORTUNO","MUITO BOM")))</f>
        <v>ATENÇÃO</v>
      </c>
      <c r="M3853">
        <v>17</v>
      </c>
      <c r="N3853">
        <v>100</v>
      </c>
      <c r="O3853">
        <v>26.36986301369863</v>
      </c>
    </row>
    <row r="3854" spans="1:15" hidden="1" x14ac:dyDescent="0.25">
      <c r="A3854" s="11">
        <v>46121</v>
      </c>
      <c r="B3854" t="s">
        <v>46</v>
      </c>
      <c r="C3854" t="s">
        <v>32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>E3854+G3854+H3854</f>
        <v>30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26</v>
      </c>
      <c r="K3854" s="3">
        <f>I3854-J3854</f>
        <v>4</v>
      </c>
      <c r="L3854" s="3" t="str">
        <f>IF(K3854&lt;-5,"CRÍTICO",IF(K3854&lt;0,"ATENÇÃO",IF(K3854&lt;=5,"OPORTUNO","MUITO BOM")))</f>
        <v>OPORTUNO</v>
      </c>
      <c r="M3854">
        <v>23</v>
      </c>
      <c r="N3854">
        <v>99.21</v>
      </c>
      <c r="O3854">
        <v>25.188916876574311</v>
      </c>
    </row>
    <row r="3855" spans="1:15" hidden="1" x14ac:dyDescent="0.25">
      <c r="A3855" s="11">
        <v>46122</v>
      </c>
      <c r="B3855" t="s">
        <v>47</v>
      </c>
      <c r="C3855" t="s">
        <v>48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>E3855+G3855+H3855</f>
        <v>8</v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>21</v>
      </c>
      <c r="K3855" s="3">
        <f>I3855-J3855</f>
        <v>-13</v>
      </c>
      <c r="L3855" s="3" t="str">
        <f>IF(K3855&lt;-5,"CRÍTICO",IF(K3855&lt;0,"ATENÇÃO",IF(K3855&lt;=5,"OPORTUNO","MUITO BOM")))</f>
        <v>CRÍTICO</v>
      </c>
      <c r="M3855">
        <v>10</v>
      </c>
      <c r="N3855">
        <v>100</v>
      </c>
      <c r="O3855">
        <v>32.764505119453922</v>
      </c>
    </row>
    <row r="3856" spans="1:15" hidden="1" x14ac:dyDescent="0.25">
      <c r="A3856" s="11">
        <v>46122</v>
      </c>
      <c r="B3856" t="s">
        <v>31</v>
      </c>
      <c r="C3856" t="s">
        <v>32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v>0</v>
      </c>
      <c r="J3856" s="3">
        <v>0</v>
      </c>
      <c r="K3856" s="3">
        <v>0</v>
      </c>
      <c r="L3856" s="3" t="str">
        <f>IF(K3856&lt;-5,"CRÍTICO",IF(K3856&lt;0,"ATENÇÃO",IF(K3856&lt;=5,"OPORTUNO","MUITO BOM")))</f>
        <v>OPORTUNO</v>
      </c>
      <c r="M3856">
        <v>14</v>
      </c>
      <c r="N3856">
        <v>98.66</v>
      </c>
      <c r="O3856">
        <v>35.416666666666671</v>
      </c>
    </row>
    <row r="3857" spans="1:15" hidden="1" x14ac:dyDescent="0.25">
      <c r="A3857" s="11">
        <v>46122</v>
      </c>
      <c r="B3857" t="s">
        <v>59</v>
      </c>
      <c r="C3857" t="s">
        <v>23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>E3857+G3857+H3857</f>
        <v>34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17</v>
      </c>
      <c r="K3857" s="3">
        <f>I3857-J3857</f>
        <v>17</v>
      </c>
      <c r="L3857" s="3" t="str">
        <f>IF(K3857&lt;-5,"CRÍTICO",IF(K3857&lt;0,"ATENÇÃO",IF(K3857&lt;=5,"OPORTUNO","MUITO BOM")))</f>
        <v>MUITO BOM</v>
      </c>
      <c r="M3857">
        <v>32</v>
      </c>
      <c r="N3857">
        <v>99.32</v>
      </c>
      <c r="O3857">
        <v>30.648330058939099</v>
      </c>
    </row>
    <row r="3858" spans="1:15" hidden="1" x14ac:dyDescent="0.25">
      <c r="A3858" s="11">
        <v>46122</v>
      </c>
      <c r="B3858" t="s">
        <v>33</v>
      </c>
      <c r="C3858" t="s">
        <v>32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>E3858+G3858+H3858</f>
        <v>31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26</v>
      </c>
      <c r="K3858" s="3">
        <f>I3858-J3858</f>
        <v>5</v>
      </c>
      <c r="L3858" s="3" t="str">
        <f>IF(K3858&lt;-5,"CRÍTICO",IF(K3858&lt;0,"ATENÇÃO",IF(K3858&lt;=5,"OPORTUNO","MUITO BOM")))</f>
        <v>OPORTUNO</v>
      </c>
      <c r="M3858">
        <v>30</v>
      </c>
      <c r="N3858">
        <v>100</v>
      </c>
      <c r="O3858">
        <v>27.803738317757009</v>
      </c>
    </row>
    <row r="3859" spans="1:15" hidden="1" x14ac:dyDescent="0.25">
      <c r="A3859" s="11">
        <v>46122</v>
      </c>
      <c r="B3859" t="s">
        <v>15</v>
      </c>
      <c r="C3859" t="s">
        <v>16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>E3859+G3859+H3859</f>
        <v>14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7</v>
      </c>
      <c r="K3859" s="3">
        <f>I3859-J3859</f>
        <v>7</v>
      </c>
      <c r="L3859" s="3" t="str">
        <f>IF(K3859&lt;-5,"CRÍTICO",IF(K3859&lt;0,"ATENÇÃO",IF(K3859&lt;=5,"OPORTUNO","MUITO BOM")))</f>
        <v>MUITO BOM</v>
      </c>
      <c r="M3859">
        <v>12</v>
      </c>
      <c r="N3859">
        <v>96.74</v>
      </c>
      <c r="O3859">
        <v>28.67647058823529</v>
      </c>
    </row>
    <row r="3860" spans="1:15" hidden="1" x14ac:dyDescent="0.25">
      <c r="A3860" s="11">
        <v>46122</v>
      </c>
      <c r="B3860" t="s">
        <v>49</v>
      </c>
      <c r="C3860" t="s">
        <v>48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>E3860+G3860+H3860</f>
        <v>32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11</v>
      </c>
      <c r="L3860" s="3" t="str">
        <f>IF(K3860&lt;-5,"CRÍTICO",IF(K3860&lt;0,"ATENÇÃO",IF(K3860&lt;=5,"OPORTUNO","MUITO BOM")))</f>
        <v>MUITO BOM</v>
      </c>
      <c r="M3860">
        <v>30</v>
      </c>
      <c r="N3860">
        <v>98.82</v>
      </c>
      <c r="O3860">
        <v>30.741410488245929</v>
      </c>
    </row>
    <row r="3861" spans="1:15" hidden="1" x14ac:dyDescent="0.25">
      <c r="A3861" s="11">
        <v>46122</v>
      </c>
      <c r="B3861" t="s">
        <v>50</v>
      </c>
      <c r="C3861" t="s">
        <v>48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>E3861+G3861+H3861</f>
        <v>21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21</v>
      </c>
      <c r="K3861" s="3">
        <f>I3861-J3861</f>
        <v>0</v>
      </c>
      <c r="L3861" s="3" t="str">
        <f>IF(K3861&lt;-5,"CRÍTICO",IF(K3861&lt;0,"ATENÇÃO",IF(K3861&lt;=5,"OPORTUNO","MUITO BOM")))</f>
        <v>OPORTUNO</v>
      </c>
      <c r="M3861">
        <v>18</v>
      </c>
      <c r="N3861">
        <v>98.2</v>
      </c>
      <c r="O3861">
        <v>27.170868347338931</v>
      </c>
    </row>
    <row r="3862" spans="1:15" hidden="1" x14ac:dyDescent="0.25">
      <c r="A3862" s="11">
        <v>46122</v>
      </c>
      <c r="B3862" t="s">
        <v>17</v>
      </c>
      <c r="C3862" t="s">
        <v>16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>E3862+G3862+H3862</f>
        <v>6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7</v>
      </c>
      <c r="K3862" s="3">
        <f>I3862-J3862</f>
        <v>-1</v>
      </c>
      <c r="L3862" s="3" t="str">
        <f>IF(K3862&lt;-5,"CRÍTICO",IF(K3862&lt;0,"ATENÇÃO",IF(K3862&lt;=5,"OPORTUNO","MUITO BOM")))</f>
        <v>ATENÇÃO</v>
      </c>
      <c r="M3862">
        <v>5</v>
      </c>
      <c r="N3862">
        <v>100</v>
      </c>
      <c r="O3862">
        <v>23.134328358208951</v>
      </c>
    </row>
    <row r="3863" spans="1:15" hidden="1" x14ac:dyDescent="0.25">
      <c r="A3863" s="11">
        <v>46122</v>
      </c>
      <c r="B3863" t="s">
        <v>60</v>
      </c>
      <c r="C3863" t="s">
        <v>23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>E3863+G3863+H3863</f>
        <v>30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17</v>
      </c>
      <c r="K3863" s="3">
        <f>I3863-J3863</f>
        <v>13</v>
      </c>
      <c r="L3863" s="3" t="str">
        <f>IF(K3863&lt;-5,"CRÍTICO",IF(K3863&lt;0,"ATENÇÃO",IF(K3863&lt;=5,"OPORTUNO","MUITO BOM")))</f>
        <v>MUITO BOM</v>
      </c>
      <c r="M3863">
        <v>29</v>
      </c>
      <c r="N3863">
        <v>96.3</v>
      </c>
      <c r="O3863">
        <v>32.219570405727922</v>
      </c>
    </row>
    <row r="3864" spans="1:15" hidden="1" x14ac:dyDescent="0.25">
      <c r="A3864" s="11">
        <v>46122</v>
      </c>
      <c r="B3864" t="s">
        <v>34</v>
      </c>
      <c r="C3864" t="s">
        <v>32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>E3864+G3864+H3864</f>
        <v>21</v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>26</v>
      </c>
      <c r="K3864" s="3">
        <f>I3864-J3864</f>
        <v>-5</v>
      </c>
      <c r="L3864" s="3" t="str">
        <f>IF(K3864&lt;-5,"CRÍTICO",IF(K3864&lt;0,"ATENÇÃO",IF(K3864&lt;=5,"OPORTUNO","MUITO BOM")))</f>
        <v>ATENÇÃO</v>
      </c>
      <c r="M3864">
        <v>20</v>
      </c>
      <c r="N3864">
        <v>93.75</v>
      </c>
      <c r="O3864">
        <v>26.819923371647509</v>
      </c>
    </row>
    <row r="3865" spans="1:15" hidden="1" x14ac:dyDescent="0.25">
      <c r="A3865" s="11">
        <v>46122</v>
      </c>
      <c r="B3865" t="s">
        <v>51</v>
      </c>
      <c r="C3865" t="s">
        <v>48</v>
      </c>
      <c r="D3865">
        <v>31</v>
      </c>
      <c r="E3865">
        <v>27</v>
      </c>
      <c r="F3865">
        <v>16.5</v>
      </c>
      <c r="G3865">
        <v>0</v>
      </c>
      <c r="H3865">
        <v>0</v>
      </c>
      <c r="I3865" s="3">
        <v>0</v>
      </c>
      <c r="J3865" s="3">
        <v>0</v>
      </c>
      <c r="K3865" s="3">
        <v>0</v>
      </c>
      <c r="L3865" s="3" t="str">
        <f>IF(K3865&lt;-5,"CRÍTICO",IF(K3865&lt;0,"ATENÇÃO",IF(K3865&lt;=5,"OPORTUNO","MUITO BOM")))</f>
        <v>OPORTUNO</v>
      </c>
      <c r="M3865">
        <v>28</v>
      </c>
      <c r="N3865">
        <v>97.86</v>
      </c>
      <c r="O3865">
        <v>31.018518518518519</v>
      </c>
    </row>
    <row r="3866" spans="1:15" hidden="1" x14ac:dyDescent="0.25">
      <c r="A3866" s="11">
        <v>46122</v>
      </c>
      <c r="B3866" t="s">
        <v>61</v>
      </c>
      <c r="C3866" t="s">
        <v>23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>E3866+G3866+H3866</f>
        <v>18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17</v>
      </c>
      <c r="K3866" s="3">
        <f>I3866-J3866</f>
        <v>1</v>
      </c>
      <c r="L3866" s="3" t="str">
        <f>IF(K3866&lt;-5,"CRÍTICO",IF(K3866&lt;0,"ATENÇÃO",IF(K3866&lt;=5,"OPORTUNO","MUITO BOM")))</f>
        <v>OPORTUNO</v>
      </c>
      <c r="M3866">
        <v>13</v>
      </c>
      <c r="N3866">
        <v>100</v>
      </c>
      <c r="O3866">
        <v>36.594202898550733</v>
      </c>
    </row>
    <row r="3867" spans="1:15" hidden="1" x14ac:dyDescent="0.25">
      <c r="A3867" s="11">
        <v>46122</v>
      </c>
      <c r="B3867" t="s">
        <v>35</v>
      </c>
      <c r="C3867" t="s">
        <v>32</v>
      </c>
      <c r="D3867">
        <v>26</v>
      </c>
      <c r="E3867">
        <v>26</v>
      </c>
      <c r="F3867">
        <v>21.59</v>
      </c>
      <c r="G3867">
        <v>0</v>
      </c>
      <c r="H3867">
        <v>0</v>
      </c>
      <c r="I3867" s="3">
        <v>0</v>
      </c>
      <c r="J3867" s="3">
        <v>0</v>
      </c>
      <c r="K3867" s="3">
        <v>0</v>
      </c>
      <c r="L3867" s="3" t="str">
        <f>IF(K3867&lt;-5,"CRÍTICO",IF(K3867&lt;0,"ATENÇÃO",IF(K3867&lt;=5,"OPORTUNO","MUITO BOM")))</f>
        <v>OPORTUNO</v>
      </c>
      <c r="M3867">
        <v>27</v>
      </c>
      <c r="N3867">
        <v>100</v>
      </c>
      <c r="O3867">
        <v>38.653846153846153</v>
      </c>
    </row>
    <row r="3868" spans="1:15" hidden="1" x14ac:dyDescent="0.25">
      <c r="A3868" s="11">
        <v>46122</v>
      </c>
      <c r="B3868" t="s">
        <v>18</v>
      </c>
      <c r="C3868" t="s">
        <v>16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>E3868+G3868+H3868</f>
        <v>4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7</v>
      </c>
      <c r="K3868" s="3">
        <f>I3868-J3868</f>
        <v>-3</v>
      </c>
      <c r="L3868" s="3" t="str">
        <f>IF(K3868&lt;-5,"CRÍTICO",IF(K3868&lt;0,"ATENÇÃO",IF(K3868&lt;=5,"OPORTUNO","MUITO BOM")))</f>
        <v>ATENÇÃO</v>
      </c>
      <c r="M3868">
        <v>3</v>
      </c>
      <c r="N3868">
        <v>100</v>
      </c>
      <c r="O3868">
        <v>27.368421052631579</v>
      </c>
    </row>
    <row r="3869" spans="1:15" hidden="1" x14ac:dyDescent="0.25">
      <c r="A3869" s="11">
        <v>46122</v>
      </c>
      <c r="B3869" t="s">
        <v>52</v>
      </c>
      <c r="C3869" t="s">
        <v>48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>E3869+G3869+H3869</f>
        <v>23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21</v>
      </c>
      <c r="K3869" s="3">
        <f>I3869-J3869</f>
        <v>2</v>
      </c>
      <c r="L3869" s="3" t="str">
        <f>IF(K3869&lt;-5,"CRÍTICO",IF(K3869&lt;0,"ATENÇÃO",IF(K3869&lt;=5,"OPORTUNO","MUITO BOM")))</f>
        <v>OPORTUNO</v>
      </c>
      <c r="M3869">
        <v>22</v>
      </c>
      <c r="N3869">
        <v>97.83</v>
      </c>
      <c r="O3869">
        <v>28.35164835164835</v>
      </c>
    </row>
    <row r="3870" spans="1:15" hidden="1" x14ac:dyDescent="0.25">
      <c r="A3870" s="11">
        <v>46122</v>
      </c>
      <c r="B3870" t="s">
        <v>36</v>
      </c>
      <c r="C3870" t="s">
        <v>32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>E3870+G3870+H3870</f>
        <v>31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26</v>
      </c>
      <c r="K3870" s="3">
        <f>I3870-J3870</f>
        <v>5</v>
      </c>
      <c r="L3870" s="3" t="str">
        <f>IF(K3870&lt;-5,"CRÍTICO",IF(K3870&lt;0,"ATENÇÃO",IF(K3870&lt;=5,"OPORTUNO","MUITO BOM")))</f>
        <v>OPORTUNO</v>
      </c>
      <c r="M3870">
        <v>32</v>
      </c>
      <c r="N3870">
        <v>99.26</v>
      </c>
      <c r="O3870">
        <v>29.766536964980549</v>
      </c>
    </row>
    <row r="3871" spans="1:15" hidden="1" x14ac:dyDescent="0.25">
      <c r="A3871" s="11">
        <v>46122</v>
      </c>
      <c r="B3871" t="s">
        <v>53</v>
      </c>
      <c r="C3871" t="s">
        <v>48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21</v>
      </c>
      <c r="K3871" s="3">
        <f>I3871-J3871</f>
        <v>0</v>
      </c>
      <c r="L3871" s="3" t="str">
        <f>IF(K3871&lt;-5,"CRÍTICO",IF(K3871&lt;0,"ATENÇÃO",IF(K3871&lt;=5,"OPORTUNO","MUITO BOM")))</f>
        <v>OPORTUNO</v>
      </c>
      <c r="M3871">
        <v>14</v>
      </c>
      <c r="N3871">
        <v>99.19</v>
      </c>
      <c r="O3871">
        <v>29.462365591397852</v>
      </c>
    </row>
    <row r="3872" spans="1:15" hidden="1" x14ac:dyDescent="0.25">
      <c r="A3872" s="11">
        <v>46167</v>
      </c>
      <c r="B3872" t="s">
        <v>55</v>
      </c>
      <c r="C3872" t="s">
        <v>48</v>
      </c>
      <c r="D3872">
        <v>21</v>
      </c>
      <c r="E3872">
        <v>17</v>
      </c>
      <c r="F3872">
        <v>17.190000000000001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>
        <v>17</v>
      </c>
      <c r="N3872">
        <v>98.94</v>
      </c>
      <c r="O3872">
        <v>21.270718232044199</v>
      </c>
    </row>
    <row r="3873" spans="1:15" hidden="1" x14ac:dyDescent="0.25">
      <c r="A3873" s="11">
        <v>46122</v>
      </c>
      <c r="B3873" t="s">
        <v>54</v>
      </c>
      <c r="C3873" t="s">
        <v>48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v>0</v>
      </c>
      <c r="J3873" s="3">
        <v>0</v>
      </c>
      <c r="K3873" s="3">
        <v>0</v>
      </c>
      <c r="L3873" s="3" t="str">
        <f>IF(K3873&lt;-5,"CRÍTICO",IF(K3873&lt;0,"ATENÇÃO",IF(K3873&lt;=5,"OPORTUNO","MUITO BOM")))</f>
        <v>OPORTUNO</v>
      </c>
      <c r="M3873">
        <v>1</v>
      </c>
      <c r="N3873">
        <v>100</v>
      </c>
      <c r="O3873">
        <v>28.921568627450981</v>
      </c>
    </row>
    <row r="3874" spans="1:15" hidden="1" x14ac:dyDescent="0.25">
      <c r="A3874" s="11">
        <v>46122</v>
      </c>
      <c r="B3874" t="s">
        <v>37</v>
      </c>
      <c r="C3874" t="s">
        <v>32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>E3874+G3874+H3874</f>
        <v>32</v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>26</v>
      </c>
      <c r="K3874" s="3">
        <f>I3874-J3874</f>
        <v>6</v>
      </c>
      <c r="L3874" s="3" t="str">
        <f>IF(K3874&lt;-5,"CRÍTICO",IF(K3874&lt;0,"ATENÇÃO",IF(K3874&lt;=5,"OPORTUNO","MUITO BOM")))</f>
        <v>MUITO BOM</v>
      </c>
      <c r="M3874">
        <v>31</v>
      </c>
      <c r="N3874">
        <v>99.57</v>
      </c>
      <c r="O3874">
        <v>30.635838150289018</v>
      </c>
    </row>
    <row r="3875" spans="1:15" hidden="1" x14ac:dyDescent="0.25">
      <c r="A3875" s="11">
        <v>46122</v>
      </c>
      <c r="B3875" t="s">
        <v>38</v>
      </c>
      <c r="C3875" t="s">
        <v>32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v>0</v>
      </c>
      <c r="J3875" s="3">
        <v>0</v>
      </c>
      <c r="K3875" s="3">
        <v>0</v>
      </c>
      <c r="L3875" s="3" t="str">
        <f>IF(K3875&lt;-5,"CRÍTICO",IF(K3875&lt;0,"ATENÇÃO",IF(K3875&lt;=5,"OPORTUNO","MUITO BOM")))</f>
        <v>OPORTUNO</v>
      </c>
      <c r="M3875">
        <v>0</v>
      </c>
      <c r="N3875">
        <v>95.65</v>
      </c>
      <c r="O3875">
        <v>32.432432432432442</v>
      </c>
    </row>
    <row r="3876" spans="1:15" hidden="1" x14ac:dyDescent="0.25">
      <c r="A3876" s="11">
        <v>46122</v>
      </c>
      <c r="B3876" t="s">
        <v>55</v>
      </c>
      <c r="C3876" t="s">
        <v>48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>E3876+G3876+H3876</f>
        <v>17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21</v>
      </c>
      <c r="K3876" s="3">
        <f>I3876-J3876</f>
        <v>-4</v>
      </c>
      <c r="L3876" s="3" t="str">
        <f>IF(K3876&lt;-5,"CRÍTICO",IF(K3876&lt;0,"ATENÇÃO",IF(K3876&lt;=5,"OPORTUNO","MUITO BOM")))</f>
        <v>ATENÇÃO</v>
      </c>
      <c r="M3876">
        <v>16</v>
      </c>
      <c r="N3876">
        <v>98.81</v>
      </c>
      <c r="O3876">
        <v>26.256983240223459</v>
      </c>
    </row>
    <row r="3877" spans="1:15" hidden="1" x14ac:dyDescent="0.25">
      <c r="A3877" s="11">
        <v>46122</v>
      </c>
      <c r="B3877" t="s">
        <v>39</v>
      </c>
      <c r="C3877" t="s">
        <v>32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v>0</v>
      </c>
      <c r="J3877" s="3">
        <v>0</v>
      </c>
      <c r="K3877" s="3">
        <v>0</v>
      </c>
      <c r="L3877" s="3" t="str">
        <f>IF(K3877&lt;-5,"CRÍTICO",IF(K3877&lt;0,"ATENÇÃO",IF(K3877&lt;=5,"OPORTUNO","MUITO BOM")))</f>
        <v>OPORTUNO</v>
      </c>
      <c r="M3877">
        <v>0</v>
      </c>
      <c r="N3877">
        <v>0</v>
      </c>
      <c r="O3877">
        <v>0</v>
      </c>
    </row>
    <row r="3878" spans="1:15" hidden="1" x14ac:dyDescent="0.25">
      <c r="A3878" s="11">
        <v>46122</v>
      </c>
      <c r="B3878" t="s">
        <v>25</v>
      </c>
      <c r="C3878" t="s">
        <v>26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>E3878+G3878+H3878</f>
        <v>16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15</v>
      </c>
      <c r="K3878" s="3">
        <f>I3878-J3878</f>
        <v>1</v>
      </c>
      <c r="L3878" s="3" t="str">
        <f>IF(K3878&lt;-5,"CRÍTICO",IF(K3878&lt;0,"ATENÇÃO",IF(K3878&lt;=5,"OPORTUNO","MUITO BOM")))</f>
        <v>OPORTUNO</v>
      </c>
      <c r="M3878">
        <v>15</v>
      </c>
      <c r="N3878">
        <v>97.17</v>
      </c>
      <c r="O3878">
        <v>28.81844380403458</v>
      </c>
    </row>
    <row r="3879" spans="1:15" hidden="1" x14ac:dyDescent="0.25">
      <c r="A3879" s="11">
        <v>46122</v>
      </c>
      <c r="B3879" t="s">
        <v>40</v>
      </c>
      <c r="C3879" t="s">
        <v>32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>E3879+G3879+H3879</f>
        <v>15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26</v>
      </c>
      <c r="K3879" s="3">
        <f>I3879-J3879</f>
        <v>-11</v>
      </c>
      <c r="L3879" s="3" t="str">
        <f>IF(K3879&lt;-5,"CRÍTICO",IF(K3879&lt;0,"ATENÇÃO",IF(K3879&lt;=5,"OPORTUNO","MUITO BOM")))</f>
        <v>CRÍTICO</v>
      </c>
      <c r="M3879">
        <v>14</v>
      </c>
      <c r="N3879">
        <v>96.81</v>
      </c>
      <c r="O3879">
        <v>48.018648018648022</v>
      </c>
    </row>
    <row r="3880" spans="1:15" hidden="1" x14ac:dyDescent="0.25">
      <c r="A3880" s="11">
        <v>46122</v>
      </c>
      <c r="B3880" t="s">
        <v>27</v>
      </c>
      <c r="C3880" t="s">
        <v>26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>E3880+G3880+H3880</f>
        <v>11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15</v>
      </c>
      <c r="K3880" s="3">
        <f>I3880-J3880</f>
        <v>-4</v>
      </c>
      <c r="L3880" s="3" t="str">
        <f>IF(K3880&lt;-5,"CRÍTICO",IF(K3880&lt;0,"ATENÇÃO",IF(K3880&lt;=5,"OPORTUNO","MUITO BOM")))</f>
        <v>ATENÇÃO</v>
      </c>
      <c r="M3880">
        <v>8</v>
      </c>
      <c r="N3880">
        <v>98.15</v>
      </c>
      <c r="O3880">
        <v>27.1551724137931</v>
      </c>
    </row>
    <row r="3881" spans="1:15" hidden="1" x14ac:dyDescent="0.25">
      <c r="A3881" s="11">
        <v>46122</v>
      </c>
      <c r="B3881" t="s">
        <v>41</v>
      </c>
      <c r="C3881" t="s">
        <v>32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>E3881+G3881+H3881</f>
        <v>26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26</v>
      </c>
      <c r="K3881" s="3">
        <f>I3881-J3881</f>
        <v>0</v>
      </c>
      <c r="L3881" s="3" t="str">
        <f>IF(K3881&lt;-5,"CRÍTICO",IF(K3881&lt;0,"ATENÇÃO",IF(K3881&lt;=5,"OPORTUNO","MUITO BOM")))</f>
        <v>OPORTUNO</v>
      </c>
      <c r="M3881">
        <v>26</v>
      </c>
      <c r="N3881">
        <v>99.15</v>
      </c>
      <c r="O3881">
        <v>27.586206896551719</v>
      </c>
    </row>
    <row r="3882" spans="1:15" hidden="1" x14ac:dyDescent="0.25">
      <c r="A3882" s="11">
        <v>46122</v>
      </c>
      <c r="B3882" t="s">
        <v>56</v>
      </c>
      <c r="C3882" t="s">
        <v>48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>E3882+G3882+H3882</f>
        <v>19</v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>21</v>
      </c>
      <c r="K3882" s="3">
        <f>I3882-J3882</f>
        <v>-2</v>
      </c>
      <c r="L3882" s="3" t="str">
        <f>IF(K3882&lt;-5,"CRÍTICO",IF(K3882&lt;0,"ATENÇÃO",IF(K3882&lt;=5,"OPORTUNO","MUITO BOM")))</f>
        <v>ATENÇÃO</v>
      </c>
      <c r="M3882">
        <v>16</v>
      </c>
      <c r="N3882">
        <v>99.17</v>
      </c>
      <c r="O3882">
        <v>29.75206611570248</v>
      </c>
    </row>
    <row r="3883" spans="1:15" hidden="1" x14ac:dyDescent="0.25">
      <c r="A3883" s="11">
        <v>46122</v>
      </c>
      <c r="B3883" t="s">
        <v>57</v>
      </c>
      <c r="C3883" t="s">
        <v>48</v>
      </c>
      <c r="D3883">
        <v>11</v>
      </c>
      <c r="E3883">
        <v>10</v>
      </c>
      <c r="F3883">
        <v>22.28</v>
      </c>
      <c r="G3883">
        <v>0</v>
      </c>
      <c r="H3883">
        <v>0</v>
      </c>
      <c r="I3883" s="3">
        <v>0</v>
      </c>
      <c r="J3883" s="3">
        <v>0</v>
      </c>
      <c r="K3883" s="3">
        <v>0</v>
      </c>
      <c r="L3883" s="3" t="str">
        <f>IF(K3883&lt;-5,"CRÍTICO",IF(K3883&lt;0,"ATENÇÃO",IF(K3883&lt;=5,"OPORTUNO","MUITO BOM")))</f>
        <v>OPORTUNO</v>
      </c>
      <c r="M3883">
        <v>8</v>
      </c>
      <c r="N3883">
        <v>98.73</v>
      </c>
      <c r="O3883">
        <v>28.961748633879779</v>
      </c>
    </row>
    <row r="3884" spans="1:15" hidden="1" x14ac:dyDescent="0.25">
      <c r="A3884" s="11">
        <v>46122</v>
      </c>
      <c r="B3884" t="s">
        <v>42</v>
      </c>
      <c r="C3884" t="s">
        <v>32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>E3884+G3884+H3884</f>
        <v>37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26</v>
      </c>
      <c r="K3884" s="3">
        <f>I3884-J3884</f>
        <v>11</v>
      </c>
      <c r="L3884" s="3" t="str">
        <f>IF(K3884&lt;-5,"CRÍTICO",IF(K3884&lt;0,"ATENÇÃO",IF(K3884&lt;=5,"OPORTUNO","MUITO BOM")))</f>
        <v>MUITO BOM</v>
      </c>
      <c r="M3884">
        <v>28</v>
      </c>
      <c r="N3884">
        <v>88.68</v>
      </c>
      <c r="O3884">
        <v>22.03389830508474</v>
      </c>
    </row>
    <row r="3885" spans="1:15" hidden="1" x14ac:dyDescent="0.25">
      <c r="A3885" s="11">
        <v>46122</v>
      </c>
      <c r="B3885" t="s">
        <v>62</v>
      </c>
      <c r="C3885" t="s">
        <v>23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17</v>
      </c>
      <c r="K3885" s="3">
        <f>I3885-J3885</f>
        <v>1</v>
      </c>
      <c r="L3885" s="3" t="str">
        <f>IF(K3885&lt;-5,"CRÍTICO",IF(K3885&lt;0,"ATENÇÃO",IF(K3885&lt;=5,"OPORTUNO","MUITO BOM")))</f>
        <v>OPORTUNO</v>
      </c>
      <c r="M3885">
        <v>21</v>
      </c>
      <c r="N3885">
        <v>97.37</v>
      </c>
      <c r="O3885">
        <v>25.76530612244898</v>
      </c>
    </row>
    <row r="3886" spans="1:15" hidden="1" x14ac:dyDescent="0.25">
      <c r="A3886" s="11">
        <v>46122</v>
      </c>
      <c r="B3886" t="s">
        <v>19</v>
      </c>
      <c r="C3886" t="s">
        <v>16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>E3886+G3886+H3886</f>
        <v>18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7</v>
      </c>
      <c r="K3886" s="3">
        <f>I3886-J3886</f>
        <v>11</v>
      </c>
      <c r="L3886" s="3" t="str">
        <f>IF(K3886&lt;-5,"CRÍTICO",IF(K3886&lt;0,"ATENÇÃO",IF(K3886&lt;=5,"OPORTUNO","MUITO BOM")))</f>
        <v>MUITO BOM</v>
      </c>
      <c r="M3886">
        <v>15</v>
      </c>
      <c r="N3886">
        <v>100</v>
      </c>
      <c r="O3886">
        <v>25</v>
      </c>
    </row>
    <row r="3887" spans="1:15" hidden="1" x14ac:dyDescent="0.25">
      <c r="A3887" s="11">
        <v>46122</v>
      </c>
      <c r="B3887" t="s">
        <v>43</v>
      </c>
      <c r="C3887" t="s">
        <v>32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>E3887+G3887+H3887</f>
        <v>11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-15</v>
      </c>
      <c r="L3887" s="3" t="str">
        <f>IF(K3887&lt;-5,"CRÍTICO",IF(K3887&lt;0,"ATENÇÃO",IF(K3887&lt;=5,"OPORTUNO","MUITO BOM")))</f>
        <v>CRÍTICO</v>
      </c>
      <c r="M3887">
        <v>19</v>
      </c>
      <c r="N3887">
        <v>100</v>
      </c>
      <c r="O3887">
        <v>23.9870340356564</v>
      </c>
    </row>
    <row r="3888" spans="1:15" hidden="1" x14ac:dyDescent="0.25">
      <c r="A3888" s="11">
        <v>46122</v>
      </c>
      <c r="B3888" t="s">
        <v>44</v>
      </c>
      <c r="C3888" t="s">
        <v>32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>E3888+G3888+H3888</f>
        <v>23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26</v>
      </c>
      <c r="K3888" s="3">
        <f>I3888-J3888</f>
        <v>-3</v>
      </c>
      <c r="L3888" s="3" t="str">
        <f>IF(K3888&lt;-5,"CRÍTICO",IF(K3888&lt;0,"ATENÇÃO",IF(K3888&lt;=5,"OPORTUNO","MUITO BOM")))</f>
        <v>ATENÇÃO</v>
      </c>
      <c r="M3888">
        <v>22</v>
      </c>
      <c r="N3888">
        <v>95.49</v>
      </c>
      <c r="O3888">
        <v>28.370221327967808</v>
      </c>
    </row>
    <row r="3889" spans="1:15" hidden="1" x14ac:dyDescent="0.25">
      <c r="A3889" s="11">
        <v>46122</v>
      </c>
      <c r="B3889" t="s">
        <v>20</v>
      </c>
      <c r="C3889" t="s">
        <v>16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>E3889+G3889+H3889</f>
        <v>16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7</v>
      </c>
      <c r="K3889" s="3">
        <f>I3889-J3889</f>
        <v>9</v>
      </c>
      <c r="L3889" s="3" t="str">
        <f>IF(K3889&lt;-5,"CRÍTICO",IF(K3889&lt;0,"ATENÇÃO",IF(K3889&lt;=5,"OPORTUNO","MUITO BOM")))</f>
        <v>MUITO BOM</v>
      </c>
      <c r="M3889">
        <v>10</v>
      </c>
      <c r="N3889">
        <v>100</v>
      </c>
      <c r="O3889">
        <v>23.77622377622378</v>
      </c>
    </row>
    <row r="3890" spans="1:15" hidden="1" x14ac:dyDescent="0.25">
      <c r="A3890" s="11">
        <v>46122</v>
      </c>
      <c r="B3890" t="s">
        <v>28</v>
      </c>
      <c r="C3890" t="s">
        <v>26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>E3890+G3890+H3890</f>
        <v>31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15</v>
      </c>
      <c r="K3890" s="3">
        <f>I3890-J3890</f>
        <v>16</v>
      </c>
      <c r="L3890" s="3" t="str">
        <f>IF(K3890&lt;-5,"CRÍTICO",IF(K3890&lt;0,"ATENÇÃO",IF(K3890&lt;=5,"OPORTUNO","MUITO BOM")))</f>
        <v>MUITO BOM</v>
      </c>
      <c r="M3890">
        <v>20</v>
      </c>
      <c r="N3890">
        <v>96.15</v>
      </c>
      <c r="O3890">
        <v>24.045801526717561</v>
      </c>
    </row>
    <row r="3891" spans="1:15" hidden="1" x14ac:dyDescent="0.25">
      <c r="A3891" s="11">
        <v>46122</v>
      </c>
      <c r="B3891" t="s">
        <v>58</v>
      </c>
      <c r="C3891" t="s">
        <v>48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>E3891+G3891+H3891</f>
        <v>18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21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>
        <v>16</v>
      </c>
      <c r="N3891">
        <v>99.02</v>
      </c>
      <c r="O3891">
        <v>34.797297297297298</v>
      </c>
    </row>
    <row r="3892" spans="1:15" hidden="1" x14ac:dyDescent="0.25">
      <c r="A3892" s="11">
        <v>46122</v>
      </c>
      <c r="B3892" t="s">
        <v>29</v>
      </c>
      <c r="C3892" t="s">
        <v>26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>E3892+G3892+H3892</f>
        <v>12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-3</v>
      </c>
      <c r="L3892" s="3" t="str">
        <f>IF(K3892&lt;-5,"CRÍTICO",IF(K3892&lt;0,"ATENÇÃO",IF(K3892&lt;=5,"OPORTUNO","MUITO BOM")))</f>
        <v>ATENÇÃO</v>
      </c>
      <c r="M3892">
        <v>11</v>
      </c>
      <c r="N3892">
        <v>98.84</v>
      </c>
      <c r="O3892">
        <v>31.868131868131869</v>
      </c>
    </row>
    <row r="3893" spans="1:15" hidden="1" x14ac:dyDescent="0.25">
      <c r="A3893" s="11">
        <v>46122</v>
      </c>
      <c r="B3893" t="s">
        <v>30</v>
      </c>
      <c r="C3893" t="s">
        <v>26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>E3893+G3893+H3893</f>
        <v>20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15</v>
      </c>
      <c r="K3893" s="3">
        <f>I3893-J3893</f>
        <v>5</v>
      </c>
      <c r="L3893" s="3" t="str">
        <f>IF(K3893&lt;-5,"CRÍTICO",IF(K3893&lt;0,"ATENÇÃO",IF(K3893&lt;=5,"OPORTUNO","MUITO BOM")))</f>
        <v>OPORTUNO</v>
      </c>
      <c r="M3893">
        <v>18</v>
      </c>
      <c r="N3893">
        <v>100</v>
      </c>
      <c r="O3893">
        <v>34.666666666666671</v>
      </c>
    </row>
    <row r="3894" spans="1:15" hidden="1" x14ac:dyDescent="0.25">
      <c r="A3894" s="11">
        <v>46122</v>
      </c>
      <c r="B3894" t="s">
        <v>21</v>
      </c>
      <c r="C3894" t="s">
        <v>16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>E3894+G3894+H3894</f>
        <v>7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7</v>
      </c>
      <c r="K3894" s="3">
        <f>I3894-J3894</f>
        <v>0</v>
      </c>
      <c r="L3894" s="3" t="str">
        <f>IF(K3894&lt;-5,"CRÍTICO",IF(K3894&lt;0,"ATENÇÃO",IF(K3894&lt;=5,"OPORTUNO","MUITO BOM")))</f>
        <v>OPORTUNO</v>
      </c>
      <c r="M3894">
        <v>6</v>
      </c>
      <c r="N3894">
        <v>94.12</v>
      </c>
      <c r="O3894">
        <v>32.799999999999997</v>
      </c>
    </row>
    <row r="3895" spans="1:15" hidden="1" x14ac:dyDescent="0.25">
      <c r="A3895" s="11">
        <v>46122</v>
      </c>
      <c r="B3895" t="s">
        <v>63</v>
      </c>
      <c r="C3895" t="s">
        <v>23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>E3895+G3895+H3895</f>
        <v>25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17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>
        <v>19</v>
      </c>
      <c r="N3895">
        <v>98.32</v>
      </c>
      <c r="O3895">
        <v>26.858513189448441</v>
      </c>
    </row>
    <row r="3896" spans="1:15" hidden="1" x14ac:dyDescent="0.25">
      <c r="A3896" s="11">
        <v>46122</v>
      </c>
      <c r="B3896" t="s">
        <v>45</v>
      </c>
      <c r="C3896" t="s">
        <v>32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>E3896+G3896+H3896</f>
        <v>34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26</v>
      </c>
      <c r="K3896" s="3">
        <f>I3896-J3896</f>
        <v>8</v>
      </c>
      <c r="L3896" s="3" t="str">
        <f>IF(K3896&lt;-5,"CRÍTICO",IF(K3896&lt;0,"ATENÇÃO",IF(K3896&lt;=5,"OPORTUNO","MUITO BOM")))</f>
        <v>MUITO BOM</v>
      </c>
      <c r="M3896">
        <v>32</v>
      </c>
      <c r="N3896">
        <v>100</v>
      </c>
      <c r="O3896">
        <v>31.135531135531139</v>
      </c>
    </row>
    <row r="3897" spans="1:15" hidden="1" x14ac:dyDescent="0.25">
      <c r="A3897" s="11">
        <v>46122</v>
      </c>
      <c r="B3897" t="s">
        <v>64</v>
      </c>
      <c r="C3897" t="s">
        <v>23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>E3897+G3897+H3897</f>
        <v>13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17</v>
      </c>
      <c r="K3897" s="3">
        <f>I3897-J3897</f>
        <v>-4</v>
      </c>
      <c r="L3897" s="3" t="str">
        <f>IF(K3897&lt;-5,"CRÍTICO",IF(K3897&lt;0,"ATENÇÃO",IF(K3897&lt;=5,"OPORTUNO","MUITO BOM")))</f>
        <v>ATENÇÃO</v>
      </c>
      <c r="M3897">
        <v>12</v>
      </c>
      <c r="N3897">
        <v>100</v>
      </c>
      <c r="O3897">
        <v>26.36986301369863</v>
      </c>
    </row>
    <row r="3898" spans="1:15" hidden="1" x14ac:dyDescent="0.25">
      <c r="A3898" s="11">
        <v>46122</v>
      </c>
      <c r="B3898" t="s">
        <v>46</v>
      </c>
      <c r="C3898" t="s">
        <v>32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>E3898+G3898+H3898</f>
        <v>11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26</v>
      </c>
      <c r="K3898" s="3">
        <f>I3898-J3898</f>
        <v>-15</v>
      </c>
      <c r="L3898" s="3" t="str">
        <f>IF(K3898&lt;-5,"CRÍTICO",IF(K3898&lt;0,"ATENÇÃO",IF(K3898&lt;=5,"OPORTUNO","MUITO BOM")))</f>
        <v>CRÍTICO</v>
      </c>
      <c r="M3898">
        <v>11</v>
      </c>
      <c r="N3898">
        <v>99.21</v>
      </c>
      <c r="O3898">
        <v>25.188916876574311</v>
      </c>
    </row>
    <row r="3899" spans="1:15" hidden="1" x14ac:dyDescent="0.25">
      <c r="A3899" s="11">
        <v>46125</v>
      </c>
      <c r="B3899" t="s">
        <v>47</v>
      </c>
      <c r="C3899" t="s">
        <v>48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>E3899+G3899+H3899</f>
        <v>15</v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>20</v>
      </c>
      <c r="K3899" s="3">
        <f>I3899-J3899</f>
        <v>-5</v>
      </c>
      <c r="L3899" s="3" t="str">
        <f>IF(K3899&lt;-5,"CRÍTICO",IF(K3899&lt;0,"ATENÇÃO",IF(K3899&lt;=5,"OPORTUNO","MUITO BOM")))</f>
        <v>ATENÇÃO</v>
      </c>
      <c r="M3899">
        <v>9</v>
      </c>
      <c r="N3899">
        <v>100</v>
      </c>
      <c r="O3899">
        <v>32.764505119453922</v>
      </c>
    </row>
    <row r="3900" spans="1:15" hidden="1" x14ac:dyDescent="0.25">
      <c r="A3900" s="11">
        <v>46125</v>
      </c>
      <c r="B3900" t="s">
        <v>31</v>
      </c>
      <c r="C3900" t="s">
        <v>32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v>0</v>
      </c>
      <c r="J3900" s="3">
        <v>0</v>
      </c>
      <c r="K3900" s="3">
        <v>0</v>
      </c>
      <c r="L3900" s="3" t="str">
        <f>IF(K3900&lt;-5,"CRÍTICO",IF(K3900&lt;0,"ATENÇÃO",IF(K3900&lt;=5,"OPORTUNO","MUITO BOM")))</f>
        <v>OPORTUNO</v>
      </c>
      <c r="M3900">
        <v>19</v>
      </c>
      <c r="N3900">
        <v>98.66</v>
      </c>
      <c r="O3900">
        <v>35.416666666666671</v>
      </c>
    </row>
    <row r="3901" spans="1:15" hidden="1" x14ac:dyDescent="0.25">
      <c r="A3901" s="11">
        <v>46125</v>
      </c>
      <c r="B3901" t="s">
        <v>59</v>
      </c>
      <c r="C3901" t="s">
        <v>23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>E3901+G3901+H3901</f>
        <v>29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17</v>
      </c>
      <c r="K3901" s="3">
        <f>I3901-J3901</f>
        <v>12</v>
      </c>
      <c r="L3901" s="3" t="str">
        <f>IF(K3901&lt;-5,"CRÍTICO",IF(K3901&lt;0,"ATENÇÃO",IF(K3901&lt;=5,"OPORTUNO","MUITO BOM")))</f>
        <v>MUITO BOM</v>
      </c>
      <c r="M3901">
        <v>20</v>
      </c>
      <c r="N3901">
        <v>99.32</v>
      </c>
      <c r="O3901">
        <v>30.648330058939099</v>
      </c>
    </row>
    <row r="3902" spans="1:15" hidden="1" x14ac:dyDescent="0.25">
      <c r="A3902" s="11">
        <v>46125</v>
      </c>
      <c r="B3902" t="s">
        <v>33</v>
      </c>
      <c r="C3902" t="s">
        <v>32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>E3902+G3902+H3902</f>
        <v>13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25</v>
      </c>
      <c r="K3902" s="3">
        <f>I3902-J3902</f>
        <v>-12</v>
      </c>
      <c r="L3902" s="3" t="str">
        <f>IF(K3902&lt;-5,"CRÍTICO",IF(K3902&lt;0,"ATENÇÃO",IF(K3902&lt;=5,"OPORTUNO","MUITO BOM")))</f>
        <v>CRÍTICO</v>
      </c>
      <c r="M3902">
        <v>14</v>
      </c>
      <c r="N3902">
        <v>100</v>
      </c>
      <c r="O3902">
        <v>27.803738317757009</v>
      </c>
    </row>
    <row r="3903" spans="1:15" hidden="1" x14ac:dyDescent="0.25">
      <c r="A3903" s="11">
        <v>46125</v>
      </c>
      <c r="B3903" t="s">
        <v>15</v>
      </c>
      <c r="C3903" t="s">
        <v>16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>E3903+G3903+H3903</f>
        <v>25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7</v>
      </c>
      <c r="K3903" s="3">
        <f>I3903-J3903</f>
        <v>18</v>
      </c>
      <c r="L3903" s="3" t="str">
        <f>IF(K3903&lt;-5,"CRÍTICO",IF(K3903&lt;0,"ATENÇÃO",IF(K3903&lt;=5,"OPORTUNO","MUITO BOM")))</f>
        <v>MUITO BOM</v>
      </c>
      <c r="M3903">
        <v>22</v>
      </c>
      <c r="N3903">
        <v>96.74</v>
      </c>
      <c r="O3903">
        <v>28.67647058823529</v>
      </c>
    </row>
    <row r="3904" spans="1:15" hidden="1" x14ac:dyDescent="0.25">
      <c r="A3904" s="11">
        <v>46125</v>
      </c>
      <c r="B3904" t="s">
        <v>49</v>
      </c>
      <c r="C3904" t="s">
        <v>48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>E3904+G3904+H3904</f>
        <v>27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7</v>
      </c>
      <c r="L3904" s="3" t="str">
        <f>IF(K3904&lt;-5,"CRÍTICO",IF(K3904&lt;0,"ATENÇÃO",IF(K3904&lt;=5,"OPORTUNO","MUITO BOM")))</f>
        <v>MUITO BOM</v>
      </c>
      <c r="M3904">
        <v>23</v>
      </c>
      <c r="N3904">
        <v>98.82</v>
      </c>
      <c r="O3904">
        <v>30.741410488245929</v>
      </c>
    </row>
    <row r="3905" spans="1:15" hidden="1" x14ac:dyDescent="0.25">
      <c r="A3905" s="11">
        <v>46125</v>
      </c>
      <c r="B3905" t="s">
        <v>50</v>
      </c>
      <c r="C3905" t="s">
        <v>48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>E3905+G3905+H3905</f>
        <v>14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20</v>
      </c>
      <c r="K3905" s="3">
        <f>I3905-J3905</f>
        <v>-6</v>
      </c>
      <c r="L3905" s="3" t="str">
        <f>IF(K3905&lt;-5,"CRÍTICO",IF(K3905&lt;0,"ATENÇÃO",IF(K3905&lt;=5,"OPORTUNO","MUITO BOM")))</f>
        <v>CRÍTICO</v>
      </c>
      <c r="M3905">
        <v>11</v>
      </c>
      <c r="N3905">
        <v>98.2</v>
      </c>
      <c r="O3905">
        <v>27.170868347338931</v>
      </c>
    </row>
    <row r="3906" spans="1:15" hidden="1" x14ac:dyDescent="0.25">
      <c r="A3906" s="11">
        <v>46125</v>
      </c>
      <c r="B3906" t="s">
        <v>17</v>
      </c>
      <c r="C3906" t="s">
        <v>16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>E3906+G3906+H3906</f>
        <v>10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7</v>
      </c>
      <c r="K3906" s="3">
        <f>I3906-J3906</f>
        <v>3</v>
      </c>
      <c r="L3906" s="3" t="str">
        <f>IF(K3906&lt;-5,"CRÍTICO",IF(K3906&lt;0,"ATENÇÃO",IF(K3906&lt;=5,"OPORTUNO","MUITO BOM")))</f>
        <v>OPORTUNO</v>
      </c>
      <c r="M3906">
        <v>8</v>
      </c>
      <c r="N3906">
        <v>100</v>
      </c>
      <c r="O3906">
        <v>23.134328358208951</v>
      </c>
    </row>
    <row r="3907" spans="1:15" hidden="1" x14ac:dyDescent="0.25">
      <c r="A3907" s="11">
        <v>46125</v>
      </c>
      <c r="B3907" t="s">
        <v>60</v>
      </c>
      <c r="C3907" t="s">
        <v>23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17</v>
      </c>
      <c r="K3907" s="3">
        <f>I3907-J3907</f>
        <v>11</v>
      </c>
      <c r="L3907" s="3" t="str">
        <f>IF(K3907&lt;-5,"CRÍTICO",IF(K3907&lt;0,"ATENÇÃO",IF(K3907&lt;=5,"OPORTUNO","MUITO BOM")))</f>
        <v>MUITO BOM</v>
      </c>
      <c r="M3907">
        <v>24</v>
      </c>
      <c r="N3907">
        <v>96.3</v>
      </c>
      <c r="O3907">
        <v>32.219570405727922</v>
      </c>
    </row>
    <row r="3908" spans="1:15" hidden="1" x14ac:dyDescent="0.25">
      <c r="A3908" s="11">
        <v>46125</v>
      </c>
      <c r="B3908" t="s">
        <v>34</v>
      </c>
      <c r="C3908" t="s">
        <v>32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>E3908+G3908+H3908</f>
        <v>28</v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>25</v>
      </c>
      <c r="K3908" s="3">
        <f>I3908-J3908</f>
        <v>3</v>
      </c>
      <c r="L3908" s="3" t="str">
        <f>IF(K3908&lt;-5,"CRÍTICO",IF(K3908&lt;0,"ATENÇÃO",IF(K3908&lt;=5,"OPORTUNO","MUITO BOM")))</f>
        <v>OPORTUNO</v>
      </c>
      <c r="M3908">
        <v>29</v>
      </c>
      <c r="N3908">
        <v>93.75</v>
      </c>
      <c r="O3908">
        <v>26.819923371647509</v>
      </c>
    </row>
    <row r="3909" spans="1:15" hidden="1" x14ac:dyDescent="0.25">
      <c r="A3909" s="11">
        <v>46125</v>
      </c>
      <c r="B3909" t="s">
        <v>51</v>
      </c>
      <c r="C3909" t="s">
        <v>48</v>
      </c>
      <c r="D3909">
        <v>22</v>
      </c>
      <c r="E3909">
        <v>15</v>
      </c>
      <c r="F3909">
        <v>15.01</v>
      </c>
      <c r="G3909">
        <v>0</v>
      </c>
      <c r="H3909">
        <v>0</v>
      </c>
      <c r="I3909" s="3">
        <v>0</v>
      </c>
      <c r="J3909" s="3">
        <v>0</v>
      </c>
      <c r="K3909" s="3">
        <v>0</v>
      </c>
      <c r="L3909" s="3" t="str">
        <f>IF(K3909&lt;-5,"CRÍTICO",IF(K3909&lt;0,"ATENÇÃO",IF(K3909&lt;=5,"OPORTUNO","MUITO BOM")))</f>
        <v>OPORTUNO</v>
      </c>
      <c r="M3909">
        <v>17</v>
      </c>
      <c r="N3909">
        <v>97.86</v>
      </c>
      <c r="O3909">
        <v>31.018518518518519</v>
      </c>
    </row>
    <row r="3910" spans="1:15" hidden="1" x14ac:dyDescent="0.25">
      <c r="A3910" s="11">
        <v>46125</v>
      </c>
      <c r="B3910" t="s">
        <v>61</v>
      </c>
      <c r="C3910" t="s">
        <v>23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>E3910+G3910+H3910</f>
        <v>7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17</v>
      </c>
      <c r="K3910" s="3">
        <f>I3910-J3910</f>
        <v>-10</v>
      </c>
      <c r="L3910" s="3" t="str">
        <f>IF(K3910&lt;-5,"CRÍTICO",IF(K3910&lt;0,"ATENÇÃO",IF(K3910&lt;=5,"OPORTUNO","MUITO BOM")))</f>
        <v>CRÍTICO</v>
      </c>
      <c r="M3910">
        <v>9</v>
      </c>
      <c r="N3910">
        <v>100</v>
      </c>
      <c r="O3910">
        <v>36.594202898550733</v>
      </c>
    </row>
    <row r="3911" spans="1:15" hidden="1" x14ac:dyDescent="0.25">
      <c r="A3911" s="11">
        <v>46125</v>
      </c>
      <c r="B3911" t="s">
        <v>35</v>
      </c>
      <c r="C3911" t="s">
        <v>32</v>
      </c>
      <c r="D3911">
        <v>25</v>
      </c>
      <c r="E3911">
        <v>23</v>
      </c>
      <c r="F3911">
        <v>20.399999999999999</v>
      </c>
      <c r="G3911">
        <v>0</v>
      </c>
      <c r="H3911">
        <v>0</v>
      </c>
      <c r="I3911" s="3">
        <v>0</v>
      </c>
      <c r="J3911" s="3">
        <v>0</v>
      </c>
      <c r="K3911" s="3">
        <v>0</v>
      </c>
      <c r="L3911" s="3" t="str">
        <f>IF(K3911&lt;-5,"CRÍTICO",IF(K3911&lt;0,"ATENÇÃO",IF(K3911&lt;=5,"OPORTUNO","MUITO BOM")))</f>
        <v>OPORTUNO</v>
      </c>
      <c r="M3911">
        <v>24</v>
      </c>
      <c r="N3911">
        <v>100</v>
      </c>
      <c r="O3911">
        <v>38.653846153846153</v>
      </c>
    </row>
    <row r="3912" spans="1:15" hidden="1" x14ac:dyDescent="0.25">
      <c r="A3912" s="11">
        <v>46125</v>
      </c>
      <c r="B3912" t="s">
        <v>18</v>
      </c>
      <c r="C3912" t="s">
        <v>16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>E3912+G3912+H3912</f>
        <v>4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7</v>
      </c>
      <c r="K3912" s="3">
        <f>I3912-J3912</f>
        <v>-3</v>
      </c>
      <c r="L3912" s="3" t="str">
        <f>IF(K3912&lt;-5,"CRÍTICO",IF(K3912&lt;0,"ATENÇÃO",IF(K3912&lt;=5,"OPORTUNO","MUITO BOM")))</f>
        <v>ATENÇÃO</v>
      </c>
      <c r="M3912">
        <v>3</v>
      </c>
      <c r="N3912">
        <v>100</v>
      </c>
      <c r="O3912">
        <v>27.368421052631579</v>
      </c>
    </row>
    <row r="3913" spans="1:15" hidden="1" x14ac:dyDescent="0.25">
      <c r="A3913" s="11">
        <v>46125</v>
      </c>
      <c r="B3913" t="s">
        <v>52</v>
      </c>
      <c r="C3913" t="s">
        <v>48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20</v>
      </c>
      <c r="K3913" s="3">
        <f>I3913-J3913</f>
        <v>6</v>
      </c>
      <c r="L3913" s="3" t="str">
        <f>IF(K3913&lt;-5,"CRÍTICO",IF(K3913&lt;0,"ATENÇÃO",IF(K3913&lt;=5,"OPORTUNO","MUITO BOM")))</f>
        <v>MUITO BOM</v>
      </c>
      <c r="M3913">
        <v>23</v>
      </c>
      <c r="N3913">
        <v>97.83</v>
      </c>
      <c r="O3913">
        <v>28.35164835164835</v>
      </c>
    </row>
    <row r="3914" spans="1:15" hidden="1" x14ac:dyDescent="0.25">
      <c r="A3914" s="11">
        <v>46125</v>
      </c>
      <c r="B3914" t="s">
        <v>36</v>
      </c>
      <c r="C3914" t="s">
        <v>32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>E3914+G3914+H3914</f>
        <v>28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25</v>
      </c>
      <c r="K3914" s="3">
        <f>I3914-J3914</f>
        <v>3</v>
      </c>
      <c r="L3914" s="3" t="str">
        <f>IF(K3914&lt;-5,"CRÍTICO",IF(K3914&lt;0,"ATENÇÃO",IF(K3914&lt;=5,"OPORTUNO","MUITO BOM")))</f>
        <v>OPORTUNO</v>
      </c>
      <c r="M3914">
        <v>29</v>
      </c>
      <c r="N3914">
        <v>99.26</v>
      </c>
      <c r="O3914">
        <v>29.766536964980549</v>
      </c>
    </row>
    <row r="3915" spans="1:15" hidden="1" x14ac:dyDescent="0.25">
      <c r="A3915" s="11">
        <v>46125</v>
      </c>
      <c r="B3915" t="s">
        <v>53</v>
      </c>
      <c r="C3915" t="s">
        <v>48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>E3915+G3915+H3915</f>
        <v>18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20</v>
      </c>
      <c r="K3915" s="3">
        <f>I3915-J3915</f>
        <v>-2</v>
      </c>
      <c r="L3915" s="3" t="str">
        <f>IF(K3915&lt;-5,"CRÍTICO",IF(K3915&lt;0,"ATENÇÃO",IF(K3915&lt;=5,"OPORTUNO","MUITO BOM")))</f>
        <v>ATENÇÃO</v>
      </c>
      <c r="M3915">
        <v>15</v>
      </c>
      <c r="N3915">
        <v>99.19</v>
      </c>
      <c r="O3915">
        <v>29.462365591397852</v>
      </c>
    </row>
    <row r="3916" spans="1:15" hidden="1" x14ac:dyDescent="0.25">
      <c r="A3916" s="11">
        <v>46167</v>
      </c>
      <c r="B3916" t="s">
        <v>56</v>
      </c>
      <c r="C3916" t="s">
        <v>48</v>
      </c>
      <c r="D3916">
        <v>24</v>
      </c>
      <c r="E3916">
        <v>24</v>
      </c>
      <c r="F3916">
        <v>20.36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>
        <v>18</v>
      </c>
      <c r="N3916">
        <v>99</v>
      </c>
      <c r="O3916">
        <v>22.010869565217391</v>
      </c>
    </row>
    <row r="3917" spans="1:15" hidden="1" x14ac:dyDescent="0.25">
      <c r="A3917" s="11">
        <v>46125</v>
      </c>
      <c r="B3917" t="s">
        <v>54</v>
      </c>
      <c r="C3917" t="s">
        <v>48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v>0</v>
      </c>
      <c r="J3917" s="3">
        <v>0</v>
      </c>
      <c r="K3917" s="3">
        <v>0</v>
      </c>
      <c r="L3917" s="3" t="str">
        <f>IF(K3917&lt;-5,"CRÍTICO",IF(K3917&lt;0,"ATENÇÃO",IF(K3917&lt;=5,"OPORTUNO","MUITO BOM")))</f>
        <v>OPORTUNO</v>
      </c>
      <c r="M3917">
        <v>0</v>
      </c>
      <c r="N3917">
        <v>100</v>
      </c>
      <c r="O3917">
        <v>28.921568627450981</v>
      </c>
    </row>
    <row r="3918" spans="1:15" hidden="1" x14ac:dyDescent="0.25">
      <c r="A3918" s="11">
        <v>46125</v>
      </c>
      <c r="B3918" t="s">
        <v>37</v>
      </c>
      <c r="C3918" t="s">
        <v>32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>E3918+G3918+H3918</f>
        <v>35</v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>25</v>
      </c>
      <c r="K3918" s="3">
        <f>I3918-J3918</f>
        <v>10</v>
      </c>
      <c r="L3918" s="3" t="str">
        <f>IF(K3918&lt;-5,"CRÍTICO",IF(K3918&lt;0,"ATENÇÃO",IF(K3918&lt;=5,"OPORTUNO","MUITO BOM")))</f>
        <v>MUITO BOM</v>
      </c>
      <c r="M3918">
        <v>37</v>
      </c>
      <c r="N3918">
        <v>99.57</v>
      </c>
      <c r="O3918">
        <v>30.635838150289018</v>
      </c>
    </row>
    <row r="3919" spans="1:15" hidden="1" x14ac:dyDescent="0.25">
      <c r="A3919" s="11">
        <v>46125</v>
      </c>
      <c r="B3919" t="s">
        <v>38</v>
      </c>
      <c r="C3919" t="s">
        <v>32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v>0</v>
      </c>
      <c r="J3919" s="3">
        <v>0</v>
      </c>
      <c r="K3919" s="3">
        <v>0</v>
      </c>
      <c r="L3919" s="3" t="str">
        <f>IF(K3919&lt;-5,"CRÍTICO",IF(K3919&lt;0,"ATENÇÃO",IF(K3919&lt;=5,"OPORTUNO","MUITO BOM")))</f>
        <v>OPORTUNO</v>
      </c>
      <c r="M3919">
        <v>0</v>
      </c>
      <c r="N3919">
        <v>95.65</v>
      </c>
      <c r="O3919">
        <v>32.432432432432442</v>
      </c>
    </row>
    <row r="3920" spans="1:15" hidden="1" x14ac:dyDescent="0.25">
      <c r="A3920" s="11">
        <v>46125</v>
      </c>
      <c r="B3920" t="s">
        <v>55</v>
      </c>
      <c r="C3920" t="s">
        <v>48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>E3920+G3920+H3920</f>
        <v>22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20</v>
      </c>
      <c r="K3920" s="3">
        <f>I3920-J3920</f>
        <v>2</v>
      </c>
      <c r="L3920" s="3" t="str">
        <f>IF(K3920&lt;-5,"CRÍTICO",IF(K3920&lt;0,"ATENÇÃO",IF(K3920&lt;=5,"OPORTUNO","MUITO BOM")))</f>
        <v>OPORTUNO</v>
      </c>
      <c r="M3920">
        <v>18</v>
      </c>
      <c r="N3920">
        <v>98.81</v>
      </c>
      <c r="O3920">
        <v>26.256983240223459</v>
      </c>
    </row>
    <row r="3921" spans="1:15" hidden="1" x14ac:dyDescent="0.25">
      <c r="A3921" s="11">
        <v>46125</v>
      </c>
      <c r="B3921" t="s">
        <v>39</v>
      </c>
      <c r="C3921" t="s">
        <v>32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v>0</v>
      </c>
      <c r="J3921" s="3">
        <v>0</v>
      </c>
      <c r="K3921" s="3">
        <v>0</v>
      </c>
      <c r="L3921" s="3" t="str">
        <f>IF(K3921&lt;-5,"CRÍTICO",IF(K3921&lt;0,"ATENÇÃO",IF(K3921&lt;=5,"OPORTUNO","MUITO BOM")))</f>
        <v>OPORTUNO</v>
      </c>
      <c r="M3921">
        <v>0</v>
      </c>
      <c r="N3921">
        <v>0</v>
      </c>
      <c r="O3921">
        <v>0</v>
      </c>
    </row>
    <row r="3922" spans="1:15" hidden="1" x14ac:dyDescent="0.25">
      <c r="A3922" s="11">
        <v>46125</v>
      </c>
      <c r="B3922" t="s">
        <v>25</v>
      </c>
      <c r="C3922" t="s">
        <v>26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15</v>
      </c>
      <c r="K3922" s="3">
        <f>I3922-J3922</f>
        <v>6</v>
      </c>
      <c r="L3922" s="3" t="str">
        <f>IF(K3922&lt;-5,"CRÍTICO",IF(K3922&lt;0,"ATENÇÃO",IF(K3922&lt;=5,"OPORTUNO","MUITO BOM")))</f>
        <v>MUITO BOM</v>
      </c>
      <c r="M3922">
        <v>24</v>
      </c>
      <c r="N3922">
        <v>97.17</v>
      </c>
      <c r="O3922">
        <v>28.81844380403458</v>
      </c>
    </row>
    <row r="3923" spans="1:15" hidden="1" x14ac:dyDescent="0.25">
      <c r="A3923" s="11">
        <v>46125</v>
      </c>
      <c r="B3923" t="s">
        <v>40</v>
      </c>
      <c r="C3923" t="s">
        <v>32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>E3923+G3923+H3923</f>
        <v>15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25</v>
      </c>
      <c r="K3923" s="3">
        <f>I3923-J3923</f>
        <v>-10</v>
      </c>
      <c r="L3923" s="3" t="str">
        <f>IF(K3923&lt;-5,"CRÍTICO",IF(K3923&lt;0,"ATENÇÃO",IF(K3923&lt;=5,"OPORTUNO","MUITO BOM")))</f>
        <v>CRÍTICO</v>
      </c>
      <c r="M3923">
        <v>18</v>
      </c>
      <c r="N3923">
        <v>96.81</v>
      </c>
      <c r="O3923">
        <v>48.018648018648022</v>
      </c>
    </row>
    <row r="3924" spans="1:15" hidden="1" x14ac:dyDescent="0.25">
      <c r="A3924" s="11">
        <v>46125</v>
      </c>
      <c r="B3924" t="s">
        <v>27</v>
      </c>
      <c r="C3924" t="s">
        <v>26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>E3924+G3924+H3924</f>
        <v>17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15</v>
      </c>
      <c r="K3924" s="3">
        <f>I3924-J3924</f>
        <v>2</v>
      </c>
      <c r="L3924" s="3" t="str">
        <f>IF(K3924&lt;-5,"CRÍTICO",IF(K3924&lt;0,"ATENÇÃO",IF(K3924&lt;=5,"OPORTUNO","MUITO BOM")))</f>
        <v>OPORTUNO</v>
      </c>
      <c r="M3924">
        <v>14</v>
      </c>
      <c r="N3924">
        <v>98.15</v>
      </c>
      <c r="O3924">
        <v>27.1551724137931</v>
      </c>
    </row>
    <row r="3925" spans="1:15" hidden="1" x14ac:dyDescent="0.25">
      <c r="A3925" s="11">
        <v>46125</v>
      </c>
      <c r="B3925" t="s">
        <v>41</v>
      </c>
      <c r="C3925" t="s">
        <v>32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>E3925+G3925+H3925</f>
        <v>21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25</v>
      </c>
      <c r="K3925" s="3">
        <f>I3925-J3925</f>
        <v>-4</v>
      </c>
      <c r="L3925" s="3" t="str">
        <f>IF(K3925&lt;-5,"CRÍTICO",IF(K3925&lt;0,"ATENÇÃO",IF(K3925&lt;=5,"OPORTUNO","MUITO BOM")))</f>
        <v>ATENÇÃO</v>
      </c>
      <c r="M3925">
        <v>17</v>
      </c>
      <c r="N3925">
        <v>99.15</v>
      </c>
      <c r="O3925">
        <v>27.586206896551719</v>
      </c>
    </row>
    <row r="3926" spans="1:15" hidden="1" x14ac:dyDescent="0.25">
      <c r="A3926" s="11">
        <v>46125</v>
      </c>
      <c r="B3926" t="s">
        <v>56</v>
      </c>
      <c r="C3926" t="s">
        <v>48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>E3926+G3926+H3926</f>
        <v>22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20</v>
      </c>
      <c r="K3926" s="3">
        <f>I3926-J3926</f>
        <v>2</v>
      </c>
      <c r="L3926" s="3" t="str">
        <f>IF(K3926&lt;-5,"CRÍTICO",IF(K3926&lt;0,"ATENÇÃO",IF(K3926&lt;=5,"OPORTUNO","MUITO BOM")))</f>
        <v>OPORTUNO</v>
      </c>
      <c r="M3926">
        <v>17</v>
      </c>
      <c r="N3926">
        <v>99.17</v>
      </c>
      <c r="O3926">
        <v>29.75206611570248</v>
      </c>
    </row>
    <row r="3927" spans="1:15" hidden="1" x14ac:dyDescent="0.25">
      <c r="A3927" s="11">
        <v>46125</v>
      </c>
      <c r="B3927" t="s">
        <v>57</v>
      </c>
      <c r="C3927" t="s">
        <v>48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v>0</v>
      </c>
      <c r="J3927" s="3">
        <v>0</v>
      </c>
      <c r="K3927" s="3">
        <v>0</v>
      </c>
      <c r="L3927" s="3" t="str">
        <f>IF(K3927&lt;-5,"CRÍTICO",IF(K3927&lt;0,"ATENÇÃO",IF(K3927&lt;=5,"OPORTUNO","MUITO BOM")))</f>
        <v>OPORTUNO</v>
      </c>
      <c r="M3927">
        <v>0</v>
      </c>
      <c r="N3927">
        <v>98.73</v>
      </c>
      <c r="O3927">
        <v>28.961748633879779</v>
      </c>
    </row>
    <row r="3928" spans="1:15" hidden="1" x14ac:dyDescent="0.25">
      <c r="A3928" s="11">
        <v>46125</v>
      </c>
      <c r="B3928" t="s">
        <v>42</v>
      </c>
      <c r="C3928" t="s">
        <v>32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>E3928+G3928+H3928</f>
        <v>31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25</v>
      </c>
      <c r="K3928" s="3">
        <f>I3928-J3928</f>
        <v>6</v>
      </c>
      <c r="L3928" s="3" t="str">
        <f>IF(K3928&lt;-5,"CRÍTICO",IF(K3928&lt;0,"ATENÇÃO",IF(K3928&lt;=5,"OPORTUNO","MUITO BOM")))</f>
        <v>MUITO BOM</v>
      </c>
      <c r="M3928">
        <v>25</v>
      </c>
      <c r="N3928">
        <v>88.68</v>
      </c>
      <c r="O3928">
        <v>22.03389830508474</v>
      </c>
    </row>
    <row r="3929" spans="1:15" hidden="1" x14ac:dyDescent="0.25">
      <c r="A3929" s="11">
        <v>46125</v>
      </c>
      <c r="B3929" t="s">
        <v>62</v>
      </c>
      <c r="C3929" t="s">
        <v>23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>E3929+G3929+H3929</f>
        <v>25</v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>17</v>
      </c>
      <c r="K3929" s="3">
        <f>I3929-J3929</f>
        <v>8</v>
      </c>
      <c r="L3929" s="3" t="str">
        <f>IF(K3929&lt;-5,"CRÍTICO",IF(K3929&lt;0,"ATENÇÃO",IF(K3929&lt;=5,"OPORTUNO","MUITO BOM")))</f>
        <v>MUITO BOM</v>
      </c>
      <c r="M3929">
        <v>24</v>
      </c>
      <c r="N3929">
        <v>97.37</v>
      </c>
      <c r="O3929">
        <v>25.76530612244898</v>
      </c>
    </row>
    <row r="3930" spans="1:15" hidden="1" x14ac:dyDescent="0.25">
      <c r="A3930" s="11">
        <v>46125</v>
      </c>
      <c r="B3930" t="s">
        <v>19</v>
      </c>
      <c r="C3930" t="s">
        <v>16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v>0</v>
      </c>
      <c r="J3930" s="3">
        <v>0</v>
      </c>
      <c r="K3930" s="3">
        <v>0</v>
      </c>
      <c r="L3930" s="3" t="str">
        <f>IF(K3930&lt;-5,"CRÍTICO",IF(K3930&lt;0,"ATENÇÃO",IF(K3930&lt;=5,"OPORTUNO","MUITO BOM")))</f>
        <v>OPORTUNO</v>
      </c>
      <c r="M3930">
        <v>0</v>
      </c>
      <c r="N3930">
        <v>100</v>
      </c>
      <c r="O3930">
        <v>25</v>
      </c>
    </row>
    <row r="3931" spans="1:15" hidden="1" x14ac:dyDescent="0.25">
      <c r="A3931" s="11">
        <v>46125</v>
      </c>
      <c r="B3931" t="s">
        <v>43</v>
      </c>
      <c r="C3931" t="s">
        <v>32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>E3931+G3931+H3931</f>
        <v>21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-4</v>
      </c>
      <c r="L3931" s="3" t="str">
        <f>IF(K3931&lt;-5,"CRÍTICO",IF(K3931&lt;0,"ATENÇÃO",IF(K3931&lt;=5,"OPORTUNO","MUITO BOM")))</f>
        <v>ATENÇÃO</v>
      </c>
      <c r="M3931">
        <v>19</v>
      </c>
      <c r="N3931">
        <v>100</v>
      </c>
      <c r="O3931">
        <v>23.9870340356564</v>
      </c>
    </row>
    <row r="3932" spans="1:15" hidden="1" x14ac:dyDescent="0.25">
      <c r="A3932" s="11">
        <v>46125</v>
      </c>
      <c r="B3932" t="s">
        <v>44</v>
      </c>
      <c r="C3932" t="s">
        <v>32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>E3932+G3932+H3932</f>
        <v>29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25</v>
      </c>
      <c r="K3932" s="3">
        <f>I3932-J3932</f>
        <v>4</v>
      </c>
      <c r="L3932" s="3" t="str">
        <f>IF(K3932&lt;-5,"CRÍTICO",IF(K3932&lt;0,"ATENÇÃO",IF(K3932&lt;=5,"OPORTUNO","MUITO BOM")))</f>
        <v>OPORTUNO</v>
      </c>
      <c r="M3932">
        <v>29</v>
      </c>
      <c r="N3932">
        <v>95.49</v>
      </c>
      <c r="O3932">
        <v>28.370221327967808</v>
      </c>
    </row>
    <row r="3933" spans="1:15" hidden="1" x14ac:dyDescent="0.25">
      <c r="A3933" s="11">
        <v>46125</v>
      </c>
      <c r="B3933" t="s">
        <v>20</v>
      </c>
      <c r="C3933" t="s">
        <v>16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>E3933+G3933+H3933</f>
        <v>13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7</v>
      </c>
      <c r="K3933" s="3">
        <f>I3933-J3933</f>
        <v>6</v>
      </c>
      <c r="L3933" s="3" t="str">
        <f>IF(K3933&lt;-5,"CRÍTICO",IF(K3933&lt;0,"ATENÇÃO",IF(K3933&lt;=5,"OPORTUNO","MUITO BOM")))</f>
        <v>MUITO BOM</v>
      </c>
      <c r="M3933">
        <v>7</v>
      </c>
      <c r="N3933">
        <v>100</v>
      </c>
      <c r="O3933">
        <v>23.77622377622378</v>
      </c>
    </row>
    <row r="3934" spans="1:15" hidden="1" x14ac:dyDescent="0.25">
      <c r="A3934" s="11">
        <v>46125</v>
      </c>
      <c r="B3934" t="s">
        <v>28</v>
      </c>
      <c r="C3934" t="s">
        <v>26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>E3934+G3934+H3934</f>
        <v>22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15</v>
      </c>
      <c r="K3934" s="3">
        <f>I3934-J3934</f>
        <v>7</v>
      </c>
      <c r="L3934" s="3" t="str">
        <f>IF(K3934&lt;-5,"CRÍTICO",IF(K3934&lt;0,"ATENÇÃO",IF(K3934&lt;=5,"OPORTUNO","MUITO BOM")))</f>
        <v>MUITO BOM</v>
      </c>
      <c r="M3934">
        <v>17</v>
      </c>
      <c r="N3934">
        <v>96.15</v>
      </c>
      <c r="O3934">
        <v>24.045801526717561</v>
      </c>
    </row>
    <row r="3935" spans="1:15" hidden="1" x14ac:dyDescent="0.25">
      <c r="A3935" s="11">
        <v>46125</v>
      </c>
      <c r="B3935" t="s">
        <v>58</v>
      </c>
      <c r="C3935" t="s">
        <v>48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>E3935+G3935+H3935</f>
        <v>19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20</v>
      </c>
      <c r="K3935" s="3">
        <f>I3935-J3935</f>
        <v>-1</v>
      </c>
      <c r="L3935" s="3" t="str">
        <f>IF(K3935&lt;-5,"CRÍTICO",IF(K3935&lt;0,"ATENÇÃO",IF(K3935&lt;=5,"OPORTUNO","MUITO BOM")))</f>
        <v>ATENÇÃO</v>
      </c>
      <c r="M3935">
        <v>20</v>
      </c>
      <c r="N3935">
        <v>99.02</v>
      </c>
      <c r="O3935">
        <v>34.797297297297298</v>
      </c>
    </row>
    <row r="3936" spans="1:15" hidden="1" x14ac:dyDescent="0.25">
      <c r="A3936" s="11">
        <v>46125</v>
      </c>
      <c r="B3936" t="s">
        <v>29</v>
      </c>
      <c r="C3936" t="s">
        <v>26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>E3936+G3936+H3936</f>
        <v>17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2</v>
      </c>
      <c r="L3936" s="3" t="str">
        <f>IF(K3936&lt;-5,"CRÍTICO",IF(K3936&lt;0,"ATENÇÃO",IF(K3936&lt;=5,"OPORTUNO","MUITO BOM")))</f>
        <v>OPORTUNO</v>
      </c>
      <c r="M3936">
        <v>13</v>
      </c>
      <c r="N3936">
        <v>98.84</v>
      </c>
      <c r="O3936">
        <v>31.868131868131869</v>
      </c>
    </row>
    <row r="3937" spans="1:15" hidden="1" x14ac:dyDescent="0.25">
      <c r="A3937" s="11">
        <v>46125</v>
      </c>
      <c r="B3937" t="s">
        <v>30</v>
      </c>
      <c r="C3937" t="s">
        <v>26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>E3937+G3937+H3937</f>
        <v>22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15</v>
      </c>
      <c r="K3937" s="3">
        <f>I3937-J3937</f>
        <v>7</v>
      </c>
      <c r="L3937" s="3" t="str">
        <f>IF(K3937&lt;-5,"CRÍTICO",IF(K3937&lt;0,"ATENÇÃO",IF(K3937&lt;=5,"OPORTUNO","MUITO BOM")))</f>
        <v>MUITO BOM</v>
      </c>
      <c r="M3937">
        <v>18</v>
      </c>
      <c r="N3937">
        <v>100</v>
      </c>
      <c r="O3937">
        <v>34.666666666666671</v>
      </c>
    </row>
    <row r="3938" spans="1:15" hidden="1" x14ac:dyDescent="0.25">
      <c r="A3938" s="11">
        <v>46125</v>
      </c>
      <c r="B3938" t="s">
        <v>21</v>
      </c>
      <c r="C3938" t="s">
        <v>16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>E3938+G3938+H3938</f>
        <v>3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7</v>
      </c>
      <c r="K3938" s="3">
        <f>I3938-J3938</f>
        <v>-4</v>
      </c>
      <c r="L3938" s="3" t="str">
        <f>IF(K3938&lt;-5,"CRÍTICO",IF(K3938&lt;0,"ATENÇÃO",IF(K3938&lt;=5,"OPORTUNO","MUITO BOM")))</f>
        <v>ATENÇÃO</v>
      </c>
      <c r="M3938">
        <v>3</v>
      </c>
      <c r="N3938">
        <v>94.12</v>
      </c>
      <c r="O3938">
        <v>32.799999999999997</v>
      </c>
    </row>
    <row r="3939" spans="1:15" hidden="1" x14ac:dyDescent="0.25">
      <c r="A3939" s="11">
        <v>46125</v>
      </c>
      <c r="B3939" t="s">
        <v>63</v>
      </c>
      <c r="C3939" t="s">
        <v>23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>E3939+G3939+H3939</f>
        <v>20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17</v>
      </c>
      <c r="K3939" s="3">
        <f>I3939-J3939</f>
        <v>3</v>
      </c>
      <c r="L3939" s="3" t="str">
        <f>IF(K3939&lt;-5,"CRÍTICO",IF(K3939&lt;0,"ATENÇÃO",IF(K3939&lt;=5,"OPORTUNO","MUITO BOM")))</f>
        <v>OPORTUNO</v>
      </c>
      <c r="M3939">
        <v>18</v>
      </c>
      <c r="N3939">
        <v>98.32</v>
      </c>
      <c r="O3939">
        <v>26.858513189448441</v>
      </c>
    </row>
    <row r="3940" spans="1:15" hidden="1" x14ac:dyDescent="0.25">
      <c r="A3940" s="11">
        <v>46125</v>
      </c>
      <c r="B3940" t="s">
        <v>45</v>
      </c>
      <c r="C3940" t="s">
        <v>32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>E3940+G3940+H3940</f>
        <v>25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25</v>
      </c>
      <c r="K3940" s="3">
        <f>I3940-J3940</f>
        <v>0</v>
      </c>
      <c r="L3940" s="3" t="str">
        <f>IF(K3940&lt;-5,"CRÍTICO",IF(K3940&lt;0,"ATENÇÃO",IF(K3940&lt;=5,"OPORTUNO","MUITO BOM")))</f>
        <v>OPORTUNO</v>
      </c>
      <c r="M3940">
        <v>16</v>
      </c>
      <c r="N3940">
        <v>100</v>
      </c>
      <c r="O3940">
        <v>31.135531135531139</v>
      </c>
    </row>
    <row r="3941" spans="1:15" hidden="1" x14ac:dyDescent="0.25">
      <c r="A3941" s="11">
        <v>46125</v>
      </c>
      <c r="B3941" t="s">
        <v>64</v>
      </c>
      <c r="C3941" t="s">
        <v>23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>E3941+G3941+H3941</f>
        <v>13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17</v>
      </c>
      <c r="K3941" s="3">
        <f>I3941-J3941</f>
        <v>-4</v>
      </c>
      <c r="L3941" s="3" t="str">
        <f>IF(K3941&lt;-5,"CRÍTICO",IF(K3941&lt;0,"ATENÇÃO",IF(K3941&lt;=5,"OPORTUNO","MUITO BOM")))</f>
        <v>ATENÇÃO</v>
      </c>
      <c r="M3941">
        <v>12</v>
      </c>
      <c r="N3941">
        <v>100</v>
      </c>
      <c r="O3941">
        <v>26.36986301369863</v>
      </c>
    </row>
    <row r="3942" spans="1:15" hidden="1" x14ac:dyDescent="0.25">
      <c r="A3942" s="11">
        <v>46125</v>
      </c>
      <c r="B3942" t="s">
        <v>46</v>
      </c>
      <c r="C3942" t="s">
        <v>32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>E3942+G3942+H3942</f>
        <v>20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25</v>
      </c>
      <c r="K3942" s="3">
        <f>I3942-J3942</f>
        <v>-5</v>
      </c>
      <c r="L3942" s="3" t="str">
        <f>IF(K3942&lt;-5,"CRÍTICO",IF(K3942&lt;0,"ATENÇÃO",IF(K3942&lt;=5,"OPORTUNO","MUITO BOM")))</f>
        <v>ATENÇÃO</v>
      </c>
      <c r="M3942">
        <v>18</v>
      </c>
      <c r="N3942">
        <v>99.21</v>
      </c>
      <c r="O3942">
        <v>25.188916876574311</v>
      </c>
    </row>
    <row r="3943" spans="1:15" hidden="1" x14ac:dyDescent="0.25">
      <c r="A3943" s="11">
        <v>46126</v>
      </c>
      <c r="B3943" t="s">
        <v>47</v>
      </c>
      <c r="C3943" t="s">
        <v>48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>E3943+G3943+H3943</f>
        <v>12</v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>24</v>
      </c>
      <c r="K3943" s="3">
        <f>I3943-J3943</f>
        <v>-12</v>
      </c>
      <c r="L3943" s="3" t="str">
        <f>IF(K3943&lt;-5,"CRÍTICO",IF(K3943&lt;0,"ATENÇÃO",IF(K3943&lt;=5,"OPORTUNO","MUITO BOM")))</f>
        <v>CRÍTICO</v>
      </c>
      <c r="M3943">
        <v>8</v>
      </c>
      <c r="N3943">
        <v>100</v>
      </c>
      <c r="O3943">
        <v>32.764505119453922</v>
      </c>
    </row>
    <row r="3944" spans="1:15" hidden="1" x14ac:dyDescent="0.25">
      <c r="A3944" s="11">
        <v>46126</v>
      </c>
      <c r="B3944" t="s">
        <v>31</v>
      </c>
      <c r="C3944" t="s">
        <v>32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v>0</v>
      </c>
      <c r="J3944" s="3">
        <v>0</v>
      </c>
      <c r="K3944" s="3">
        <v>0</v>
      </c>
      <c r="L3944" s="3" t="str">
        <f>IF(K3944&lt;-5,"CRÍTICO",IF(K3944&lt;0,"ATENÇÃO",IF(K3944&lt;=5,"OPORTUNO","MUITO BOM")))</f>
        <v>OPORTUNO</v>
      </c>
      <c r="M3944">
        <v>19</v>
      </c>
      <c r="N3944">
        <v>98.66</v>
      </c>
      <c r="O3944">
        <v>35.416666666666671</v>
      </c>
    </row>
    <row r="3945" spans="1:15" hidden="1" x14ac:dyDescent="0.25">
      <c r="A3945" s="11">
        <v>46126</v>
      </c>
      <c r="B3945" t="s">
        <v>59</v>
      </c>
      <c r="C3945" t="s">
        <v>23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>E3945+G3945+H3945</f>
        <v>15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20</v>
      </c>
      <c r="K3945" s="3">
        <f>I3945-J3945</f>
        <v>-5</v>
      </c>
      <c r="L3945" s="3" t="str">
        <f>IF(K3945&lt;-5,"CRÍTICO",IF(K3945&lt;0,"ATENÇÃO",IF(K3945&lt;=5,"OPORTUNO","MUITO BOM")))</f>
        <v>ATENÇÃO</v>
      </c>
      <c r="M3945">
        <v>19</v>
      </c>
      <c r="N3945">
        <v>99.32</v>
      </c>
      <c r="O3945">
        <v>30.648330058939099</v>
      </c>
    </row>
    <row r="3946" spans="1:15" hidden="1" x14ac:dyDescent="0.25">
      <c r="A3946" s="11">
        <v>46126</v>
      </c>
      <c r="B3946" t="s">
        <v>33</v>
      </c>
      <c r="C3946" t="s">
        <v>32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>E3946+G3946+H3946</f>
        <v>34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30</v>
      </c>
      <c r="K3946" s="3">
        <f>I3946-J3946</f>
        <v>4</v>
      </c>
      <c r="L3946" s="3" t="str">
        <f>IF(K3946&lt;-5,"CRÍTICO",IF(K3946&lt;0,"ATENÇÃO",IF(K3946&lt;=5,"OPORTUNO","MUITO BOM")))</f>
        <v>OPORTUNO</v>
      </c>
      <c r="M3946">
        <v>30</v>
      </c>
      <c r="N3946">
        <v>100</v>
      </c>
      <c r="O3946">
        <v>27.803738317757009</v>
      </c>
    </row>
    <row r="3947" spans="1:15" hidden="1" x14ac:dyDescent="0.25">
      <c r="A3947" s="11">
        <v>46126</v>
      </c>
      <c r="B3947" t="s">
        <v>15</v>
      </c>
      <c r="C3947" t="s">
        <v>16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>E3947+G3947+H3947</f>
        <v>32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9</v>
      </c>
      <c r="K3947" s="3">
        <f>I3947-J3947</f>
        <v>23</v>
      </c>
      <c r="L3947" s="3" t="str">
        <f>IF(K3947&lt;-5,"CRÍTICO",IF(K3947&lt;0,"ATENÇÃO",IF(K3947&lt;=5,"OPORTUNO","MUITO BOM")))</f>
        <v>MUITO BOM</v>
      </c>
      <c r="M3947">
        <v>30</v>
      </c>
      <c r="N3947">
        <v>96.74</v>
      </c>
      <c r="O3947">
        <v>28.67647058823529</v>
      </c>
    </row>
    <row r="3948" spans="1:15" hidden="1" x14ac:dyDescent="0.25">
      <c r="A3948" s="11">
        <v>46126</v>
      </c>
      <c r="B3948" t="s">
        <v>49</v>
      </c>
      <c r="C3948" t="s">
        <v>48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>E3948+G3948+H3948</f>
        <v>31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7</v>
      </c>
      <c r="L3948" s="3" t="str">
        <f>IF(K3948&lt;-5,"CRÍTICO",IF(K3948&lt;0,"ATENÇÃO",IF(K3948&lt;=5,"OPORTUNO","MUITO BOM")))</f>
        <v>MUITO BOM</v>
      </c>
      <c r="M3948">
        <v>35</v>
      </c>
      <c r="N3948">
        <v>98.82</v>
      </c>
      <c r="O3948">
        <v>30.741410488245929</v>
      </c>
    </row>
    <row r="3949" spans="1:15" hidden="1" x14ac:dyDescent="0.25">
      <c r="A3949" s="11">
        <v>46126</v>
      </c>
      <c r="B3949" t="s">
        <v>50</v>
      </c>
      <c r="C3949" t="s">
        <v>48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>E3949+G3949+H3949</f>
        <v>16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24</v>
      </c>
      <c r="K3949" s="3">
        <f>I3949-J3949</f>
        <v>-8</v>
      </c>
      <c r="L3949" s="3" t="str">
        <f>IF(K3949&lt;-5,"CRÍTICO",IF(K3949&lt;0,"ATENÇÃO",IF(K3949&lt;=5,"OPORTUNO","MUITO BOM")))</f>
        <v>CRÍTICO</v>
      </c>
      <c r="M3949">
        <v>17</v>
      </c>
      <c r="N3949">
        <v>98.2</v>
      </c>
      <c r="O3949">
        <v>27.170868347338931</v>
      </c>
    </row>
    <row r="3950" spans="1:15" hidden="1" x14ac:dyDescent="0.25">
      <c r="A3950" s="11">
        <v>46126</v>
      </c>
      <c r="B3950" t="s">
        <v>17</v>
      </c>
      <c r="C3950" t="s">
        <v>16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>E3950+G3950+H3950</f>
        <v>6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9</v>
      </c>
      <c r="K3950" s="3">
        <f>I3950-J3950</f>
        <v>-3</v>
      </c>
      <c r="L3950" s="3" t="str">
        <f>IF(K3950&lt;-5,"CRÍTICO",IF(K3950&lt;0,"ATENÇÃO",IF(K3950&lt;=5,"OPORTUNO","MUITO BOM")))</f>
        <v>ATENÇÃO</v>
      </c>
      <c r="M3950">
        <v>5</v>
      </c>
      <c r="N3950">
        <v>100</v>
      </c>
      <c r="O3950">
        <v>23.134328358208951</v>
      </c>
    </row>
    <row r="3951" spans="1:15" hidden="1" x14ac:dyDescent="0.25">
      <c r="A3951" s="11">
        <v>46126</v>
      </c>
      <c r="B3951" t="s">
        <v>60</v>
      </c>
      <c r="C3951" t="s">
        <v>23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>E3951+G3951+H3951</f>
        <v>25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20</v>
      </c>
      <c r="K3951" s="3">
        <f>I3951-J3951</f>
        <v>5</v>
      </c>
      <c r="L3951" s="3" t="str">
        <f>IF(K3951&lt;-5,"CRÍTICO",IF(K3951&lt;0,"ATENÇÃO",IF(K3951&lt;=5,"OPORTUNO","MUITO BOM")))</f>
        <v>OPORTUNO</v>
      </c>
      <c r="M3951">
        <v>23</v>
      </c>
      <c r="N3951">
        <v>96.3</v>
      </c>
      <c r="O3951">
        <v>32.219570405727922</v>
      </c>
    </row>
    <row r="3952" spans="1:15" hidden="1" x14ac:dyDescent="0.25">
      <c r="A3952" s="11">
        <v>46126</v>
      </c>
      <c r="B3952" t="s">
        <v>34</v>
      </c>
      <c r="C3952" t="s">
        <v>32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>E3952+G3952+H3952</f>
        <v>38</v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>30</v>
      </c>
      <c r="K3952" s="3">
        <f>I3952-J3952</f>
        <v>8</v>
      </c>
      <c r="L3952" s="3" t="str">
        <f>IF(K3952&lt;-5,"CRÍTICO",IF(K3952&lt;0,"ATENÇÃO",IF(K3952&lt;=5,"OPORTUNO","MUITO BOM")))</f>
        <v>MUITO BOM</v>
      </c>
      <c r="M3952">
        <v>36</v>
      </c>
      <c r="N3952">
        <v>93.75</v>
      </c>
      <c r="O3952">
        <v>26.819923371647509</v>
      </c>
    </row>
    <row r="3953" spans="1:15" hidden="1" x14ac:dyDescent="0.25">
      <c r="A3953" s="11">
        <v>46126</v>
      </c>
      <c r="B3953" t="s">
        <v>51</v>
      </c>
      <c r="C3953" t="s">
        <v>48</v>
      </c>
      <c r="D3953">
        <v>25</v>
      </c>
      <c r="E3953">
        <v>22</v>
      </c>
      <c r="F3953">
        <v>23.3</v>
      </c>
      <c r="G3953">
        <v>0</v>
      </c>
      <c r="H3953">
        <v>0</v>
      </c>
      <c r="I3953" s="3">
        <v>0</v>
      </c>
      <c r="J3953" s="3">
        <v>0</v>
      </c>
      <c r="K3953" s="3">
        <v>0</v>
      </c>
      <c r="L3953" s="3" t="str">
        <f>IF(K3953&lt;-5,"CRÍTICO",IF(K3953&lt;0,"ATENÇÃO",IF(K3953&lt;=5,"OPORTUNO","MUITO BOM")))</f>
        <v>OPORTUNO</v>
      </c>
      <c r="M3953">
        <v>20</v>
      </c>
      <c r="N3953">
        <v>97.86</v>
      </c>
      <c r="O3953">
        <v>31.018518518518519</v>
      </c>
    </row>
    <row r="3954" spans="1:15" hidden="1" x14ac:dyDescent="0.25">
      <c r="A3954" s="11">
        <v>46126</v>
      </c>
      <c r="B3954" t="s">
        <v>61</v>
      </c>
      <c r="C3954" t="s">
        <v>23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>E3954+G3954+H3954</f>
        <v>17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20</v>
      </c>
      <c r="K3954" s="3">
        <f>I3954-J3954</f>
        <v>-3</v>
      </c>
      <c r="L3954" s="3" t="str">
        <f>IF(K3954&lt;-5,"CRÍTICO",IF(K3954&lt;0,"ATENÇÃO",IF(K3954&lt;=5,"OPORTUNO","MUITO BOM")))</f>
        <v>ATENÇÃO</v>
      </c>
      <c r="M3954">
        <v>15</v>
      </c>
      <c r="N3954">
        <v>100</v>
      </c>
      <c r="O3954">
        <v>36.594202898550733</v>
      </c>
    </row>
    <row r="3955" spans="1:15" hidden="1" x14ac:dyDescent="0.25">
      <c r="A3955" s="11">
        <v>46126</v>
      </c>
      <c r="B3955" t="s">
        <v>35</v>
      </c>
      <c r="C3955" t="s">
        <v>32</v>
      </c>
      <c r="D3955">
        <v>23</v>
      </c>
      <c r="E3955">
        <v>22</v>
      </c>
      <c r="F3955">
        <v>27.14</v>
      </c>
      <c r="G3955">
        <v>0</v>
      </c>
      <c r="H3955">
        <v>0</v>
      </c>
      <c r="I3955" s="3">
        <v>0</v>
      </c>
      <c r="J3955" s="3">
        <v>0</v>
      </c>
      <c r="K3955" s="3">
        <v>0</v>
      </c>
      <c r="L3955" s="3" t="str">
        <f>IF(K3955&lt;-5,"CRÍTICO",IF(K3955&lt;0,"ATENÇÃO",IF(K3955&lt;=5,"OPORTUNO","MUITO BOM")))</f>
        <v>OPORTUNO</v>
      </c>
      <c r="M3955">
        <v>23</v>
      </c>
      <c r="N3955">
        <v>100</v>
      </c>
      <c r="O3955">
        <v>38.653846153846153</v>
      </c>
    </row>
    <row r="3956" spans="1:15" hidden="1" x14ac:dyDescent="0.25">
      <c r="A3956" s="11">
        <v>46126</v>
      </c>
      <c r="B3956" t="s">
        <v>18</v>
      </c>
      <c r="C3956" t="s">
        <v>16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>E3956+G3956+H3956</f>
        <v>10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9</v>
      </c>
      <c r="K3956" s="3">
        <f>I3956-J3956</f>
        <v>1</v>
      </c>
      <c r="L3956" s="3" t="str">
        <f>IF(K3956&lt;-5,"CRÍTICO",IF(K3956&lt;0,"ATENÇÃO",IF(K3956&lt;=5,"OPORTUNO","MUITO BOM")))</f>
        <v>OPORTUNO</v>
      </c>
      <c r="M3956">
        <v>6</v>
      </c>
      <c r="N3956">
        <v>100</v>
      </c>
      <c r="O3956">
        <v>27.368421052631579</v>
      </c>
    </row>
    <row r="3957" spans="1:15" hidden="1" x14ac:dyDescent="0.25">
      <c r="A3957" s="11">
        <v>46126</v>
      </c>
      <c r="B3957" t="s">
        <v>52</v>
      </c>
      <c r="C3957" t="s">
        <v>48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24</v>
      </c>
      <c r="K3957" s="3">
        <f>I3957-J3957</f>
        <v>-6</v>
      </c>
      <c r="L3957" s="3" t="str">
        <f>IF(K3957&lt;-5,"CRÍTICO",IF(K3957&lt;0,"ATENÇÃO",IF(K3957&lt;=5,"OPORTUNO","MUITO BOM")))</f>
        <v>CRÍTICO</v>
      </c>
      <c r="M3957">
        <v>16</v>
      </c>
      <c r="N3957">
        <v>97.83</v>
      </c>
      <c r="O3957">
        <v>28.35164835164835</v>
      </c>
    </row>
    <row r="3958" spans="1:15" hidden="1" x14ac:dyDescent="0.25">
      <c r="A3958" s="11">
        <v>46126</v>
      </c>
      <c r="B3958" t="s">
        <v>36</v>
      </c>
      <c r="C3958" t="s">
        <v>32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30</v>
      </c>
      <c r="K3958" s="3">
        <f>I3958-J3958</f>
        <v>1</v>
      </c>
      <c r="L3958" s="3" t="str">
        <f>IF(K3958&lt;-5,"CRÍTICO",IF(K3958&lt;0,"ATENÇÃO",IF(K3958&lt;=5,"OPORTUNO","MUITO BOM")))</f>
        <v>OPORTUNO</v>
      </c>
      <c r="M3958">
        <v>31</v>
      </c>
      <c r="N3958">
        <v>99.26</v>
      </c>
      <c r="O3958">
        <v>29.766536964980549</v>
      </c>
    </row>
    <row r="3959" spans="1:15" hidden="1" x14ac:dyDescent="0.25">
      <c r="A3959" s="11">
        <v>46126</v>
      </c>
      <c r="B3959" t="s">
        <v>53</v>
      </c>
      <c r="C3959" t="s">
        <v>48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>E3959+G3959+H3959</f>
        <v>31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24</v>
      </c>
      <c r="K3959" s="3">
        <f>I3959-J3959</f>
        <v>7</v>
      </c>
      <c r="L3959" s="3" t="str">
        <f>IF(K3959&lt;-5,"CRÍTICO",IF(K3959&lt;0,"ATENÇÃO",IF(K3959&lt;=5,"OPORTUNO","MUITO BOM")))</f>
        <v>MUITO BOM</v>
      </c>
      <c r="M3959">
        <v>27</v>
      </c>
      <c r="N3959">
        <v>99.19</v>
      </c>
      <c r="O3959">
        <v>29.462365591397852</v>
      </c>
    </row>
    <row r="3960" spans="1:15" hidden="1" x14ac:dyDescent="0.25">
      <c r="A3960" s="11">
        <v>46167</v>
      </c>
      <c r="B3960" t="s">
        <v>57</v>
      </c>
      <c r="C3960" t="s">
        <v>48</v>
      </c>
      <c r="D3960">
        <v>19</v>
      </c>
      <c r="E3960">
        <v>15</v>
      </c>
      <c r="F3960">
        <v>24.06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>
        <v>16</v>
      </c>
      <c r="N3960">
        <v>100</v>
      </c>
      <c r="O3960">
        <v>25</v>
      </c>
    </row>
    <row r="3961" spans="1:15" hidden="1" x14ac:dyDescent="0.25">
      <c r="A3961" s="11">
        <v>46126</v>
      </c>
      <c r="B3961" t="s">
        <v>54</v>
      </c>
      <c r="C3961" t="s">
        <v>48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v>0</v>
      </c>
      <c r="J3961" s="3">
        <v>0</v>
      </c>
      <c r="K3961" s="3">
        <v>0</v>
      </c>
      <c r="L3961" s="3" t="str">
        <f>IF(K3961&lt;-5,"CRÍTICO",IF(K3961&lt;0,"ATENÇÃO",IF(K3961&lt;=5,"OPORTUNO","MUITO BOM")))</f>
        <v>OPORTUNO</v>
      </c>
      <c r="M3961">
        <v>0</v>
      </c>
      <c r="N3961">
        <v>100</v>
      </c>
      <c r="O3961">
        <v>28.921568627450981</v>
      </c>
    </row>
    <row r="3962" spans="1:15" hidden="1" x14ac:dyDescent="0.25">
      <c r="A3962" s="11">
        <v>46126</v>
      </c>
      <c r="B3962" t="s">
        <v>37</v>
      </c>
      <c r="C3962" t="s">
        <v>32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>E3962+G3962+H3962</f>
        <v>30</v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>30</v>
      </c>
      <c r="K3962" s="3">
        <f>I3962-J3962</f>
        <v>0</v>
      </c>
      <c r="L3962" s="3" t="str">
        <f>IF(K3962&lt;-5,"CRÍTICO",IF(K3962&lt;0,"ATENÇÃO",IF(K3962&lt;=5,"OPORTUNO","MUITO BOM")))</f>
        <v>OPORTUNO</v>
      </c>
      <c r="M3962">
        <v>33</v>
      </c>
      <c r="N3962">
        <v>99.57</v>
      </c>
      <c r="O3962">
        <v>30.635838150289018</v>
      </c>
    </row>
    <row r="3963" spans="1:15" hidden="1" x14ac:dyDescent="0.25">
      <c r="A3963" s="11">
        <v>46126</v>
      </c>
      <c r="B3963" t="s">
        <v>38</v>
      </c>
      <c r="C3963" t="s">
        <v>32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v>0</v>
      </c>
      <c r="J3963" s="3">
        <v>0</v>
      </c>
      <c r="K3963" s="3">
        <v>0</v>
      </c>
      <c r="L3963" s="3" t="str">
        <f>IF(K3963&lt;-5,"CRÍTICO",IF(K3963&lt;0,"ATENÇÃO",IF(K3963&lt;=5,"OPORTUNO","MUITO BOM")))</f>
        <v>OPORTUNO</v>
      </c>
      <c r="M3963">
        <v>0</v>
      </c>
      <c r="N3963">
        <v>95.65</v>
      </c>
      <c r="O3963">
        <v>32.432432432432442</v>
      </c>
    </row>
    <row r="3964" spans="1:15" hidden="1" x14ac:dyDescent="0.25">
      <c r="A3964" s="11">
        <v>46126</v>
      </c>
      <c r="B3964" t="s">
        <v>55</v>
      </c>
      <c r="C3964" t="s">
        <v>48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>E3964+G3964+H3964</f>
        <v>12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24</v>
      </c>
      <c r="K3964" s="3">
        <f>I3964-J3964</f>
        <v>-12</v>
      </c>
      <c r="L3964" s="3" t="str">
        <f>IF(K3964&lt;-5,"CRÍTICO",IF(K3964&lt;0,"ATENÇÃO",IF(K3964&lt;=5,"OPORTUNO","MUITO BOM")))</f>
        <v>CRÍTICO</v>
      </c>
      <c r="M3964">
        <v>10</v>
      </c>
      <c r="N3964">
        <v>98.81</v>
      </c>
      <c r="O3964">
        <v>26.256983240223459</v>
      </c>
    </row>
    <row r="3965" spans="1:15" hidden="1" x14ac:dyDescent="0.25">
      <c r="A3965" s="11">
        <v>46126</v>
      </c>
      <c r="B3965" t="s">
        <v>39</v>
      </c>
      <c r="C3965" t="s">
        <v>32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v>0</v>
      </c>
      <c r="J3965" s="3">
        <v>0</v>
      </c>
      <c r="K3965" s="3">
        <v>0</v>
      </c>
      <c r="L3965" s="3" t="str">
        <f>IF(K3965&lt;-5,"CRÍTICO",IF(K3965&lt;0,"ATENÇÃO",IF(K3965&lt;=5,"OPORTUNO","MUITO BOM")))</f>
        <v>OPORTUNO</v>
      </c>
      <c r="M3965">
        <v>0</v>
      </c>
      <c r="N3965">
        <v>0</v>
      </c>
      <c r="O3965">
        <v>0</v>
      </c>
    </row>
    <row r="3966" spans="1:15" hidden="1" x14ac:dyDescent="0.25">
      <c r="A3966" s="11">
        <v>46126</v>
      </c>
      <c r="B3966" t="s">
        <v>25</v>
      </c>
      <c r="C3966" t="s">
        <v>26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>E3966+G3966+H3966</f>
        <v>25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17</v>
      </c>
      <c r="K3966" s="3">
        <f>I3966-J3966</f>
        <v>8</v>
      </c>
      <c r="L3966" s="3" t="str">
        <f>IF(K3966&lt;-5,"CRÍTICO",IF(K3966&lt;0,"ATENÇÃO",IF(K3966&lt;=5,"OPORTUNO","MUITO BOM")))</f>
        <v>MUITO BOM</v>
      </c>
      <c r="M3966">
        <v>21</v>
      </c>
      <c r="N3966">
        <v>97.17</v>
      </c>
      <c r="O3966">
        <v>28.81844380403458</v>
      </c>
    </row>
    <row r="3967" spans="1:15" hidden="1" x14ac:dyDescent="0.25">
      <c r="A3967" s="11">
        <v>46126</v>
      </c>
      <c r="B3967" t="s">
        <v>40</v>
      </c>
      <c r="C3967" t="s">
        <v>32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>E3967+G3967+H3967</f>
        <v>22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30</v>
      </c>
      <c r="K3967" s="3">
        <f>I3967-J3967</f>
        <v>-8</v>
      </c>
      <c r="L3967" s="3" t="str">
        <f>IF(K3967&lt;-5,"CRÍTICO",IF(K3967&lt;0,"ATENÇÃO",IF(K3967&lt;=5,"OPORTUNO","MUITO BOM")))</f>
        <v>CRÍTICO</v>
      </c>
      <c r="M3967">
        <v>23</v>
      </c>
      <c r="N3967">
        <v>96.81</v>
      </c>
      <c r="O3967">
        <v>48.018648018648022</v>
      </c>
    </row>
    <row r="3968" spans="1:15" hidden="1" x14ac:dyDescent="0.25">
      <c r="A3968" s="11">
        <v>46126</v>
      </c>
      <c r="B3968" t="s">
        <v>27</v>
      </c>
      <c r="C3968" t="s">
        <v>26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>E3968+G3968+H3968</f>
        <v>15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17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>
        <v>10</v>
      </c>
      <c r="N3968">
        <v>98.15</v>
      </c>
      <c r="O3968">
        <v>27.1551724137931</v>
      </c>
    </row>
    <row r="3969" spans="1:15" hidden="1" x14ac:dyDescent="0.25">
      <c r="A3969" s="11">
        <v>46126</v>
      </c>
      <c r="B3969" t="s">
        <v>41</v>
      </c>
      <c r="C3969" t="s">
        <v>32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>E3969+G3969+H3969</f>
        <v>28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30</v>
      </c>
      <c r="K3969" s="3">
        <f>I3969-J3969</f>
        <v>-2</v>
      </c>
      <c r="L3969" s="3" t="str">
        <f>IF(K3969&lt;-5,"CRÍTICO",IF(K3969&lt;0,"ATENÇÃO",IF(K3969&lt;=5,"OPORTUNO","MUITO BOM")))</f>
        <v>ATENÇÃO</v>
      </c>
      <c r="M3969">
        <v>25</v>
      </c>
      <c r="N3969">
        <v>99.15</v>
      </c>
      <c r="O3969">
        <v>27.586206896551719</v>
      </c>
    </row>
    <row r="3970" spans="1:15" hidden="1" x14ac:dyDescent="0.25">
      <c r="A3970" s="11">
        <v>46126</v>
      </c>
      <c r="B3970" t="s">
        <v>56</v>
      </c>
      <c r="C3970" t="s">
        <v>48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>E3970+G3970+H3970</f>
        <v>30</v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>24</v>
      </c>
      <c r="K3970" s="3">
        <f>I3970-J3970</f>
        <v>6</v>
      </c>
      <c r="L3970" s="3" t="str">
        <f>IF(K3970&lt;-5,"CRÍTICO",IF(K3970&lt;0,"ATENÇÃO",IF(K3970&lt;=5,"OPORTUNO","MUITO BOM")))</f>
        <v>MUITO BOM</v>
      </c>
      <c r="M3970">
        <v>16</v>
      </c>
      <c r="N3970">
        <v>99.17</v>
      </c>
      <c r="O3970">
        <v>29.75206611570248</v>
      </c>
    </row>
    <row r="3971" spans="1:15" hidden="1" x14ac:dyDescent="0.25">
      <c r="A3971" s="11">
        <v>46126</v>
      </c>
      <c r="B3971" t="s">
        <v>57</v>
      </c>
      <c r="C3971" t="s">
        <v>48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v>0</v>
      </c>
      <c r="J3971" s="3">
        <v>0</v>
      </c>
      <c r="K3971" s="3">
        <v>0</v>
      </c>
      <c r="L3971" s="3" t="str">
        <f>IF(K3971&lt;-5,"CRÍTICO",IF(K3971&lt;0,"ATENÇÃO",IF(K3971&lt;=5,"OPORTUNO","MUITO BOM")))</f>
        <v>OPORTUNO</v>
      </c>
      <c r="M3971">
        <v>0</v>
      </c>
      <c r="N3971">
        <v>98.73</v>
      </c>
      <c r="O3971">
        <v>28.961748633879779</v>
      </c>
    </row>
    <row r="3972" spans="1:15" hidden="1" x14ac:dyDescent="0.25">
      <c r="A3972" s="11">
        <v>46126</v>
      </c>
      <c r="B3972" t="s">
        <v>42</v>
      </c>
      <c r="C3972" t="s">
        <v>32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>E3972+G3972+H3972</f>
        <v>25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30</v>
      </c>
      <c r="K3972" s="3">
        <f>I3972-J3972</f>
        <v>-5</v>
      </c>
      <c r="L3972" s="3" t="str">
        <f>IF(K3972&lt;-5,"CRÍTICO",IF(K3972&lt;0,"ATENÇÃO",IF(K3972&lt;=5,"OPORTUNO","MUITO BOM")))</f>
        <v>ATENÇÃO</v>
      </c>
      <c r="M3972">
        <v>20</v>
      </c>
      <c r="N3972">
        <v>88.68</v>
      </c>
      <c r="O3972">
        <v>22.03389830508474</v>
      </c>
    </row>
    <row r="3973" spans="1:15" hidden="1" x14ac:dyDescent="0.25">
      <c r="A3973" s="11">
        <v>46126</v>
      </c>
      <c r="B3973" t="s">
        <v>62</v>
      </c>
      <c r="C3973" t="s">
        <v>23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>E3973+G3973+H3973</f>
        <v>20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20</v>
      </c>
      <c r="K3973" s="3">
        <f>I3973-J3973</f>
        <v>0</v>
      </c>
      <c r="L3973" s="3" t="str">
        <f>IF(K3973&lt;-5,"CRÍTICO",IF(K3973&lt;0,"ATENÇÃO",IF(K3973&lt;=5,"OPORTUNO","MUITO BOM")))</f>
        <v>OPORTUNO</v>
      </c>
      <c r="M3973">
        <v>18</v>
      </c>
      <c r="N3973">
        <v>97.37</v>
      </c>
      <c r="O3973">
        <v>25.76530612244898</v>
      </c>
    </row>
    <row r="3974" spans="1:15" hidden="1" x14ac:dyDescent="0.25">
      <c r="A3974" s="11">
        <v>46126</v>
      </c>
      <c r="B3974" t="s">
        <v>19</v>
      </c>
      <c r="C3974" t="s">
        <v>16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>E3974+G3974+H3974</f>
        <v>10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9</v>
      </c>
      <c r="K3974" s="3">
        <f>I3974-J3974</f>
        <v>1</v>
      </c>
      <c r="L3974" s="3" t="str">
        <f>IF(K3974&lt;-5,"CRÍTICO",IF(K3974&lt;0,"ATENÇÃO",IF(K3974&lt;=5,"OPORTUNO","MUITO BOM")))</f>
        <v>OPORTUNO</v>
      </c>
      <c r="M3974">
        <v>7</v>
      </c>
      <c r="N3974">
        <v>100</v>
      </c>
      <c r="O3974">
        <v>25</v>
      </c>
    </row>
    <row r="3975" spans="1:15" hidden="1" x14ac:dyDescent="0.25">
      <c r="A3975" s="11">
        <v>46126</v>
      </c>
      <c r="B3975" t="s">
        <v>43</v>
      </c>
      <c r="C3975" t="s">
        <v>32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>E3975+G3975+H3975</f>
        <v>25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-5</v>
      </c>
      <c r="L3975" s="3" t="str">
        <f>IF(K3975&lt;-5,"CRÍTICO",IF(K3975&lt;0,"ATENÇÃO",IF(K3975&lt;=5,"OPORTUNO","MUITO BOM")))</f>
        <v>ATENÇÃO</v>
      </c>
      <c r="M3975">
        <v>31</v>
      </c>
      <c r="N3975">
        <v>100</v>
      </c>
      <c r="O3975">
        <v>23.9870340356564</v>
      </c>
    </row>
    <row r="3976" spans="1:15" hidden="1" x14ac:dyDescent="0.25">
      <c r="A3976" s="11">
        <v>46126</v>
      </c>
      <c r="B3976" t="s">
        <v>44</v>
      </c>
      <c r="C3976" t="s">
        <v>32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>E3976+G3976+H3976</f>
        <v>37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30</v>
      </c>
      <c r="K3976" s="3">
        <f>I3976-J3976</f>
        <v>7</v>
      </c>
      <c r="L3976" s="3" t="str">
        <f>IF(K3976&lt;-5,"CRÍTICO",IF(K3976&lt;0,"ATENÇÃO",IF(K3976&lt;=5,"OPORTUNO","MUITO BOM")))</f>
        <v>MUITO BOM</v>
      </c>
      <c r="M3976">
        <v>3</v>
      </c>
      <c r="N3976">
        <v>95.49</v>
      </c>
      <c r="O3976">
        <v>28.370221327967808</v>
      </c>
    </row>
    <row r="3977" spans="1:15" hidden="1" x14ac:dyDescent="0.25">
      <c r="A3977" s="11">
        <v>46126</v>
      </c>
      <c r="B3977" t="s">
        <v>20</v>
      </c>
      <c r="C3977" t="s">
        <v>16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v>0</v>
      </c>
      <c r="J3977" s="3">
        <v>0</v>
      </c>
      <c r="K3977" s="3">
        <v>0</v>
      </c>
      <c r="L3977" s="3" t="str">
        <f>IF(K3977&lt;-5,"CRÍTICO",IF(K3977&lt;0,"ATENÇÃO",IF(K3977&lt;=5,"OPORTUNO","MUITO BOM")))</f>
        <v>OPORTUNO</v>
      </c>
      <c r="M3977">
        <v>0</v>
      </c>
      <c r="N3977">
        <v>100</v>
      </c>
      <c r="O3977">
        <v>23.77622377622378</v>
      </c>
    </row>
    <row r="3978" spans="1:15" hidden="1" x14ac:dyDescent="0.25">
      <c r="A3978" s="11">
        <v>46126</v>
      </c>
      <c r="B3978" t="s">
        <v>28</v>
      </c>
      <c r="C3978" t="s">
        <v>26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>E3978+G3978+H3978</f>
        <v>35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17</v>
      </c>
      <c r="K3978" s="3">
        <f>I3978-J3978</f>
        <v>18</v>
      </c>
      <c r="L3978" s="3" t="str">
        <f>IF(K3978&lt;-5,"CRÍTICO",IF(K3978&lt;0,"ATENÇÃO",IF(K3978&lt;=5,"OPORTUNO","MUITO BOM")))</f>
        <v>MUITO BOM</v>
      </c>
      <c r="M3978">
        <v>20</v>
      </c>
      <c r="N3978">
        <v>96.15</v>
      </c>
      <c r="O3978">
        <v>24.045801526717561</v>
      </c>
    </row>
    <row r="3979" spans="1:15" hidden="1" x14ac:dyDescent="0.25">
      <c r="A3979" s="11">
        <v>46126</v>
      </c>
      <c r="B3979" t="s">
        <v>58</v>
      </c>
      <c r="C3979" t="s">
        <v>48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>E3979+G3979+H3979</f>
        <v>30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24</v>
      </c>
      <c r="K3979" s="3">
        <f>I3979-J3979</f>
        <v>6</v>
      </c>
      <c r="L3979" s="3" t="str">
        <f>IF(K3979&lt;-5,"CRÍTICO",IF(K3979&lt;0,"ATENÇÃO",IF(K3979&lt;=5,"OPORTUNO","MUITO BOM")))</f>
        <v>MUITO BOM</v>
      </c>
      <c r="M3979">
        <v>22</v>
      </c>
      <c r="N3979">
        <v>99.02</v>
      </c>
      <c r="O3979">
        <v>34.797297297297298</v>
      </c>
    </row>
    <row r="3980" spans="1:15" hidden="1" x14ac:dyDescent="0.25">
      <c r="A3980" s="11">
        <v>46126</v>
      </c>
      <c r="B3980" t="s">
        <v>29</v>
      </c>
      <c r="C3980" t="s">
        <v>26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>E3980+G3980+H3980</f>
        <v>24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7</v>
      </c>
      <c r="L3980" s="3" t="str">
        <f>IF(K3980&lt;-5,"CRÍTICO",IF(K3980&lt;0,"ATENÇÃO",IF(K3980&lt;=5,"OPORTUNO","MUITO BOM")))</f>
        <v>MUITO BOM</v>
      </c>
      <c r="M3980">
        <v>19</v>
      </c>
      <c r="N3980">
        <v>98.84</v>
      </c>
      <c r="O3980">
        <v>31.868131868131869</v>
      </c>
    </row>
    <row r="3981" spans="1:15" hidden="1" x14ac:dyDescent="0.25">
      <c r="A3981" s="11">
        <v>46126</v>
      </c>
      <c r="B3981" t="s">
        <v>30</v>
      </c>
      <c r="C3981" t="s">
        <v>26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>E3981+G3981+H3981</f>
        <v>19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17</v>
      </c>
      <c r="K3981" s="3">
        <f>I3981-J3981</f>
        <v>2</v>
      </c>
      <c r="L3981" s="3" t="str">
        <f>IF(K3981&lt;-5,"CRÍTICO",IF(K3981&lt;0,"ATENÇÃO",IF(K3981&lt;=5,"OPORTUNO","MUITO BOM")))</f>
        <v>OPORTUNO</v>
      </c>
      <c r="M3981">
        <v>15</v>
      </c>
      <c r="N3981">
        <v>100</v>
      </c>
      <c r="O3981">
        <v>34.666666666666671</v>
      </c>
    </row>
    <row r="3982" spans="1:15" hidden="1" x14ac:dyDescent="0.25">
      <c r="A3982" s="11">
        <v>46126</v>
      </c>
      <c r="B3982" t="s">
        <v>21</v>
      </c>
      <c r="C3982" t="s">
        <v>16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v>0</v>
      </c>
      <c r="J3982" s="3">
        <v>0</v>
      </c>
      <c r="K3982" s="3">
        <v>0</v>
      </c>
      <c r="L3982" s="3" t="str">
        <f>IF(K3982&lt;-5,"CRÍTICO",IF(K3982&lt;0,"ATENÇÃO",IF(K3982&lt;=5,"OPORTUNO","MUITO BOM")))</f>
        <v>OPORTUNO</v>
      </c>
      <c r="M3982">
        <v>0</v>
      </c>
      <c r="N3982">
        <v>94.12</v>
      </c>
      <c r="O3982">
        <v>32.799999999999997</v>
      </c>
    </row>
    <row r="3983" spans="1:15" hidden="1" x14ac:dyDescent="0.25">
      <c r="A3983" s="11">
        <v>46126</v>
      </c>
      <c r="B3983" t="s">
        <v>63</v>
      </c>
      <c r="C3983" t="s">
        <v>23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>E3983+G3983+H3983</f>
        <v>29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20</v>
      </c>
      <c r="K3983" s="3">
        <f>I3983-J3983</f>
        <v>9</v>
      </c>
      <c r="L3983" s="3" t="str">
        <f>IF(K3983&lt;-5,"CRÍTICO",IF(K3983&lt;0,"ATENÇÃO",IF(K3983&lt;=5,"OPORTUNO","MUITO BOM")))</f>
        <v>MUITO BOM</v>
      </c>
      <c r="M3983">
        <v>26</v>
      </c>
      <c r="N3983">
        <v>98.32</v>
      </c>
      <c r="O3983">
        <v>26.858513189448441</v>
      </c>
    </row>
    <row r="3984" spans="1:15" hidden="1" x14ac:dyDescent="0.25">
      <c r="A3984" s="11">
        <v>46126</v>
      </c>
      <c r="B3984" t="s">
        <v>45</v>
      </c>
      <c r="C3984" t="s">
        <v>32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>E3984+G3984+H3984</f>
        <v>36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30</v>
      </c>
      <c r="K3984" s="3">
        <f>I3984-J3984</f>
        <v>6</v>
      </c>
      <c r="L3984" s="3" t="str">
        <f>IF(K3984&lt;-5,"CRÍTICO",IF(K3984&lt;0,"ATENÇÃO",IF(K3984&lt;=5,"OPORTUNO","MUITO BOM")))</f>
        <v>MUITO BOM</v>
      </c>
      <c r="M3984">
        <v>29</v>
      </c>
      <c r="N3984">
        <v>100</v>
      </c>
      <c r="O3984">
        <v>31.135531135531139</v>
      </c>
    </row>
    <row r="3985" spans="1:15" hidden="1" x14ac:dyDescent="0.25">
      <c r="A3985" s="11">
        <v>46126</v>
      </c>
      <c r="B3985" t="s">
        <v>64</v>
      </c>
      <c r="C3985" t="s">
        <v>23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>E3985+G3985+H3985</f>
        <v>19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20</v>
      </c>
      <c r="K3985" s="3">
        <f>I3985-J3985</f>
        <v>-1</v>
      </c>
      <c r="L3985" s="3" t="str">
        <f>IF(K3985&lt;-5,"CRÍTICO",IF(K3985&lt;0,"ATENÇÃO",IF(K3985&lt;=5,"OPORTUNO","MUITO BOM")))</f>
        <v>ATENÇÃO</v>
      </c>
      <c r="M3985">
        <v>17</v>
      </c>
      <c r="N3985">
        <v>100</v>
      </c>
      <c r="O3985">
        <v>26.36986301369863</v>
      </c>
    </row>
    <row r="3986" spans="1:15" hidden="1" x14ac:dyDescent="0.25">
      <c r="A3986" s="11">
        <v>46126</v>
      </c>
      <c r="B3986" t="s">
        <v>46</v>
      </c>
      <c r="C3986" t="s">
        <v>32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>E3986+G3986+H3986</f>
        <v>22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30</v>
      </c>
      <c r="K3986" s="3">
        <f>I3986-J3986</f>
        <v>-8</v>
      </c>
      <c r="L3986" s="3" t="str">
        <f>IF(K3986&lt;-5,"CRÍTICO",IF(K3986&lt;0,"ATENÇÃO",IF(K3986&lt;=5,"OPORTUNO","MUITO BOM")))</f>
        <v>CRÍTICO</v>
      </c>
      <c r="M3986">
        <v>21</v>
      </c>
      <c r="N3986">
        <v>99.21</v>
      </c>
      <c r="O3986">
        <v>25.188916876574311</v>
      </c>
    </row>
    <row r="3987" spans="1:15" hidden="1" x14ac:dyDescent="0.25">
      <c r="A3987" s="11">
        <v>46127</v>
      </c>
      <c r="B3987" t="s">
        <v>47</v>
      </c>
      <c r="C3987" t="s">
        <v>48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>E3987+G3987+H3987</f>
        <v>26</v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>26</v>
      </c>
      <c r="K3987" s="3">
        <f>I3987-J3987</f>
        <v>0</v>
      </c>
      <c r="L3987" s="3" t="str">
        <f>IF(K3987&lt;-5,"CRÍTICO",IF(K3987&lt;0,"ATENÇÃO",IF(K3987&lt;=5,"OPORTUNO","MUITO BOM")))</f>
        <v>OPORTUNO</v>
      </c>
      <c r="M3987">
        <v>12</v>
      </c>
      <c r="N3987">
        <v>100</v>
      </c>
      <c r="O3987">
        <v>32.764505119453922</v>
      </c>
    </row>
    <row r="3988" spans="1:15" hidden="1" x14ac:dyDescent="0.25">
      <c r="A3988" s="11">
        <v>46127</v>
      </c>
      <c r="B3988" t="s">
        <v>31</v>
      </c>
      <c r="C3988" t="s">
        <v>32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v>0</v>
      </c>
      <c r="J3988" s="3">
        <v>0</v>
      </c>
      <c r="K3988" s="3">
        <v>0</v>
      </c>
      <c r="L3988" s="3" t="str">
        <f>IF(K3988&lt;-5,"CRÍTICO",IF(K3988&lt;0,"ATENÇÃO",IF(K3988&lt;=5,"OPORTUNO","MUITO BOM")))</f>
        <v>OPORTUNO</v>
      </c>
      <c r="M3988">
        <v>30</v>
      </c>
      <c r="N3988">
        <v>98.66</v>
      </c>
      <c r="O3988">
        <v>35.416666666666671</v>
      </c>
    </row>
    <row r="3989" spans="1:15" hidden="1" x14ac:dyDescent="0.25">
      <c r="A3989" s="11">
        <v>46127</v>
      </c>
      <c r="B3989" t="s">
        <v>59</v>
      </c>
      <c r="C3989" t="s">
        <v>23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>E3989+G3989+H3989</f>
        <v>31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21</v>
      </c>
      <c r="K3989" s="3">
        <f>I3989-J3989</f>
        <v>10</v>
      </c>
      <c r="L3989" s="3" t="str">
        <f>IF(K3989&lt;-5,"CRÍTICO",IF(K3989&lt;0,"ATENÇÃO",IF(K3989&lt;=5,"OPORTUNO","MUITO BOM")))</f>
        <v>MUITO BOM</v>
      </c>
      <c r="M3989">
        <v>32</v>
      </c>
      <c r="N3989">
        <v>99.32</v>
      </c>
      <c r="O3989">
        <v>30.648330058939099</v>
      </c>
    </row>
    <row r="3990" spans="1:15" hidden="1" x14ac:dyDescent="0.25">
      <c r="A3990" s="11">
        <v>46127</v>
      </c>
      <c r="B3990" t="s">
        <v>33</v>
      </c>
      <c r="C3990" t="s">
        <v>32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32</v>
      </c>
      <c r="K3990" s="3">
        <f>I3990-J3990</f>
        <v>0</v>
      </c>
      <c r="L3990" s="3" t="str">
        <f>IF(K3990&lt;-5,"CRÍTICO",IF(K3990&lt;0,"ATENÇÃO",IF(K3990&lt;=5,"OPORTUNO","MUITO BOM")))</f>
        <v>OPORTUNO</v>
      </c>
      <c r="M3990">
        <v>29</v>
      </c>
      <c r="N3990">
        <v>100</v>
      </c>
      <c r="O3990">
        <v>27.803738317757009</v>
      </c>
    </row>
    <row r="3991" spans="1:15" hidden="1" x14ac:dyDescent="0.25">
      <c r="A3991" s="11">
        <v>46127</v>
      </c>
      <c r="B3991" t="s">
        <v>15</v>
      </c>
      <c r="C3991" t="s">
        <v>16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>E3991+G3991+H3991</f>
        <v>32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9</v>
      </c>
      <c r="K3991" s="3">
        <f>I3991-J3991</f>
        <v>23</v>
      </c>
      <c r="L3991" s="3" t="str">
        <f>IF(K3991&lt;-5,"CRÍTICO",IF(K3991&lt;0,"ATENÇÃO",IF(K3991&lt;=5,"OPORTUNO","MUITO BOM")))</f>
        <v>MUITO BOM</v>
      </c>
      <c r="M3991">
        <v>30</v>
      </c>
      <c r="N3991">
        <v>96.74</v>
      </c>
      <c r="O3991">
        <v>28.67647058823529</v>
      </c>
    </row>
    <row r="3992" spans="1:15" hidden="1" x14ac:dyDescent="0.25">
      <c r="A3992" s="11">
        <v>46127</v>
      </c>
      <c r="B3992" t="s">
        <v>49</v>
      </c>
      <c r="C3992" t="s">
        <v>48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>E3992+G3992+H3992</f>
        <v>36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10</v>
      </c>
      <c r="L3992" s="3" t="str">
        <f>IF(K3992&lt;-5,"CRÍTICO",IF(K3992&lt;0,"ATENÇÃO",IF(K3992&lt;=5,"OPORTUNO","MUITO BOM")))</f>
        <v>MUITO BOM</v>
      </c>
      <c r="M3992">
        <v>37</v>
      </c>
      <c r="N3992">
        <v>98.82</v>
      </c>
      <c r="O3992">
        <v>30.741410488245929</v>
      </c>
    </row>
    <row r="3993" spans="1:15" hidden="1" x14ac:dyDescent="0.25">
      <c r="A3993" s="11">
        <v>46127</v>
      </c>
      <c r="B3993" t="s">
        <v>50</v>
      </c>
      <c r="C3993" t="s">
        <v>48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>E3993+G3993+H3993</f>
        <v>20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26</v>
      </c>
      <c r="K3993" s="3">
        <f>I3993-J3993</f>
        <v>-6</v>
      </c>
      <c r="L3993" s="3" t="str">
        <f>IF(K3993&lt;-5,"CRÍTICO",IF(K3993&lt;0,"ATENÇÃO",IF(K3993&lt;=5,"OPORTUNO","MUITO BOM")))</f>
        <v>CRÍTICO</v>
      </c>
      <c r="M3993">
        <v>17</v>
      </c>
      <c r="N3993">
        <v>98.2</v>
      </c>
      <c r="O3993">
        <v>27.170868347338931</v>
      </c>
    </row>
    <row r="3994" spans="1:15" hidden="1" x14ac:dyDescent="0.25">
      <c r="A3994" s="11">
        <v>46127</v>
      </c>
      <c r="B3994" t="s">
        <v>17</v>
      </c>
      <c r="C3994" t="s">
        <v>16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>E3994+G3994+H3994</f>
        <v>8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9</v>
      </c>
      <c r="K3994" s="3">
        <f>I3994-J3994</f>
        <v>-1</v>
      </c>
      <c r="L3994" s="3" t="str">
        <f>IF(K3994&lt;-5,"CRÍTICO",IF(K3994&lt;0,"ATENÇÃO",IF(K3994&lt;=5,"OPORTUNO","MUITO BOM")))</f>
        <v>ATENÇÃO</v>
      </c>
      <c r="M3994">
        <v>6</v>
      </c>
      <c r="N3994">
        <v>100</v>
      </c>
      <c r="O3994">
        <v>23.134328358208951</v>
      </c>
    </row>
    <row r="3995" spans="1:15" hidden="1" x14ac:dyDescent="0.25">
      <c r="A3995" s="11">
        <v>46127</v>
      </c>
      <c r="B3995" t="s">
        <v>60</v>
      </c>
      <c r="C3995" t="s">
        <v>23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>E3995+G3995+H3995</f>
        <v>22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21</v>
      </c>
      <c r="K3995" s="3">
        <f>I3995-J3995</f>
        <v>1</v>
      </c>
      <c r="L3995" s="3" t="str">
        <f>IF(K3995&lt;-5,"CRÍTICO",IF(K3995&lt;0,"ATENÇÃO",IF(K3995&lt;=5,"OPORTUNO","MUITO BOM")))</f>
        <v>OPORTUNO</v>
      </c>
      <c r="M3995">
        <v>24</v>
      </c>
      <c r="N3995">
        <v>96.3</v>
      </c>
      <c r="O3995">
        <v>32.219570405727922</v>
      </c>
    </row>
    <row r="3996" spans="1:15" hidden="1" x14ac:dyDescent="0.25">
      <c r="A3996" s="11">
        <v>46127</v>
      </c>
      <c r="B3996" t="s">
        <v>34</v>
      </c>
      <c r="C3996" t="s">
        <v>32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>E3996+G3996+H3996</f>
        <v>41</v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>32</v>
      </c>
      <c r="K3996" s="3">
        <f>I3996-J3996</f>
        <v>9</v>
      </c>
      <c r="L3996" s="3" t="str">
        <f>IF(K3996&lt;-5,"CRÍTICO",IF(K3996&lt;0,"ATENÇÃO",IF(K3996&lt;=5,"OPORTUNO","MUITO BOM")))</f>
        <v>MUITO BOM</v>
      </c>
      <c r="M3996">
        <v>39</v>
      </c>
      <c r="N3996">
        <v>93.75</v>
      </c>
      <c r="O3996">
        <v>26.819923371647509</v>
      </c>
    </row>
    <row r="3997" spans="1:15" hidden="1" x14ac:dyDescent="0.25">
      <c r="A3997" s="11">
        <v>46127</v>
      </c>
      <c r="B3997" t="s">
        <v>51</v>
      </c>
      <c r="C3997" t="s">
        <v>48</v>
      </c>
      <c r="D3997">
        <v>26</v>
      </c>
      <c r="E3997">
        <v>23</v>
      </c>
      <c r="F3997">
        <v>17.079999999999998</v>
      </c>
      <c r="G3997">
        <v>0</v>
      </c>
      <c r="H3997">
        <v>0</v>
      </c>
      <c r="I3997" s="3">
        <v>0</v>
      </c>
      <c r="J3997" s="3">
        <v>0</v>
      </c>
      <c r="K3997" s="3">
        <v>0</v>
      </c>
      <c r="L3997" s="3" t="str">
        <f>IF(K3997&lt;-5,"CRÍTICO",IF(K3997&lt;0,"ATENÇÃO",IF(K3997&lt;=5,"OPORTUNO","MUITO BOM")))</f>
        <v>OPORTUNO</v>
      </c>
      <c r="M3997">
        <v>23</v>
      </c>
      <c r="N3997">
        <v>97.86</v>
      </c>
      <c r="O3997">
        <v>31.018518518518519</v>
      </c>
    </row>
    <row r="3998" spans="1:15" hidden="1" x14ac:dyDescent="0.25">
      <c r="A3998" s="11">
        <v>46127</v>
      </c>
      <c r="B3998" t="s">
        <v>61</v>
      </c>
      <c r="C3998" t="s">
        <v>23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>E3998+G3998+H3998</f>
        <v>28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21</v>
      </c>
      <c r="K3998" s="3">
        <f>I3998-J3998</f>
        <v>7</v>
      </c>
      <c r="L3998" s="3" t="str">
        <f>IF(K3998&lt;-5,"CRÍTICO",IF(K3998&lt;0,"ATENÇÃO",IF(K3998&lt;=5,"OPORTUNO","MUITO BOM")))</f>
        <v>MUITO BOM</v>
      </c>
      <c r="M3998">
        <v>16</v>
      </c>
      <c r="N3998">
        <v>100</v>
      </c>
      <c r="O3998">
        <v>36.594202898550733</v>
      </c>
    </row>
    <row r="3999" spans="1:15" hidden="1" x14ac:dyDescent="0.25">
      <c r="A3999" s="11">
        <v>46127</v>
      </c>
      <c r="B3999" t="s">
        <v>35</v>
      </c>
      <c r="C3999" t="s">
        <v>32</v>
      </c>
      <c r="D3999">
        <v>34</v>
      </c>
      <c r="E3999">
        <v>34</v>
      </c>
      <c r="F3999">
        <v>17.25</v>
      </c>
      <c r="G3999">
        <v>0</v>
      </c>
      <c r="H3999">
        <v>0</v>
      </c>
      <c r="I3999" s="3">
        <v>0</v>
      </c>
      <c r="J3999" s="3">
        <v>0</v>
      </c>
      <c r="K3999" s="3">
        <v>0</v>
      </c>
      <c r="L3999" s="3" t="str">
        <f>IF(K3999&lt;-5,"CRÍTICO",IF(K3999&lt;0,"ATENÇÃO",IF(K3999&lt;=5,"OPORTUNO","MUITO BOM")))</f>
        <v>OPORTUNO</v>
      </c>
      <c r="M3999">
        <v>32</v>
      </c>
      <c r="N3999">
        <v>100</v>
      </c>
      <c r="O3999">
        <v>38.653846153846153</v>
      </c>
    </row>
    <row r="4000" spans="1:15" hidden="1" x14ac:dyDescent="0.25">
      <c r="A4000" s="11">
        <v>46127</v>
      </c>
      <c r="B4000" t="s">
        <v>18</v>
      </c>
      <c r="C4000" t="s">
        <v>16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>E4000+G4000+H4000</f>
        <v>8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>I4000-J4000</f>
        <v>-1</v>
      </c>
      <c r="L4000" s="3" t="str">
        <f>IF(K4000&lt;-5,"CRÍTICO",IF(K4000&lt;0,"ATENÇÃO",IF(K4000&lt;=5,"OPORTUNO","MUITO BOM")))</f>
        <v>ATENÇÃO</v>
      </c>
      <c r="M4000">
        <v>6</v>
      </c>
      <c r="N4000">
        <v>100</v>
      </c>
      <c r="O4000">
        <v>27.368421052631579</v>
      </c>
    </row>
    <row r="4001" spans="1:15" hidden="1" x14ac:dyDescent="0.25">
      <c r="A4001" s="11">
        <v>46127</v>
      </c>
      <c r="B4001" t="s">
        <v>52</v>
      </c>
      <c r="C4001" t="s">
        <v>48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>E4001+G4001+H4001</f>
        <v>24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26</v>
      </c>
      <c r="K4001" s="3">
        <f>I4001-J4001</f>
        <v>-2</v>
      </c>
      <c r="L4001" s="3" t="str">
        <f>IF(K4001&lt;-5,"CRÍTICO",IF(K4001&lt;0,"ATENÇÃO",IF(K4001&lt;=5,"OPORTUNO","MUITO BOM")))</f>
        <v>ATENÇÃO</v>
      </c>
      <c r="M4001">
        <v>20</v>
      </c>
      <c r="N4001">
        <v>97.83</v>
      </c>
      <c r="O4001">
        <v>28.35164835164835</v>
      </c>
    </row>
    <row r="4002" spans="1:15" hidden="1" x14ac:dyDescent="0.25">
      <c r="A4002" s="11">
        <v>46127</v>
      </c>
      <c r="B4002" t="s">
        <v>36</v>
      </c>
      <c r="C4002" t="s">
        <v>32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>E4002+G4002+H4002</f>
        <v>27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32</v>
      </c>
      <c r="K4002" s="3">
        <f>I4002-J4002</f>
        <v>-5</v>
      </c>
      <c r="L4002" s="3" t="str">
        <f>IF(K4002&lt;-5,"CRÍTICO",IF(K4002&lt;0,"ATENÇÃO",IF(K4002&lt;=5,"OPORTUNO","MUITO BOM")))</f>
        <v>ATENÇÃO</v>
      </c>
      <c r="M4002">
        <v>28</v>
      </c>
      <c r="N4002">
        <v>99.26</v>
      </c>
      <c r="O4002">
        <v>29.766536964980549</v>
      </c>
    </row>
    <row r="4003" spans="1:15" hidden="1" x14ac:dyDescent="0.25">
      <c r="A4003" s="11">
        <v>46127</v>
      </c>
      <c r="B4003" t="s">
        <v>53</v>
      </c>
      <c r="C4003" t="s">
        <v>48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>E4003+G4003+H4003</f>
        <v>26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26</v>
      </c>
      <c r="K4003" s="3">
        <f>I4003-J4003</f>
        <v>0</v>
      </c>
      <c r="L4003" s="3" t="str">
        <f>IF(K4003&lt;-5,"CRÍTICO",IF(K4003&lt;0,"ATENÇÃO",IF(K4003&lt;=5,"OPORTUNO","MUITO BOM")))</f>
        <v>OPORTUNO</v>
      </c>
      <c r="M4003">
        <v>27</v>
      </c>
      <c r="N4003">
        <v>99.19</v>
      </c>
      <c r="O4003">
        <v>29.462365591397852</v>
      </c>
    </row>
    <row r="4004" spans="1:15" hidden="1" x14ac:dyDescent="0.25">
      <c r="A4004" s="11">
        <v>46167</v>
      </c>
      <c r="B4004" t="s">
        <v>58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>
        <v>0</v>
      </c>
      <c r="N4004">
        <v>100</v>
      </c>
      <c r="O4004">
        <v>20.183486238532112</v>
      </c>
    </row>
    <row r="4005" spans="1:15" hidden="1" x14ac:dyDescent="0.25">
      <c r="A4005" s="11">
        <v>46127</v>
      </c>
      <c r="B4005" t="s">
        <v>54</v>
      </c>
      <c r="C4005" t="s">
        <v>48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v>0</v>
      </c>
      <c r="J4005" s="3">
        <v>0</v>
      </c>
      <c r="K4005" s="3">
        <v>0</v>
      </c>
      <c r="L4005" s="3" t="str">
        <f>IF(K4005&lt;-5,"CRÍTICO",IF(K4005&lt;0,"ATENÇÃO",IF(K4005&lt;=5,"OPORTUNO","MUITO BOM")))</f>
        <v>OPORTUNO</v>
      </c>
      <c r="M4005">
        <v>0</v>
      </c>
      <c r="N4005">
        <v>100</v>
      </c>
      <c r="O4005">
        <v>28.921568627450981</v>
      </c>
    </row>
    <row r="4006" spans="1:15" hidden="1" x14ac:dyDescent="0.25">
      <c r="A4006" s="11">
        <v>46127</v>
      </c>
      <c r="B4006" t="s">
        <v>37</v>
      </c>
      <c r="C4006" t="s">
        <v>32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>E4006+G4006+H4006</f>
        <v>42</v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>32</v>
      </c>
      <c r="K4006" s="3">
        <f>I4006-J4006</f>
        <v>10</v>
      </c>
      <c r="L4006" s="3" t="str">
        <f>IF(K4006&lt;-5,"CRÍTICO",IF(K4006&lt;0,"ATENÇÃO",IF(K4006&lt;=5,"OPORTUNO","MUITO BOM")))</f>
        <v>MUITO BOM</v>
      </c>
      <c r="M4006">
        <v>37</v>
      </c>
      <c r="N4006">
        <v>99.57</v>
      </c>
      <c r="O4006">
        <v>30.635838150289018</v>
      </c>
    </row>
    <row r="4007" spans="1:15" hidden="1" x14ac:dyDescent="0.25">
      <c r="A4007" s="11">
        <v>46127</v>
      </c>
      <c r="B4007" t="s">
        <v>38</v>
      </c>
      <c r="C4007" t="s">
        <v>32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v>0</v>
      </c>
      <c r="J4007" s="3">
        <v>0</v>
      </c>
      <c r="K4007" s="3">
        <v>0</v>
      </c>
      <c r="L4007" s="3" t="str">
        <f>IF(K4007&lt;-5,"CRÍTICO",IF(K4007&lt;0,"ATENÇÃO",IF(K4007&lt;=5,"OPORTUNO","MUITO BOM")))</f>
        <v>OPORTUNO</v>
      </c>
      <c r="M4007">
        <v>0</v>
      </c>
      <c r="N4007">
        <v>95.65</v>
      </c>
      <c r="O4007">
        <v>32.432432432432442</v>
      </c>
    </row>
    <row r="4008" spans="1:15" hidden="1" x14ac:dyDescent="0.25">
      <c r="A4008" s="11">
        <v>46127</v>
      </c>
      <c r="B4008" t="s">
        <v>55</v>
      </c>
      <c r="C4008" t="s">
        <v>48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>E4008+G4008+H4008</f>
        <v>24</v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>26</v>
      </c>
      <c r="K4008" s="3">
        <f>I4008-J4008</f>
        <v>-2</v>
      </c>
      <c r="L4008" s="3" t="str">
        <f>IF(K4008&lt;-5,"CRÍTICO",IF(K4008&lt;0,"ATENÇÃO",IF(K4008&lt;=5,"OPORTUNO","MUITO BOM")))</f>
        <v>ATENÇÃO</v>
      </c>
      <c r="M4008">
        <v>23</v>
      </c>
      <c r="N4008">
        <v>98.81</v>
      </c>
      <c r="O4008">
        <v>26.256983240223459</v>
      </c>
    </row>
    <row r="4009" spans="1:15" hidden="1" x14ac:dyDescent="0.25">
      <c r="A4009" s="11">
        <v>46127</v>
      </c>
      <c r="B4009" t="s">
        <v>39</v>
      </c>
      <c r="C4009" t="s">
        <v>32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v>0</v>
      </c>
      <c r="J4009" s="3">
        <v>0</v>
      </c>
      <c r="K4009" s="3">
        <v>0</v>
      </c>
      <c r="L4009" s="3" t="str">
        <f>IF(K4009&lt;-5,"CRÍTICO",IF(K4009&lt;0,"ATENÇÃO",IF(K4009&lt;=5,"OPORTUNO","MUITO BOM")))</f>
        <v>OPORTUNO</v>
      </c>
      <c r="M4009">
        <v>0</v>
      </c>
      <c r="N4009">
        <v>0</v>
      </c>
      <c r="O4009">
        <v>0</v>
      </c>
    </row>
    <row r="4010" spans="1:15" hidden="1" x14ac:dyDescent="0.25">
      <c r="A4010" s="11">
        <v>46127</v>
      </c>
      <c r="B4010" t="s">
        <v>25</v>
      </c>
      <c r="C4010" t="s">
        <v>26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>E4010+G4010+H4010</f>
        <v>21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18</v>
      </c>
      <c r="K4010" s="3">
        <f>I4010-J4010</f>
        <v>3</v>
      </c>
      <c r="L4010" s="3" t="str">
        <f>IF(K4010&lt;-5,"CRÍTICO",IF(K4010&lt;0,"ATENÇÃO",IF(K4010&lt;=5,"OPORTUNO","MUITO BOM")))</f>
        <v>OPORTUNO</v>
      </c>
      <c r="M4010">
        <v>23</v>
      </c>
      <c r="N4010">
        <v>97.17</v>
      </c>
      <c r="O4010">
        <v>28.81844380403458</v>
      </c>
    </row>
    <row r="4011" spans="1:15" hidden="1" x14ac:dyDescent="0.25">
      <c r="A4011" s="11">
        <v>46127</v>
      </c>
      <c r="B4011" t="s">
        <v>40</v>
      </c>
      <c r="C4011" t="s">
        <v>32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v>0</v>
      </c>
      <c r="J4011" s="3">
        <v>0</v>
      </c>
      <c r="K4011" s="3">
        <v>0</v>
      </c>
      <c r="L4011" s="3" t="str">
        <f>IF(K4011&lt;-5,"CRÍTICO",IF(K4011&lt;0,"ATENÇÃO",IF(K4011&lt;=5,"OPORTUNO","MUITO BOM")))</f>
        <v>OPORTUNO</v>
      </c>
      <c r="M4011">
        <v>44</v>
      </c>
      <c r="N4011">
        <v>96.81</v>
      </c>
      <c r="O4011">
        <v>48.018648018648022</v>
      </c>
    </row>
    <row r="4012" spans="1:15" hidden="1" x14ac:dyDescent="0.25">
      <c r="A4012" s="11">
        <v>46127</v>
      </c>
      <c r="B4012" t="s">
        <v>27</v>
      </c>
      <c r="C4012" t="s">
        <v>26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>E4012+G4012+H4012</f>
        <v>13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18</v>
      </c>
      <c r="K4012" s="3">
        <f>I4012-J4012</f>
        <v>-5</v>
      </c>
      <c r="L4012" s="3" t="str">
        <f>IF(K4012&lt;-5,"CRÍTICO",IF(K4012&lt;0,"ATENÇÃO",IF(K4012&lt;=5,"OPORTUNO","MUITO BOM")))</f>
        <v>ATENÇÃO</v>
      </c>
      <c r="M4012">
        <v>12</v>
      </c>
      <c r="N4012">
        <v>98.15</v>
      </c>
      <c r="O4012">
        <v>27.1551724137931</v>
      </c>
    </row>
    <row r="4013" spans="1:15" hidden="1" x14ac:dyDescent="0.25">
      <c r="A4013" s="11">
        <v>46127</v>
      </c>
      <c r="B4013" t="s">
        <v>41</v>
      </c>
      <c r="C4013" t="s">
        <v>32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>E4013+G4013+H4013</f>
        <v>28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32</v>
      </c>
      <c r="K4013" s="3">
        <f>I4013-J4013</f>
        <v>-4</v>
      </c>
      <c r="L4013" s="3" t="str">
        <f>IF(K4013&lt;-5,"CRÍTICO",IF(K4013&lt;0,"ATENÇÃO",IF(K4013&lt;=5,"OPORTUNO","MUITO BOM")))</f>
        <v>ATENÇÃO</v>
      </c>
      <c r="M4013">
        <v>25</v>
      </c>
      <c r="N4013">
        <v>99.15</v>
      </c>
      <c r="O4013">
        <v>27.586206896551719</v>
      </c>
    </row>
    <row r="4014" spans="1:15" hidden="1" x14ac:dyDescent="0.25">
      <c r="A4014" s="11">
        <v>46127</v>
      </c>
      <c r="B4014" t="s">
        <v>56</v>
      </c>
      <c r="C4014" t="s">
        <v>48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>E4014+G4014+H4014</f>
        <v>27</v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>26</v>
      </c>
      <c r="K4014" s="3">
        <f>I4014-J4014</f>
        <v>1</v>
      </c>
      <c r="L4014" s="3" t="str">
        <f>IF(K4014&lt;-5,"CRÍTICO",IF(K4014&lt;0,"ATENÇÃO",IF(K4014&lt;=5,"OPORTUNO","MUITO BOM")))</f>
        <v>OPORTUNO</v>
      </c>
      <c r="M4014">
        <v>32</v>
      </c>
      <c r="N4014">
        <v>99.17</v>
      </c>
      <c r="O4014">
        <v>29.75206611570248</v>
      </c>
    </row>
    <row r="4015" spans="1:15" hidden="1" x14ac:dyDescent="0.25">
      <c r="A4015" s="11">
        <v>46127</v>
      </c>
      <c r="B4015" t="s">
        <v>57</v>
      </c>
      <c r="C4015" t="s">
        <v>48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v>0</v>
      </c>
      <c r="J4015" s="3">
        <v>0</v>
      </c>
      <c r="K4015" s="3">
        <v>0</v>
      </c>
      <c r="L4015" s="3" t="str">
        <f>IF(K4015&lt;-5,"CRÍTICO",IF(K4015&lt;0,"ATENÇÃO",IF(K4015&lt;=5,"OPORTUNO","MUITO BOM")))</f>
        <v>OPORTUNO</v>
      </c>
      <c r="M4015">
        <v>0</v>
      </c>
      <c r="N4015">
        <v>98.73</v>
      </c>
      <c r="O4015">
        <v>28.961748633879779</v>
      </c>
    </row>
    <row r="4016" spans="1:15" hidden="1" x14ac:dyDescent="0.25">
      <c r="A4016" s="11">
        <v>46127</v>
      </c>
      <c r="B4016" t="s">
        <v>42</v>
      </c>
      <c r="C4016" t="s">
        <v>32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>E4016+G4016+H4016</f>
        <v>33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32</v>
      </c>
      <c r="K4016" s="3">
        <f>I4016-J4016</f>
        <v>1</v>
      </c>
      <c r="L4016" s="3" t="str">
        <f>IF(K4016&lt;-5,"CRÍTICO",IF(K4016&lt;0,"ATENÇÃO",IF(K4016&lt;=5,"OPORTUNO","MUITO BOM")))</f>
        <v>OPORTUNO</v>
      </c>
      <c r="M4016">
        <v>27</v>
      </c>
      <c r="N4016">
        <v>88.68</v>
      </c>
      <c r="O4016">
        <v>22.03389830508474</v>
      </c>
    </row>
    <row r="4017" spans="1:15" hidden="1" x14ac:dyDescent="0.25">
      <c r="A4017" s="11">
        <v>46127</v>
      </c>
      <c r="B4017" t="s">
        <v>62</v>
      </c>
      <c r="C4017" t="s">
        <v>23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>E4017+G4017+H4017</f>
        <v>20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21</v>
      </c>
      <c r="K4017" s="3">
        <f>I4017-J4017</f>
        <v>-1</v>
      </c>
      <c r="L4017" s="3" t="str">
        <f>IF(K4017&lt;-5,"CRÍTICO",IF(K4017&lt;0,"ATENÇÃO",IF(K4017&lt;=5,"OPORTUNO","MUITO BOM")))</f>
        <v>ATENÇÃO</v>
      </c>
      <c r="M4017">
        <v>17</v>
      </c>
      <c r="N4017">
        <v>97.37</v>
      </c>
      <c r="O4017">
        <v>25.76530612244898</v>
      </c>
    </row>
    <row r="4018" spans="1:15" hidden="1" x14ac:dyDescent="0.25">
      <c r="A4018" s="11">
        <v>46127</v>
      </c>
      <c r="B4018" t="s">
        <v>19</v>
      </c>
      <c r="C4018" t="s">
        <v>16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>E4018+G4018+H4018</f>
        <v>18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9</v>
      </c>
      <c r="K4018" s="3">
        <f>I4018-J4018</f>
        <v>9</v>
      </c>
      <c r="L4018" s="3" t="str">
        <f>IF(K4018&lt;-5,"CRÍTICO",IF(K4018&lt;0,"ATENÇÃO",IF(K4018&lt;=5,"OPORTUNO","MUITO BOM")))</f>
        <v>MUITO BOM</v>
      </c>
      <c r="M4018">
        <v>6</v>
      </c>
      <c r="N4018">
        <v>100</v>
      </c>
      <c r="O4018">
        <v>25</v>
      </c>
    </row>
    <row r="4019" spans="1:15" hidden="1" x14ac:dyDescent="0.25">
      <c r="A4019" s="11">
        <v>46127</v>
      </c>
      <c r="B4019" t="s">
        <v>43</v>
      </c>
      <c r="C4019" t="s">
        <v>32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>E4019+G4019+H4019</f>
        <v>28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-4</v>
      </c>
      <c r="L4019" s="3" t="str">
        <f>IF(K4019&lt;-5,"CRÍTICO",IF(K4019&lt;0,"ATENÇÃO",IF(K4019&lt;=5,"OPORTUNO","MUITO BOM")))</f>
        <v>ATENÇÃO</v>
      </c>
      <c r="M4019">
        <v>39</v>
      </c>
      <c r="N4019">
        <v>100</v>
      </c>
      <c r="O4019">
        <v>23.9870340356564</v>
      </c>
    </row>
    <row r="4020" spans="1:15" hidden="1" x14ac:dyDescent="0.25">
      <c r="A4020" s="11">
        <v>46127</v>
      </c>
      <c r="B4020" t="s">
        <v>44</v>
      </c>
      <c r="C4020" t="s">
        <v>32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>E4020+G4020+H4020</f>
        <v>34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32</v>
      </c>
      <c r="K4020" s="3">
        <f>I4020-J4020</f>
        <v>2</v>
      </c>
      <c r="L4020" s="3" t="str">
        <f>IF(K4020&lt;-5,"CRÍTICO",IF(K4020&lt;0,"ATENÇÃO",IF(K4020&lt;=5,"OPORTUNO","MUITO BOM")))</f>
        <v>OPORTUNO</v>
      </c>
      <c r="M4020">
        <v>51</v>
      </c>
      <c r="N4020">
        <v>95.49</v>
      </c>
      <c r="O4020">
        <v>28.370221327967808</v>
      </c>
    </row>
    <row r="4021" spans="1:15" hidden="1" x14ac:dyDescent="0.25">
      <c r="A4021" s="11">
        <v>46127</v>
      </c>
      <c r="B4021" t="s">
        <v>20</v>
      </c>
      <c r="C4021" t="s">
        <v>16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>E4021+G4021+H4021</f>
        <v>19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9</v>
      </c>
      <c r="K4021" s="3">
        <f>I4021-J4021</f>
        <v>10</v>
      </c>
      <c r="L4021" s="3" t="str">
        <f>IF(K4021&lt;-5,"CRÍTICO",IF(K4021&lt;0,"ATENÇÃO",IF(K4021&lt;=5,"OPORTUNO","MUITO BOM")))</f>
        <v>MUITO BOM</v>
      </c>
      <c r="M4021">
        <v>15</v>
      </c>
      <c r="N4021">
        <v>100</v>
      </c>
      <c r="O4021">
        <v>23.77622377622378</v>
      </c>
    </row>
    <row r="4022" spans="1:15" hidden="1" x14ac:dyDescent="0.25">
      <c r="A4022" s="11">
        <v>46127</v>
      </c>
      <c r="B4022" t="s">
        <v>28</v>
      </c>
      <c r="C4022" t="s">
        <v>26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>E4022+G4022+H4022</f>
        <v>22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18</v>
      </c>
      <c r="K4022" s="3">
        <f>I4022-J4022</f>
        <v>4</v>
      </c>
      <c r="L4022" s="3" t="str">
        <f>IF(K4022&lt;-5,"CRÍTICO",IF(K4022&lt;0,"ATENÇÃO",IF(K4022&lt;=5,"OPORTUNO","MUITO BOM")))</f>
        <v>OPORTUNO</v>
      </c>
      <c r="M4022">
        <v>18</v>
      </c>
      <c r="N4022">
        <v>96.15</v>
      </c>
      <c r="O4022">
        <v>24.045801526717561</v>
      </c>
    </row>
    <row r="4023" spans="1:15" hidden="1" x14ac:dyDescent="0.25">
      <c r="A4023" s="11">
        <v>46127</v>
      </c>
      <c r="B4023" t="s">
        <v>58</v>
      </c>
      <c r="C4023" t="s">
        <v>48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>E4023+G4023+H4023</f>
        <v>25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26</v>
      </c>
      <c r="K4023" s="3">
        <f>I4023-J4023</f>
        <v>-1</v>
      </c>
      <c r="L4023" s="3" t="str">
        <f>IF(K4023&lt;-5,"CRÍTICO",IF(K4023&lt;0,"ATENÇÃO",IF(K4023&lt;=5,"OPORTUNO","MUITO BOM")))</f>
        <v>ATENÇÃO</v>
      </c>
      <c r="M4023">
        <v>22</v>
      </c>
      <c r="N4023">
        <v>99.02</v>
      </c>
      <c r="O4023">
        <v>34.797297297297298</v>
      </c>
    </row>
    <row r="4024" spans="1:15" hidden="1" x14ac:dyDescent="0.25">
      <c r="A4024" s="11">
        <v>46127</v>
      </c>
      <c r="B4024" t="s">
        <v>29</v>
      </c>
      <c r="C4024" t="s">
        <v>26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>E4024+G4024+H4024</f>
        <v>26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8</v>
      </c>
      <c r="L4024" s="3" t="str">
        <f>IF(K4024&lt;-5,"CRÍTICO",IF(K4024&lt;0,"ATENÇÃO",IF(K4024&lt;=5,"OPORTUNO","MUITO BOM")))</f>
        <v>MUITO BOM</v>
      </c>
      <c r="M4024">
        <v>21</v>
      </c>
      <c r="N4024">
        <v>98.84</v>
      </c>
      <c r="O4024">
        <v>31.868131868131869</v>
      </c>
    </row>
    <row r="4025" spans="1:15" hidden="1" x14ac:dyDescent="0.25">
      <c r="A4025" s="11">
        <v>46127</v>
      </c>
      <c r="B4025" t="s">
        <v>30</v>
      </c>
      <c r="C4025" t="s">
        <v>26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>E4025+G4025+H4025</f>
        <v>22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18</v>
      </c>
      <c r="K4025" s="3">
        <f>I4025-J4025</f>
        <v>4</v>
      </c>
      <c r="L4025" s="3" t="str">
        <f>IF(K4025&lt;-5,"CRÍTICO",IF(K4025&lt;0,"ATENÇÃO",IF(K4025&lt;=5,"OPORTUNO","MUITO BOM")))</f>
        <v>OPORTUNO</v>
      </c>
      <c r="M4025">
        <v>21</v>
      </c>
      <c r="N4025">
        <v>100</v>
      </c>
      <c r="O4025">
        <v>34.666666666666671</v>
      </c>
    </row>
    <row r="4026" spans="1:15" hidden="1" x14ac:dyDescent="0.25">
      <c r="A4026" s="11">
        <v>46127</v>
      </c>
      <c r="B4026" t="s">
        <v>21</v>
      </c>
      <c r="C4026" t="s">
        <v>16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>E4026+G4026+H4026</f>
        <v>11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9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>
        <v>10</v>
      </c>
      <c r="N4026">
        <v>94.12</v>
      </c>
      <c r="O4026">
        <v>32.799999999999997</v>
      </c>
    </row>
    <row r="4027" spans="1:15" hidden="1" x14ac:dyDescent="0.25">
      <c r="A4027" s="11">
        <v>46127</v>
      </c>
      <c r="B4027" t="s">
        <v>63</v>
      </c>
      <c r="C4027" t="s">
        <v>23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>E4027+G4027+H4027</f>
        <v>23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21</v>
      </c>
      <c r="K4027" s="3">
        <f>I4027-J4027</f>
        <v>2</v>
      </c>
      <c r="L4027" s="3" t="str">
        <f>IF(K4027&lt;-5,"CRÍTICO",IF(K4027&lt;0,"ATENÇÃO",IF(K4027&lt;=5,"OPORTUNO","MUITO BOM")))</f>
        <v>OPORTUNO</v>
      </c>
      <c r="M4027">
        <v>21</v>
      </c>
      <c r="N4027">
        <v>98.32</v>
      </c>
      <c r="O4027">
        <v>26.858513189448441</v>
      </c>
    </row>
    <row r="4028" spans="1:15" hidden="1" x14ac:dyDescent="0.25">
      <c r="A4028" s="11">
        <v>46127</v>
      </c>
      <c r="B4028" t="s">
        <v>45</v>
      </c>
      <c r="C4028" t="s">
        <v>32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>E4028+G4028+H4028</f>
        <v>24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32</v>
      </c>
      <c r="K4028" s="3">
        <f>I4028-J4028</f>
        <v>-8</v>
      </c>
      <c r="L4028" s="3" t="str">
        <f>IF(K4028&lt;-5,"CRÍTICO",IF(K4028&lt;0,"ATENÇÃO",IF(K4028&lt;=5,"OPORTUNO","MUITO BOM")))</f>
        <v>CRÍTICO</v>
      </c>
      <c r="M4028">
        <v>22</v>
      </c>
      <c r="N4028">
        <v>100</v>
      </c>
      <c r="O4028">
        <v>31.135531135531139</v>
      </c>
    </row>
    <row r="4029" spans="1:15" hidden="1" x14ac:dyDescent="0.25">
      <c r="A4029" s="11">
        <v>46127</v>
      </c>
      <c r="B4029" t="s">
        <v>64</v>
      </c>
      <c r="C4029" t="s">
        <v>23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>E4029+G4029+H4029</f>
        <v>12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21</v>
      </c>
      <c r="K4029" s="3">
        <f>I4029-J4029</f>
        <v>-9</v>
      </c>
      <c r="L4029" s="3" t="str">
        <f>IF(K4029&lt;-5,"CRÍTICO",IF(K4029&lt;0,"ATENÇÃO",IF(K4029&lt;=5,"OPORTUNO","MUITO BOM")))</f>
        <v>CRÍTICO</v>
      </c>
      <c r="M4029">
        <v>11</v>
      </c>
      <c r="N4029">
        <v>100</v>
      </c>
      <c r="O4029">
        <v>26.36986301369863</v>
      </c>
    </row>
    <row r="4030" spans="1:15" hidden="1" x14ac:dyDescent="0.25">
      <c r="A4030" s="11">
        <v>46127</v>
      </c>
      <c r="B4030" t="s">
        <v>46</v>
      </c>
      <c r="C4030" t="s">
        <v>32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>E4030+G4030+H4030</f>
        <v>33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32</v>
      </c>
      <c r="K4030" s="3">
        <f>I4030-J4030</f>
        <v>1</v>
      </c>
      <c r="L4030" s="3" t="str">
        <f>IF(K4030&lt;-5,"CRÍTICO",IF(K4030&lt;0,"ATENÇÃO",IF(K4030&lt;=5,"OPORTUNO","MUITO BOM")))</f>
        <v>OPORTUNO</v>
      </c>
      <c r="M4030">
        <v>28</v>
      </c>
      <c r="N4030">
        <v>99.21</v>
      </c>
      <c r="O4030">
        <v>25.188916876574311</v>
      </c>
    </row>
    <row r="4031" spans="1:15" hidden="1" x14ac:dyDescent="0.25">
      <c r="A4031" s="11">
        <v>46128</v>
      </c>
      <c r="B4031" t="s">
        <v>47</v>
      </c>
      <c r="C4031" t="s">
        <v>48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>E4031+G4031+H4031</f>
        <v>13</v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>23</v>
      </c>
      <c r="K4031" s="3">
        <f>I4031-J4031</f>
        <v>-10</v>
      </c>
      <c r="L4031" s="3" t="str">
        <f>IF(K4031&lt;-5,"CRÍTICO",IF(K4031&lt;0,"ATENÇÃO",IF(K4031&lt;=5,"OPORTUNO","MUITO BOM")))</f>
        <v>CRÍTICO</v>
      </c>
      <c r="M4031">
        <v>11</v>
      </c>
      <c r="N4031">
        <v>100</v>
      </c>
      <c r="O4031">
        <v>32.764505119453922</v>
      </c>
    </row>
    <row r="4032" spans="1:15" hidden="1" x14ac:dyDescent="0.25">
      <c r="A4032" s="11">
        <v>46128</v>
      </c>
      <c r="B4032" t="s">
        <v>31</v>
      </c>
      <c r="C4032" t="s">
        <v>32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v>0</v>
      </c>
      <c r="J4032" s="3">
        <v>0</v>
      </c>
      <c r="K4032" s="3">
        <v>0</v>
      </c>
      <c r="L4032" s="3" t="str">
        <f>IF(K4032&lt;-5,"CRÍTICO",IF(K4032&lt;0,"ATENÇÃO",IF(K4032&lt;=5,"OPORTUNO","MUITO BOM")))</f>
        <v>OPORTUNO</v>
      </c>
      <c r="M4032">
        <v>21</v>
      </c>
      <c r="N4032">
        <v>98.66</v>
      </c>
      <c r="O4032">
        <v>35.416666666666671</v>
      </c>
    </row>
    <row r="4033" spans="1:15" hidden="1" x14ac:dyDescent="0.25">
      <c r="A4033" s="11">
        <v>46128</v>
      </c>
      <c r="B4033" t="s">
        <v>59</v>
      </c>
      <c r="C4033" t="s">
        <v>23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>E4033+G4033+H4033</f>
        <v>22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19</v>
      </c>
      <c r="K4033" s="3">
        <f>I4033-J4033</f>
        <v>3</v>
      </c>
      <c r="L4033" s="3" t="str">
        <f>IF(K4033&lt;-5,"CRÍTICO",IF(K4033&lt;0,"ATENÇÃO",IF(K4033&lt;=5,"OPORTUNO","MUITO BOM")))</f>
        <v>OPORTUNO</v>
      </c>
      <c r="M4033">
        <v>24</v>
      </c>
      <c r="N4033">
        <v>99.32</v>
      </c>
      <c r="O4033">
        <v>30.648330058939099</v>
      </c>
    </row>
    <row r="4034" spans="1:15" hidden="1" x14ac:dyDescent="0.25">
      <c r="A4034" s="11">
        <v>46128</v>
      </c>
      <c r="B4034" t="s">
        <v>33</v>
      </c>
      <c r="C4034" t="s">
        <v>32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>E4034+G4034+H4034</f>
        <v>16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29</v>
      </c>
      <c r="K4034" s="3">
        <f>I4034-J4034</f>
        <v>-13</v>
      </c>
      <c r="L4034" s="3" t="str">
        <f>IF(K4034&lt;-5,"CRÍTICO",IF(K4034&lt;0,"ATENÇÃO",IF(K4034&lt;=5,"OPORTUNO","MUITO BOM")))</f>
        <v>CRÍTICO</v>
      </c>
      <c r="M4034">
        <v>23</v>
      </c>
      <c r="N4034">
        <v>100</v>
      </c>
      <c r="O4034">
        <v>27.803738317757009</v>
      </c>
    </row>
    <row r="4035" spans="1:15" hidden="1" x14ac:dyDescent="0.25">
      <c r="A4035" s="11">
        <v>46128</v>
      </c>
      <c r="B4035" t="s">
        <v>15</v>
      </c>
      <c r="C4035" t="s">
        <v>16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>E4035+G4035+H4035</f>
        <v>27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8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>
        <v>25</v>
      </c>
      <c r="N4035">
        <v>96.74</v>
      </c>
      <c r="O4035">
        <v>28.67647058823529</v>
      </c>
    </row>
    <row r="4036" spans="1:15" hidden="1" x14ac:dyDescent="0.25">
      <c r="A4036" s="11">
        <v>46128</v>
      </c>
      <c r="B4036" t="s">
        <v>49</v>
      </c>
      <c r="C4036" t="s">
        <v>48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>E4036+G4036+H4036</f>
        <v>42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19</v>
      </c>
      <c r="L4036" s="3" t="str">
        <f>IF(K4036&lt;-5,"CRÍTICO",IF(K4036&lt;0,"ATENÇÃO",IF(K4036&lt;=5,"OPORTUNO","MUITO BOM")))</f>
        <v>MUITO BOM</v>
      </c>
      <c r="M4036">
        <v>43</v>
      </c>
      <c r="N4036">
        <v>98.82</v>
      </c>
      <c r="O4036">
        <v>30.741410488245929</v>
      </c>
    </row>
    <row r="4037" spans="1:15" hidden="1" x14ac:dyDescent="0.25">
      <c r="A4037" s="11">
        <v>46128</v>
      </c>
      <c r="B4037" t="s">
        <v>50</v>
      </c>
      <c r="C4037" t="s">
        <v>48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>E4037+G4037+H4037</f>
        <v>24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23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>
        <v>26</v>
      </c>
      <c r="N4037">
        <v>98.2</v>
      </c>
      <c r="O4037">
        <v>27.170868347338931</v>
      </c>
    </row>
    <row r="4038" spans="1:15" hidden="1" x14ac:dyDescent="0.25">
      <c r="A4038" s="11">
        <v>46128</v>
      </c>
      <c r="B4038" t="s">
        <v>17</v>
      </c>
      <c r="C4038" t="s">
        <v>16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>E4038+G4038+H4038</f>
        <v>9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8</v>
      </c>
      <c r="K4038" s="3">
        <f>I4038-J4038</f>
        <v>1</v>
      </c>
      <c r="L4038" s="3" t="str">
        <f>IF(K4038&lt;-5,"CRÍTICO",IF(K4038&lt;0,"ATENÇÃO",IF(K4038&lt;=5,"OPORTUNO","MUITO BOM")))</f>
        <v>OPORTUNO</v>
      </c>
      <c r="M4038">
        <v>7</v>
      </c>
      <c r="N4038">
        <v>100</v>
      </c>
      <c r="O4038">
        <v>23.134328358208951</v>
      </c>
    </row>
    <row r="4039" spans="1:15" hidden="1" x14ac:dyDescent="0.25">
      <c r="A4039" s="11">
        <v>46128</v>
      </c>
      <c r="B4039" t="s">
        <v>60</v>
      </c>
      <c r="C4039" t="s">
        <v>23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>E4039+G4039+H4039</f>
        <v>11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19</v>
      </c>
      <c r="K4039" s="3">
        <f>I4039-J4039</f>
        <v>-8</v>
      </c>
      <c r="L4039" s="3" t="str">
        <f>IF(K4039&lt;-5,"CRÍTICO",IF(K4039&lt;0,"ATENÇÃO",IF(K4039&lt;=5,"OPORTUNO","MUITO BOM")))</f>
        <v>CRÍTICO</v>
      </c>
      <c r="M4039">
        <v>11</v>
      </c>
      <c r="N4039">
        <v>96.3</v>
      </c>
      <c r="O4039">
        <v>32.219570405727922</v>
      </c>
    </row>
    <row r="4040" spans="1:15" hidden="1" x14ac:dyDescent="0.25">
      <c r="A4040" s="11">
        <v>46128</v>
      </c>
      <c r="B4040" t="s">
        <v>34</v>
      </c>
      <c r="C4040" t="s">
        <v>32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>E4040+G4040+H4040</f>
        <v>26</v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>29</v>
      </c>
      <c r="K4040" s="3">
        <f>I4040-J4040</f>
        <v>-3</v>
      </c>
      <c r="L4040" s="3" t="str">
        <f>IF(K4040&lt;-5,"CRÍTICO",IF(K4040&lt;0,"ATENÇÃO",IF(K4040&lt;=5,"OPORTUNO","MUITO BOM")))</f>
        <v>ATENÇÃO</v>
      </c>
      <c r="M4040">
        <v>26</v>
      </c>
      <c r="N4040">
        <v>93.75</v>
      </c>
      <c r="O4040">
        <v>26.819923371647509</v>
      </c>
    </row>
    <row r="4041" spans="1:15" hidden="1" x14ac:dyDescent="0.25">
      <c r="A4041" s="11">
        <v>46128</v>
      </c>
      <c r="B4041" t="s">
        <v>51</v>
      </c>
      <c r="C4041" t="s">
        <v>48</v>
      </c>
      <c r="D4041">
        <v>35</v>
      </c>
      <c r="E4041">
        <v>25</v>
      </c>
      <c r="F4041">
        <v>15.05</v>
      </c>
      <c r="G4041">
        <v>0</v>
      </c>
      <c r="H4041">
        <v>0</v>
      </c>
      <c r="I4041" s="3">
        <v>0</v>
      </c>
      <c r="J4041" s="3">
        <v>0</v>
      </c>
      <c r="K4041" s="3">
        <v>0</v>
      </c>
      <c r="L4041" s="3" t="str">
        <f>IF(K4041&lt;-5,"CRÍTICO",IF(K4041&lt;0,"ATENÇÃO",IF(K4041&lt;=5,"OPORTUNO","MUITO BOM")))</f>
        <v>OPORTUNO</v>
      </c>
      <c r="M4041">
        <v>29</v>
      </c>
      <c r="N4041">
        <v>97.86</v>
      </c>
      <c r="O4041">
        <v>31.018518518518519</v>
      </c>
    </row>
    <row r="4042" spans="1:15" hidden="1" x14ac:dyDescent="0.25">
      <c r="A4042" s="11">
        <v>46128</v>
      </c>
      <c r="B4042" t="s">
        <v>61</v>
      </c>
      <c r="C4042" t="s">
        <v>23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>E4042+G4042+H4042</f>
        <v>22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19</v>
      </c>
      <c r="K4042" s="3">
        <f>I4042-J4042</f>
        <v>3</v>
      </c>
      <c r="L4042" s="3" t="str">
        <f>IF(K4042&lt;-5,"CRÍTICO",IF(K4042&lt;0,"ATENÇÃO",IF(K4042&lt;=5,"OPORTUNO","MUITO BOM")))</f>
        <v>OPORTUNO</v>
      </c>
      <c r="M4042">
        <v>23</v>
      </c>
      <c r="N4042">
        <v>100</v>
      </c>
      <c r="O4042">
        <v>36.594202898550733</v>
      </c>
    </row>
    <row r="4043" spans="1:15" hidden="1" x14ac:dyDescent="0.25">
      <c r="A4043" s="11">
        <v>46128</v>
      </c>
      <c r="B4043" t="s">
        <v>35</v>
      </c>
      <c r="C4043" t="s">
        <v>32</v>
      </c>
      <c r="D4043">
        <v>8</v>
      </c>
      <c r="E4043">
        <v>8</v>
      </c>
      <c r="F4043">
        <v>35.44</v>
      </c>
      <c r="G4043">
        <v>0</v>
      </c>
      <c r="H4043">
        <v>0</v>
      </c>
      <c r="I4043" s="3">
        <v>0</v>
      </c>
      <c r="J4043" s="3">
        <v>0</v>
      </c>
      <c r="K4043" s="3">
        <v>0</v>
      </c>
      <c r="L4043" s="3" t="str">
        <f>IF(K4043&lt;-5,"CRÍTICO",IF(K4043&lt;0,"ATENÇÃO",IF(K4043&lt;=5,"OPORTUNO","MUITO BOM")))</f>
        <v>OPORTUNO</v>
      </c>
      <c r="M4043">
        <v>12</v>
      </c>
      <c r="N4043">
        <v>100</v>
      </c>
      <c r="O4043">
        <v>38.653846153846153</v>
      </c>
    </row>
    <row r="4044" spans="1:15" hidden="1" x14ac:dyDescent="0.25">
      <c r="A4044" s="11">
        <v>46128</v>
      </c>
      <c r="B4044" t="s">
        <v>18</v>
      </c>
      <c r="C4044" t="s">
        <v>16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>E4044+G4044+H4044</f>
        <v>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8</v>
      </c>
      <c r="K4044" s="3">
        <f>I4044-J4044</f>
        <v>-3</v>
      </c>
      <c r="L4044" s="3" t="str">
        <f>IF(K4044&lt;-5,"CRÍTICO",IF(K4044&lt;0,"ATENÇÃO",IF(K4044&lt;=5,"OPORTUNO","MUITO BOM")))</f>
        <v>ATENÇÃO</v>
      </c>
      <c r="M4044">
        <v>3</v>
      </c>
      <c r="N4044">
        <v>100</v>
      </c>
      <c r="O4044">
        <v>27.368421052631579</v>
      </c>
    </row>
    <row r="4045" spans="1:15" hidden="1" x14ac:dyDescent="0.25">
      <c r="A4045" s="11">
        <v>46128</v>
      </c>
      <c r="B4045" t="s">
        <v>52</v>
      </c>
      <c r="C4045" t="s">
        <v>48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>E4045+G4045+H4045</f>
        <v>25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23</v>
      </c>
      <c r="K4045" s="3">
        <f>I4045-J4045</f>
        <v>2</v>
      </c>
      <c r="L4045" s="3" t="str">
        <f>IF(K4045&lt;-5,"CRÍTICO",IF(K4045&lt;0,"ATENÇÃO",IF(K4045&lt;=5,"OPORTUNO","MUITO BOM")))</f>
        <v>OPORTUNO</v>
      </c>
      <c r="M4045">
        <v>24</v>
      </c>
      <c r="N4045">
        <v>97.83</v>
      </c>
      <c r="O4045">
        <v>28.35164835164835</v>
      </c>
    </row>
    <row r="4046" spans="1:15" hidden="1" x14ac:dyDescent="0.25">
      <c r="A4046" s="11">
        <v>46128</v>
      </c>
      <c r="B4046" t="s">
        <v>36</v>
      </c>
      <c r="C4046" t="s">
        <v>32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>E4046+G4046+H4046</f>
        <v>19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29</v>
      </c>
      <c r="K4046" s="3">
        <f>I4046-J4046</f>
        <v>-10</v>
      </c>
      <c r="L4046" s="3" t="str">
        <f>IF(K4046&lt;-5,"CRÍTICO",IF(K4046&lt;0,"ATENÇÃO",IF(K4046&lt;=5,"OPORTUNO","MUITO BOM")))</f>
        <v>CRÍTICO</v>
      </c>
      <c r="M4046">
        <v>22</v>
      </c>
      <c r="N4046">
        <v>99.26</v>
      </c>
      <c r="O4046">
        <v>29.766536964980549</v>
      </c>
    </row>
    <row r="4047" spans="1:15" hidden="1" x14ac:dyDescent="0.25">
      <c r="A4047" s="11">
        <v>46128</v>
      </c>
      <c r="B4047" t="s">
        <v>53</v>
      </c>
      <c r="C4047" t="s">
        <v>48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>E4047+G4047+H4047</f>
        <v>26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23</v>
      </c>
      <c r="K4047" s="3">
        <f>I4047-J4047</f>
        <v>3</v>
      </c>
      <c r="L4047" s="3" t="str">
        <f>IF(K4047&lt;-5,"CRÍTICO",IF(K4047&lt;0,"ATENÇÃO",IF(K4047&lt;=5,"OPORTUNO","MUITO BOM")))</f>
        <v>OPORTUNO</v>
      </c>
      <c r="M4047">
        <v>22</v>
      </c>
      <c r="N4047">
        <v>99.19</v>
      </c>
      <c r="O4047">
        <v>29.462365591397852</v>
      </c>
    </row>
    <row r="4048" spans="1:15" hidden="1" x14ac:dyDescent="0.25">
      <c r="A4048" s="11">
        <v>46140</v>
      </c>
      <c r="B4048" t="s">
        <v>47</v>
      </c>
      <c r="C4048" t="s">
        <v>48</v>
      </c>
      <c r="D4048">
        <v>53</v>
      </c>
      <c r="E4048">
        <v>46</v>
      </c>
      <c r="F4048">
        <v>10.58</v>
      </c>
      <c r="G4048">
        <v>0</v>
      </c>
      <c r="H4048">
        <v>0</v>
      </c>
      <c r="I4048" s="3">
        <f>E4048+G4048+H4048</f>
        <v>46</v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>27</v>
      </c>
      <c r="K4048" s="3">
        <f>I4048-J4048</f>
        <v>19</v>
      </c>
      <c r="L4048" s="3" t="str">
        <f>IF(K4048&lt;-5,"CRÍTICO",IF(K4048&lt;0,"ATENÇÃO",IF(K4048&lt;=5,"OPORTUNO","MUITO BOM")))</f>
        <v>MUITO BOM</v>
      </c>
      <c r="M4048">
        <v>43</v>
      </c>
      <c r="N4048">
        <v>100</v>
      </c>
      <c r="O4048">
        <v>32.764505119453922</v>
      </c>
    </row>
    <row r="4049" spans="1:15" hidden="1" x14ac:dyDescent="0.25">
      <c r="A4049" s="11">
        <v>46128</v>
      </c>
      <c r="B4049" t="s">
        <v>54</v>
      </c>
      <c r="C4049" t="s">
        <v>48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v>0</v>
      </c>
      <c r="J4049" s="3">
        <v>0</v>
      </c>
      <c r="K4049" s="3">
        <v>0</v>
      </c>
      <c r="L4049" s="3" t="str">
        <f>IF(K4049&lt;-5,"CRÍTICO",IF(K4049&lt;0,"ATENÇÃO",IF(K4049&lt;=5,"OPORTUNO","MUITO BOM")))</f>
        <v>OPORTUNO</v>
      </c>
      <c r="M4049">
        <v>0</v>
      </c>
      <c r="N4049">
        <v>100</v>
      </c>
      <c r="O4049">
        <v>28.921568627450981</v>
      </c>
    </row>
    <row r="4050" spans="1:15" hidden="1" x14ac:dyDescent="0.25">
      <c r="A4050" s="11">
        <v>46128</v>
      </c>
      <c r="B4050" t="s">
        <v>37</v>
      </c>
      <c r="C4050" t="s">
        <v>32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>E4050+G4050+H4050</f>
        <v>34</v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>29</v>
      </c>
      <c r="K4050" s="3">
        <f>I4050-J4050</f>
        <v>5</v>
      </c>
      <c r="L4050" s="3" t="str">
        <f>IF(K4050&lt;-5,"CRÍTICO",IF(K4050&lt;0,"ATENÇÃO",IF(K4050&lt;=5,"OPORTUNO","MUITO BOM")))</f>
        <v>OPORTUNO</v>
      </c>
      <c r="M4050">
        <v>31</v>
      </c>
      <c r="N4050">
        <v>99.57</v>
      </c>
      <c r="O4050">
        <v>30.635838150289018</v>
      </c>
    </row>
    <row r="4051" spans="1:15" hidden="1" x14ac:dyDescent="0.25">
      <c r="A4051" s="11">
        <v>46128</v>
      </c>
      <c r="B4051" t="s">
        <v>38</v>
      </c>
      <c r="C4051" t="s">
        <v>32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v>0</v>
      </c>
      <c r="J4051" s="3">
        <v>0</v>
      </c>
      <c r="K4051" s="3">
        <v>0</v>
      </c>
      <c r="L4051" s="3" t="str">
        <f>IF(K4051&lt;-5,"CRÍTICO",IF(K4051&lt;0,"ATENÇÃO",IF(K4051&lt;=5,"OPORTUNO","MUITO BOM")))</f>
        <v>OPORTUNO</v>
      </c>
      <c r="M4051">
        <v>0</v>
      </c>
      <c r="N4051">
        <v>95.65</v>
      </c>
      <c r="O4051">
        <v>32.432432432432442</v>
      </c>
    </row>
    <row r="4052" spans="1:15" hidden="1" x14ac:dyDescent="0.25">
      <c r="A4052" s="11">
        <v>46128</v>
      </c>
      <c r="B4052" t="s">
        <v>55</v>
      </c>
      <c r="C4052" t="s">
        <v>48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>E4052+G4052+H4052</f>
        <v>10</v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>23</v>
      </c>
      <c r="K4052" s="3">
        <f>I4052-J4052</f>
        <v>-13</v>
      </c>
      <c r="L4052" s="3" t="str">
        <f>IF(K4052&lt;-5,"CRÍTICO",IF(K4052&lt;0,"ATENÇÃO",IF(K4052&lt;=5,"OPORTUNO","MUITO BOM")))</f>
        <v>CRÍTICO</v>
      </c>
      <c r="M4052">
        <v>9</v>
      </c>
      <c r="N4052">
        <v>98.81</v>
      </c>
      <c r="O4052">
        <v>26.256983240223459</v>
      </c>
    </row>
    <row r="4053" spans="1:15" hidden="1" x14ac:dyDescent="0.25">
      <c r="A4053" s="11">
        <v>46128</v>
      </c>
      <c r="B4053" t="s">
        <v>39</v>
      </c>
      <c r="C4053" t="s">
        <v>32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v>0</v>
      </c>
      <c r="J4053" s="3">
        <v>0</v>
      </c>
      <c r="K4053" s="3">
        <v>0</v>
      </c>
      <c r="L4053" s="3" t="str">
        <f>IF(K4053&lt;-5,"CRÍTICO",IF(K4053&lt;0,"ATENÇÃO",IF(K4053&lt;=5,"OPORTUNO","MUITO BOM")))</f>
        <v>OPORTUNO</v>
      </c>
      <c r="M4053">
        <v>0</v>
      </c>
      <c r="N4053">
        <v>0</v>
      </c>
      <c r="O4053">
        <v>0</v>
      </c>
    </row>
    <row r="4054" spans="1:15" hidden="1" x14ac:dyDescent="0.25">
      <c r="A4054" s="11">
        <v>46128</v>
      </c>
      <c r="B4054" t="s">
        <v>25</v>
      </c>
      <c r="C4054" t="s">
        <v>26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17</v>
      </c>
      <c r="K4054" s="3">
        <f>I4054-J4054</f>
        <v>2</v>
      </c>
      <c r="L4054" s="3" t="str">
        <f>IF(K4054&lt;-5,"CRÍTICO",IF(K4054&lt;0,"ATENÇÃO",IF(K4054&lt;=5,"OPORTUNO","MUITO BOM")))</f>
        <v>OPORTUNO</v>
      </c>
      <c r="M4054">
        <v>20</v>
      </c>
      <c r="N4054">
        <v>97.17</v>
      </c>
      <c r="O4054">
        <v>28.81844380403458</v>
      </c>
    </row>
    <row r="4055" spans="1:15" hidden="1" x14ac:dyDescent="0.25">
      <c r="A4055" s="11">
        <v>46128</v>
      </c>
      <c r="B4055" t="s">
        <v>40</v>
      </c>
      <c r="C4055" t="s">
        <v>32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v>0</v>
      </c>
      <c r="J4055" s="3">
        <v>0</v>
      </c>
      <c r="K4055" s="3">
        <v>0</v>
      </c>
      <c r="L4055" s="3" t="str">
        <f>IF(K4055&lt;-5,"CRÍTICO",IF(K4055&lt;0,"ATENÇÃO",IF(K4055&lt;=5,"OPORTUNO","MUITO BOM")))</f>
        <v>OPORTUNO</v>
      </c>
      <c r="M4055">
        <v>22</v>
      </c>
      <c r="N4055">
        <v>96.81</v>
      </c>
      <c r="O4055">
        <v>48.018648018648022</v>
      </c>
    </row>
    <row r="4056" spans="1:15" hidden="1" x14ac:dyDescent="0.25">
      <c r="A4056" s="11">
        <v>46128</v>
      </c>
      <c r="B4056" t="s">
        <v>27</v>
      </c>
      <c r="C4056" t="s">
        <v>26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>E4056+G4056+H4056</f>
        <v>13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17</v>
      </c>
      <c r="K4056" s="3">
        <f>I4056-J4056</f>
        <v>-4</v>
      </c>
      <c r="L4056" s="3" t="str">
        <f>IF(K4056&lt;-5,"CRÍTICO",IF(K4056&lt;0,"ATENÇÃO",IF(K4056&lt;=5,"OPORTUNO","MUITO BOM")))</f>
        <v>ATENÇÃO</v>
      </c>
      <c r="M4056">
        <v>11</v>
      </c>
      <c r="N4056">
        <v>98.15</v>
      </c>
      <c r="O4056">
        <v>27.1551724137931</v>
      </c>
    </row>
    <row r="4057" spans="1:15" hidden="1" x14ac:dyDescent="0.25">
      <c r="A4057" s="11">
        <v>46128</v>
      </c>
      <c r="B4057" t="s">
        <v>41</v>
      </c>
      <c r="C4057" t="s">
        <v>32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>E4057+G4057+H4057</f>
        <v>19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29</v>
      </c>
      <c r="K4057" s="3">
        <f>I4057-J4057</f>
        <v>-10</v>
      </c>
      <c r="L4057" s="3" t="str">
        <f>IF(K4057&lt;-5,"CRÍTICO",IF(K4057&lt;0,"ATENÇÃO",IF(K4057&lt;=5,"OPORTUNO","MUITO BOM")))</f>
        <v>CRÍTICO</v>
      </c>
      <c r="M4057">
        <v>19</v>
      </c>
      <c r="N4057">
        <v>99.15</v>
      </c>
      <c r="O4057">
        <v>27.586206896551719</v>
      </c>
    </row>
    <row r="4058" spans="1:15" hidden="1" x14ac:dyDescent="0.25">
      <c r="A4058" s="11">
        <v>46128</v>
      </c>
      <c r="B4058" t="s">
        <v>56</v>
      </c>
      <c r="C4058" t="s">
        <v>48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>E4058+G4058+H4058</f>
        <v>29</v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>23</v>
      </c>
      <c r="K4058" s="3">
        <f>I4058-J4058</f>
        <v>6</v>
      </c>
      <c r="L4058" s="3" t="str">
        <f>IF(K4058&lt;-5,"CRÍTICO",IF(K4058&lt;0,"ATENÇÃO",IF(K4058&lt;=5,"OPORTUNO","MUITO BOM")))</f>
        <v>MUITO BOM</v>
      </c>
      <c r="M4058">
        <v>17</v>
      </c>
      <c r="N4058">
        <v>99.17</v>
      </c>
      <c r="O4058">
        <v>29.75206611570248</v>
      </c>
    </row>
    <row r="4059" spans="1:15" hidden="1" x14ac:dyDescent="0.25">
      <c r="A4059" s="11">
        <v>46128</v>
      </c>
      <c r="B4059" t="s">
        <v>57</v>
      </c>
      <c r="C4059" t="s">
        <v>48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v>0</v>
      </c>
      <c r="J4059" s="3">
        <v>0</v>
      </c>
      <c r="K4059" s="3">
        <v>0</v>
      </c>
      <c r="L4059" s="3" t="str">
        <f>IF(K4059&lt;-5,"CRÍTICO",IF(K4059&lt;0,"ATENÇÃO",IF(K4059&lt;=5,"OPORTUNO","MUITO BOM")))</f>
        <v>OPORTUNO</v>
      </c>
      <c r="M4059">
        <v>0</v>
      </c>
      <c r="N4059">
        <v>98.73</v>
      </c>
      <c r="O4059">
        <v>28.961748633879779</v>
      </c>
    </row>
    <row r="4060" spans="1:15" hidden="1" x14ac:dyDescent="0.25">
      <c r="A4060" s="11">
        <v>46128</v>
      </c>
      <c r="B4060" t="s">
        <v>42</v>
      </c>
      <c r="C4060" t="s">
        <v>32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>E4060+G4060+H4060</f>
        <v>14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29</v>
      </c>
      <c r="K4060" s="3">
        <f>I4060-J4060</f>
        <v>-15</v>
      </c>
      <c r="L4060" s="3" t="str">
        <f>IF(K4060&lt;-5,"CRÍTICO",IF(K4060&lt;0,"ATENÇÃO",IF(K4060&lt;=5,"OPORTUNO","MUITO BOM")))</f>
        <v>CRÍTICO</v>
      </c>
      <c r="M4060">
        <v>11</v>
      </c>
      <c r="N4060">
        <v>88.68</v>
      </c>
      <c r="O4060">
        <v>22.03389830508474</v>
      </c>
    </row>
    <row r="4061" spans="1:15" hidden="1" x14ac:dyDescent="0.25">
      <c r="A4061" s="11">
        <v>46128</v>
      </c>
      <c r="B4061" t="s">
        <v>62</v>
      </c>
      <c r="C4061" t="s">
        <v>23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>E4061+G4061+H4061</f>
        <v>18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19</v>
      </c>
      <c r="K4061" s="3">
        <f>I4061-J4061</f>
        <v>-1</v>
      </c>
      <c r="L4061" s="3" t="str">
        <f>IF(K4061&lt;-5,"CRÍTICO",IF(K4061&lt;0,"ATENÇÃO",IF(K4061&lt;=5,"OPORTUNO","MUITO BOM")))</f>
        <v>ATENÇÃO</v>
      </c>
      <c r="M4061">
        <v>20</v>
      </c>
      <c r="N4061">
        <v>97.37</v>
      </c>
      <c r="O4061">
        <v>25.76530612244898</v>
      </c>
    </row>
    <row r="4062" spans="1:15" hidden="1" x14ac:dyDescent="0.25">
      <c r="A4062" s="11">
        <v>46128</v>
      </c>
      <c r="B4062" t="s">
        <v>19</v>
      </c>
      <c r="C4062" t="s">
        <v>16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>E4062+G4062+H4062</f>
        <v>29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8</v>
      </c>
      <c r="K4062" s="3">
        <f>I4062-J4062</f>
        <v>21</v>
      </c>
      <c r="L4062" s="3" t="str">
        <f>IF(K4062&lt;-5,"CRÍTICO",IF(K4062&lt;0,"ATENÇÃO",IF(K4062&lt;=5,"OPORTUNO","MUITO BOM")))</f>
        <v>MUITO BOM</v>
      </c>
      <c r="M4062">
        <v>4</v>
      </c>
      <c r="N4062">
        <v>100</v>
      </c>
      <c r="O4062">
        <v>25</v>
      </c>
    </row>
    <row r="4063" spans="1:15" hidden="1" x14ac:dyDescent="0.25">
      <c r="A4063" s="11">
        <v>46128</v>
      </c>
      <c r="B4063" t="s">
        <v>43</v>
      </c>
      <c r="C4063" t="s">
        <v>32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>E4063+G4063+H4063</f>
        <v>24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-5</v>
      </c>
      <c r="L4063" s="3" t="str">
        <f>IF(K4063&lt;-5,"CRÍTICO",IF(K4063&lt;0,"ATENÇÃO",IF(K4063&lt;=5,"OPORTUNO","MUITO BOM")))</f>
        <v>ATENÇÃO</v>
      </c>
      <c r="M4063">
        <v>29</v>
      </c>
      <c r="N4063">
        <v>100</v>
      </c>
      <c r="O4063">
        <v>23.9870340356564</v>
      </c>
    </row>
    <row r="4064" spans="1:15" hidden="1" x14ac:dyDescent="0.25">
      <c r="A4064" s="11">
        <v>46128</v>
      </c>
      <c r="B4064" t="s">
        <v>44</v>
      </c>
      <c r="C4064" t="s">
        <v>32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>E4064+G4064+H4064</f>
        <v>34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29</v>
      </c>
      <c r="K4064" s="3">
        <f>I4064-J4064</f>
        <v>5</v>
      </c>
      <c r="L4064" s="3" t="str">
        <f>IF(K4064&lt;-5,"CRÍTICO",IF(K4064&lt;0,"ATENÇÃO",IF(K4064&lt;=5,"OPORTUNO","MUITO BOM")))</f>
        <v>OPORTUNO</v>
      </c>
      <c r="M4064">
        <v>34</v>
      </c>
      <c r="N4064">
        <v>95.49</v>
      </c>
      <c r="O4064">
        <v>28.370221327967808</v>
      </c>
    </row>
    <row r="4065" spans="1:15" hidden="1" x14ac:dyDescent="0.25">
      <c r="A4065" s="11">
        <v>46128</v>
      </c>
      <c r="B4065" t="s">
        <v>20</v>
      </c>
      <c r="C4065" t="s">
        <v>16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>E4065+G4065+H4065</f>
        <v>16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8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>
        <v>11</v>
      </c>
      <c r="N4065">
        <v>100</v>
      </c>
      <c r="O4065">
        <v>23.77622377622378</v>
      </c>
    </row>
    <row r="4066" spans="1:15" hidden="1" x14ac:dyDescent="0.25">
      <c r="A4066" s="11">
        <v>46128</v>
      </c>
      <c r="B4066" t="s">
        <v>28</v>
      </c>
      <c r="C4066" t="s">
        <v>26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>E4066+G4066+H4066</f>
        <v>25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17</v>
      </c>
      <c r="K4066" s="3">
        <f>I4066-J4066</f>
        <v>8</v>
      </c>
      <c r="L4066" s="3" t="str">
        <f>IF(K4066&lt;-5,"CRÍTICO",IF(K4066&lt;0,"ATENÇÃO",IF(K4066&lt;=5,"OPORTUNO","MUITO BOM")))</f>
        <v>MUITO BOM</v>
      </c>
      <c r="M4066">
        <v>15</v>
      </c>
      <c r="N4066">
        <v>96.15</v>
      </c>
      <c r="O4066">
        <v>24.045801526717561</v>
      </c>
    </row>
    <row r="4067" spans="1:15" hidden="1" x14ac:dyDescent="0.25">
      <c r="A4067" s="11">
        <v>46128</v>
      </c>
      <c r="B4067" t="s">
        <v>58</v>
      </c>
      <c r="C4067" t="s">
        <v>48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>E4067+G4067+H4067</f>
        <v>19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23</v>
      </c>
      <c r="K4067" s="3">
        <f>I4067-J4067</f>
        <v>-4</v>
      </c>
      <c r="L4067" s="3" t="str">
        <f>IF(K4067&lt;-5,"CRÍTICO",IF(K4067&lt;0,"ATENÇÃO",IF(K4067&lt;=5,"OPORTUNO","MUITO BOM")))</f>
        <v>ATENÇÃO</v>
      </c>
      <c r="M4067">
        <v>16</v>
      </c>
      <c r="N4067">
        <v>99.02</v>
      </c>
      <c r="O4067">
        <v>34.797297297297298</v>
      </c>
    </row>
    <row r="4068" spans="1:15" hidden="1" x14ac:dyDescent="0.25">
      <c r="A4068" s="11">
        <v>46128</v>
      </c>
      <c r="B4068" t="s">
        <v>29</v>
      </c>
      <c r="C4068" t="s">
        <v>26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>E4068+G4068+H4068</f>
        <v>11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-6</v>
      </c>
      <c r="L4068" s="3" t="str">
        <f>IF(K4068&lt;-5,"CRÍTICO",IF(K4068&lt;0,"ATENÇÃO",IF(K4068&lt;=5,"OPORTUNO","MUITO BOM")))</f>
        <v>CRÍTICO</v>
      </c>
      <c r="M4068">
        <v>13</v>
      </c>
      <c r="N4068">
        <v>98.84</v>
      </c>
      <c r="O4068">
        <v>31.868131868131869</v>
      </c>
    </row>
    <row r="4069" spans="1:15" hidden="1" x14ac:dyDescent="0.25">
      <c r="A4069" s="11">
        <v>46128</v>
      </c>
      <c r="B4069" t="s">
        <v>30</v>
      </c>
      <c r="C4069" t="s">
        <v>26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>E4069+G4069+H4069</f>
        <v>14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17</v>
      </c>
      <c r="K4069" s="3">
        <f>I4069-J4069</f>
        <v>-3</v>
      </c>
      <c r="L4069" s="3" t="str">
        <f>IF(K4069&lt;-5,"CRÍTICO",IF(K4069&lt;0,"ATENÇÃO",IF(K4069&lt;=5,"OPORTUNO","MUITO BOM")))</f>
        <v>ATENÇÃO</v>
      </c>
      <c r="M4069">
        <v>13</v>
      </c>
      <c r="N4069">
        <v>100</v>
      </c>
      <c r="O4069">
        <v>34.666666666666671</v>
      </c>
    </row>
    <row r="4070" spans="1:15" hidden="1" x14ac:dyDescent="0.25">
      <c r="A4070" s="11">
        <v>46128</v>
      </c>
      <c r="B4070" t="s">
        <v>21</v>
      </c>
      <c r="C4070" t="s">
        <v>16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>E4070+G4070+H4070</f>
        <v>13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8</v>
      </c>
      <c r="K4070" s="3">
        <f>I4070-J4070</f>
        <v>5</v>
      </c>
      <c r="L4070" s="3" t="str">
        <f>IF(K4070&lt;-5,"CRÍTICO",IF(K4070&lt;0,"ATENÇÃO",IF(K4070&lt;=5,"OPORTUNO","MUITO BOM")))</f>
        <v>OPORTUNO</v>
      </c>
      <c r="M4070">
        <v>9</v>
      </c>
      <c r="N4070">
        <v>94.12</v>
      </c>
      <c r="O4070">
        <v>32.799999999999997</v>
      </c>
    </row>
    <row r="4071" spans="1:15" hidden="1" x14ac:dyDescent="0.25">
      <c r="A4071" s="11">
        <v>46128</v>
      </c>
      <c r="B4071" t="s">
        <v>63</v>
      </c>
      <c r="C4071" t="s">
        <v>23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>E4071+G4071+H4071</f>
        <v>36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19</v>
      </c>
      <c r="K4071" s="3">
        <f>I4071-J4071</f>
        <v>17</v>
      </c>
      <c r="L4071" s="3" t="str">
        <f>IF(K4071&lt;-5,"CRÍTICO",IF(K4071&lt;0,"ATENÇÃO",IF(K4071&lt;=5,"OPORTUNO","MUITO BOM")))</f>
        <v>MUITO BOM</v>
      </c>
      <c r="M4071">
        <v>32</v>
      </c>
      <c r="N4071">
        <v>98.32</v>
      </c>
      <c r="O4071">
        <v>26.858513189448441</v>
      </c>
    </row>
    <row r="4072" spans="1:15" hidden="1" x14ac:dyDescent="0.25">
      <c r="A4072" s="11">
        <v>46128</v>
      </c>
      <c r="B4072" t="s">
        <v>45</v>
      </c>
      <c r="C4072" t="s">
        <v>32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>E4072+G4072+H4072</f>
        <v>34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29</v>
      </c>
      <c r="K4072" s="3">
        <f>I4072-J4072</f>
        <v>5</v>
      </c>
      <c r="L4072" s="3" t="str">
        <f>IF(K4072&lt;-5,"CRÍTICO",IF(K4072&lt;0,"ATENÇÃO",IF(K4072&lt;=5,"OPORTUNO","MUITO BOM")))</f>
        <v>OPORTUNO</v>
      </c>
      <c r="M4072">
        <v>27</v>
      </c>
      <c r="N4072">
        <v>100</v>
      </c>
      <c r="O4072">
        <v>31.135531135531139</v>
      </c>
    </row>
    <row r="4073" spans="1:15" hidden="1" x14ac:dyDescent="0.25">
      <c r="A4073" s="11">
        <v>46128</v>
      </c>
      <c r="B4073" t="s">
        <v>64</v>
      </c>
      <c r="C4073" t="s">
        <v>23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>E4073+G4073+H4073</f>
        <v>18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19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>
        <v>14</v>
      </c>
      <c r="N4073">
        <v>100</v>
      </c>
      <c r="O4073">
        <v>26.36986301369863</v>
      </c>
    </row>
    <row r="4074" spans="1:15" hidden="1" x14ac:dyDescent="0.25">
      <c r="A4074" s="11">
        <v>46128</v>
      </c>
      <c r="B4074" t="s">
        <v>46</v>
      </c>
      <c r="C4074" t="s">
        <v>32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>E4074+G4074+H4074</f>
        <v>28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29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>
        <v>25</v>
      </c>
      <c r="N4074">
        <v>99.21</v>
      </c>
      <c r="O4074">
        <v>25.188916876574311</v>
      </c>
    </row>
    <row r="4075" spans="1:15" hidden="1" x14ac:dyDescent="0.25">
      <c r="A4075" s="11">
        <v>46129</v>
      </c>
      <c r="B4075" t="s">
        <v>47</v>
      </c>
      <c r="C4075" t="s">
        <v>48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>E4075+G4075+H4075</f>
        <v>21</v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>22</v>
      </c>
      <c r="K4075" s="3">
        <f>I4075-J4075</f>
        <v>-1</v>
      </c>
      <c r="L4075" s="3" t="str">
        <f>IF(K4075&lt;-5,"CRÍTICO",IF(K4075&lt;0,"ATENÇÃO",IF(K4075&lt;=5,"OPORTUNO","MUITO BOM")))</f>
        <v>ATENÇÃO</v>
      </c>
      <c r="M4075">
        <v>4</v>
      </c>
      <c r="N4075">
        <v>100</v>
      </c>
      <c r="O4075">
        <v>32.764505119453922</v>
      </c>
    </row>
    <row r="4076" spans="1:15" hidden="1" x14ac:dyDescent="0.25">
      <c r="A4076" s="11">
        <v>46129</v>
      </c>
      <c r="B4076" t="s">
        <v>31</v>
      </c>
      <c r="C4076" t="s">
        <v>32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v>0</v>
      </c>
      <c r="J4076" s="3">
        <v>0</v>
      </c>
      <c r="K4076" s="3">
        <v>0</v>
      </c>
      <c r="L4076" s="3" t="str">
        <f>IF(K4076&lt;-5,"CRÍTICO",IF(K4076&lt;0,"ATENÇÃO",IF(K4076&lt;=5,"OPORTUNO","MUITO BOM")))</f>
        <v>OPORTUNO</v>
      </c>
      <c r="M4076">
        <v>30</v>
      </c>
      <c r="N4076">
        <v>98.66</v>
      </c>
      <c r="O4076">
        <v>35.416666666666671</v>
      </c>
    </row>
    <row r="4077" spans="1:15" hidden="1" x14ac:dyDescent="0.25">
      <c r="A4077" s="11">
        <v>46129</v>
      </c>
      <c r="B4077" t="s">
        <v>59</v>
      </c>
      <c r="C4077" t="s">
        <v>23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>E4077+G4077+H4077</f>
        <v>22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18</v>
      </c>
      <c r="K4077" s="3">
        <f>I4077-J4077</f>
        <v>4</v>
      </c>
      <c r="L4077" s="3" t="str">
        <f>IF(K4077&lt;-5,"CRÍTICO",IF(K4077&lt;0,"ATENÇÃO",IF(K4077&lt;=5,"OPORTUNO","MUITO BOM")))</f>
        <v>OPORTUNO</v>
      </c>
      <c r="M4077">
        <v>21</v>
      </c>
      <c r="N4077">
        <v>99.32</v>
      </c>
      <c r="O4077">
        <v>30.648330058939099</v>
      </c>
    </row>
    <row r="4078" spans="1:15" hidden="1" x14ac:dyDescent="0.25">
      <c r="A4078" s="11">
        <v>46129</v>
      </c>
      <c r="B4078" t="s">
        <v>33</v>
      </c>
      <c r="C4078" t="s">
        <v>32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>E4078+G4078+H4078</f>
        <v>23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27</v>
      </c>
      <c r="K4078" s="3">
        <f>I4078-J4078</f>
        <v>-4</v>
      </c>
      <c r="L4078" s="3" t="str">
        <f>IF(K4078&lt;-5,"CRÍTICO",IF(K4078&lt;0,"ATENÇÃO",IF(K4078&lt;=5,"OPORTUNO","MUITO BOM")))</f>
        <v>ATENÇÃO</v>
      </c>
      <c r="M4078">
        <v>20</v>
      </c>
      <c r="N4078">
        <v>100</v>
      </c>
      <c r="O4078">
        <v>27.803738317757009</v>
      </c>
    </row>
    <row r="4079" spans="1:15" hidden="1" x14ac:dyDescent="0.25">
      <c r="A4079" s="11">
        <v>46129</v>
      </c>
      <c r="B4079" t="s">
        <v>15</v>
      </c>
      <c r="C4079" t="s">
        <v>16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v>0</v>
      </c>
      <c r="J4079" s="3">
        <v>0</v>
      </c>
      <c r="K4079" s="3">
        <v>0</v>
      </c>
      <c r="L4079" s="3" t="str">
        <f>IF(K4079&lt;-5,"CRÍTICO",IF(K4079&lt;0,"ATENÇÃO",IF(K4079&lt;=5,"OPORTUNO","MUITO BOM")))</f>
        <v>OPORTUNO</v>
      </c>
      <c r="M4079">
        <v>0</v>
      </c>
      <c r="N4079">
        <v>96.74</v>
      </c>
      <c r="O4079">
        <v>28.67647058823529</v>
      </c>
    </row>
    <row r="4080" spans="1:15" hidden="1" x14ac:dyDescent="0.25">
      <c r="A4080" s="11">
        <v>46129</v>
      </c>
      <c r="B4080" t="s">
        <v>49</v>
      </c>
      <c r="C4080" t="s">
        <v>48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>E4080+G4080+H4080</f>
        <v>32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10</v>
      </c>
      <c r="L4080" s="3" t="str">
        <f>IF(K4080&lt;-5,"CRÍTICO",IF(K4080&lt;0,"ATENÇÃO",IF(K4080&lt;=5,"OPORTUNO","MUITO BOM")))</f>
        <v>MUITO BOM</v>
      </c>
      <c r="M4080">
        <v>31</v>
      </c>
      <c r="N4080">
        <v>98.82</v>
      </c>
      <c r="O4080">
        <v>30.741410488245929</v>
      </c>
    </row>
    <row r="4081" spans="1:15" hidden="1" x14ac:dyDescent="0.25">
      <c r="A4081" s="11">
        <v>46129</v>
      </c>
      <c r="B4081" t="s">
        <v>50</v>
      </c>
      <c r="C4081" t="s">
        <v>48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>E4081+G4081+H4081</f>
        <v>16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22</v>
      </c>
      <c r="K4081" s="3">
        <f>I4081-J4081</f>
        <v>-6</v>
      </c>
      <c r="L4081" s="3" t="str">
        <f>IF(K4081&lt;-5,"CRÍTICO",IF(K4081&lt;0,"ATENÇÃO",IF(K4081&lt;=5,"OPORTUNO","MUITO BOM")))</f>
        <v>CRÍTICO</v>
      </c>
      <c r="M4081">
        <v>14</v>
      </c>
      <c r="N4081">
        <v>98.2</v>
      </c>
      <c r="O4081">
        <v>27.170868347338931</v>
      </c>
    </row>
    <row r="4082" spans="1:15" hidden="1" x14ac:dyDescent="0.25">
      <c r="A4082" s="11">
        <v>46129</v>
      </c>
      <c r="B4082" t="s">
        <v>17</v>
      </c>
      <c r="C4082" t="s">
        <v>16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>E4082+G4082+H4082</f>
        <v>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8</v>
      </c>
      <c r="K4082" s="3">
        <f>I4082-J4082</f>
        <v>-2</v>
      </c>
      <c r="L4082" s="3" t="str">
        <f>IF(K4082&lt;-5,"CRÍTICO",IF(K4082&lt;0,"ATENÇÃO",IF(K4082&lt;=5,"OPORTUNO","MUITO BOM")))</f>
        <v>ATENÇÃO</v>
      </c>
      <c r="M4082">
        <v>6</v>
      </c>
      <c r="N4082">
        <v>100</v>
      </c>
      <c r="O4082">
        <v>23.134328358208951</v>
      </c>
    </row>
    <row r="4083" spans="1:15" hidden="1" x14ac:dyDescent="0.25">
      <c r="A4083" s="11">
        <v>46129</v>
      </c>
      <c r="B4083" t="s">
        <v>60</v>
      </c>
      <c r="C4083" t="s">
        <v>23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>E4083+G4083+H4083</f>
        <v>26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18</v>
      </c>
      <c r="K4083" s="3">
        <f>I4083-J4083</f>
        <v>8</v>
      </c>
      <c r="L4083" s="3" t="str">
        <f>IF(K4083&lt;-5,"CRÍTICO",IF(K4083&lt;0,"ATENÇÃO",IF(K4083&lt;=5,"OPORTUNO","MUITO BOM")))</f>
        <v>MUITO BOM</v>
      </c>
      <c r="M4083">
        <v>29</v>
      </c>
      <c r="N4083">
        <v>96.3</v>
      </c>
      <c r="O4083">
        <v>32.219570405727922</v>
      </c>
    </row>
    <row r="4084" spans="1:15" hidden="1" x14ac:dyDescent="0.25">
      <c r="A4084" s="11">
        <v>46129</v>
      </c>
      <c r="B4084" t="s">
        <v>34</v>
      </c>
      <c r="C4084" t="s">
        <v>32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>E4084+G4084+H4084</f>
        <v>27</v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>27</v>
      </c>
      <c r="K4084" s="3">
        <f>I4084-J4084</f>
        <v>0</v>
      </c>
      <c r="L4084" s="3" t="str">
        <f>IF(K4084&lt;-5,"CRÍTICO",IF(K4084&lt;0,"ATENÇÃO",IF(K4084&lt;=5,"OPORTUNO","MUITO BOM")))</f>
        <v>OPORTUNO</v>
      </c>
      <c r="M4084">
        <v>26</v>
      </c>
      <c r="N4084">
        <v>93.75</v>
      </c>
      <c r="O4084">
        <v>26.819923371647509</v>
      </c>
    </row>
    <row r="4085" spans="1:15" hidden="1" x14ac:dyDescent="0.25">
      <c r="A4085" s="11">
        <v>46129</v>
      </c>
      <c r="B4085" t="s">
        <v>51</v>
      </c>
      <c r="C4085" t="s">
        <v>48</v>
      </c>
      <c r="D4085">
        <v>30</v>
      </c>
      <c r="E4085">
        <v>25</v>
      </c>
      <c r="F4085">
        <v>20.39</v>
      </c>
      <c r="G4085">
        <v>0</v>
      </c>
      <c r="H4085">
        <v>0</v>
      </c>
      <c r="I4085" s="3">
        <v>0</v>
      </c>
      <c r="J4085" s="3">
        <v>0</v>
      </c>
      <c r="K4085" s="3">
        <v>0</v>
      </c>
      <c r="L4085" s="3" t="str">
        <f>IF(K4085&lt;-5,"CRÍTICO",IF(K4085&lt;0,"ATENÇÃO",IF(K4085&lt;=5,"OPORTUNO","MUITO BOM")))</f>
        <v>OPORTUNO</v>
      </c>
      <c r="M4085">
        <v>20</v>
      </c>
      <c r="N4085">
        <v>97.86</v>
      </c>
      <c r="O4085">
        <v>31.018518518518519</v>
      </c>
    </row>
    <row r="4086" spans="1:15" hidden="1" x14ac:dyDescent="0.25">
      <c r="A4086" s="11">
        <v>46129</v>
      </c>
      <c r="B4086" t="s">
        <v>61</v>
      </c>
      <c r="C4086" t="s">
        <v>23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>E4086+G4086+H4086</f>
        <v>23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18</v>
      </c>
      <c r="K4086" s="3">
        <f>I4086-J4086</f>
        <v>5</v>
      </c>
      <c r="L4086" s="3" t="str">
        <f>IF(K4086&lt;-5,"CRÍTICO",IF(K4086&lt;0,"ATENÇÃO",IF(K4086&lt;=5,"OPORTUNO","MUITO BOM")))</f>
        <v>OPORTUNO</v>
      </c>
      <c r="M4086">
        <v>15</v>
      </c>
      <c r="N4086">
        <v>100</v>
      </c>
      <c r="O4086">
        <v>36.594202898550733</v>
      </c>
    </row>
    <row r="4087" spans="1:15" hidden="1" x14ac:dyDescent="0.25">
      <c r="A4087" s="11">
        <v>46129</v>
      </c>
      <c r="B4087" t="s">
        <v>35</v>
      </c>
      <c r="C4087" t="s">
        <v>32</v>
      </c>
      <c r="D4087">
        <v>28</v>
      </c>
      <c r="E4087">
        <v>27</v>
      </c>
      <c r="F4087">
        <v>20.11</v>
      </c>
      <c r="G4087">
        <v>0</v>
      </c>
      <c r="H4087">
        <v>0</v>
      </c>
      <c r="I4087" s="3">
        <v>0</v>
      </c>
      <c r="J4087" s="3">
        <v>0</v>
      </c>
      <c r="K4087" s="3">
        <v>0</v>
      </c>
      <c r="L4087" s="3" t="str">
        <f>IF(K4087&lt;-5,"CRÍTICO",IF(K4087&lt;0,"ATENÇÃO",IF(K4087&lt;=5,"OPORTUNO","MUITO BOM")))</f>
        <v>OPORTUNO</v>
      </c>
      <c r="M4087">
        <v>28</v>
      </c>
      <c r="N4087">
        <v>100</v>
      </c>
      <c r="O4087">
        <v>38.653846153846153</v>
      </c>
    </row>
    <row r="4088" spans="1:15" hidden="1" x14ac:dyDescent="0.25">
      <c r="A4088" s="11">
        <v>46129</v>
      </c>
      <c r="B4088" t="s">
        <v>18</v>
      </c>
      <c r="C4088" t="s">
        <v>16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>E4088+G4088+H4088</f>
        <v>11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8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>
        <v>7</v>
      </c>
      <c r="N4088">
        <v>100</v>
      </c>
      <c r="O4088">
        <v>27.368421052631579</v>
      </c>
    </row>
    <row r="4089" spans="1:15" hidden="1" x14ac:dyDescent="0.25">
      <c r="A4089" s="11">
        <v>46129</v>
      </c>
      <c r="B4089" t="s">
        <v>52</v>
      </c>
      <c r="C4089" t="s">
        <v>48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>E4089+G4089+H4089</f>
        <v>25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22</v>
      </c>
      <c r="K4089" s="3">
        <f>I4089-J4089</f>
        <v>3</v>
      </c>
      <c r="L4089" s="3" t="str">
        <f>IF(K4089&lt;-5,"CRÍTICO",IF(K4089&lt;0,"ATENÇÃO",IF(K4089&lt;=5,"OPORTUNO","MUITO BOM")))</f>
        <v>OPORTUNO</v>
      </c>
      <c r="M4089">
        <v>25</v>
      </c>
      <c r="N4089">
        <v>97.83</v>
      </c>
      <c r="O4089">
        <v>28.35164835164835</v>
      </c>
    </row>
    <row r="4090" spans="1:15" hidden="1" x14ac:dyDescent="0.25">
      <c r="A4090" s="11">
        <v>46129</v>
      </c>
      <c r="B4090" t="s">
        <v>36</v>
      </c>
      <c r="C4090" t="s">
        <v>32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>E4090+G4090+H4090</f>
        <v>27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27</v>
      </c>
      <c r="K4090" s="3">
        <f>I4090-J4090</f>
        <v>0</v>
      </c>
      <c r="L4090" s="3" t="str">
        <f>IF(K4090&lt;-5,"CRÍTICO",IF(K4090&lt;0,"ATENÇÃO",IF(K4090&lt;=5,"OPORTUNO","MUITO BOM")))</f>
        <v>OPORTUNO</v>
      </c>
      <c r="M4090">
        <v>30</v>
      </c>
      <c r="N4090">
        <v>99.26</v>
      </c>
      <c r="O4090">
        <v>29.766536964980549</v>
      </c>
    </row>
    <row r="4091" spans="1:15" hidden="1" x14ac:dyDescent="0.25">
      <c r="A4091" s="11">
        <v>46129</v>
      </c>
      <c r="B4091" t="s">
        <v>53</v>
      </c>
      <c r="C4091" t="s">
        <v>48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22</v>
      </c>
      <c r="K4091" s="3">
        <f>I4091-J4091</f>
        <v>6</v>
      </c>
      <c r="L4091" s="3" t="str">
        <f>IF(K4091&lt;-5,"CRÍTICO",IF(K4091&lt;0,"ATENÇÃO",IF(K4091&lt;=5,"OPORTUNO","MUITO BOM")))</f>
        <v>MUITO BOM</v>
      </c>
      <c r="M4091">
        <v>23</v>
      </c>
      <c r="N4091">
        <v>99.19</v>
      </c>
      <c r="O4091">
        <v>29.462365591397852</v>
      </c>
    </row>
    <row r="4092" spans="1:15" hidden="1" x14ac:dyDescent="0.25">
      <c r="A4092" s="11">
        <v>46140</v>
      </c>
      <c r="B4092" t="s">
        <v>49</v>
      </c>
      <c r="C4092" t="s">
        <v>48</v>
      </c>
      <c r="D4092">
        <v>34</v>
      </c>
      <c r="E4092">
        <v>34</v>
      </c>
      <c r="F4092">
        <v>13.45</v>
      </c>
      <c r="G4092">
        <v>0</v>
      </c>
      <c r="H4092">
        <v>0</v>
      </c>
      <c r="I4092" s="3">
        <f>E4092+G4092+H4092</f>
        <v>34</v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>27</v>
      </c>
      <c r="K4092" s="3">
        <f>I4092-J4092</f>
        <v>7</v>
      </c>
      <c r="L4092" s="3" t="str">
        <f>IF(K4092&lt;-5,"CRÍTICO",IF(K4092&lt;0,"ATENÇÃO",IF(K4092&lt;=5,"OPORTUNO","MUITO BOM")))</f>
        <v>MUITO BOM</v>
      </c>
      <c r="M4092">
        <v>31</v>
      </c>
      <c r="N4092">
        <v>98.82</v>
      </c>
      <c r="O4092">
        <v>30.741410488245929</v>
      </c>
    </row>
    <row r="4093" spans="1:15" hidden="1" x14ac:dyDescent="0.25">
      <c r="A4093" s="11">
        <v>46129</v>
      </c>
      <c r="B4093" t="s">
        <v>54</v>
      </c>
      <c r="C4093" t="s">
        <v>48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v>0</v>
      </c>
      <c r="J4093" s="3">
        <v>0</v>
      </c>
      <c r="K4093" s="3">
        <v>0</v>
      </c>
      <c r="L4093" s="3" t="str">
        <f>IF(K4093&lt;-5,"CRÍTICO",IF(K4093&lt;0,"ATENÇÃO",IF(K4093&lt;=5,"OPORTUNO","MUITO BOM")))</f>
        <v>OPORTUNO</v>
      </c>
      <c r="M4093">
        <v>0</v>
      </c>
      <c r="N4093">
        <v>100</v>
      </c>
      <c r="O4093">
        <v>28.921568627450981</v>
      </c>
    </row>
    <row r="4094" spans="1:15" hidden="1" x14ac:dyDescent="0.25">
      <c r="A4094" s="11">
        <v>46129</v>
      </c>
      <c r="B4094" t="s">
        <v>37</v>
      </c>
      <c r="C4094" t="s">
        <v>32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>E4094+G4094+H4094</f>
        <v>28</v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>27</v>
      </c>
      <c r="K4094" s="3">
        <f>I4094-J4094</f>
        <v>1</v>
      </c>
      <c r="L4094" s="3" t="str">
        <f>IF(K4094&lt;-5,"CRÍTICO",IF(K4094&lt;0,"ATENÇÃO",IF(K4094&lt;=5,"OPORTUNO","MUITO BOM")))</f>
        <v>OPORTUNO</v>
      </c>
      <c r="M4094">
        <v>31</v>
      </c>
      <c r="N4094">
        <v>99.57</v>
      </c>
      <c r="O4094">
        <v>30.635838150289018</v>
      </c>
    </row>
    <row r="4095" spans="1:15" hidden="1" x14ac:dyDescent="0.25">
      <c r="A4095" s="11">
        <v>46129</v>
      </c>
      <c r="B4095" t="s">
        <v>38</v>
      </c>
      <c r="C4095" t="s">
        <v>32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v>0</v>
      </c>
      <c r="J4095" s="3">
        <v>0</v>
      </c>
      <c r="K4095" s="3">
        <v>0</v>
      </c>
      <c r="L4095" s="3" t="str">
        <f>IF(K4095&lt;-5,"CRÍTICO",IF(K4095&lt;0,"ATENÇÃO",IF(K4095&lt;=5,"OPORTUNO","MUITO BOM")))</f>
        <v>OPORTUNO</v>
      </c>
      <c r="M4095">
        <v>0</v>
      </c>
      <c r="N4095">
        <v>95.65</v>
      </c>
      <c r="O4095">
        <v>32.432432432432442</v>
      </c>
    </row>
    <row r="4096" spans="1:15" hidden="1" x14ac:dyDescent="0.25">
      <c r="A4096" s="11">
        <v>46129</v>
      </c>
      <c r="B4096" t="s">
        <v>55</v>
      </c>
      <c r="C4096" t="s">
        <v>48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>E4096+G4096+H4096</f>
        <v>21</v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>22</v>
      </c>
      <c r="K4096" s="3">
        <f>I4096-J4096</f>
        <v>-1</v>
      </c>
      <c r="L4096" s="3" t="str">
        <f>IF(K4096&lt;-5,"CRÍTICO",IF(K4096&lt;0,"ATENÇÃO",IF(K4096&lt;=5,"OPORTUNO","MUITO BOM")))</f>
        <v>ATENÇÃO</v>
      </c>
      <c r="M4096">
        <v>16</v>
      </c>
      <c r="N4096">
        <v>98.81</v>
      </c>
      <c r="O4096">
        <v>26.256983240223459</v>
      </c>
    </row>
    <row r="4097" spans="1:15" hidden="1" x14ac:dyDescent="0.25">
      <c r="A4097" s="11">
        <v>46129</v>
      </c>
      <c r="B4097" t="s">
        <v>39</v>
      </c>
      <c r="C4097" t="s">
        <v>32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v>0</v>
      </c>
      <c r="J4097" s="3">
        <v>0</v>
      </c>
      <c r="K4097" s="3">
        <v>0</v>
      </c>
      <c r="L4097" s="3" t="str">
        <f>IF(K4097&lt;-5,"CRÍTICO",IF(K4097&lt;0,"ATENÇÃO",IF(K4097&lt;=5,"OPORTUNO","MUITO BOM")))</f>
        <v>OPORTUNO</v>
      </c>
      <c r="M4097">
        <v>0</v>
      </c>
      <c r="N4097">
        <v>0</v>
      </c>
      <c r="O4097">
        <v>0</v>
      </c>
    </row>
    <row r="4098" spans="1:15" hidden="1" x14ac:dyDescent="0.25">
      <c r="A4098" s="11">
        <v>46129</v>
      </c>
      <c r="B4098" t="s">
        <v>25</v>
      </c>
      <c r="C4098" t="s">
        <v>26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>E4098+G4098+H4098</f>
        <v>21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16</v>
      </c>
      <c r="K4098" s="3">
        <f>I4098-J4098</f>
        <v>5</v>
      </c>
      <c r="L4098" s="3" t="str">
        <f>IF(K4098&lt;-5,"CRÍTICO",IF(K4098&lt;0,"ATENÇÃO",IF(K4098&lt;=5,"OPORTUNO","MUITO BOM")))</f>
        <v>OPORTUNO</v>
      </c>
      <c r="M4098">
        <v>21</v>
      </c>
      <c r="N4098">
        <v>97.17</v>
      </c>
      <c r="O4098">
        <v>28.81844380403458</v>
      </c>
    </row>
    <row r="4099" spans="1:15" hidden="1" x14ac:dyDescent="0.25">
      <c r="A4099" s="11">
        <v>46129</v>
      </c>
      <c r="B4099" t="s">
        <v>40</v>
      </c>
      <c r="C4099" t="s">
        <v>32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v>0</v>
      </c>
      <c r="J4099" s="3">
        <v>0</v>
      </c>
      <c r="K4099" s="3">
        <v>0</v>
      </c>
      <c r="L4099" s="3" t="str">
        <f>IF(K4099&lt;-5,"CRÍTICO",IF(K4099&lt;0,"ATENÇÃO",IF(K4099&lt;=5,"OPORTUNO","MUITO BOM")))</f>
        <v>OPORTUNO</v>
      </c>
      <c r="M4099">
        <v>22</v>
      </c>
      <c r="N4099">
        <v>96.81</v>
      </c>
      <c r="O4099">
        <v>48.018648018648022</v>
      </c>
    </row>
    <row r="4100" spans="1:15" hidden="1" x14ac:dyDescent="0.25">
      <c r="A4100" s="11">
        <v>46129</v>
      </c>
      <c r="B4100" t="s">
        <v>27</v>
      </c>
      <c r="C4100" t="s">
        <v>26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>E4100+G4100+H4100</f>
        <v>8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16</v>
      </c>
      <c r="K4100" s="3">
        <f>I4100-J4100</f>
        <v>-8</v>
      </c>
      <c r="L4100" s="3" t="str">
        <f>IF(K4100&lt;-5,"CRÍTICO",IF(K4100&lt;0,"ATENÇÃO",IF(K4100&lt;=5,"OPORTUNO","MUITO BOM")))</f>
        <v>CRÍTICO</v>
      </c>
      <c r="M4100">
        <v>6</v>
      </c>
      <c r="N4100">
        <v>98.15</v>
      </c>
      <c r="O4100">
        <v>27.1551724137931</v>
      </c>
    </row>
    <row r="4101" spans="1:15" hidden="1" x14ac:dyDescent="0.25">
      <c r="A4101" s="11">
        <v>46129</v>
      </c>
      <c r="B4101" t="s">
        <v>41</v>
      </c>
      <c r="C4101" t="s">
        <v>32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>E4101+G4101+H4101</f>
        <v>22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27</v>
      </c>
      <c r="K4101" s="3">
        <f>I4101-J4101</f>
        <v>-5</v>
      </c>
      <c r="L4101" s="3" t="str">
        <f>IF(K4101&lt;-5,"CRÍTICO",IF(K4101&lt;0,"ATENÇÃO",IF(K4101&lt;=5,"OPORTUNO","MUITO BOM")))</f>
        <v>ATENÇÃO</v>
      </c>
      <c r="M4101">
        <v>23</v>
      </c>
      <c r="N4101">
        <v>99.15</v>
      </c>
      <c r="O4101">
        <v>27.586206896551719</v>
      </c>
    </row>
    <row r="4102" spans="1:15" hidden="1" x14ac:dyDescent="0.25">
      <c r="A4102" s="11">
        <v>46129</v>
      </c>
      <c r="B4102" t="s">
        <v>56</v>
      </c>
      <c r="C4102" t="s">
        <v>48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>E4102+G4102+H4102</f>
        <v>27</v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22</v>
      </c>
      <c r="K4102" s="3">
        <f>I4102-J4102</f>
        <v>5</v>
      </c>
      <c r="L4102" s="3" t="str">
        <f>IF(K4102&lt;-5,"CRÍTICO",IF(K4102&lt;0,"ATENÇÃO",IF(K4102&lt;=5,"OPORTUNO","MUITO BOM")))</f>
        <v>OPORTUNO</v>
      </c>
      <c r="M4102">
        <v>18</v>
      </c>
      <c r="N4102">
        <v>99.17</v>
      </c>
      <c r="O4102">
        <v>29.75206611570248</v>
      </c>
    </row>
    <row r="4103" spans="1:15" hidden="1" x14ac:dyDescent="0.25">
      <c r="A4103" s="11">
        <v>46129</v>
      </c>
      <c r="B4103" t="s">
        <v>57</v>
      </c>
      <c r="C4103" t="s">
        <v>48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>
        <v>0</v>
      </c>
      <c r="N4103">
        <v>98.73</v>
      </c>
      <c r="O4103">
        <v>28.961748633879779</v>
      </c>
    </row>
    <row r="4104" spans="1:15" hidden="1" x14ac:dyDescent="0.25">
      <c r="A4104" s="11">
        <v>46129</v>
      </c>
      <c r="B4104" t="s">
        <v>42</v>
      </c>
      <c r="C4104" t="s">
        <v>32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v>0</v>
      </c>
      <c r="J4104" s="3">
        <v>0</v>
      </c>
      <c r="K4104" s="3">
        <v>0</v>
      </c>
      <c r="L4104" s="3" t="str">
        <f>IF(K4104&lt;-5,"CRÍTICO",IF(K4104&lt;0,"ATENÇÃO",IF(K4104&lt;=5,"OPORTUNO","MUITO BOM")))</f>
        <v>OPORTUNO</v>
      </c>
      <c r="M4104">
        <v>0</v>
      </c>
      <c r="N4104">
        <v>88.68</v>
      </c>
      <c r="O4104">
        <v>22.03389830508474</v>
      </c>
    </row>
    <row r="4105" spans="1:15" hidden="1" x14ac:dyDescent="0.25">
      <c r="A4105" s="11">
        <v>46129</v>
      </c>
      <c r="B4105" t="s">
        <v>62</v>
      </c>
      <c r="C4105" t="s">
        <v>23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>E4105+G4105+H4105</f>
        <v>20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18</v>
      </c>
      <c r="K4105" s="3">
        <f>I4105-J4105</f>
        <v>2</v>
      </c>
      <c r="L4105" s="3" t="str">
        <f>IF(K4105&lt;-5,"CRÍTICO",IF(K4105&lt;0,"ATENÇÃO",IF(K4105&lt;=5,"OPORTUNO","MUITO BOM")))</f>
        <v>OPORTUNO</v>
      </c>
      <c r="M4105">
        <v>19</v>
      </c>
      <c r="N4105">
        <v>97.37</v>
      </c>
      <c r="O4105">
        <v>25.76530612244898</v>
      </c>
    </row>
    <row r="4106" spans="1:15" hidden="1" x14ac:dyDescent="0.25">
      <c r="A4106" s="11">
        <v>46129</v>
      </c>
      <c r="B4106" t="s">
        <v>19</v>
      </c>
      <c r="C4106" t="s">
        <v>16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>E4106+G4106+H4106</f>
        <v>28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8</v>
      </c>
      <c r="K4106" s="3">
        <f>I4106-J4106</f>
        <v>20</v>
      </c>
      <c r="L4106" s="3" t="str">
        <f>IF(K4106&lt;-5,"CRÍTICO",IF(K4106&lt;0,"ATENÇÃO",IF(K4106&lt;=5,"OPORTUNO","MUITO BOM")))</f>
        <v>MUITO BOM</v>
      </c>
      <c r="M4106">
        <v>7</v>
      </c>
      <c r="N4106">
        <v>100</v>
      </c>
      <c r="O4106">
        <v>25</v>
      </c>
    </row>
    <row r="4107" spans="1:15" hidden="1" x14ac:dyDescent="0.25">
      <c r="A4107" s="11">
        <v>46129</v>
      </c>
      <c r="B4107" t="s">
        <v>43</v>
      </c>
      <c r="C4107" t="s">
        <v>32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>E4107+G4107+H4107</f>
        <v>29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2</v>
      </c>
      <c r="L4107" s="3" t="str">
        <f>IF(K4107&lt;-5,"CRÍTICO",IF(K4107&lt;0,"ATENÇÃO",IF(K4107&lt;=5,"OPORTUNO","MUITO BOM")))</f>
        <v>OPORTUNO</v>
      </c>
      <c r="M4107">
        <v>30</v>
      </c>
      <c r="N4107">
        <v>100</v>
      </c>
      <c r="O4107">
        <v>23.9870340356564</v>
      </c>
    </row>
    <row r="4108" spans="1:15" hidden="1" x14ac:dyDescent="0.25">
      <c r="A4108" s="11">
        <v>46129</v>
      </c>
      <c r="B4108" t="s">
        <v>44</v>
      </c>
      <c r="C4108" t="s">
        <v>32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>E4108+G4108+H4108</f>
        <v>28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27</v>
      </c>
      <c r="K4108" s="3">
        <f>I4108-J4108</f>
        <v>1</v>
      </c>
      <c r="L4108" s="3" t="str">
        <f>IF(K4108&lt;-5,"CRÍTICO",IF(K4108&lt;0,"ATENÇÃO",IF(K4108&lt;=5,"OPORTUNO","MUITO BOM")))</f>
        <v>OPORTUNO</v>
      </c>
      <c r="M4108">
        <v>22</v>
      </c>
      <c r="N4108">
        <v>95.49</v>
      </c>
      <c r="O4108">
        <v>28.370221327967808</v>
      </c>
    </row>
    <row r="4109" spans="1:15" hidden="1" x14ac:dyDescent="0.25">
      <c r="A4109" s="11">
        <v>46129</v>
      </c>
      <c r="B4109" t="s">
        <v>20</v>
      </c>
      <c r="C4109" t="s">
        <v>16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>E4109+G4109+H4109</f>
        <v>12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8</v>
      </c>
      <c r="K4109" s="3">
        <f>I4109-J4109</f>
        <v>4</v>
      </c>
      <c r="L4109" s="3" t="str">
        <f>IF(K4109&lt;-5,"CRÍTICO",IF(K4109&lt;0,"ATENÇÃO",IF(K4109&lt;=5,"OPORTUNO","MUITO BOM")))</f>
        <v>OPORTUNO</v>
      </c>
      <c r="M4109">
        <v>5</v>
      </c>
      <c r="N4109">
        <v>100</v>
      </c>
      <c r="O4109">
        <v>23.77622377622378</v>
      </c>
    </row>
    <row r="4110" spans="1:15" hidden="1" x14ac:dyDescent="0.25">
      <c r="A4110" s="11">
        <v>46129</v>
      </c>
      <c r="B4110" t="s">
        <v>28</v>
      </c>
      <c r="C4110" t="s">
        <v>26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>E4110+G4110+H4110</f>
        <v>31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16</v>
      </c>
      <c r="K4110" s="3">
        <f>I4110-J4110</f>
        <v>15</v>
      </c>
      <c r="L4110" s="3" t="str">
        <f>IF(K4110&lt;-5,"CRÍTICO",IF(K4110&lt;0,"ATENÇÃO",IF(K4110&lt;=5,"OPORTUNO","MUITO BOM")))</f>
        <v>MUITO BOM</v>
      </c>
      <c r="M4110">
        <v>16</v>
      </c>
      <c r="N4110">
        <v>96.15</v>
      </c>
      <c r="O4110">
        <v>24.045801526717561</v>
      </c>
    </row>
    <row r="4111" spans="1:15" hidden="1" x14ac:dyDescent="0.25">
      <c r="A4111" s="11">
        <v>46129</v>
      </c>
      <c r="B4111" t="s">
        <v>58</v>
      </c>
      <c r="C4111" t="s">
        <v>48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>E4111+G4111+H4111</f>
        <v>25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22</v>
      </c>
      <c r="K4111" s="3">
        <f>I4111-J4111</f>
        <v>3</v>
      </c>
      <c r="L4111" s="3" t="str">
        <f>IF(K4111&lt;-5,"CRÍTICO",IF(K4111&lt;0,"ATENÇÃO",IF(K4111&lt;=5,"OPORTUNO","MUITO BOM")))</f>
        <v>OPORTUNO</v>
      </c>
      <c r="M4111">
        <v>24</v>
      </c>
      <c r="N4111">
        <v>99.02</v>
      </c>
      <c r="O4111">
        <v>34.797297297297298</v>
      </c>
    </row>
    <row r="4112" spans="1:15" hidden="1" x14ac:dyDescent="0.25">
      <c r="A4112" s="11">
        <v>46129</v>
      </c>
      <c r="B4112" t="s">
        <v>29</v>
      </c>
      <c r="C4112" t="s">
        <v>26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>E4112+G4112+H4112</f>
        <v>17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1</v>
      </c>
      <c r="L4112" s="3" t="str">
        <f>IF(K4112&lt;-5,"CRÍTICO",IF(K4112&lt;0,"ATENÇÃO",IF(K4112&lt;=5,"OPORTUNO","MUITO BOM")))</f>
        <v>OPORTUNO</v>
      </c>
      <c r="M4112">
        <v>17</v>
      </c>
      <c r="N4112">
        <v>98.84</v>
      </c>
      <c r="O4112">
        <v>31.868131868131869</v>
      </c>
    </row>
    <row r="4113" spans="1:15" hidden="1" x14ac:dyDescent="0.25">
      <c r="A4113" s="11">
        <v>46129</v>
      </c>
      <c r="B4113" t="s">
        <v>30</v>
      </c>
      <c r="C4113" t="s">
        <v>26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>E4113+G4113+H4113</f>
        <v>14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16</v>
      </c>
      <c r="K4113" s="3">
        <f>I4113-J4113</f>
        <v>-2</v>
      </c>
      <c r="L4113" s="3" t="str">
        <f>IF(K4113&lt;-5,"CRÍTICO",IF(K4113&lt;0,"ATENÇÃO",IF(K4113&lt;=5,"OPORTUNO","MUITO BOM")))</f>
        <v>ATENÇÃO</v>
      </c>
      <c r="M4113">
        <v>15</v>
      </c>
      <c r="N4113">
        <v>100</v>
      </c>
      <c r="O4113">
        <v>34.666666666666671</v>
      </c>
    </row>
    <row r="4114" spans="1:15" hidden="1" x14ac:dyDescent="0.25">
      <c r="A4114" s="11">
        <v>46129</v>
      </c>
      <c r="B4114" t="s">
        <v>21</v>
      </c>
      <c r="C4114" t="s">
        <v>16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>E4114+G4114+H4114</f>
        <v>14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8</v>
      </c>
      <c r="K4114" s="3">
        <f>I4114-J4114</f>
        <v>6</v>
      </c>
      <c r="L4114" s="3" t="str">
        <f>IF(K4114&lt;-5,"CRÍTICO",IF(K4114&lt;0,"ATENÇÃO",IF(K4114&lt;=5,"OPORTUNO","MUITO BOM")))</f>
        <v>MUITO BOM</v>
      </c>
      <c r="M4114">
        <v>10</v>
      </c>
      <c r="N4114">
        <v>94.12</v>
      </c>
      <c r="O4114">
        <v>32.799999999999997</v>
      </c>
    </row>
    <row r="4115" spans="1:15" hidden="1" x14ac:dyDescent="0.25">
      <c r="A4115" s="11">
        <v>46129</v>
      </c>
      <c r="B4115" t="s">
        <v>63</v>
      </c>
      <c r="C4115" t="s">
        <v>23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>E4115+G4115+H4115</f>
        <v>26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18</v>
      </c>
      <c r="K4115" s="3">
        <f>I4115-J4115</f>
        <v>8</v>
      </c>
      <c r="L4115" s="3" t="str">
        <f>IF(K4115&lt;-5,"CRÍTICO",IF(K4115&lt;0,"ATENÇÃO",IF(K4115&lt;=5,"OPORTUNO","MUITO BOM")))</f>
        <v>MUITO BOM</v>
      </c>
      <c r="M4115">
        <v>21</v>
      </c>
      <c r="N4115">
        <v>98.32</v>
      </c>
      <c r="O4115">
        <v>26.858513189448441</v>
      </c>
    </row>
    <row r="4116" spans="1:15" hidden="1" x14ac:dyDescent="0.25">
      <c r="A4116" s="11">
        <v>46129</v>
      </c>
      <c r="B4116" t="s">
        <v>45</v>
      </c>
      <c r="C4116" t="s">
        <v>32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>E4116+G4116+H4116</f>
        <v>31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27</v>
      </c>
      <c r="K4116" s="3">
        <f>I4116-J4116</f>
        <v>4</v>
      </c>
      <c r="L4116" s="3" t="str">
        <f>IF(K4116&lt;-5,"CRÍTICO",IF(K4116&lt;0,"ATENÇÃO",IF(K4116&lt;=5,"OPORTUNO","MUITO BOM")))</f>
        <v>OPORTUNO</v>
      </c>
      <c r="M4116">
        <v>31</v>
      </c>
      <c r="N4116">
        <v>100</v>
      </c>
      <c r="O4116">
        <v>31.135531135531139</v>
      </c>
    </row>
    <row r="4117" spans="1:15" hidden="1" x14ac:dyDescent="0.25">
      <c r="A4117" s="11">
        <v>46129</v>
      </c>
      <c r="B4117" t="s">
        <v>64</v>
      </c>
      <c r="C4117" t="s">
        <v>23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>E4117+G4117+H4117</f>
        <v>17</v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>18</v>
      </c>
      <c r="K4117" s="3">
        <f>I4117-J4117</f>
        <v>-1</v>
      </c>
      <c r="L4117" s="3" t="str">
        <f>IF(K4117&lt;-5,"CRÍTICO",IF(K4117&lt;0,"ATENÇÃO",IF(K4117&lt;=5,"OPORTUNO","MUITO BOM")))</f>
        <v>ATENÇÃO</v>
      </c>
      <c r="M4117">
        <v>16</v>
      </c>
      <c r="N4117">
        <v>100</v>
      </c>
      <c r="O4117">
        <v>26.36986301369863</v>
      </c>
    </row>
    <row r="4118" spans="1:15" hidden="1" x14ac:dyDescent="0.25">
      <c r="A4118" s="11">
        <v>46129</v>
      </c>
      <c r="B4118" t="s">
        <v>46</v>
      </c>
      <c r="C4118" t="s">
        <v>32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v>0</v>
      </c>
      <c r="J4118" s="3">
        <v>0</v>
      </c>
      <c r="K4118" s="3">
        <v>0</v>
      </c>
      <c r="L4118" s="3" t="str">
        <f>IF(K4118&lt;-5,"CRÍTICO",IF(K4118&lt;0,"ATENÇÃO",IF(K4118&lt;=5,"OPORTUNO","MUITO BOM")))</f>
        <v>OPORTUNO</v>
      </c>
      <c r="M4118">
        <v>0</v>
      </c>
      <c r="N4118">
        <v>99.21</v>
      </c>
      <c r="O4118">
        <v>25.188916876574311</v>
      </c>
    </row>
    <row r="4119" spans="1:15" hidden="1" x14ac:dyDescent="0.25">
      <c r="A4119" s="11">
        <v>46132</v>
      </c>
      <c r="B4119" t="s">
        <v>47</v>
      </c>
      <c r="C4119" t="s">
        <v>48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>E4119+G4119+H4119</f>
        <v>27</v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>16</v>
      </c>
      <c r="K4119" s="3">
        <f>I4119-J4119</f>
        <v>11</v>
      </c>
      <c r="L4119" s="3" t="str">
        <f>IF(K4119&lt;-5,"CRÍTICO",IF(K4119&lt;0,"ATENÇÃO",IF(K4119&lt;=5,"OPORTUNO","MUITO BOM")))</f>
        <v>MUITO BOM</v>
      </c>
      <c r="M4119">
        <v>18</v>
      </c>
      <c r="N4119">
        <v>100</v>
      </c>
      <c r="O4119">
        <v>32.764505119453922</v>
      </c>
    </row>
    <row r="4120" spans="1:15" hidden="1" x14ac:dyDescent="0.25">
      <c r="A4120" s="11">
        <v>46132</v>
      </c>
      <c r="B4120" t="s">
        <v>31</v>
      </c>
      <c r="C4120" t="s">
        <v>32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v>0</v>
      </c>
      <c r="J4120" s="3">
        <v>0</v>
      </c>
      <c r="K4120" s="3">
        <v>0</v>
      </c>
      <c r="L4120" s="3" t="str">
        <f>IF(K4120&lt;-5,"CRÍTICO",IF(K4120&lt;0,"ATENÇÃO",IF(K4120&lt;=5,"OPORTUNO","MUITO BOM")))</f>
        <v>OPORTUNO</v>
      </c>
      <c r="M4120">
        <v>11</v>
      </c>
      <c r="N4120">
        <v>98.66</v>
      </c>
      <c r="O4120">
        <v>35.416666666666671</v>
      </c>
    </row>
    <row r="4121" spans="1:15" hidden="1" x14ac:dyDescent="0.25">
      <c r="A4121" s="11">
        <v>46132</v>
      </c>
      <c r="B4121" t="s">
        <v>59</v>
      </c>
      <c r="C4121" t="s">
        <v>23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>E4121+G4121+H4121</f>
        <v>24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14</v>
      </c>
      <c r="K4121" s="3">
        <f>I4121-J4121</f>
        <v>10</v>
      </c>
      <c r="L4121" s="3" t="str">
        <f>IF(K4121&lt;-5,"CRÍTICO",IF(K4121&lt;0,"ATENÇÃO",IF(K4121&lt;=5,"OPORTUNO","MUITO BOM")))</f>
        <v>MUITO BOM</v>
      </c>
      <c r="M4121">
        <v>24</v>
      </c>
      <c r="N4121">
        <v>99.32</v>
      </c>
      <c r="O4121">
        <v>30.648330058939099</v>
      </c>
    </row>
    <row r="4122" spans="1:15" hidden="1" x14ac:dyDescent="0.25">
      <c r="A4122" s="11">
        <v>46132</v>
      </c>
      <c r="B4122" t="s">
        <v>33</v>
      </c>
      <c r="C4122" t="s">
        <v>32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>E4122+G4122+H4122</f>
        <v>15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21</v>
      </c>
      <c r="K4122" s="3">
        <f>I4122-J4122</f>
        <v>-6</v>
      </c>
      <c r="L4122" s="3" t="str">
        <f>IF(K4122&lt;-5,"CRÍTICO",IF(K4122&lt;0,"ATENÇÃO",IF(K4122&lt;=5,"OPORTUNO","MUITO BOM")))</f>
        <v>CRÍTICO</v>
      </c>
      <c r="M4122">
        <v>17</v>
      </c>
      <c r="N4122">
        <v>100</v>
      </c>
      <c r="O4122">
        <v>27.803738317757009</v>
      </c>
    </row>
    <row r="4123" spans="1:15" hidden="1" x14ac:dyDescent="0.25">
      <c r="A4123" s="11">
        <v>46132</v>
      </c>
      <c r="B4123" t="s">
        <v>15</v>
      </c>
      <c r="C4123" t="s">
        <v>16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>E4123+G4123+H4123</f>
        <v>11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6</v>
      </c>
      <c r="K4123" s="3">
        <f>I4123-J4123</f>
        <v>5</v>
      </c>
      <c r="L4123" s="3" t="str">
        <f>IF(K4123&lt;-5,"CRÍTICO",IF(K4123&lt;0,"ATENÇÃO",IF(K4123&lt;=5,"OPORTUNO","MUITO BOM")))</f>
        <v>OPORTUNO</v>
      </c>
      <c r="M4123">
        <v>11</v>
      </c>
      <c r="N4123">
        <v>96.74</v>
      </c>
      <c r="O4123">
        <v>28.67647058823529</v>
      </c>
    </row>
    <row r="4124" spans="1:15" hidden="1" x14ac:dyDescent="0.25">
      <c r="A4124" s="11">
        <v>46132</v>
      </c>
      <c r="B4124" t="s">
        <v>49</v>
      </c>
      <c r="C4124" t="s">
        <v>48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>E4124+G4124+H4124</f>
        <v>30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14</v>
      </c>
      <c r="L4124" s="3" t="str">
        <f>IF(K4124&lt;-5,"CRÍTICO",IF(K4124&lt;0,"ATENÇÃO",IF(K4124&lt;=5,"OPORTUNO","MUITO BOM")))</f>
        <v>MUITO BOM</v>
      </c>
      <c r="M4124">
        <v>32</v>
      </c>
      <c r="N4124">
        <v>98.82</v>
      </c>
      <c r="O4124">
        <v>30.741410488245929</v>
      </c>
    </row>
    <row r="4125" spans="1:15" hidden="1" x14ac:dyDescent="0.25">
      <c r="A4125" s="11">
        <v>46132</v>
      </c>
      <c r="B4125" t="s">
        <v>50</v>
      </c>
      <c r="C4125" t="s">
        <v>48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>E4125+G4125+H4125</f>
        <v>25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16</v>
      </c>
      <c r="K4125" s="3">
        <f>I4125-J4125</f>
        <v>9</v>
      </c>
      <c r="L4125" s="3" t="str">
        <f>IF(K4125&lt;-5,"CRÍTICO",IF(K4125&lt;0,"ATENÇÃO",IF(K4125&lt;=5,"OPORTUNO","MUITO BOM")))</f>
        <v>MUITO BOM</v>
      </c>
      <c r="M4125">
        <v>24</v>
      </c>
      <c r="N4125">
        <v>98.2</v>
      </c>
      <c r="O4125">
        <v>27.170868347338931</v>
      </c>
    </row>
    <row r="4126" spans="1:15" hidden="1" x14ac:dyDescent="0.25">
      <c r="A4126" s="11">
        <v>46132</v>
      </c>
      <c r="B4126" t="s">
        <v>17</v>
      </c>
      <c r="C4126" t="s">
        <v>16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>E4126+G4126+H4126</f>
        <v>1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6</v>
      </c>
      <c r="K4126" s="3">
        <f>I4126-J4126</f>
        <v>-5</v>
      </c>
      <c r="L4126" s="3" t="str">
        <f>IF(K4126&lt;-5,"CRÍTICO",IF(K4126&lt;0,"ATENÇÃO",IF(K4126&lt;=5,"OPORTUNO","MUITO BOM")))</f>
        <v>ATENÇÃO</v>
      </c>
      <c r="M4126">
        <v>1</v>
      </c>
      <c r="N4126">
        <v>100</v>
      </c>
      <c r="O4126">
        <v>23.134328358208951</v>
      </c>
    </row>
    <row r="4127" spans="1:15" hidden="1" x14ac:dyDescent="0.25">
      <c r="A4127" s="11">
        <v>46132</v>
      </c>
      <c r="B4127" t="s">
        <v>60</v>
      </c>
      <c r="C4127" t="s">
        <v>23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>E4127+G4127+H4127</f>
        <v>19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14</v>
      </c>
      <c r="K4127" s="3">
        <f>I4127-J4127</f>
        <v>5</v>
      </c>
      <c r="L4127" s="3" t="str">
        <f>IF(K4127&lt;-5,"CRÍTICO",IF(K4127&lt;0,"ATENÇÃO",IF(K4127&lt;=5,"OPORTUNO","MUITO BOM")))</f>
        <v>OPORTUNO</v>
      </c>
      <c r="M4127">
        <v>19</v>
      </c>
      <c r="N4127">
        <v>96.3</v>
      </c>
      <c r="O4127">
        <v>32.219570405727922</v>
      </c>
    </row>
    <row r="4128" spans="1:15" hidden="1" x14ac:dyDescent="0.25">
      <c r="A4128" s="11">
        <v>46132</v>
      </c>
      <c r="B4128" t="s">
        <v>34</v>
      </c>
      <c r="C4128" t="s">
        <v>32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>E4128+G4128+H4128</f>
        <v>21</v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>21</v>
      </c>
      <c r="K4128" s="3">
        <f>I4128-J4128</f>
        <v>0</v>
      </c>
      <c r="L4128" s="3" t="str">
        <f>IF(K4128&lt;-5,"CRÍTICO",IF(K4128&lt;0,"ATENÇÃO",IF(K4128&lt;=5,"OPORTUNO","MUITO BOM")))</f>
        <v>OPORTUNO</v>
      </c>
      <c r="M4128">
        <v>16</v>
      </c>
      <c r="N4128">
        <v>93.75</v>
      </c>
      <c r="O4128">
        <v>26.819923371647509</v>
      </c>
    </row>
    <row r="4129" spans="1:15" hidden="1" x14ac:dyDescent="0.25">
      <c r="A4129" s="11">
        <v>46132</v>
      </c>
      <c r="B4129" t="s">
        <v>51</v>
      </c>
      <c r="C4129" t="s">
        <v>48</v>
      </c>
      <c r="D4129">
        <v>24</v>
      </c>
      <c r="E4129">
        <v>22</v>
      </c>
      <c r="F4129">
        <v>18.3</v>
      </c>
      <c r="G4129">
        <v>0</v>
      </c>
      <c r="H4129">
        <v>0</v>
      </c>
      <c r="I4129" s="3">
        <v>0</v>
      </c>
      <c r="J4129" s="3">
        <v>0</v>
      </c>
      <c r="K4129" s="3">
        <v>0</v>
      </c>
      <c r="L4129" s="3" t="str">
        <f>IF(K4129&lt;-5,"CRÍTICO",IF(K4129&lt;0,"ATENÇÃO",IF(K4129&lt;=5,"OPORTUNO","MUITO BOM")))</f>
        <v>OPORTUNO</v>
      </c>
      <c r="M4129">
        <v>24</v>
      </c>
      <c r="N4129">
        <v>97.86</v>
      </c>
      <c r="O4129">
        <v>31.018518518518519</v>
      </c>
    </row>
    <row r="4130" spans="1:15" hidden="1" x14ac:dyDescent="0.25">
      <c r="A4130" s="11">
        <v>46132</v>
      </c>
      <c r="B4130" t="s">
        <v>61</v>
      </c>
      <c r="C4130" t="s">
        <v>23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>E4130+G4130+H4130</f>
        <v>17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14</v>
      </c>
      <c r="K4130" s="3">
        <f>I4130-J4130</f>
        <v>3</v>
      </c>
      <c r="L4130" s="3" t="str">
        <f>IF(K4130&lt;-5,"CRÍTICO",IF(K4130&lt;0,"ATENÇÃO",IF(K4130&lt;=5,"OPORTUNO","MUITO BOM")))</f>
        <v>OPORTUNO</v>
      </c>
      <c r="M4130">
        <v>11</v>
      </c>
      <c r="N4130">
        <v>100</v>
      </c>
      <c r="O4130">
        <v>36.594202898550733</v>
      </c>
    </row>
    <row r="4131" spans="1:15" hidden="1" x14ac:dyDescent="0.25">
      <c r="A4131" s="11">
        <v>46132</v>
      </c>
      <c r="B4131" t="s">
        <v>35</v>
      </c>
      <c r="C4131" t="s">
        <v>32</v>
      </c>
      <c r="D4131">
        <v>24</v>
      </c>
      <c r="E4131">
        <v>23</v>
      </c>
      <c r="F4131">
        <v>19.12</v>
      </c>
      <c r="G4131">
        <v>0</v>
      </c>
      <c r="H4131">
        <v>0</v>
      </c>
      <c r="I4131" s="3">
        <v>0</v>
      </c>
      <c r="J4131" s="3">
        <v>0</v>
      </c>
      <c r="K4131" s="3">
        <v>0</v>
      </c>
      <c r="L4131" s="3" t="str">
        <f>IF(K4131&lt;-5,"CRÍTICO",IF(K4131&lt;0,"ATENÇÃO",IF(K4131&lt;=5,"OPORTUNO","MUITO BOM")))</f>
        <v>OPORTUNO</v>
      </c>
      <c r="M4131">
        <v>23</v>
      </c>
      <c r="N4131">
        <v>100</v>
      </c>
      <c r="O4131">
        <v>38.653846153846153</v>
      </c>
    </row>
    <row r="4132" spans="1:15" hidden="1" x14ac:dyDescent="0.25">
      <c r="A4132" s="11">
        <v>46132</v>
      </c>
      <c r="B4132" t="s">
        <v>18</v>
      </c>
      <c r="C4132" t="s">
        <v>16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>E4132+G4132+H4132</f>
        <v>6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6</v>
      </c>
      <c r="K4132" s="3">
        <f>I4132-J4132</f>
        <v>0</v>
      </c>
      <c r="L4132" s="3" t="str">
        <f>IF(K4132&lt;-5,"CRÍTICO",IF(K4132&lt;0,"ATENÇÃO",IF(K4132&lt;=5,"OPORTUNO","MUITO BOM")))</f>
        <v>OPORTUNO</v>
      </c>
      <c r="M4132">
        <v>4</v>
      </c>
      <c r="N4132">
        <v>100</v>
      </c>
      <c r="O4132">
        <v>27.368421052631579</v>
      </c>
    </row>
    <row r="4133" spans="1:15" hidden="1" x14ac:dyDescent="0.25">
      <c r="A4133" s="11">
        <v>46132</v>
      </c>
      <c r="B4133" t="s">
        <v>52</v>
      </c>
      <c r="C4133" t="s">
        <v>48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>E4133+G4133+H4133</f>
        <v>25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16</v>
      </c>
      <c r="K4133" s="3">
        <f>I4133-J4133</f>
        <v>9</v>
      </c>
      <c r="L4133" s="3" t="str">
        <f>IF(K4133&lt;-5,"CRÍTICO",IF(K4133&lt;0,"ATENÇÃO",IF(K4133&lt;=5,"OPORTUNO","MUITO BOM")))</f>
        <v>MUITO BOM</v>
      </c>
      <c r="M4133">
        <v>22</v>
      </c>
      <c r="N4133">
        <v>97.83</v>
      </c>
      <c r="O4133">
        <v>28.35164835164835</v>
      </c>
    </row>
    <row r="4134" spans="1:15" hidden="1" x14ac:dyDescent="0.25">
      <c r="A4134" s="11">
        <v>46132</v>
      </c>
      <c r="B4134" t="s">
        <v>36</v>
      </c>
      <c r="C4134" t="s">
        <v>32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>E4134+G4134+H4134</f>
        <v>23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21</v>
      </c>
      <c r="K4134" s="3">
        <f>I4134-J4134</f>
        <v>2</v>
      </c>
      <c r="L4134" s="3" t="str">
        <f>IF(K4134&lt;-5,"CRÍTICO",IF(K4134&lt;0,"ATENÇÃO",IF(K4134&lt;=5,"OPORTUNO","MUITO BOM")))</f>
        <v>OPORTUNO</v>
      </c>
      <c r="M4134">
        <v>24</v>
      </c>
      <c r="N4134">
        <v>99.26</v>
      </c>
      <c r="O4134">
        <v>29.766536964980549</v>
      </c>
    </row>
    <row r="4135" spans="1:15" hidden="1" x14ac:dyDescent="0.25">
      <c r="A4135" s="11">
        <v>46132</v>
      </c>
      <c r="B4135" t="s">
        <v>53</v>
      </c>
      <c r="C4135" t="s">
        <v>48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>E4135+G4135+H4135</f>
        <v>9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16</v>
      </c>
      <c r="K4135" s="3">
        <f>I4135-J4135</f>
        <v>-7</v>
      </c>
      <c r="L4135" s="3" t="str">
        <f>IF(K4135&lt;-5,"CRÍTICO",IF(K4135&lt;0,"ATENÇÃO",IF(K4135&lt;=5,"OPORTUNO","MUITO BOM")))</f>
        <v>CRÍTICO</v>
      </c>
      <c r="M4135">
        <v>7</v>
      </c>
      <c r="N4135">
        <v>99.19</v>
      </c>
      <c r="O4135">
        <v>29.462365591397852</v>
      </c>
    </row>
    <row r="4136" spans="1:15" hidden="1" x14ac:dyDescent="0.25">
      <c r="A4136" s="11">
        <v>46140</v>
      </c>
      <c r="B4136" t="s">
        <v>50</v>
      </c>
      <c r="C4136" t="s">
        <v>48</v>
      </c>
      <c r="D4136">
        <v>24</v>
      </c>
      <c r="E4136">
        <v>23</v>
      </c>
      <c r="F4136">
        <v>25.57</v>
      </c>
      <c r="G4136">
        <v>0</v>
      </c>
      <c r="H4136">
        <v>0</v>
      </c>
      <c r="I4136" s="3">
        <f>E4136+G4136+H4136</f>
        <v>23</v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>27</v>
      </c>
      <c r="K4136" s="3">
        <f>I4136-J4136</f>
        <v>-4</v>
      </c>
      <c r="L4136" s="3" t="str">
        <f>IF(K4136&lt;-5,"CRÍTICO",IF(K4136&lt;0,"ATENÇÃO",IF(K4136&lt;=5,"OPORTUNO","MUITO BOM")))</f>
        <v>ATENÇÃO</v>
      </c>
      <c r="M4136">
        <v>23</v>
      </c>
      <c r="N4136">
        <v>98.2</v>
      </c>
      <c r="O4136">
        <v>27.170868347338931</v>
      </c>
    </row>
    <row r="4137" spans="1:15" hidden="1" x14ac:dyDescent="0.25">
      <c r="A4137" s="11">
        <v>46132</v>
      </c>
      <c r="B4137" t="s">
        <v>54</v>
      </c>
      <c r="C4137" t="s">
        <v>48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v>0</v>
      </c>
      <c r="J4137" s="3">
        <v>0</v>
      </c>
      <c r="K4137" s="3">
        <v>0</v>
      </c>
      <c r="L4137" s="3" t="str">
        <f>IF(K4137&lt;-5,"CRÍTICO",IF(K4137&lt;0,"ATENÇÃO",IF(K4137&lt;=5,"OPORTUNO","MUITO BOM")))</f>
        <v>OPORTUNO</v>
      </c>
      <c r="M4137">
        <v>0</v>
      </c>
      <c r="N4137">
        <v>100</v>
      </c>
      <c r="O4137">
        <v>28.921568627450981</v>
      </c>
    </row>
    <row r="4138" spans="1:15" hidden="1" x14ac:dyDescent="0.25">
      <c r="A4138" s="11">
        <v>46132</v>
      </c>
      <c r="B4138" t="s">
        <v>37</v>
      </c>
      <c r="C4138" t="s">
        <v>32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>E4138+G4138+H4138</f>
        <v>30</v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>21</v>
      </c>
      <c r="K4138" s="3">
        <f>I4138-J4138</f>
        <v>9</v>
      </c>
      <c r="L4138" s="3" t="str">
        <f>IF(K4138&lt;-5,"CRÍTICO",IF(K4138&lt;0,"ATENÇÃO",IF(K4138&lt;=5,"OPORTUNO","MUITO BOM")))</f>
        <v>MUITO BOM</v>
      </c>
      <c r="M4138">
        <v>27</v>
      </c>
      <c r="N4138">
        <v>99.57</v>
      </c>
      <c r="O4138">
        <v>30.635838150289018</v>
      </c>
    </row>
    <row r="4139" spans="1:15" hidden="1" x14ac:dyDescent="0.25">
      <c r="A4139" s="11">
        <v>46132</v>
      </c>
      <c r="B4139" t="s">
        <v>38</v>
      </c>
      <c r="C4139" t="s">
        <v>32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v>0</v>
      </c>
      <c r="J4139" s="3">
        <v>0</v>
      </c>
      <c r="K4139" s="3">
        <v>0</v>
      </c>
      <c r="L4139" s="3" t="str">
        <f>IF(K4139&lt;-5,"CRÍTICO",IF(K4139&lt;0,"ATENÇÃO",IF(K4139&lt;=5,"OPORTUNO","MUITO BOM")))</f>
        <v>OPORTUNO</v>
      </c>
      <c r="M4139">
        <v>0</v>
      </c>
      <c r="N4139">
        <v>95.65</v>
      </c>
      <c r="O4139">
        <v>32.432432432432442</v>
      </c>
    </row>
    <row r="4140" spans="1:15" hidden="1" x14ac:dyDescent="0.25">
      <c r="A4140" s="11">
        <v>46132</v>
      </c>
      <c r="B4140" t="s">
        <v>55</v>
      </c>
      <c r="C4140" t="s">
        <v>48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>E4140+G4140+H4140</f>
        <v>23</v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>16</v>
      </c>
      <c r="K4140" s="3">
        <f>I4140-J4140</f>
        <v>7</v>
      </c>
      <c r="L4140" s="3" t="str">
        <f>IF(K4140&lt;-5,"CRÍTICO",IF(K4140&lt;0,"ATENÇÃO",IF(K4140&lt;=5,"OPORTUNO","MUITO BOM")))</f>
        <v>MUITO BOM</v>
      </c>
      <c r="M4140">
        <v>19</v>
      </c>
      <c r="N4140">
        <v>98.81</v>
      </c>
      <c r="O4140">
        <v>26.256983240223459</v>
      </c>
    </row>
    <row r="4141" spans="1:15" hidden="1" x14ac:dyDescent="0.25">
      <c r="A4141" s="11">
        <v>46132</v>
      </c>
      <c r="B4141" t="s">
        <v>39</v>
      </c>
      <c r="C4141" t="s">
        <v>32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v>0</v>
      </c>
      <c r="J4141" s="3">
        <v>0</v>
      </c>
      <c r="K4141" s="3">
        <v>0</v>
      </c>
      <c r="L4141" s="3" t="str">
        <f>IF(K4141&lt;-5,"CRÍTICO",IF(K4141&lt;0,"ATENÇÃO",IF(K4141&lt;=5,"OPORTUNO","MUITO BOM")))</f>
        <v>OPORTUNO</v>
      </c>
      <c r="M4141">
        <v>0</v>
      </c>
      <c r="N4141">
        <v>0</v>
      </c>
      <c r="O4141">
        <v>0</v>
      </c>
    </row>
    <row r="4142" spans="1:15" hidden="1" x14ac:dyDescent="0.25">
      <c r="A4142" s="11">
        <v>46132</v>
      </c>
      <c r="B4142" t="s">
        <v>25</v>
      </c>
      <c r="C4142" t="s">
        <v>26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>E4142+G4142+H4142</f>
        <v>6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12</v>
      </c>
      <c r="K4142" s="3">
        <f>I4142-J4142</f>
        <v>-6</v>
      </c>
      <c r="L4142" s="3" t="str">
        <f>IF(K4142&lt;-5,"CRÍTICO",IF(K4142&lt;0,"ATENÇÃO",IF(K4142&lt;=5,"OPORTUNO","MUITO BOM")))</f>
        <v>CRÍTICO</v>
      </c>
      <c r="M4142">
        <v>5</v>
      </c>
      <c r="N4142">
        <v>97.17</v>
      </c>
      <c r="O4142">
        <v>28.81844380403458</v>
      </c>
    </row>
    <row r="4143" spans="1:15" hidden="1" x14ac:dyDescent="0.25">
      <c r="A4143" s="11">
        <v>46132</v>
      </c>
      <c r="B4143" t="s">
        <v>40</v>
      </c>
      <c r="C4143" t="s">
        <v>32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v>0</v>
      </c>
      <c r="J4143" s="3">
        <v>0</v>
      </c>
      <c r="K4143" s="3">
        <v>0</v>
      </c>
      <c r="L4143" s="3" t="str">
        <f>IF(K4143&lt;-5,"CRÍTICO",IF(K4143&lt;0,"ATENÇÃO",IF(K4143&lt;=5,"OPORTUNO","MUITO BOM")))</f>
        <v>OPORTUNO</v>
      </c>
      <c r="M4143">
        <v>17</v>
      </c>
      <c r="N4143">
        <v>96.81</v>
      </c>
      <c r="O4143">
        <v>48.018648018648022</v>
      </c>
    </row>
    <row r="4144" spans="1:15" hidden="1" x14ac:dyDescent="0.25">
      <c r="A4144" s="11">
        <v>46132</v>
      </c>
      <c r="B4144" t="s">
        <v>27</v>
      </c>
      <c r="C4144" t="s">
        <v>26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>E4144+G4144+H4144</f>
        <v>8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12</v>
      </c>
      <c r="K4144" s="3">
        <f>I4144-J4144</f>
        <v>-4</v>
      </c>
      <c r="L4144" s="3" t="str">
        <f>IF(K4144&lt;-5,"CRÍTICO",IF(K4144&lt;0,"ATENÇÃO",IF(K4144&lt;=5,"OPORTUNO","MUITO BOM")))</f>
        <v>ATENÇÃO</v>
      </c>
      <c r="M4144">
        <v>6</v>
      </c>
      <c r="N4144">
        <v>98.15</v>
      </c>
      <c r="O4144">
        <v>27.1551724137931</v>
      </c>
    </row>
    <row r="4145" spans="1:15" hidden="1" x14ac:dyDescent="0.25">
      <c r="A4145" s="11">
        <v>46132</v>
      </c>
      <c r="B4145" t="s">
        <v>41</v>
      </c>
      <c r="C4145" t="s">
        <v>32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>E4145+G4145+H4145</f>
        <v>23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21</v>
      </c>
      <c r="K4145" s="3">
        <f>I4145-J4145</f>
        <v>2</v>
      </c>
      <c r="L4145" s="3" t="str">
        <f>IF(K4145&lt;-5,"CRÍTICO",IF(K4145&lt;0,"ATENÇÃO",IF(K4145&lt;=5,"OPORTUNO","MUITO BOM")))</f>
        <v>OPORTUNO</v>
      </c>
      <c r="M4145">
        <v>22</v>
      </c>
      <c r="N4145">
        <v>99.15</v>
      </c>
      <c r="O4145">
        <v>27.586206896551719</v>
      </c>
    </row>
    <row r="4146" spans="1:15" hidden="1" x14ac:dyDescent="0.25">
      <c r="A4146" s="11">
        <v>46132</v>
      </c>
      <c r="B4146" t="s">
        <v>56</v>
      </c>
      <c r="C4146" t="s">
        <v>48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>E4146+G4146+H4146</f>
        <v>19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16</v>
      </c>
      <c r="K4146" s="3">
        <f>I4146-J4146</f>
        <v>3</v>
      </c>
      <c r="L4146" s="3" t="str">
        <f>IF(K4146&lt;-5,"CRÍTICO",IF(K4146&lt;0,"ATENÇÃO",IF(K4146&lt;=5,"OPORTUNO","MUITO BOM")))</f>
        <v>OPORTUNO</v>
      </c>
      <c r="M4146">
        <v>9</v>
      </c>
      <c r="N4146">
        <v>99.17</v>
      </c>
      <c r="O4146">
        <v>29.75206611570248</v>
      </c>
    </row>
    <row r="4147" spans="1:15" hidden="1" x14ac:dyDescent="0.25">
      <c r="A4147" s="11">
        <v>46132</v>
      </c>
      <c r="B4147" t="s">
        <v>57</v>
      </c>
      <c r="C4147" t="s">
        <v>48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>
        <v>0</v>
      </c>
      <c r="N4147">
        <v>98.73</v>
      </c>
      <c r="O4147">
        <v>28.961748633879779</v>
      </c>
    </row>
    <row r="4148" spans="1:15" hidden="1" x14ac:dyDescent="0.25">
      <c r="A4148" s="11">
        <v>46132</v>
      </c>
      <c r="B4148" t="s">
        <v>42</v>
      </c>
      <c r="C4148" t="s">
        <v>32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v>0</v>
      </c>
      <c r="J4148" s="3">
        <v>0</v>
      </c>
      <c r="K4148" s="3">
        <v>0</v>
      </c>
      <c r="L4148" s="3" t="str">
        <f>IF(K4148&lt;-5,"CRÍTICO",IF(K4148&lt;0,"ATENÇÃO",IF(K4148&lt;=5,"OPORTUNO","MUITO BOM")))</f>
        <v>OPORTUNO</v>
      </c>
      <c r="M4148">
        <v>0</v>
      </c>
      <c r="N4148">
        <v>88.68</v>
      </c>
      <c r="O4148">
        <v>22.03389830508474</v>
      </c>
    </row>
    <row r="4149" spans="1:15" hidden="1" x14ac:dyDescent="0.25">
      <c r="A4149" s="11">
        <v>46132</v>
      </c>
      <c r="B4149" t="s">
        <v>62</v>
      </c>
      <c r="C4149" t="s">
        <v>23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>E4149+G4149+H4149</f>
        <v>11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14</v>
      </c>
      <c r="K4149" s="3">
        <f>I4149-J4149</f>
        <v>-3</v>
      </c>
      <c r="L4149" s="3" t="str">
        <f>IF(K4149&lt;-5,"CRÍTICO",IF(K4149&lt;0,"ATENÇÃO",IF(K4149&lt;=5,"OPORTUNO","MUITO BOM")))</f>
        <v>ATENÇÃO</v>
      </c>
      <c r="M4149">
        <v>13</v>
      </c>
      <c r="N4149">
        <v>97.37</v>
      </c>
      <c r="O4149">
        <v>25.76530612244898</v>
      </c>
    </row>
    <row r="4150" spans="1:15" hidden="1" x14ac:dyDescent="0.25">
      <c r="A4150" s="11">
        <v>46132</v>
      </c>
      <c r="B4150" t="s">
        <v>19</v>
      </c>
      <c r="C4150" t="s">
        <v>16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>E4150+G4150+H4150</f>
        <v>10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6</v>
      </c>
      <c r="K4150" s="3">
        <f>I4150-J4150</f>
        <v>4</v>
      </c>
      <c r="L4150" s="3" t="str">
        <f>IF(K4150&lt;-5,"CRÍTICO",IF(K4150&lt;0,"ATENÇÃO",IF(K4150&lt;=5,"OPORTUNO","MUITO BOM")))</f>
        <v>OPORTUNO</v>
      </c>
      <c r="M4150">
        <v>8</v>
      </c>
      <c r="N4150">
        <v>100</v>
      </c>
      <c r="O4150">
        <v>25</v>
      </c>
    </row>
    <row r="4151" spans="1:15" hidden="1" x14ac:dyDescent="0.25">
      <c r="A4151" s="11">
        <v>46132</v>
      </c>
      <c r="B4151" t="s">
        <v>43</v>
      </c>
      <c r="C4151" t="s">
        <v>32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>E4151+G4151+H4151</f>
        <v>21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0</v>
      </c>
      <c r="L4151" s="3" t="str">
        <f>IF(K4151&lt;-5,"CRÍTICO",IF(K4151&lt;0,"ATENÇÃO",IF(K4151&lt;=5,"OPORTUNO","MUITO BOM")))</f>
        <v>OPORTUNO</v>
      </c>
      <c r="M4151">
        <v>23</v>
      </c>
      <c r="N4151">
        <v>100</v>
      </c>
      <c r="O4151">
        <v>23.9870340356564</v>
      </c>
    </row>
    <row r="4152" spans="1:15" hidden="1" x14ac:dyDescent="0.25">
      <c r="A4152" s="11">
        <v>46132</v>
      </c>
      <c r="B4152" t="s">
        <v>44</v>
      </c>
      <c r="C4152" t="s">
        <v>32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>E4152+G4152+H4152</f>
        <v>26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21</v>
      </c>
      <c r="K4152" s="3">
        <f>I4152-J4152</f>
        <v>5</v>
      </c>
      <c r="L4152" s="3" t="str">
        <f>IF(K4152&lt;-5,"CRÍTICO",IF(K4152&lt;0,"ATENÇÃO",IF(K4152&lt;=5,"OPORTUNO","MUITO BOM")))</f>
        <v>OPORTUNO</v>
      </c>
      <c r="M4152">
        <v>22</v>
      </c>
      <c r="N4152">
        <v>95.49</v>
      </c>
      <c r="O4152">
        <v>28.370221327967808</v>
      </c>
    </row>
    <row r="4153" spans="1:15" hidden="1" x14ac:dyDescent="0.25">
      <c r="A4153" s="11">
        <v>46132</v>
      </c>
      <c r="B4153" t="s">
        <v>20</v>
      </c>
      <c r="C4153" t="s">
        <v>16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v>0</v>
      </c>
      <c r="J4153" s="3">
        <v>0</v>
      </c>
      <c r="K4153" s="3">
        <v>0</v>
      </c>
      <c r="L4153" s="3" t="str">
        <f>IF(K4153&lt;-5,"CRÍTICO",IF(K4153&lt;0,"ATENÇÃO",IF(K4153&lt;=5,"OPORTUNO","MUITO BOM")))</f>
        <v>OPORTUNO</v>
      </c>
      <c r="M4153">
        <v>0</v>
      </c>
      <c r="N4153">
        <v>100</v>
      </c>
      <c r="O4153">
        <v>23.77622377622378</v>
      </c>
    </row>
    <row r="4154" spans="1:15" hidden="1" x14ac:dyDescent="0.25">
      <c r="A4154" s="11">
        <v>46132</v>
      </c>
      <c r="B4154" t="s">
        <v>28</v>
      </c>
      <c r="C4154" t="s">
        <v>26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>E4154+G4154+H4154</f>
        <v>8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12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>
        <v>7</v>
      </c>
      <c r="N4154">
        <v>96.15</v>
      </c>
      <c r="O4154">
        <v>24.045801526717561</v>
      </c>
    </row>
    <row r="4155" spans="1:15" hidden="1" x14ac:dyDescent="0.25">
      <c r="A4155" s="11">
        <v>46132</v>
      </c>
      <c r="B4155" t="s">
        <v>58</v>
      </c>
      <c r="C4155" t="s">
        <v>48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>E4155+G4155+H4155</f>
        <v>12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16</v>
      </c>
      <c r="K4155" s="3">
        <f>I4155-J4155</f>
        <v>-4</v>
      </c>
      <c r="L4155" s="3" t="str">
        <f>IF(K4155&lt;-5,"CRÍTICO",IF(K4155&lt;0,"ATENÇÃO",IF(K4155&lt;=5,"OPORTUNO","MUITO BOM")))</f>
        <v>ATENÇÃO</v>
      </c>
      <c r="M4155">
        <v>14</v>
      </c>
      <c r="N4155">
        <v>99.02</v>
      </c>
      <c r="O4155">
        <v>34.797297297297298</v>
      </c>
    </row>
    <row r="4156" spans="1:15" hidden="1" x14ac:dyDescent="0.25">
      <c r="A4156" s="11">
        <v>46132</v>
      </c>
      <c r="B4156" t="s">
        <v>29</v>
      </c>
      <c r="C4156" t="s">
        <v>26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>E4156+G4156+H4156</f>
        <v>10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-2</v>
      </c>
      <c r="L4156" s="3" t="str">
        <f>IF(K4156&lt;-5,"CRÍTICO",IF(K4156&lt;0,"ATENÇÃO",IF(K4156&lt;=5,"OPORTUNO","MUITO BOM")))</f>
        <v>ATENÇÃO</v>
      </c>
      <c r="M4156">
        <v>10</v>
      </c>
      <c r="N4156">
        <v>98.84</v>
      </c>
      <c r="O4156">
        <v>31.868131868131869</v>
      </c>
    </row>
    <row r="4157" spans="1:15" hidden="1" x14ac:dyDescent="0.25">
      <c r="A4157" s="11">
        <v>46132</v>
      </c>
      <c r="B4157" t="s">
        <v>30</v>
      </c>
      <c r="C4157" t="s">
        <v>26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>E4157+G4157+H4157</f>
        <v>9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12</v>
      </c>
      <c r="K4157" s="3">
        <f>I4157-J4157</f>
        <v>-3</v>
      </c>
      <c r="L4157" s="3" t="str">
        <f>IF(K4157&lt;-5,"CRÍTICO",IF(K4157&lt;0,"ATENÇÃO",IF(K4157&lt;=5,"OPORTUNO","MUITO BOM")))</f>
        <v>ATENÇÃO</v>
      </c>
      <c r="M4157">
        <v>8</v>
      </c>
      <c r="N4157">
        <v>100</v>
      </c>
      <c r="O4157">
        <v>34.666666666666671</v>
      </c>
    </row>
    <row r="4158" spans="1:15" hidden="1" x14ac:dyDescent="0.25">
      <c r="A4158" s="11">
        <v>46132</v>
      </c>
      <c r="B4158" t="s">
        <v>21</v>
      </c>
      <c r="C4158" t="s">
        <v>16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>E4158+G4158+H4158</f>
        <v>6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6</v>
      </c>
      <c r="K4158" s="3">
        <f>I4158-J4158</f>
        <v>0</v>
      </c>
      <c r="L4158" s="3" t="str">
        <f>IF(K4158&lt;-5,"CRÍTICO",IF(K4158&lt;0,"ATENÇÃO",IF(K4158&lt;=5,"OPORTUNO","MUITO BOM")))</f>
        <v>OPORTUNO</v>
      </c>
      <c r="M4158">
        <v>5</v>
      </c>
      <c r="N4158">
        <v>94.12</v>
      </c>
      <c r="O4158">
        <v>32.799999999999997</v>
      </c>
    </row>
    <row r="4159" spans="1:15" hidden="1" x14ac:dyDescent="0.25">
      <c r="A4159" s="11">
        <v>46132</v>
      </c>
      <c r="B4159" t="s">
        <v>63</v>
      </c>
      <c r="C4159" t="s">
        <v>23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>E4159+G4159+H4159</f>
        <v>11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14</v>
      </c>
      <c r="K4159" s="3">
        <f>I4159-J4159</f>
        <v>-3</v>
      </c>
      <c r="L4159" s="3" t="str">
        <f>IF(K4159&lt;-5,"CRÍTICO",IF(K4159&lt;0,"ATENÇÃO",IF(K4159&lt;=5,"OPORTUNO","MUITO BOM")))</f>
        <v>ATENÇÃO</v>
      </c>
      <c r="M4159">
        <v>6</v>
      </c>
      <c r="N4159">
        <v>98.32</v>
      </c>
      <c r="O4159">
        <v>26.858513189448441</v>
      </c>
    </row>
    <row r="4160" spans="1:15" hidden="1" x14ac:dyDescent="0.25">
      <c r="A4160" s="11">
        <v>46132</v>
      </c>
      <c r="B4160" t="s">
        <v>45</v>
      </c>
      <c r="C4160" t="s">
        <v>32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>E4160+G4160+H4160</f>
        <v>30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21</v>
      </c>
      <c r="K4160" s="3">
        <f>I4160-J4160</f>
        <v>9</v>
      </c>
      <c r="L4160" s="3" t="str">
        <f>IF(K4160&lt;-5,"CRÍTICO",IF(K4160&lt;0,"ATENÇÃO",IF(K4160&lt;=5,"OPORTUNO","MUITO BOM")))</f>
        <v>MUITO BOM</v>
      </c>
      <c r="M4160">
        <v>19</v>
      </c>
      <c r="N4160">
        <v>100</v>
      </c>
      <c r="O4160">
        <v>31.135531135531139</v>
      </c>
    </row>
    <row r="4161" spans="1:15" hidden="1" x14ac:dyDescent="0.25">
      <c r="A4161" s="11">
        <v>46132</v>
      </c>
      <c r="B4161" t="s">
        <v>64</v>
      </c>
      <c r="C4161" t="s">
        <v>23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>E4161+G4161+H4161</f>
        <v>7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14</v>
      </c>
      <c r="K4161" s="3">
        <f>I4161-J4161</f>
        <v>-7</v>
      </c>
      <c r="L4161" s="3" t="str">
        <f>IF(K4161&lt;-5,"CRÍTICO",IF(K4161&lt;0,"ATENÇÃO",IF(K4161&lt;=5,"OPORTUNO","MUITO BOM")))</f>
        <v>CRÍTICO</v>
      </c>
      <c r="M4161">
        <v>7</v>
      </c>
      <c r="N4161">
        <v>100</v>
      </c>
      <c r="O4161">
        <v>26.36986301369863</v>
      </c>
    </row>
    <row r="4162" spans="1:15" hidden="1" x14ac:dyDescent="0.25">
      <c r="A4162" s="11">
        <v>46132</v>
      </c>
      <c r="B4162" t="s">
        <v>46</v>
      </c>
      <c r="C4162" t="s">
        <v>32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>E4162+G4162+H4162</f>
        <v>23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21</v>
      </c>
      <c r="K4162" s="3">
        <f>I4162-J4162</f>
        <v>2</v>
      </c>
      <c r="L4162" s="3" t="str">
        <f>IF(K4162&lt;-5,"CRÍTICO",IF(K4162&lt;0,"ATENÇÃO",IF(K4162&lt;=5,"OPORTUNO","MUITO BOM")))</f>
        <v>OPORTUNO</v>
      </c>
      <c r="M4162">
        <v>19</v>
      </c>
      <c r="N4162">
        <v>99.21</v>
      </c>
      <c r="O4162">
        <v>25.188916876574311</v>
      </c>
    </row>
    <row r="4163" spans="1:15" hidden="1" x14ac:dyDescent="0.25">
      <c r="A4163" s="11">
        <v>46134</v>
      </c>
      <c r="B4163" t="s">
        <v>47</v>
      </c>
      <c r="C4163" t="s">
        <v>48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>E4163+G4163+H4163</f>
        <v>38</v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>18</v>
      </c>
      <c r="K4163" s="3">
        <f>I4163-J4163</f>
        <v>20</v>
      </c>
      <c r="L4163" s="3" t="str">
        <f>IF(K4163&lt;-5,"CRÍTICO",IF(K4163&lt;0,"ATENÇÃO",IF(K4163&lt;=5,"OPORTUNO","MUITO BOM")))</f>
        <v>MUITO BOM</v>
      </c>
      <c r="M4163">
        <v>30</v>
      </c>
      <c r="N4163">
        <v>100</v>
      </c>
      <c r="O4163">
        <v>32.764505119453922</v>
      </c>
    </row>
    <row r="4164" spans="1:15" hidden="1" x14ac:dyDescent="0.25">
      <c r="A4164" s="11">
        <v>46134</v>
      </c>
      <c r="B4164" t="s">
        <v>31</v>
      </c>
      <c r="C4164" t="s">
        <v>32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v>0</v>
      </c>
      <c r="J4164" s="3">
        <v>0</v>
      </c>
      <c r="K4164" s="3">
        <v>0</v>
      </c>
      <c r="L4164" s="3" t="str">
        <f>IF(K4164&lt;-5,"CRÍTICO",IF(K4164&lt;0,"ATENÇÃO",IF(K4164&lt;=5,"OPORTUNO","MUITO BOM")))</f>
        <v>OPORTUNO</v>
      </c>
      <c r="M4164">
        <v>21</v>
      </c>
      <c r="N4164">
        <v>98.66</v>
      </c>
      <c r="O4164">
        <v>35.416666666666671</v>
      </c>
    </row>
    <row r="4165" spans="1:15" hidden="1" x14ac:dyDescent="0.25">
      <c r="A4165" s="11">
        <v>46134</v>
      </c>
      <c r="B4165" t="s">
        <v>59</v>
      </c>
      <c r="C4165" t="s">
        <v>23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>E4165+G4165+H4165</f>
        <v>30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15</v>
      </c>
      <c r="K4165" s="3">
        <f>I4165-J4165</f>
        <v>15</v>
      </c>
      <c r="L4165" s="3" t="str">
        <f>IF(K4165&lt;-5,"CRÍTICO",IF(K4165&lt;0,"ATENÇÃO",IF(K4165&lt;=5,"OPORTUNO","MUITO BOM")))</f>
        <v>MUITO BOM</v>
      </c>
      <c r="M4165">
        <v>32</v>
      </c>
      <c r="N4165">
        <v>99.32</v>
      </c>
      <c r="O4165">
        <v>30.648330058939099</v>
      </c>
    </row>
    <row r="4166" spans="1:15" hidden="1" x14ac:dyDescent="0.25">
      <c r="A4166" s="11">
        <v>46134</v>
      </c>
      <c r="B4166" t="s">
        <v>33</v>
      </c>
      <c r="C4166" t="s">
        <v>32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>E4166+G4166+H4166</f>
        <v>15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23</v>
      </c>
      <c r="K4166" s="3">
        <f>I4166-J4166</f>
        <v>-8</v>
      </c>
      <c r="L4166" s="3" t="str">
        <f>IF(K4166&lt;-5,"CRÍTICO",IF(K4166&lt;0,"ATENÇÃO",IF(K4166&lt;=5,"OPORTUNO","MUITO BOM")))</f>
        <v>CRÍTICO</v>
      </c>
      <c r="M4166">
        <v>13</v>
      </c>
      <c r="N4166">
        <v>100</v>
      </c>
      <c r="O4166">
        <v>27.803738317757009</v>
      </c>
    </row>
    <row r="4167" spans="1:15" hidden="1" x14ac:dyDescent="0.25">
      <c r="A4167" s="11">
        <v>46134</v>
      </c>
      <c r="B4167" t="s">
        <v>15</v>
      </c>
      <c r="C4167" t="s">
        <v>16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>E4167+G4167+H4167</f>
        <v>25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7</v>
      </c>
      <c r="K4167" s="3">
        <f>I4167-J4167</f>
        <v>18</v>
      </c>
      <c r="L4167" s="3" t="str">
        <f>IF(K4167&lt;-5,"CRÍTICO",IF(K4167&lt;0,"ATENÇÃO",IF(K4167&lt;=5,"OPORTUNO","MUITO BOM")))</f>
        <v>MUITO BOM</v>
      </c>
      <c r="M4167">
        <v>22</v>
      </c>
      <c r="N4167">
        <v>96.74</v>
      </c>
      <c r="O4167">
        <v>28.67647058823529</v>
      </c>
    </row>
    <row r="4168" spans="1:15" hidden="1" x14ac:dyDescent="0.25">
      <c r="A4168" s="11">
        <v>46134</v>
      </c>
      <c r="B4168" t="s">
        <v>49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>
        <v>0</v>
      </c>
      <c r="N4168">
        <v>98.82</v>
      </c>
      <c r="O4168">
        <v>30.741410488245929</v>
      </c>
    </row>
    <row r="4169" spans="1:15" hidden="1" x14ac:dyDescent="0.25">
      <c r="A4169" s="11">
        <v>46134</v>
      </c>
      <c r="B4169" t="s">
        <v>50</v>
      </c>
      <c r="C4169" t="s">
        <v>48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v>0</v>
      </c>
      <c r="J4169" s="3">
        <v>0</v>
      </c>
      <c r="K4169" s="3">
        <v>0</v>
      </c>
      <c r="L4169" s="3" t="str">
        <f>IF(K4169&lt;-5,"CRÍTICO",IF(K4169&lt;0,"ATENÇÃO",IF(K4169&lt;=5,"OPORTUNO","MUITO BOM")))</f>
        <v>OPORTUNO</v>
      </c>
      <c r="M4169">
        <v>0</v>
      </c>
      <c r="N4169">
        <v>98.2</v>
      </c>
      <c r="O4169">
        <v>27.170868347338931</v>
      </c>
    </row>
    <row r="4170" spans="1:15" hidden="1" x14ac:dyDescent="0.25">
      <c r="A4170" s="11">
        <v>46134</v>
      </c>
      <c r="B4170" t="s">
        <v>17</v>
      </c>
      <c r="C4170" t="s">
        <v>16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>E4170+G4170+H4170</f>
        <v>5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7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>
        <v>4</v>
      </c>
      <c r="N4170">
        <v>100</v>
      </c>
      <c r="O4170">
        <v>23.134328358208951</v>
      </c>
    </row>
    <row r="4171" spans="1:15" hidden="1" x14ac:dyDescent="0.25">
      <c r="A4171" s="11">
        <v>46134</v>
      </c>
      <c r="B4171" t="s">
        <v>60</v>
      </c>
      <c r="C4171" t="s">
        <v>23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>E4171+G4171+H4171</f>
        <v>13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15</v>
      </c>
      <c r="K4171" s="3">
        <f>I4171-J4171</f>
        <v>-2</v>
      </c>
      <c r="L4171" s="3" t="str">
        <f>IF(K4171&lt;-5,"CRÍTICO",IF(K4171&lt;0,"ATENÇÃO",IF(K4171&lt;=5,"OPORTUNO","MUITO BOM")))</f>
        <v>ATENÇÃO</v>
      </c>
      <c r="M4171">
        <v>13</v>
      </c>
      <c r="N4171">
        <v>96.3</v>
      </c>
      <c r="O4171">
        <v>32.219570405727922</v>
      </c>
    </row>
    <row r="4172" spans="1:15" hidden="1" x14ac:dyDescent="0.25">
      <c r="A4172" s="11">
        <v>46134</v>
      </c>
      <c r="B4172" t="s">
        <v>34</v>
      </c>
      <c r="C4172" t="s">
        <v>32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>E4172+G4172+H4172</f>
        <v>23</v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>23</v>
      </c>
      <c r="K4172" s="3">
        <f>I4172-J4172</f>
        <v>0</v>
      </c>
      <c r="L4172" s="3" t="str">
        <f>IF(K4172&lt;-5,"CRÍTICO",IF(K4172&lt;0,"ATENÇÃO",IF(K4172&lt;=5,"OPORTUNO","MUITO BOM")))</f>
        <v>OPORTUNO</v>
      </c>
      <c r="M4172">
        <v>19</v>
      </c>
      <c r="N4172">
        <v>93.75</v>
      </c>
      <c r="O4172">
        <v>26.819923371647509</v>
      </c>
    </row>
    <row r="4173" spans="1:15" hidden="1" x14ac:dyDescent="0.25">
      <c r="A4173" s="11">
        <v>46134</v>
      </c>
      <c r="B4173" t="s">
        <v>51</v>
      </c>
      <c r="C4173" t="s">
        <v>48</v>
      </c>
      <c r="D4173">
        <v>26</v>
      </c>
      <c r="E4173">
        <v>25</v>
      </c>
      <c r="F4173">
        <v>20.07</v>
      </c>
      <c r="G4173">
        <v>0</v>
      </c>
      <c r="H4173">
        <v>0</v>
      </c>
      <c r="I4173" s="3">
        <v>0</v>
      </c>
      <c r="J4173" s="3">
        <v>0</v>
      </c>
      <c r="K4173" s="3">
        <v>0</v>
      </c>
      <c r="L4173" s="3" t="str">
        <f>IF(K4173&lt;-5,"CRÍTICO",IF(K4173&lt;0,"ATENÇÃO",IF(K4173&lt;=5,"OPORTUNO","MUITO BOM")))</f>
        <v>OPORTUNO</v>
      </c>
      <c r="M4173">
        <v>21</v>
      </c>
      <c r="N4173">
        <v>97.86</v>
      </c>
      <c r="O4173">
        <v>31.018518518518519</v>
      </c>
    </row>
    <row r="4174" spans="1:15" hidden="1" x14ac:dyDescent="0.25">
      <c r="A4174" s="11">
        <v>46134</v>
      </c>
      <c r="B4174" t="s">
        <v>61</v>
      </c>
      <c r="C4174" t="s">
        <v>23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>E4174+G4174+H4174</f>
        <v>16</v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>15</v>
      </c>
      <c r="K4174" s="3">
        <f>I4174-J4174</f>
        <v>1</v>
      </c>
      <c r="L4174" s="3" t="str">
        <f>IF(K4174&lt;-5,"CRÍTICO",IF(K4174&lt;0,"ATENÇÃO",IF(K4174&lt;=5,"OPORTUNO","MUITO BOM")))</f>
        <v>OPORTUNO</v>
      </c>
      <c r="M4174">
        <v>8</v>
      </c>
      <c r="N4174">
        <v>100</v>
      </c>
      <c r="O4174">
        <v>36.594202898550733</v>
      </c>
    </row>
    <row r="4175" spans="1:15" hidden="1" x14ac:dyDescent="0.25">
      <c r="A4175" s="11">
        <v>46134</v>
      </c>
      <c r="B4175" t="s">
        <v>35</v>
      </c>
      <c r="C4175" t="s">
        <v>32</v>
      </c>
      <c r="D4175">
        <v>17</v>
      </c>
      <c r="E4175">
        <v>16</v>
      </c>
      <c r="F4175">
        <v>31.59</v>
      </c>
      <c r="G4175">
        <v>0</v>
      </c>
      <c r="H4175">
        <v>0</v>
      </c>
      <c r="I4175" s="3">
        <v>0</v>
      </c>
      <c r="J4175" s="3">
        <v>0</v>
      </c>
      <c r="K4175" s="3">
        <v>0</v>
      </c>
      <c r="L4175" s="3" t="str">
        <f>IF(K4175&lt;-5,"CRÍTICO",IF(K4175&lt;0,"ATENÇÃO",IF(K4175&lt;=5,"OPORTUNO","MUITO BOM")))</f>
        <v>OPORTUNO</v>
      </c>
      <c r="M4175">
        <v>16</v>
      </c>
      <c r="N4175">
        <v>100</v>
      </c>
      <c r="O4175">
        <v>38.653846153846153</v>
      </c>
    </row>
    <row r="4176" spans="1:15" hidden="1" x14ac:dyDescent="0.25">
      <c r="A4176" s="11">
        <v>46134</v>
      </c>
      <c r="B4176" t="s">
        <v>18</v>
      </c>
      <c r="C4176" t="s">
        <v>16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>E4176+G4176+H4176</f>
        <v>7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7</v>
      </c>
      <c r="K4176" s="3">
        <f>I4176-J4176</f>
        <v>0</v>
      </c>
      <c r="L4176" s="3" t="str">
        <f>IF(K4176&lt;-5,"CRÍTICO",IF(K4176&lt;0,"ATENÇÃO",IF(K4176&lt;=5,"OPORTUNO","MUITO BOM")))</f>
        <v>OPORTUNO</v>
      </c>
      <c r="M4176">
        <v>5</v>
      </c>
      <c r="N4176">
        <v>100</v>
      </c>
      <c r="O4176">
        <v>27.368421052631579</v>
      </c>
    </row>
    <row r="4177" spans="1:15" hidden="1" x14ac:dyDescent="0.25">
      <c r="A4177" s="11">
        <v>46134</v>
      </c>
      <c r="B4177" t="s">
        <v>52</v>
      </c>
      <c r="C4177" t="s">
        <v>48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>E4177+G4177+H4177</f>
        <v>29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18</v>
      </c>
      <c r="K4177" s="3">
        <f>I4177-J4177</f>
        <v>11</v>
      </c>
      <c r="L4177" s="3" t="str">
        <f>IF(K4177&lt;-5,"CRÍTICO",IF(K4177&lt;0,"ATENÇÃO",IF(K4177&lt;=5,"OPORTUNO","MUITO BOM")))</f>
        <v>MUITO BOM</v>
      </c>
      <c r="M4177">
        <v>27</v>
      </c>
      <c r="N4177">
        <v>97.83</v>
      </c>
      <c r="O4177">
        <v>28.35164835164835</v>
      </c>
    </row>
    <row r="4178" spans="1:15" hidden="1" x14ac:dyDescent="0.25">
      <c r="A4178" s="11">
        <v>46134</v>
      </c>
      <c r="B4178" t="s">
        <v>36</v>
      </c>
      <c r="C4178" t="s">
        <v>32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23</v>
      </c>
      <c r="K4178" s="3">
        <f>I4178-J4178</f>
        <v>-4</v>
      </c>
      <c r="L4178" s="3" t="str">
        <f>IF(K4178&lt;-5,"CRÍTICO",IF(K4178&lt;0,"ATENÇÃO",IF(K4178&lt;=5,"OPORTUNO","MUITO BOM")))</f>
        <v>ATENÇÃO</v>
      </c>
      <c r="M4178">
        <v>19</v>
      </c>
      <c r="N4178">
        <v>99.26</v>
      </c>
      <c r="O4178">
        <v>29.766536964980549</v>
      </c>
    </row>
    <row r="4179" spans="1:15" hidden="1" x14ac:dyDescent="0.25">
      <c r="A4179" s="11">
        <v>46134</v>
      </c>
      <c r="B4179" t="s">
        <v>53</v>
      </c>
      <c r="C4179" t="s">
        <v>48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>E4179+G4179+H4179</f>
        <v>19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18</v>
      </c>
      <c r="K4179" s="3">
        <f>I4179-J4179</f>
        <v>1</v>
      </c>
      <c r="L4179" s="3" t="str">
        <f>IF(K4179&lt;-5,"CRÍTICO",IF(K4179&lt;0,"ATENÇÃO",IF(K4179&lt;=5,"OPORTUNO","MUITO BOM")))</f>
        <v>OPORTUNO</v>
      </c>
      <c r="M4179">
        <v>17</v>
      </c>
      <c r="N4179">
        <v>99.19</v>
      </c>
      <c r="O4179">
        <v>29.462365591397852</v>
      </c>
    </row>
    <row r="4180" spans="1:15" hidden="1" x14ac:dyDescent="0.25">
      <c r="A4180" s="11">
        <v>46140</v>
      </c>
      <c r="B4180" t="s">
        <v>51</v>
      </c>
      <c r="C4180" t="s">
        <v>48</v>
      </c>
      <c r="D4180">
        <v>31</v>
      </c>
      <c r="E4180">
        <v>28</v>
      </c>
      <c r="F4180">
        <v>17.04</v>
      </c>
      <c r="G4180">
        <v>0</v>
      </c>
      <c r="H4180">
        <v>0</v>
      </c>
      <c r="I4180" s="3">
        <v>0</v>
      </c>
      <c r="J4180" s="3">
        <v>0</v>
      </c>
      <c r="K4180" s="3">
        <v>0</v>
      </c>
      <c r="L4180" s="3" t="str">
        <f>IF(K4180&lt;-5,"CRÍTICO",IF(K4180&lt;0,"ATENÇÃO",IF(K4180&lt;=5,"OPORTUNO","MUITO BOM")))</f>
        <v>OPORTUNO</v>
      </c>
      <c r="M4180">
        <v>28</v>
      </c>
      <c r="N4180">
        <v>97.86</v>
      </c>
      <c r="O4180">
        <v>31.018518518518519</v>
      </c>
    </row>
    <row r="4181" spans="1:15" hidden="1" x14ac:dyDescent="0.25">
      <c r="A4181" s="11">
        <v>46134</v>
      </c>
      <c r="B4181" t="s">
        <v>54</v>
      </c>
      <c r="C4181" t="s">
        <v>48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>E4181+G4181+H4181</f>
        <v>18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18</v>
      </c>
      <c r="K4181" s="3">
        <f>I4181-J4181</f>
        <v>0</v>
      </c>
      <c r="L4181" s="3" t="str">
        <f>IF(K4181&lt;-5,"CRÍTICO",IF(K4181&lt;0,"ATENÇÃO",IF(K4181&lt;=5,"OPORTUNO","MUITO BOM")))</f>
        <v>OPORTUNO</v>
      </c>
      <c r="M4181">
        <v>20</v>
      </c>
      <c r="N4181">
        <v>100</v>
      </c>
      <c r="O4181">
        <v>28.921568627450981</v>
      </c>
    </row>
    <row r="4182" spans="1:15" hidden="1" x14ac:dyDescent="0.25">
      <c r="A4182" s="11">
        <v>46134</v>
      </c>
      <c r="B4182" t="s">
        <v>37</v>
      </c>
      <c r="C4182" t="s">
        <v>32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>E4182+G4182+H4182</f>
        <v>30</v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>23</v>
      </c>
      <c r="K4182" s="3">
        <f>I4182-J4182</f>
        <v>7</v>
      </c>
      <c r="L4182" s="3" t="str">
        <f>IF(K4182&lt;-5,"CRÍTICO",IF(K4182&lt;0,"ATENÇÃO",IF(K4182&lt;=5,"OPORTUNO","MUITO BOM")))</f>
        <v>MUITO BOM</v>
      </c>
      <c r="M4182">
        <v>27</v>
      </c>
      <c r="N4182">
        <v>99.57</v>
      </c>
      <c r="O4182">
        <v>30.635838150289018</v>
      </c>
    </row>
    <row r="4183" spans="1:15" hidden="1" x14ac:dyDescent="0.25">
      <c r="A4183" s="11">
        <v>46134</v>
      </c>
      <c r="B4183" t="s">
        <v>38</v>
      </c>
      <c r="C4183" t="s">
        <v>32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v>0</v>
      </c>
      <c r="J4183" s="3">
        <v>0</v>
      </c>
      <c r="K4183" s="3">
        <v>0</v>
      </c>
      <c r="L4183" s="3" t="str">
        <f>IF(K4183&lt;-5,"CRÍTICO",IF(K4183&lt;0,"ATENÇÃO",IF(K4183&lt;=5,"OPORTUNO","MUITO BOM")))</f>
        <v>OPORTUNO</v>
      </c>
      <c r="M4183">
        <v>0</v>
      </c>
      <c r="N4183">
        <v>95.65</v>
      </c>
      <c r="O4183">
        <v>32.432432432432442</v>
      </c>
    </row>
    <row r="4184" spans="1:15" hidden="1" x14ac:dyDescent="0.25">
      <c r="A4184" s="11">
        <v>46134</v>
      </c>
      <c r="B4184" t="s">
        <v>55</v>
      </c>
      <c r="C4184" t="s">
        <v>48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>E4184+G4184+H4184</f>
        <v>21</v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>18</v>
      </c>
      <c r="K4184" s="3">
        <f>I4184-J4184</f>
        <v>3</v>
      </c>
      <c r="L4184" s="3" t="str">
        <f>IF(K4184&lt;-5,"CRÍTICO",IF(K4184&lt;0,"ATENÇÃO",IF(K4184&lt;=5,"OPORTUNO","MUITO BOM")))</f>
        <v>OPORTUNO</v>
      </c>
      <c r="M4184">
        <v>20</v>
      </c>
      <c r="N4184">
        <v>98.81</v>
      </c>
      <c r="O4184">
        <v>26.256983240223459</v>
      </c>
    </row>
    <row r="4185" spans="1:15" hidden="1" x14ac:dyDescent="0.25">
      <c r="A4185" s="11">
        <v>46134</v>
      </c>
      <c r="B4185" t="s">
        <v>39</v>
      </c>
      <c r="C4185" t="s">
        <v>32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v>0</v>
      </c>
      <c r="J4185" s="3">
        <v>0</v>
      </c>
      <c r="K4185" s="3">
        <v>0</v>
      </c>
      <c r="L4185" s="3" t="str">
        <f>IF(K4185&lt;-5,"CRÍTICO",IF(K4185&lt;0,"ATENÇÃO",IF(K4185&lt;=5,"OPORTUNO","MUITO BOM")))</f>
        <v>OPORTUNO</v>
      </c>
      <c r="M4185">
        <v>0</v>
      </c>
      <c r="N4185">
        <v>0</v>
      </c>
      <c r="O4185">
        <v>0</v>
      </c>
    </row>
    <row r="4186" spans="1:15" hidden="1" x14ac:dyDescent="0.25">
      <c r="A4186" s="11">
        <v>46134</v>
      </c>
      <c r="B4186" t="s">
        <v>25</v>
      </c>
      <c r="C4186" t="s">
        <v>26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>E4186+G4186+H4186</f>
        <v>9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13</v>
      </c>
      <c r="K4186" s="3">
        <f>I4186-J4186</f>
        <v>-4</v>
      </c>
      <c r="L4186" s="3" t="str">
        <f>IF(K4186&lt;-5,"CRÍTICO",IF(K4186&lt;0,"ATENÇÃO",IF(K4186&lt;=5,"OPORTUNO","MUITO BOM")))</f>
        <v>ATENÇÃO</v>
      </c>
      <c r="M4186">
        <v>10</v>
      </c>
      <c r="N4186">
        <v>97.17</v>
      </c>
      <c r="O4186">
        <v>28.81844380403458</v>
      </c>
    </row>
    <row r="4187" spans="1:15" hidden="1" x14ac:dyDescent="0.25">
      <c r="A4187" s="11">
        <v>46134</v>
      </c>
      <c r="B4187" t="s">
        <v>40</v>
      </c>
      <c r="C4187" t="s">
        <v>32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v>0</v>
      </c>
      <c r="J4187" s="3">
        <v>0</v>
      </c>
      <c r="K4187" s="3">
        <v>0</v>
      </c>
      <c r="L4187" s="3" t="str">
        <f>IF(K4187&lt;-5,"CRÍTICO",IF(K4187&lt;0,"ATENÇÃO",IF(K4187&lt;=5,"OPORTUNO","MUITO BOM")))</f>
        <v>OPORTUNO</v>
      </c>
      <c r="M4187">
        <v>20</v>
      </c>
      <c r="N4187">
        <v>96.81</v>
      </c>
      <c r="O4187">
        <v>48.018648018648022</v>
      </c>
    </row>
    <row r="4188" spans="1:15" hidden="1" x14ac:dyDescent="0.25">
      <c r="A4188" s="11">
        <v>46134</v>
      </c>
      <c r="B4188" t="s">
        <v>27</v>
      </c>
      <c r="C4188" t="s">
        <v>26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>E4188+G4188+H4188</f>
        <v>5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13</v>
      </c>
      <c r="K4188" s="3">
        <f>I4188-J4188</f>
        <v>-8</v>
      </c>
      <c r="L4188" s="3" t="str">
        <f>IF(K4188&lt;-5,"CRÍTICO",IF(K4188&lt;0,"ATENÇÃO",IF(K4188&lt;=5,"OPORTUNO","MUITO BOM")))</f>
        <v>CRÍTICO</v>
      </c>
      <c r="M4188">
        <v>5</v>
      </c>
      <c r="N4188">
        <v>98.15</v>
      </c>
      <c r="O4188">
        <v>27.1551724137931</v>
      </c>
    </row>
    <row r="4189" spans="1:15" hidden="1" x14ac:dyDescent="0.25">
      <c r="A4189" s="11">
        <v>46134</v>
      </c>
      <c r="B4189" t="s">
        <v>41</v>
      </c>
      <c r="C4189" t="s">
        <v>32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>E4189+G4189+H4189</f>
        <v>23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23</v>
      </c>
      <c r="K4189" s="3">
        <f>I4189-J4189</f>
        <v>0</v>
      </c>
      <c r="L4189" s="3" t="str">
        <f>IF(K4189&lt;-5,"CRÍTICO",IF(K4189&lt;0,"ATENÇÃO",IF(K4189&lt;=5,"OPORTUNO","MUITO BOM")))</f>
        <v>OPORTUNO</v>
      </c>
      <c r="M4189">
        <v>25</v>
      </c>
      <c r="N4189">
        <v>99.15</v>
      </c>
      <c r="O4189">
        <v>27.586206896551719</v>
      </c>
    </row>
    <row r="4190" spans="1:15" hidden="1" x14ac:dyDescent="0.25">
      <c r="A4190" s="11">
        <v>46134</v>
      </c>
      <c r="B4190" t="s">
        <v>56</v>
      </c>
      <c r="C4190" t="s">
        <v>48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>E4190+G4190+H4190</f>
        <v>21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18</v>
      </c>
      <c r="K4190" s="3">
        <f>I4190-J4190</f>
        <v>3</v>
      </c>
      <c r="L4190" s="3" t="str">
        <f>IF(K4190&lt;-5,"CRÍTICO",IF(K4190&lt;0,"ATENÇÃO",IF(K4190&lt;=5,"OPORTUNO","MUITO BOM")))</f>
        <v>OPORTUNO</v>
      </c>
      <c r="M4190">
        <v>21</v>
      </c>
      <c r="N4190">
        <v>99.17</v>
      </c>
      <c r="O4190">
        <v>29.75206611570248</v>
      </c>
    </row>
    <row r="4191" spans="1:15" hidden="1" x14ac:dyDescent="0.25">
      <c r="A4191" s="11">
        <v>46134</v>
      </c>
      <c r="B4191" t="s">
        <v>57</v>
      </c>
      <c r="C4191" t="s">
        <v>48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>
        <v>0</v>
      </c>
      <c r="N4191">
        <v>98.73</v>
      </c>
      <c r="O4191">
        <v>28.961748633879779</v>
      </c>
    </row>
    <row r="4192" spans="1:15" hidden="1" x14ac:dyDescent="0.25">
      <c r="A4192" s="11">
        <v>46134</v>
      </c>
      <c r="B4192" t="s">
        <v>42</v>
      </c>
      <c r="C4192" t="s">
        <v>32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v>0</v>
      </c>
      <c r="J4192" s="3">
        <v>0</v>
      </c>
      <c r="K4192" s="3">
        <v>0</v>
      </c>
      <c r="L4192" s="3" t="str">
        <f>IF(K4192&lt;-5,"CRÍTICO",IF(K4192&lt;0,"ATENÇÃO",IF(K4192&lt;=5,"OPORTUNO","MUITO BOM")))</f>
        <v>OPORTUNO</v>
      </c>
      <c r="M4192">
        <v>0</v>
      </c>
      <c r="N4192">
        <v>88.68</v>
      </c>
      <c r="O4192">
        <v>22.03389830508474</v>
      </c>
    </row>
    <row r="4193" spans="1:15" hidden="1" x14ac:dyDescent="0.25">
      <c r="A4193" s="11">
        <v>46134</v>
      </c>
      <c r="B4193" t="s">
        <v>62</v>
      </c>
      <c r="C4193" t="s">
        <v>23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>E4193+G4193+H4193</f>
        <v>19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15</v>
      </c>
      <c r="K4193" s="3">
        <f>I4193-J4193</f>
        <v>4</v>
      </c>
      <c r="L4193" s="3" t="str">
        <f>IF(K4193&lt;-5,"CRÍTICO",IF(K4193&lt;0,"ATENÇÃO",IF(K4193&lt;=5,"OPORTUNO","MUITO BOM")))</f>
        <v>OPORTUNO</v>
      </c>
      <c r="M4193">
        <v>15</v>
      </c>
      <c r="N4193">
        <v>97.37</v>
      </c>
      <c r="O4193">
        <v>25.76530612244898</v>
      </c>
    </row>
    <row r="4194" spans="1:15" hidden="1" x14ac:dyDescent="0.25">
      <c r="A4194" s="11">
        <v>46134</v>
      </c>
      <c r="B4194" t="s">
        <v>19</v>
      </c>
      <c r="C4194" t="s">
        <v>16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>E4194+G4194+H4194</f>
        <v>2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7</v>
      </c>
      <c r="K4194" s="3">
        <f>I4194-J4194</f>
        <v>-5</v>
      </c>
      <c r="L4194" s="3" t="str">
        <f>IF(K4194&lt;-5,"CRÍTICO",IF(K4194&lt;0,"ATENÇÃO",IF(K4194&lt;=5,"OPORTUNO","MUITO BOM")))</f>
        <v>ATENÇÃO</v>
      </c>
      <c r="M4194">
        <v>0</v>
      </c>
      <c r="N4194">
        <v>100</v>
      </c>
      <c r="O4194">
        <v>25</v>
      </c>
    </row>
    <row r="4195" spans="1:15" hidden="1" x14ac:dyDescent="0.25">
      <c r="A4195" s="11">
        <v>46134</v>
      </c>
      <c r="B4195" t="s">
        <v>43</v>
      </c>
      <c r="C4195" t="s">
        <v>32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>E4195+G4195+H4195</f>
        <v>21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-2</v>
      </c>
      <c r="L4195" s="3" t="str">
        <f>IF(K4195&lt;-5,"CRÍTICO",IF(K4195&lt;0,"ATENÇÃO",IF(K4195&lt;=5,"OPORTUNO","MUITO BOM")))</f>
        <v>ATENÇÃO</v>
      </c>
      <c r="M4195">
        <v>31</v>
      </c>
      <c r="N4195">
        <v>100</v>
      </c>
      <c r="O4195">
        <v>23.9870340356564</v>
      </c>
    </row>
    <row r="4196" spans="1:15" hidden="1" x14ac:dyDescent="0.25">
      <c r="A4196" s="11">
        <v>46134</v>
      </c>
      <c r="B4196" t="s">
        <v>44</v>
      </c>
      <c r="C4196" t="s">
        <v>32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>E4196+G4196+H4196</f>
        <v>23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23</v>
      </c>
      <c r="K4196" s="3">
        <f>I4196-J4196</f>
        <v>0</v>
      </c>
      <c r="L4196" s="3" t="str">
        <f>IF(K4196&lt;-5,"CRÍTICO",IF(K4196&lt;0,"ATENÇÃO",IF(K4196&lt;=5,"OPORTUNO","MUITO BOM")))</f>
        <v>OPORTUNO</v>
      </c>
      <c r="M4196">
        <v>16</v>
      </c>
      <c r="N4196">
        <v>95.49</v>
      </c>
      <c r="O4196">
        <v>28.370221327967808</v>
      </c>
    </row>
    <row r="4197" spans="1:15" hidden="1" x14ac:dyDescent="0.25">
      <c r="A4197" s="11">
        <v>46134</v>
      </c>
      <c r="B4197" t="s">
        <v>20</v>
      </c>
      <c r="C4197" t="s">
        <v>16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7</v>
      </c>
      <c r="K4197" s="3">
        <f>I4197-J4197</f>
        <v>11</v>
      </c>
      <c r="L4197" s="3" t="str">
        <f>IF(K4197&lt;-5,"CRÍTICO",IF(K4197&lt;0,"ATENÇÃO",IF(K4197&lt;=5,"OPORTUNO","MUITO BOM")))</f>
        <v>MUITO BOM</v>
      </c>
      <c r="M4197">
        <v>9</v>
      </c>
      <c r="N4197">
        <v>100</v>
      </c>
      <c r="O4197">
        <v>23.77622377622378</v>
      </c>
    </row>
    <row r="4198" spans="1:15" hidden="1" x14ac:dyDescent="0.25">
      <c r="A4198" s="11">
        <v>46134</v>
      </c>
      <c r="B4198" t="s">
        <v>28</v>
      </c>
      <c r="C4198" t="s">
        <v>26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>E4198+G4198+H4198</f>
        <v>18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13</v>
      </c>
      <c r="K4198" s="3">
        <f>I4198-J4198</f>
        <v>5</v>
      </c>
      <c r="L4198" s="3" t="str">
        <f>IF(K4198&lt;-5,"CRÍTICO",IF(K4198&lt;0,"ATENÇÃO",IF(K4198&lt;=5,"OPORTUNO","MUITO BOM")))</f>
        <v>OPORTUNO</v>
      </c>
      <c r="M4198">
        <v>10</v>
      </c>
      <c r="N4198">
        <v>96.15</v>
      </c>
      <c r="O4198">
        <v>24.045801526717561</v>
      </c>
    </row>
    <row r="4199" spans="1:15" hidden="1" x14ac:dyDescent="0.25">
      <c r="A4199" s="11">
        <v>46134</v>
      </c>
      <c r="B4199" t="s">
        <v>58</v>
      </c>
      <c r="C4199" t="s">
        <v>48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>E4199+G4199+H4199</f>
        <v>8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18</v>
      </c>
      <c r="K4199" s="3">
        <f>I4199-J4199</f>
        <v>-10</v>
      </c>
      <c r="L4199" s="3" t="str">
        <f>IF(K4199&lt;-5,"CRÍTICO",IF(K4199&lt;0,"ATENÇÃO",IF(K4199&lt;=5,"OPORTUNO","MUITO BOM")))</f>
        <v>CRÍTICO</v>
      </c>
      <c r="M4199">
        <v>8</v>
      </c>
      <c r="N4199">
        <v>99.02</v>
      </c>
      <c r="O4199">
        <v>34.797297297297298</v>
      </c>
    </row>
    <row r="4200" spans="1:15" hidden="1" x14ac:dyDescent="0.25">
      <c r="A4200" s="11">
        <v>46134</v>
      </c>
      <c r="B4200" t="s">
        <v>29</v>
      </c>
      <c r="C4200" t="s">
        <v>26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>E4200+G4200+H4200</f>
        <v>4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-9</v>
      </c>
      <c r="L4200" s="3" t="str">
        <f>IF(K4200&lt;-5,"CRÍTICO",IF(K4200&lt;0,"ATENÇÃO",IF(K4200&lt;=5,"OPORTUNO","MUITO BOM")))</f>
        <v>CRÍTICO</v>
      </c>
      <c r="M4200">
        <v>3</v>
      </c>
      <c r="N4200">
        <v>98.84</v>
      </c>
      <c r="O4200">
        <v>31.868131868131869</v>
      </c>
    </row>
    <row r="4201" spans="1:15" hidden="1" x14ac:dyDescent="0.25">
      <c r="A4201" s="11">
        <v>46134</v>
      </c>
      <c r="B4201" t="s">
        <v>30</v>
      </c>
      <c r="C4201" t="s">
        <v>26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>E4201+G4201+H4201</f>
        <v>7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13</v>
      </c>
      <c r="K4201" s="3">
        <f>I4201-J4201</f>
        <v>-6</v>
      </c>
      <c r="L4201" s="3" t="str">
        <f>IF(K4201&lt;-5,"CRÍTICO",IF(K4201&lt;0,"ATENÇÃO",IF(K4201&lt;=5,"OPORTUNO","MUITO BOM")))</f>
        <v>CRÍTICO</v>
      </c>
      <c r="M4201">
        <v>8</v>
      </c>
      <c r="N4201">
        <v>100</v>
      </c>
      <c r="O4201">
        <v>34.666666666666671</v>
      </c>
    </row>
    <row r="4202" spans="1:15" hidden="1" x14ac:dyDescent="0.25">
      <c r="A4202" s="11">
        <v>46134</v>
      </c>
      <c r="B4202" t="s">
        <v>21</v>
      </c>
      <c r="C4202" t="s">
        <v>16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>E4202+G4202+H4202</f>
        <v>7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7</v>
      </c>
      <c r="K4202" s="3">
        <f>I4202-J4202</f>
        <v>0</v>
      </c>
      <c r="L4202" s="3" t="str">
        <f>IF(K4202&lt;-5,"CRÍTICO",IF(K4202&lt;0,"ATENÇÃO",IF(K4202&lt;=5,"OPORTUNO","MUITO BOM")))</f>
        <v>OPORTUNO</v>
      </c>
      <c r="M4202">
        <v>5</v>
      </c>
      <c r="N4202">
        <v>94.12</v>
      </c>
      <c r="O4202">
        <v>32.799999999999997</v>
      </c>
    </row>
    <row r="4203" spans="1:15" hidden="1" x14ac:dyDescent="0.25">
      <c r="A4203" s="11">
        <v>46134</v>
      </c>
      <c r="B4203" t="s">
        <v>63</v>
      </c>
      <c r="C4203" t="s">
        <v>23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>E4203+G4203+H4203</f>
        <v>18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15</v>
      </c>
      <c r="K4203" s="3">
        <f>I4203-J4203</f>
        <v>3</v>
      </c>
      <c r="L4203" s="3" t="str">
        <f>IF(K4203&lt;-5,"CRÍTICO",IF(K4203&lt;0,"ATENÇÃO",IF(K4203&lt;=5,"OPORTUNO","MUITO BOM")))</f>
        <v>OPORTUNO</v>
      </c>
      <c r="M4203">
        <v>16</v>
      </c>
      <c r="N4203">
        <v>98.32</v>
      </c>
      <c r="O4203">
        <v>26.858513189448441</v>
      </c>
    </row>
    <row r="4204" spans="1:15" hidden="1" x14ac:dyDescent="0.25">
      <c r="A4204" s="11">
        <v>46134</v>
      </c>
      <c r="B4204" t="s">
        <v>45</v>
      </c>
      <c r="C4204" t="s">
        <v>32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>E4204+G4204+H4204</f>
        <v>28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23</v>
      </c>
      <c r="K4204" s="3">
        <f>I4204-J4204</f>
        <v>5</v>
      </c>
      <c r="L4204" s="3" t="str">
        <f>IF(K4204&lt;-5,"CRÍTICO",IF(K4204&lt;0,"ATENÇÃO",IF(K4204&lt;=5,"OPORTUNO","MUITO BOM")))</f>
        <v>OPORTUNO</v>
      </c>
      <c r="M4204">
        <v>19</v>
      </c>
      <c r="N4204">
        <v>100</v>
      </c>
      <c r="O4204">
        <v>31.135531135531139</v>
      </c>
    </row>
    <row r="4205" spans="1:15" hidden="1" x14ac:dyDescent="0.25">
      <c r="A4205" s="11">
        <v>46134</v>
      </c>
      <c r="B4205" t="s">
        <v>64</v>
      </c>
      <c r="C4205" t="s">
        <v>23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>E4205+G4205+H4205</f>
        <v>17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15</v>
      </c>
      <c r="K4205" s="3">
        <f>I4205-J4205</f>
        <v>2</v>
      </c>
      <c r="L4205" s="3" t="str">
        <f>IF(K4205&lt;-5,"CRÍTICO",IF(K4205&lt;0,"ATENÇÃO",IF(K4205&lt;=5,"OPORTUNO","MUITO BOM")))</f>
        <v>OPORTUNO</v>
      </c>
      <c r="M4205">
        <v>12</v>
      </c>
      <c r="N4205">
        <v>100</v>
      </c>
      <c r="O4205">
        <v>26.36986301369863</v>
      </c>
    </row>
    <row r="4206" spans="1:15" hidden="1" x14ac:dyDescent="0.25">
      <c r="A4206" s="11">
        <v>46134</v>
      </c>
      <c r="B4206" t="s">
        <v>46</v>
      </c>
      <c r="C4206" t="s">
        <v>32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>E4206+G4206+H4206</f>
        <v>23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23</v>
      </c>
      <c r="K4206" s="3">
        <f>I4206-J4206</f>
        <v>0</v>
      </c>
      <c r="L4206" s="3" t="str">
        <f>IF(K4206&lt;-5,"CRÍTICO",IF(K4206&lt;0,"ATENÇÃO",IF(K4206&lt;=5,"OPORTUNO","MUITO BOM")))</f>
        <v>OPORTUNO</v>
      </c>
      <c r="M4206">
        <v>16</v>
      </c>
      <c r="N4206">
        <v>99.21</v>
      </c>
      <c r="O4206">
        <v>25.188916876574311</v>
      </c>
    </row>
    <row r="4207" spans="1:15" hidden="1" x14ac:dyDescent="0.25">
      <c r="A4207" s="11">
        <v>46135</v>
      </c>
      <c r="B4207" t="s">
        <v>47</v>
      </c>
      <c r="C4207" t="s">
        <v>48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>E4207+G4207+H4207</f>
        <v>24</v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>20</v>
      </c>
      <c r="K4207" s="3">
        <f>I4207-J4207</f>
        <v>4</v>
      </c>
      <c r="L4207" s="3" t="str">
        <f>IF(K4207&lt;-5,"CRÍTICO",IF(K4207&lt;0,"ATENÇÃO",IF(K4207&lt;=5,"OPORTUNO","MUITO BOM")))</f>
        <v>OPORTUNO</v>
      </c>
      <c r="M4207">
        <v>22</v>
      </c>
      <c r="N4207">
        <v>100</v>
      </c>
      <c r="O4207">
        <v>32.764505119453922</v>
      </c>
    </row>
    <row r="4208" spans="1:15" hidden="1" x14ac:dyDescent="0.25">
      <c r="A4208" s="11">
        <v>46135</v>
      </c>
      <c r="B4208" t="s">
        <v>31</v>
      </c>
      <c r="C4208" t="s">
        <v>32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v>0</v>
      </c>
      <c r="J4208" s="3">
        <v>0</v>
      </c>
      <c r="K4208" s="3">
        <v>0</v>
      </c>
      <c r="L4208" s="3" t="str">
        <f>IF(K4208&lt;-5,"CRÍTICO",IF(K4208&lt;0,"ATENÇÃO",IF(K4208&lt;=5,"OPORTUNO","MUITO BOM")))</f>
        <v>OPORTUNO</v>
      </c>
      <c r="M4208">
        <v>18</v>
      </c>
      <c r="N4208">
        <v>98.66</v>
      </c>
      <c r="O4208">
        <v>35.416666666666671</v>
      </c>
    </row>
    <row r="4209" spans="1:15" hidden="1" x14ac:dyDescent="0.25">
      <c r="A4209" s="11">
        <v>46135</v>
      </c>
      <c r="B4209" t="s">
        <v>59</v>
      </c>
      <c r="C4209" t="s">
        <v>23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>E4209+G4209+H4209</f>
        <v>27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16</v>
      </c>
      <c r="K4209" s="3">
        <f>I4209-J4209</f>
        <v>11</v>
      </c>
      <c r="L4209" s="3" t="str">
        <f>IF(K4209&lt;-5,"CRÍTICO",IF(K4209&lt;0,"ATENÇÃO",IF(K4209&lt;=5,"OPORTUNO","MUITO BOM")))</f>
        <v>MUITO BOM</v>
      </c>
      <c r="M4209">
        <v>21</v>
      </c>
      <c r="N4209">
        <v>99.32</v>
      </c>
      <c r="O4209">
        <v>30.648330058939099</v>
      </c>
    </row>
    <row r="4210" spans="1:15" hidden="1" x14ac:dyDescent="0.25">
      <c r="A4210" s="11">
        <v>46135</v>
      </c>
      <c r="B4210" t="s">
        <v>33</v>
      </c>
      <c r="C4210" t="s">
        <v>32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>E4210+G4210+H4210</f>
        <v>19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25</v>
      </c>
      <c r="K4210" s="3">
        <f>I4210-J4210</f>
        <v>-6</v>
      </c>
      <c r="L4210" s="3" t="str">
        <f>IF(K4210&lt;-5,"CRÍTICO",IF(K4210&lt;0,"ATENÇÃO",IF(K4210&lt;=5,"OPORTUNO","MUITO BOM")))</f>
        <v>CRÍTICO</v>
      </c>
      <c r="M4210">
        <v>19</v>
      </c>
      <c r="N4210">
        <v>100</v>
      </c>
      <c r="O4210">
        <v>27.803738317757009</v>
      </c>
    </row>
    <row r="4211" spans="1:15" hidden="1" x14ac:dyDescent="0.25">
      <c r="A4211" s="11">
        <v>46135</v>
      </c>
      <c r="B4211" t="s">
        <v>15</v>
      </c>
      <c r="C4211" t="s">
        <v>16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>E4211+G4211+H4211</f>
        <v>29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22</v>
      </c>
      <c r="L4211" s="3" t="str">
        <f>IF(K4211&lt;-5,"CRÍTICO",IF(K4211&lt;0,"ATENÇÃO",IF(K4211&lt;=5,"OPORTUNO","MUITO BOM")))</f>
        <v>MUITO BOM</v>
      </c>
      <c r="M4211">
        <v>30</v>
      </c>
      <c r="N4211">
        <v>96.74</v>
      </c>
      <c r="O4211">
        <v>28.67647058823529</v>
      </c>
    </row>
    <row r="4212" spans="1:15" hidden="1" x14ac:dyDescent="0.25">
      <c r="A4212" s="11">
        <v>46135</v>
      </c>
      <c r="B4212" t="s">
        <v>49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>
        <v>0</v>
      </c>
      <c r="N4212">
        <v>98.82</v>
      </c>
      <c r="O4212">
        <v>30.741410488245929</v>
      </c>
    </row>
    <row r="4213" spans="1:15" hidden="1" x14ac:dyDescent="0.25">
      <c r="A4213" s="11">
        <v>46135</v>
      </c>
      <c r="B4213" t="s">
        <v>50</v>
      </c>
      <c r="C4213" t="s">
        <v>48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v>0</v>
      </c>
      <c r="J4213" s="3">
        <v>0</v>
      </c>
      <c r="K4213" s="3">
        <v>0</v>
      </c>
      <c r="L4213" s="3" t="str">
        <f>IF(K4213&lt;-5,"CRÍTICO",IF(K4213&lt;0,"ATENÇÃO",IF(K4213&lt;=5,"OPORTUNO","MUITO BOM")))</f>
        <v>OPORTUNO</v>
      </c>
      <c r="M4213">
        <v>0</v>
      </c>
      <c r="N4213">
        <v>98.2</v>
      </c>
      <c r="O4213">
        <v>27.170868347338931</v>
      </c>
    </row>
    <row r="4214" spans="1:15" hidden="1" x14ac:dyDescent="0.25">
      <c r="A4214" s="11">
        <v>46135</v>
      </c>
      <c r="B4214" t="s">
        <v>17</v>
      </c>
      <c r="C4214" t="s">
        <v>16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>E4214+G4214+H4214</f>
        <v>7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7</v>
      </c>
      <c r="K4214" s="3">
        <f>I4214-J4214</f>
        <v>0</v>
      </c>
      <c r="L4214" s="3" t="str">
        <f>IF(K4214&lt;-5,"CRÍTICO",IF(K4214&lt;0,"ATENÇÃO",IF(K4214&lt;=5,"OPORTUNO","MUITO BOM")))</f>
        <v>OPORTUNO</v>
      </c>
      <c r="M4214">
        <v>6</v>
      </c>
      <c r="N4214">
        <v>100</v>
      </c>
      <c r="O4214">
        <v>23.134328358208951</v>
      </c>
    </row>
    <row r="4215" spans="1:15" hidden="1" x14ac:dyDescent="0.25">
      <c r="A4215" s="11">
        <v>46135</v>
      </c>
      <c r="B4215" t="s">
        <v>60</v>
      </c>
      <c r="C4215" t="s">
        <v>23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>E4215+G4215+H4215</f>
        <v>13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16</v>
      </c>
      <c r="K4215" s="3">
        <f>I4215-J4215</f>
        <v>-3</v>
      </c>
      <c r="L4215" s="3" t="str">
        <f>IF(K4215&lt;-5,"CRÍTICO",IF(K4215&lt;0,"ATENÇÃO",IF(K4215&lt;=5,"OPORTUNO","MUITO BOM")))</f>
        <v>ATENÇÃO</v>
      </c>
      <c r="M4215">
        <v>13</v>
      </c>
      <c r="N4215">
        <v>96.3</v>
      </c>
      <c r="O4215">
        <v>32.219570405727922</v>
      </c>
    </row>
    <row r="4216" spans="1:15" hidden="1" x14ac:dyDescent="0.25">
      <c r="A4216" s="11">
        <v>46135</v>
      </c>
      <c r="B4216" t="s">
        <v>34</v>
      </c>
      <c r="C4216" t="s">
        <v>32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>E4216+G4216+H4216</f>
        <v>21</v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>25</v>
      </c>
      <c r="K4216" s="3">
        <f>I4216-J4216</f>
        <v>-4</v>
      </c>
      <c r="L4216" s="3" t="str">
        <f>IF(K4216&lt;-5,"CRÍTICO",IF(K4216&lt;0,"ATENÇÃO",IF(K4216&lt;=5,"OPORTUNO","MUITO BOM")))</f>
        <v>ATENÇÃO</v>
      </c>
      <c r="M4216">
        <v>17</v>
      </c>
      <c r="N4216">
        <v>93.75</v>
      </c>
      <c r="O4216">
        <v>26.819923371647509</v>
      </c>
    </row>
    <row r="4217" spans="1:15" hidden="1" x14ac:dyDescent="0.25">
      <c r="A4217" s="11">
        <v>46135</v>
      </c>
      <c r="B4217" t="s">
        <v>51</v>
      </c>
      <c r="C4217" t="s">
        <v>48</v>
      </c>
      <c r="D4217">
        <v>28</v>
      </c>
      <c r="E4217">
        <v>23</v>
      </c>
      <c r="F4217">
        <v>18.420000000000002</v>
      </c>
      <c r="G4217">
        <v>0</v>
      </c>
      <c r="H4217">
        <v>0</v>
      </c>
      <c r="I4217" s="3">
        <v>0</v>
      </c>
      <c r="J4217" s="3">
        <v>0</v>
      </c>
      <c r="K4217" s="3">
        <v>0</v>
      </c>
      <c r="L4217" s="3" t="str">
        <f>IF(K4217&lt;-5,"CRÍTICO",IF(K4217&lt;0,"ATENÇÃO",IF(K4217&lt;=5,"OPORTUNO","MUITO BOM")))</f>
        <v>OPORTUNO</v>
      </c>
      <c r="M4217">
        <v>22</v>
      </c>
      <c r="N4217">
        <v>97.86</v>
      </c>
      <c r="O4217">
        <v>31.018518518518519</v>
      </c>
    </row>
    <row r="4218" spans="1:15" hidden="1" x14ac:dyDescent="0.25">
      <c r="A4218" s="11">
        <v>46135</v>
      </c>
      <c r="B4218" t="s">
        <v>61</v>
      </c>
      <c r="C4218" t="s">
        <v>23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>E4218+G4218+H4218</f>
        <v>18</v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>16</v>
      </c>
      <c r="K4218" s="3">
        <f>I4218-J4218</f>
        <v>2</v>
      </c>
      <c r="L4218" s="3" t="str">
        <f>IF(K4218&lt;-5,"CRÍTICO",IF(K4218&lt;0,"ATENÇÃO",IF(K4218&lt;=5,"OPORTUNO","MUITO BOM")))</f>
        <v>OPORTUNO</v>
      </c>
      <c r="M4218">
        <v>15</v>
      </c>
      <c r="N4218">
        <v>100</v>
      </c>
      <c r="O4218">
        <v>36.594202898550733</v>
      </c>
    </row>
    <row r="4219" spans="1:15" hidden="1" x14ac:dyDescent="0.25">
      <c r="A4219" s="11">
        <v>46135</v>
      </c>
      <c r="B4219" t="s">
        <v>35</v>
      </c>
      <c r="C4219" t="s">
        <v>32</v>
      </c>
      <c r="D4219">
        <v>16</v>
      </c>
      <c r="E4219">
        <v>15</v>
      </c>
      <c r="F4219">
        <v>22.2</v>
      </c>
      <c r="G4219">
        <v>0</v>
      </c>
      <c r="H4219">
        <v>0</v>
      </c>
      <c r="I4219" s="3">
        <v>0</v>
      </c>
      <c r="J4219" s="3">
        <v>0</v>
      </c>
      <c r="K4219" s="3">
        <v>0</v>
      </c>
      <c r="L4219" s="3" t="str">
        <f>IF(K4219&lt;-5,"CRÍTICO",IF(K4219&lt;0,"ATENÇÃO",IF(K4219&lt;=5,"OPORTUNO","MUITO BOM")))</f>
        <v>OPORTUNO</v>
      </c>
      <c r="M4219">
        <v>16</v>
      </c>
      <c r="N4219">
        <v>100</v>
      </c>
      <c r="O4219">
        <v>38.653846153846153</v>
      </c>
    </row>
    <row r="4220" spans="1:15" hidden="1" x14ac:dyDescent="0.25">
      <c r="A4220" s="11">
        <v>46135</v>
      </c>
      <c r="B4220" t="s">
        <v>18</v>
      </c>
      <c r="C4220" t="s">
        <v>16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>E4220+G4220+H4220</f>
        <v>9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7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>
        <v>8</v>
      </c>
      <c r="N4220">
        <v>100</v>
      </c>
      <c r="O4220">
        <v>27.368421052631579</v>
      </c>
    </row>
    <row r="4221" spans="1:15" hidden="1" x14ac:dyDescent="0.25">
      <c r="A4221" s="11">
        <v>46135</v>
      </c>
      <c r="B4221" t="s">
        <v>52</v>
      </c>
      <c r="C4221" t="s">
        <v>48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>E4221+G4221+H4221</f>
        <v>22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20</v>
      </c>
      <c r="K4221" s="3">
        <f>I4221-J4221</f>
        <v>2</v>
      </c>
      <c r="L4221" s="3" t="str">
        <f>IF(K4221&lt;-5,"CRÍTICO",IF(K4221&lt;0,"ATENÇÃO",IF(K4221&lt;=5,"OPORTUNO","MUITO BOM")))</f>
        <v>OPORTUNO</v>
      </c>
      <c r="M4221">
        <v>24</v>
      </c>
      <c r="N4221">
        <v>97.83</v>
      </c>
      <c r="O4221">
        <v>28.35164835164835</v>
      </c>
    </row>
    <row r="4222" spans="1:15" hidden="1" x14ac:dyDescent="0.25">
      <c r="A4222" s="11">
        <v>46135</v>
      </c>
      <c r="B4222" t="s">
        <v>36</v>
      </c>
      <c r="C4222" t="s">
        <v>32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>E4222+G4222+H4222</f>
        <v>25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25</v>
      </c>
      <c r="K4222" s="3">
        <f>I4222-J4222</f>
        <v>0</v>
      </c>
      <c r="L4222" s="3" t="str">
        <f>IF(K4222&lt;-5,"CRÍTICO",IF(K4222&lt;0,"ATENÇÃO",IF(K4222&lt;=5,"OPORTUNO","MUITO BOM")))</f>
        <v>OPORTUNO</v>
      </c>
      <c r="M4222">
        <v>25</v>
      </c>
      <c r="N4222">
        <v>99.26</v>
      </c>
      <c r="O4222">
        <v>29.766536964980549</v>
      </c>
    </row>
    <row r="4223" spans="1:15" hidden="1" x14ac:dyDescent="0.25">
      <c r="A4223" s="11">
        <v>46135</v>
      </c>
      <c r="B4223" t="s">
        <v>53</v>
      </c>
      <c r="C4223" t="s">
        <v>48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>E4223+G4223+H4223</f>
        <v>32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20</v>
      </c>
      <c r="K4223" s="3">
        <f>I4223-J4223</f>
        <v>12</v>
      </c>
      <c r="L4223" s="3" t="str">
        <f>IF(K4223&lt;-5,"CRÍTICO",IF(K4223&lt;0,"ATENÇÃO",IF(K4223&lt;=5,"OPORTUNO","MUITO BOM")))</f>
        <v>MUITO BOM</v>
      </c>
      <c r="M4223">
        <v>24</v>
      </c>
      <c r="N4223">
        <v>99.19</v>
      </c>
      <c r="O4223">
        <v>29.462365591397852</v>
      </c>
    </row>
    <row r="4224" spans="1:15" hidden="1" x14ac:dyDescent="0.25">
      <c r="A4224" s="11">
        <v>46140</v>
      </c>
      <c r="B4224" t="s">
        <v>52</v>
      </c>
      <c r="C4224" t="s">
        <v>48</v>
      </c>
      <c r="D4224">
        <v>27</v>
      </c>
      <c r="E4224">
        <v>27</v>
      </c>
      <c r="F4224">
        <v>18.350000000000001</v>
      </c>
      <c r="G4224">
        <v>0</v>
      </c>
      <c r="H4224">
        <v>0</v>
      </c>
      <c r="I4224" s="3">
        <f>E4224+G4224+H4224</f>
        <v>27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27</v>
      </c>
      <c r="K4224" s="3">
        <f>I4224-J4224</f>
        <v>0</v>
      </c>
      <c r="L4224" s="3" t="str">
        <f>IF(K4224&lt;-5,"CRÍTICO",IF(K4224&lt;0,"ATENÇÃO",IF(K4224&lt;=5,"OPORTUNO","MUITO BOM")))</f>
        <v>OPORTUNO</v>
      </c>
      <c r="M4224">
        <v>26</v>
      </c>
      <c r="N4224">
        <v>97.83</v>
      </c>
      <c r="O4224">
        <v>28.35164835164835</v>
      </c>
    </row>
    <row r="4225" spans="1:15" hidden="1" x14ac:dyDescent="0.25">
      <c r="A4225" s="11">
        <v>46135</v>
      </c>
      <c r="B4225" t="s">
        <v>54</v>
      </c>
      <c r="C4225" t="s">
        <v>48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>E4225+G4225+H4225</f>
        <v>18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20</v>
      </c>
      <c r="K4225" s="3">
        <f>I4225-J4225</f>
        <v>-2</v>
      </c>
      <c r="L4225" s="3" t="str">
        <f>IF(K4225&lt;-5,"CRÍTICO",IF(K4225&lt;0,"ATENÇÃO",IF(K4225&lt;=5,"OPORTUNO","MUITO BOM")))</f>
        <v>ATENÇÃO</v>
      </c>
      <c r="M4225">
        <v>16</v>
      </c>
      <c r="N4225">
        <v>100</v>
      </c>
      <c r="O4225">
        <v>28.921568627450981</v>
      </c>
    </row>
    <row r="4226" spans="1:15" hidden="1" x14ac:dyDescent="0.25">
      <c r="A4226" s="11">
        <v>46135</v>
      </c>
      <c r="B4226" t="s">
        <v>37</v>
      </c>
      <c r="C4226" t="s">
        <v>32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>E4226+G4226+H4226</f>
        <v>28</v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>25</v>
      </c>
      <c r="K4226" s="3">
        <f>I4226-J4226</f>
        <v>3</v>
      </c>
      <c r="L4226" s="3" t="str">
        <f>IF(K4226&lt;-5,"CRÍTICO",IF(K4226&lt;0,"ATENÇÃO",IF(K4226&lt;=5,"OPORTUNO","MUITO BOM")))</f>
        <v>OPORTUNO</v>
      </c>
      <c r="M4226">
        <v>31</v>
      </c>
      <c r="N4226">
        <v>99.57</v>
      </c>
      <c r="O4226">
        <v>30.635838150289018</v>
      </c>
    </row>
    <row r="4227" spans="1:15" hidden="1" x14ac:dyDescent="0.25">
      <c r="A4227" s="11">
        <v>46135</v>
      </c>
      <c r="B4227" t="s">
        <v>38</v>
      </c>
      <c r="C4227" t="s">
        <v>32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v>0</v>
      </c>
      <c r="J4227" s="3">
        <v>0</v>
      </c>
      <c r="K4227" s="3">
        <v>0</v>
      </c>
      <c r="L4227" s="3" t="str">
        <f>IF(K4227&lt;-5,"CRÍTICO",IF(K4227&lt;0,"ATENÇÃO",IF(K4227&lt;=5,"OPORTUNO","MUITO BOM")))</f>
        <v>OPORTUNO</v>
      </c>
      <c r="M4227">
        <v>0</v>
      </c>
      <c r="N4227">
        <v>95.65</v>
      </c>
      <c r="O4227">
        <v>32.432432432432442</v>
      </c>
    </row>
    <row r="4228" spans="1:15" hidden="1" x14ac:dyDescent="0.25">
      <c r="A4228" s="11">
        <v>46135</v>
      </c>
      <c r="B4228" t="s">
        <v>55</v>
      </c>
      <c r="C4228" t="s">
        <v>48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>E4228+G4228+H4228</f>
        <v>23</v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>20</v>
      </c>
      <c r="K4228" s="3">
        <f>I4228-J4228</f>
        <v>3</v>
      </c>
      <c r="L4228" s="3" t="str">
        <f>IF(K4228&lt;-5,"CRÍTICO",IF(K4228&lt;0,"ATENÇÃO",IF(K4228&lt;=5,"OPORTUNO","MUITO BOM")))</f>
        <v>OPORTUNO</v>
      </c>
      <c r="M4228">
        <v>20</v>
      </c>
      <c r="N4228">
        <v>98.81</v>
      </c>
      <c r="O4228">
        <v>26.256983240223459</v>
      </c>
    </row>
    <row r="4229" spans="1:15" hidden="1" x14ac:dyDescent="0.25">
      <c r="A4229" s="11">
        <v>46135</v>
      </c>
      <c r="B4229" t="s">
        <v>39</v>
      </c>
      <c r="C4229" t="s">
        <v>32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v>0</v>
      </c>
      <c r="J4229" s="3">
        <v>0</v>
      </c>
      <c r="K4229" s="3">
        <v>0</v>
      </c>
      <c r="L4229" s="3" t="str">
        <f>IF(K4229&lt;-5,"CRÍTICO",IF(K4229&lt;0,"ATENÇÃO",IF(K4229&lt;=5,"OPORTUNO","MUITO BOM")))</f>
        <v>OPORTUNO</v>
      </c>
      <c r="M4229">
        <v>0</v>
      </c>
      <c r="N4229">
        <v>0</v>
      </c>
      <c r="O4229">
        <v>0</v>
      </c>
    </row>
    <row r="4230" spans="1:15" hidden="1" x14ac:dyDescent="0.25">
      <c r="A4230" s="11">
        <v>46135</v>
      </c>
      <c r="B4230" t="s">
        <v>25</v>
      </c>
      <c r="C4230" t="s">
        <v>26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>E4230+G4230+H4230</f>
        <v>7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14</v>
      </c>
      <c r="K4230" s="3">
        <f>I4230-J4230</f>
        <v>-7</v>
      </c>
      <c r="L4230" s="3" t="str">
        <f>IF(K4230&lt;-5,"CRÍTICO",IF(K4230&lt;0,"ATENÇÃO",IF(K4230&lt;=5,"OPORTUNO","MUITO BOM")))</f>
        <v>CRÍTICO</v>
      </c>
      <c r="M4230">
        <v>7</v>
      </c>
      <c r="N4230">
        <v>97.17</v>
      </c>
      <c r="O4230">
        <v>28.81844380403458</v>
      </c>
    </row>
    <row r="4231" spans="1:15" hidden="1" x14ac:dyDescent="0.25">
      <c r="A4231" s="11">
        <v>46135</v>
      </c>
      <c r="B4231" t="s">
        <v>40</v>
      </c>
      <c r="C4231" t="s">
        <v>32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v>0</v>
      </c>
      <c r="J4231" s="3">
        <v>0</v>
      </c>
      <c r="K4231" s="3">
        <v>0</v>
      </c>
      <c r="L4231" s="3" t="str">
        <f>IF(K4231&lt;-5,"CRÍTICO",IF(K4231&lt;0,"ATENÇÃO",IF(K4231&lt;=5,"OPORTUNO","MUITO BOM")))</f>
        <v>OPORTUNO</v>
      </c>
      <c r="M4231">
        <v>30</v>
      </c>
      <c r="N4231">
        <v>96.81</v>
      </c>
      <c r="O4231">
        <v>48.018648018648022</v>
      </c>
    </row>
    <row r="4232" spans="1:15" hidden="1" x14ac:dyDescent="0.25">
      <c r="A4232" s="11">
        <v>46135</v>
      </c>
      <c r="B4232" t="s">
        <v>27</v>
      </c>
      <c r="C4232" t="s">
        <v>26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>E4232+G4232+H4232</f>
        <v>18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14</v>
      </c>
      <c r="K4232" s="3">
        <f>I4232-J4232</f>
        <v>4</v>
      </c>
      <c r="L4232" s="3" t="str">
        <f>IF(K4232&lt;-5,"CRÍTICO",IF(K4232&lt;0,"ATENÇÃO",IF(K4232&lt;=5,"OPORTUNO","MUITO BOM")))</f>
        <v>OPORTUNO</v>
      </c>
      <c r="M4232">
        <v>18</v>
      </c>
      <c r="N4232">
        <v>98.15</v>
      </c>
      <c r="O4232">
        <v>27.1551724137931</v>
      </c>
    </row>
    <row r="4233" spans="1:15" hidden="1" x14ac:dyDescent="0.25">
      <c r="A4233" s="11">
        <v>46135</v>
      </c>
      <c r="B4233" t="s">
        <v>41</v>
      </c>
      <c r="C4233" t="s">
        <v>32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>E4233+G4233+H4233</f>
        <v>22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25</v>
      </c>
      <c r="K4233" s="3">
        <f>I4233-J4233</f>
        <v>-3</v>
      </c>
      <c r="L4233" s="3" t="str">
        <f>IF(K4233&lt;-5,"CRÍTICO",IF(K4233&lt;0,"ATENÇÃO",IF(K4233&lt;=5,"OPORTUNO","MUITO BOM")))</f>
        <v>ATENÇÃO</v>
      </c>
      <c r="M4233">
        <v>20</v>
      </c>
      <c r="N4233">
        <v>99.15</v>
      </c>
      <c r="O4233">
        <v>27.586206896551719</v>
      </c>
    </row>
    <row r="4234" spans="1:15" hidden="1" x14ac:dyDescent="0.25">
      <c r="A4234" s="11">
        <v>46135</v>
      </c>
      <c r="B4234" t="s">
        <v>56</v>
      </c>
      <c r="C4234" t="s">
        <v>48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>E4234+G4234+H4234</f>
        <v>21</v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20</v>
      </c>
      <c r="K4234" s="3">
        <f>I4234-J4234</f>
        <v>1</v>
      </c>
      <c r="L4234" s="3" t="str">
        <f>IF(K4234&lt;-5,"CRÍTICO",IF(K4234&lt;0,"ATENÇÃO",IF(K4234&lt;=5,"OPORTUNO","MUITO BOM")))</f>
        <v>OPORTUNO</v>
      </c>
      <c r="M4234">
        <v>17</v>
      </c>
      <c r="N4234">
        <v>99.17</v>
      </c>
      <c r="O4234">
        <v>29.75206611570248</v>
      </c>
    </row>
    <row r="4235" spans="1:15" hidden="1" x14ac:dyDescent="0.25">
      <c r="A4235" s="11">
        <v>46135</v>
      </c>
      <c r="B4235" t="s">
        <v>57</v>
      </c>
      <c r="C4235" t="s">
        <v>48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>
        <v>0</v>
      </c>
      <c r="N4235">
        <v>98.73</v>
      </c>
      <c r="O4235">
        <v>28.961748633879779</v>
      </c>
    </row>
    <row r="4236" spans="1:15" hidden="1" x14ac:dyDescent="0.25">
      <c r="A4236" s="11">
        <v>46135</v>
      </c>
      <c r="B4236" t="s">
        <v>42</v>
      </c>
      <c r="C4236" t="s">
        <v>32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v>0</v>
      </c>
      <c r="J4236" s="3">
        <v>0</v>
      </c>
      <c r="K4236" s="3">
        <v>0</v>
      </c>
      <c r="L4236" s="3" t="str">
        <f>IF(K4236&lt;-5,"CRÍTICO",IF(K4236&lt;0,"ATENÇÃO",IF(K4236&lt;=5,"OPORTUNO","MUITO BOM")))</f>
        <v>OPORTUNO</v>
      </c>
      <c r="M4236">
        <v>0</v>
      </c>
      <c r="N4236">
        <v>88.68</v>
      </c>
      <c r="O4236">
        <v>22.03389830508474</v>
      </c>
    </row>
    <row r="4237" spans="1:15" hidden="1" x14ac:dyDescent="0.25">
      <c r="A4237" s="11">
        <v>46135</v>
      </c>
      <c r="B4237" t="s">
        <v>62</v>
      </c>
      <c r="C4237" t="s">
        <v>23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>E4237+G4237+H4237</f>
        <v>20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16</v>
      </c>
      <c r="K4237" s="3">
        <f>I4237-J4237</f>
        <v>4</v>
      </c>
      <c r="L4237" s="3" t="str">
        <f>IF(K4237&lt;-5,"CRÍTICO",IF(K4237&lt;0,"ATENÇÃO",IF(K4237&lt;=5,"OPORTUNO","MUITO BOM")))</f>
        <v>OPORTUNO</v>
      </c>
      <c r="M4237">
        <v>22</v>
      </c>
      <c r="N4237">
        <v>97.37</v>
      </c>
      <c r="O4237">
        <v>25.76530612244898</v>
      </c>
    </row>
    <row r="4238" spans="1:15" hidden="1" x14ac:dyDescent="0.25">
      <c r="A4238" s="11">
        <v>46135</v>
      </c>
      <c r="B4238" t="s">
        <v>19</v>
      </c>
      <c r="C4238" t="s">
        <v>16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>E4238+G4238+H4238</f>
        <v>16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7</v>
      </c>
      <c r="K4238" s="3">
        <f>I4238-J4238</f>
        <v>9</v>
      </c>
      <c r="L4238" s="3" t="str">
        <f>IF(K4238&lt;-5,"CRÍTICO",IF(K4238&lt;0,"ATENÇÃO",IF(K4238&lt;=5,"OPORTUNO","MUITO BOM")))</f>
        <v>MUITO BOM</v>
      </c>
      <c r="M4238">
        <v>0</v>
      </c>
      <c r="N4238">
        <v>100</v>
      </c>
      <c r="O4238">
        <v>25</v>
      </c>
    </row>
    <row r="4239" spans="1:15" hidden="1" x14ac:dyDescent="0.25">
      <c r="A4239" s="11">
        <v>46135</v>
      </c>
      <c r="B4239" t="s">
        <v>43</v>
      </c>
      <c r="C4239" t="s">
        <v>32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>E4239+G4239+H4239</f>
        <v>17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-8</v>
      </c>
      <c r="L4239" s="3" t="str">
        <f>IF(K4239&lt;-5,"CRÍTICO",IF(K4239&lt;0,"ATENÇÃO",IF(K4239&lt;=5,"OPORTUNO","MUITO BOM")))</f>
        <v>CRÍTICO</v>
      </c>
      <c r="M4239">
        <v>26</v>
      </c>
      <c r="N4239">
        <v>100</v>
      </c>
      <c r="O4239">
        <v>23.9870340356564</v>
      </c>
    </row>
    <row r="4240" spans="1:15" hidden="1" x14ac:dyDescent="0.25">
      <c r="A4240" s="11">
        <v>46135</v>
      </c>
      <c r="B4240" t="s">
        <v>44</v>
      </c>
      <c r="C4240" t="s">
        <v>32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>E4240+G4240+H4240</f>
        <v>23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25</v>
      </c>
      <c r="K4240" s="3">
        <f>I4240-J4240</f>
        <v>-2</v>
      </c>
      <c r="L4240" s="3" t="str">
        <f>IF(K4240&lt;-5,"CRÍTICO",IF(K4240&lt;0,"ATENÇÃO",IF(K4240&lt;=5,"OPORTUNO","MUITO BOM")))</f>
        <v>ATENÇÃO</v>
      </c>
      <c r="M4240">
        <v>20</v>
      </c>
      <c r="N4240">
        <v>95.49</v>
      </c>
      <c r="O4240">
        <v>28.370221327967808</v>
      </c>
    </row>
    <row r="4241" spans="1:15" hidden="1" x14ac:dyDescent="0.25">
      <c r="A4241" s="11">
        <v>46135</v>
      </c>
      <c r="B4241" t="s">
        <v>20</v>
      </c>
      <c r="C4241" t="s">
        <v>16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>E4241+G4241+H4241</f>
        <v>12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7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>
        <v>7</v>
      </c>
      <c r="N4241">
        <v>100</v>
      </c>
      <c r="O4241">
        <v>23.77622377622378</v>
      </c>
    </row>
    <row r="4242" spans="1:15" hidden="1" x14ac:dyDescent="0.25">
      <c r="A4242" s="11">
        <v>46135</v>
      </c>
      <c r="B4242" t="s">
        <v>28</v>
      </c>
      <c r="C4242" t="s">
        <v>26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>E4242+G4242+H4242</f>
        <v>19</v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>14</v>
      </c>
      <c r="K4242" s="3">
        <f>I4242-J4242</f>
        <v>5</v>
      </c>
      <c r="L4242" s="3" t="str">
        <f>IF(K4242&lt;-5,"CRÍTICO",IF(K4242&lt;0,"ATENÇÃO",IF(K4242&lt;=5,"OPORTUNO","MUITO BOM")))</f>
        <v>OPORTUNO</v>
      </c>
      <c r="M4242">
        <v>16</v>
      </c>
      <c r="N4242">
        <v>96.15</v>
      </c>
      <c r="O4242">
        <v>24.045801526717561</v>
      </c>
    </row>
    <row r="4243" spans="1:15" hidden="1" x14ac:dyDescent="0.25">
      <c r="A4243" s="11">
        <v>46135</v>
      </c>
      <c r="B4243" t="s">
        <v>58</v>
      </c>
      <c r="C4243" t="s">
        <v>48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>
        <v>0</v>
      </c>
      <c r="N4243">
        <v>99.02</v>
      </c>
      <c r="O4243">
        <v>34.797297297297298</v>
      </c>
    </row>
    <row r="4244" spans="1:15" hidden="1" x14ac:dyDescent="0.25">
      <c r="A4244" s="11">
        <v>46135</v>
      </c>
      <c r="B4244" t="s">
        <v>29</v>
      </c>
      <c r="C4244" t="s">
        <v>26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v>0</v>
      </c>
      <c r="J4244" s="3">
        <v>0</v>
      </c>
      <c r="K4244" s="3">
        <v>0</v>
      </c>
      <c r="L4244" s="3" t="str">
        <f>IF(K4244&lt;-5,"CRÍTICO",IF(K4244&lt;0,"ATENÇÃO",IF(K4244&lt;=5,"OPORTUNO","MUITO BOM")))</f>
        <v>OPORTUNO</v>
      </c>
      <c r="M4244">
        <v>0</v>
      </c>
      <c r="N4244">
        <v>98.84</v>
      </c>
      <c r="O4244">
        <v>31.868131868131869</v>
      </c>
    </row>
    <row r="4245" spans="1:15" hidden="1" x14ac:dyDescent="0.25">
      <c r="A4245" s="11">
        <v>46135</v>
      </c>
      <c r="B4245" t="s">
        <v>30</v>
      </c>
      <c r="C4245" t="s">
        <v>26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>E4245+G4245+H4245</f>
        <v>11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14</v>
      </c>
      <c r="K4245" s="3">
        <f>I4245-J4245</f>
        <v>-3</v>
      </c>
      <c r="L4245" s="3" t="str">
        <f>IF(K4245&lt;-5,"CRÍTICO",IF(K4245&lt;0,"ATENÇÃO",IF(K4245&lt;=5,"OPORTUNO","MUITO BOM")))</f>
        <v>ATENÇÃO</v>
      </c>
      <c r="M4245">
        <v>10</v>
      </c>
      <c r="N4245">
        <v>100</v>
      </c>
      <c r="O4245">
        <v>34.666666666666671</v>
      </c>
    </row>
    <row r="4246" spans="1:15" hidden="1" x14ac:dyDescent="0.25">
      <c r="A4246" s="11">
        <v>46135</v>
      </c>
      <c r="B4246" t="s">
        <v>21</v>
      </c>
      <c r="C4246" t="s">
        <v>16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>E4246+G4246+H4246</f>
        <v>5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7</v>
      </c>
      <c r="K4246" s="3">
        <f>I4246-J4246</f>
        <v>-2</v>
      </c>
      <c r="L4246" s="3" t="str">
        <f>IF(K4246&lt;-5,"CRÍTICO",IF(K4246&lt;0,"ATENÇÃO",IF(K4246&lt;=5,"OPORTUNO","MUITO BOM")))</f>
        <v>ATENÇÃO</v>
      </c>
      <c r="M4246">
        <v>4</v>
      </c>
      <c r="N4246">
        <v>94.12</v>
      </c>
      <c r="O4246">
        <v>32.799999999999997</v>
      </c>
    </row>
    <row r="4247" spans="1:15" hidden="1" x14ac:dyDescent="0.25">
      <c r="A4247" s="11">
        <v>46135</v>
      </c>
      <c r="B4247" t="s">
        <v>63</v>
      </c>
      <c r="C4247" t="s">
        <v>23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>E4247+G4247+H4247</f>
        <v>27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16</v>
      </c>
      <c r="K4247" s="3">
        <f>I4247-J4247</f>
        <v>11</v>
      </c>
      <c r="L4247" s="3" t="str">
        <f>IF(K4247&lt;-5,"CRÍTICO",IF(K4247&lt;0,"ATENÇÃO",IF(K4247&lt;=5,"OPORTUNO","MUITO BOM")))</f>
        <v>MUITO BOM</v>
      </c>
      <c r="M4247">
        <v>23</v>
      </c>
      <c r="N4247">
        <v>98.32</v>
      </c>
      <c r="O4247">
        <v>26.858513189448441</v>
      </c>
    </row>
    <row r="4248" spans="1:15" hidden="1" x14ac:dyDescent="0.25">
      <c r="A4248" s="11">
        <v>46135</v>
      </c>
      <c r="B4248" t="s">
        <v>45</v>
      </c>
      <c r="C4248" t="s">
        <v>32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>E4248+G4248+H4248</f>
        <v>30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25</v>
      </c>
      <c r="K4248" s="3">
        <f>I4248-J4248</f>
        <v>5</v>
      </c>
      <c r="L4248" s="3" t="str">
        <f>IF(K4248&lt;-5,"CRÍTICO",IF(K4248&lt;0,"ATENÇÃO",IF(K4248&lt;=5,"OPORTUNO","MUITO BOM")))</f>
        <v>OPORTUNO</v>
      </c>
      <c r="M4248">
        <v>20</v>
      </c>
      <c r="N4248">
        <v>100</v>
      </c>
      <c r="O4248">
        <v>31.135531135531139</v>
      </c>
    </row>
    <row r="4249" spans="1:15" hidden="1" x14ac:dyDescent="0.25">
      <c r="A4249" s="11">
        <v>46135</v>
      </c>
      <c r="B4249" t="s">
        <v>64</v>
      </c>
      <c r="C4249" t="s">
        <v>23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>E4249+G4249+H4249</f>
        <v>17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16</v>
      </c>
      <c r="K4249" s="3">
        <f>I4249-J4249</f>
        <v>1</v>
      </c>
      <c r="L4249" s="3" t="str">
        <f>IF(K4249&lt;-5,"CRÍTICO",IF(K4249&lt;0,"ATENÇÃO",IF(K4249&lt;=5,"OPORTUNO","MUITO BOM")))</f>
        <v>OPORTUNO</v>
      </c>
      <c r="M4249">
        <v>19</v>
      </c>
      <c r="N4249">
        <v>100</v>
      </c>
      <c r="O4249">
        <v>26.36986301369863</v>
      </c>
    </row>
    <row r="4250" spans="1:15" hidden="1" x14ac:dyDescent="0.25">
      <c r="A4250" s="11">
        <v>46135</v>
      </c>
      <c r="B4250" t="s">
        <v>46</v>
      </c>
      <c r="C4250" t="s">
        <v>32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>E4250+G4250+H4250</f>
        <v>23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25</v>
      </c>
      <c r="K4250" s="3">
        <f>I4250-J4250</f>
        <v>-2</v>
      </c>
      <c r="L4250" s="3" t="str">
        <f>IF(K4250&lt;-5,"CRÍTICO",IF(K4250&lt;0,"ATENÇÃO",IF(K4250&lt;=5,"OPORTUNO","MUITO BOM")))</f>
        <v>ATENÇÃO</v>
      </c>
      <c r="M4250">
        <v>21</v>
      </c>
      <c r="N4250">
        <v>99.21</v>
      </c>
      <c r="O4250">
        <v>25.188916876574311</v>
      </c>
    </row>
    <row r="4251" spans="1:15" hidden="1" x14ac:dyDescent="0.25">
      <c r="A4251" s="11">
        <v>46136</v>
      </c>
      <c r="B4251" t="s">
        <v>47</v>
      </c>
      <c r="C4251" t="s">
        <v>48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>E4251+G4251+H4251</f>
        <v>28</v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>18</v>
      </c>
      <c r="K4251" s="3">
        <f>I4251-J4251</f>
        <v>10</v>
      </c>
      <c r="L4251" s="3" t="str">
        <f>IF(K4251&lt;-5,"CRÍTICO",IF(K4251&lt;0,"ATENÇÃO",IF(K4251&lt;=5,"OPORTUNO","MUITO BOM")))</f>
        <v>MUITO BOM</v>
      </c>
      <c r="M4251">
        <v>24</v>
      </c>
      <c r="N4251">
        <v>100</v>
      </c>
      <c r="O4251">
        <v>32.764505119453922</v>
      </c>
    </row>
    <row r="4252" spans="1:15" hidden="1" x14ac:dyDescent="0.25">
      <c r="A4252" s="11">
        <v>46136</v>
      </c>
      <c r="B4252" t="s">
        <v>31</v>
      </c>
      <c r="C4252" t="s">
        <v>32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v>0</v>
      </c>
      <c r="J4252" s="3">
        <v>0</v>
      </c>
      <c r="K4252" s="3">
        <v>0</v>
      </c>
      <c r="L4252" s="3" t="str">
        <f>IF(K4252&lt;-5,"CRÍTICO",IF(K4252&lt;0,"ATENÇÃO",IF(K4252&lt;=5,"OPORTUNO","MUITO BOM")))</f>
        <v>OPORTUNO</v>
      </c>
      <c r="M4252">
        <v>14</v>
      </c>
      <c r="N4252">
        <v>98.66</v>
      </c>
      <c r="O4252">
        <v>35.416666666666671</v>
      </c>
    </row>
    <row r="4253" spans="1:15" hidden="1" x14ac:dyDescent="0.25">
      <c r="A4253" s="11">
        <v>46136</v>
      </c>
      <c r="B4253" t="s">
        <v>59</v>
      </c>
      <c r="C4253" t="s">
        <v>23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>E4253+G4253+H4253</f>
        <v>23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15</v>
      </c>
      <c r="K4253" s="3">
        <f>I4253-J4253</f>
        <v>8</v>
      </c>
      <c r="L4253" s="3" t="str">
        <f>IF(K4253&lt;-5,"CRÍTICO",IF(K4253&lt;0,"ATENÇÃO",IF(K4253&lt;=5,"OPORTUNO","MUITO BOM")))</f>
        <v>MUITO BOM</v>
      </c>
      <c r="M4253">
        <v>24</v>
      </c>
      <c r="N4253">
        <v>99.32</v>
      </c>
      <c r="O4253">
        <v>30.648330058939099</v>
      </c>
    </row>
    <row r="4254" spans="1:15" hidden="1" x14ac:dyDescent="0.25">
      <c r="A4254" s="11">
        <v>46136</v>
      </c>
      <c r="B4254" t="s">
        <v>33</v>
      </c>
      <c r="C4254" t="s">
        <v>32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>E4254+G4254+H4254</f>
        <v>22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23</v>
      </c>
      <c r="K4254" s="3">
        <f>I4254-J4254</f>
        <v>-1</v>
      </c>
      <c r="L4254" s="3" t="str">
        <f>IF(K4254&lt;-5,"CRÍTICO",IF(K4254&lt;0,"ATENÇÃO",IF(K4254&lt;=5,"OPORTUNO","MUITO BOM")))</f>
        <v>ATENÇÃO</v>
      </c>
      <c r="M4254">
        <v>21</v>
      </c>
      <c r="N4254">
        <v>100</v>
      </c>
      <c r="O4254">
        <v>27.803738317757009</v>
      </c>
    </row>
    <row r="4255" spans="1:15" hidden="1" x14ac:dyDescent="0.25">
      <c r="A4255" s="11">
        <v>46136</v>
      </c>
      <c r="B4255" t="s">
        <v>15</v>
      </c>
      <c r="C4255" t="s">
        <v>16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>E4255+G4255+H4255</f>
        <v>31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25</v>
      </c>
      <c r="L4255" s="3" t="str">
        <f>IF(K4255&lt;-5,"CRÍTICO",IF(K4255&lt;0,"ATENÇÃO",IF(K4255&lt;=5,"OPORTUNO","MUITO BOM")))</f>
        <v>MUITO BOM</v>
      </c>
      <c r="M4255">
        <v>29</v>
      </c>
      <c r="N4255">
        <v>96.74</v>
      </c>
      <c r="O4255">
        <v>28.67647058823529</v>
      </c>
    </row>
    <row r="4256" spans="1:15" hidden="1" x14ac:dyDescent="0.25">
      <c r="A4256" s="11">
        <v>46136</v>
      </c>
      <c r="B4256" t="s">
        <v>49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>
        <v>0</v>
      </c>
      <c r="N4256">
        <v>98.82</v>
      </c>
      <c r="O4256">
        <v>30.741410488245929</v>
      </c>
    </row>
    <row r="4257" spans="1:15" hidden="1" x14ac:dyDescent="0.25">
      <c r="A4257" s="11">
        <v>46136</v>
      </c>
      <c r="B4257" t="s">
        <v>50</v>
      </c>
      <c r="C4257" t="s">
        <v>48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v>0</v>
      </c>
      <c r="J4257" s="3">
        <v>0</v>
      </c>
      <c r="K4257" s="3">
        <v>0</v>
      </c>
      <c r="L4257" s="3" t="str">
        <f>IF(K4257&lt;-5,"CRÍTICO",IF(K4257&lt;0,"ATENÇÃO",IF(K4257&lt;=5,"OPORTUNO","MUITO BOM")))</f>
        <v>OPORTUNO</v>
      </c>
      <c r="M4257">
        <v>2</v>
      </c>
      <c r="N4257">
        <v>98.2</v>
      </c>
      <c r="O4257">
        <v>27.170868347338931</v>
      </c>
    </row>
    <row r="4258" spans="1:15" hidden="1" x14ac:dyDescent="0.25">
      <c r="A4258" s="11">
        <v>46136</v>
      </c>
      <c r="B4258" t="s">
        <v>17</v>
      </c>
      <c r="C4258" t="s">
        <v>16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>E4258+G4258+H4258</f>
        <v>10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6</v>
      </c>
      <c r="K4258" s="3">
        <f>I4258-J4258</f>
        <v>4</v>
      </c>
      <c r="L4258" s="3" t="str">
        <f>IF(K4258&lt;-5,"CRÍTICO",IF(K4258&lt;0,"ATENÇÃO",IF(K4258&lt;=5,"OPORTUNO","MUITO BOM")))</f>
        <v>OPORTUNO</v>
      </c>
      <c r="M4258">
        <v>7</v>
      </c>
      <c r="N4258">
        <v>100</v>
      </c>
      <c r="O4258">
        <v>23.134328358208951</v>
      </c>
    </row>
    <row r="4259" spans="1:15" hidden="1" x14ac:dyDescent="0.25">
      <c r="A4259" s="11">
        <v>46136</v>
      </c>
      <c r="B4259" t="s">
        <v>60</v>
      </c>
      <c r="C4259" t="s">
        <v>23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>E4259+G4259+H4259</f>
        <v>12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15</v>
      </c>
      <c r="K4259" s="3">
        <f>I4259-J4259</f>
        <v>-3</v>
      </c>
      <c r="L4259" s="3" t="str">
        <f>IF(K4259&lt;-5,"CRÍTICO",IF(K4259&lt;0,"ATENÇÃO",IF(K4259&lt;=5,"OPORTUNO","MUITO BOM")))</f>
        <v>ATENÇÃO</v>
      </c>
      <c r="M4259">
        <v>14</v>
      </c>
      <c r="N4259">
        <v>96.3</v>
      </c>
      <c r="O4259">
        <v>32.219570405727922</v>
      </c>
    </row>
    <row r="4260" spans="1:15" hidden="1" x14ac:dyDescent="0.25">
      <c r="A4260" s="11">
        <v>46136</v>
      </c>
      <c r="B4260" t="s">
        <v>34</v>
      </c>
      <c r="C4260" t="s">
        <v>32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>E4260+G4260+H4260</f>
        <v>23</v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>23</v>
      </c>
      <c r="K4260" s="3">
        <f>I4260-J4260</f>
        <v>0</v>
      </c>
      <c r="L4260" s="3" t="str">
        <f>IF(K4260&lt;-5,"CRÍTICO",IF(K4260&lt;0,"ATENÇÃO",IF(K4260&lt;=5,"OPORTUNO","MUITO BOM")))</f>
        <v>OPORTUNO</v>
      </c>
      <c r="M4260">
        <v>23</v>
      </c>
      <c r="N4260">
        <v>93.75</v>
      </c>
      <c r="O4260">
        <v>26.819923371647509</v>
      </c>
    </row>
    <row r="4261" spans="1:15" hidden="1" x14ac:dyDescent="0.25">
      <c r="A4261" s="11">
        <v>46136</v>
      </c>
      <c r="B4261" t="s">
        <v>51</v>
      </c>
      <c r="C4261" t="s">
        <v>48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v>0</v>
      </c>
      <c r="J4261" s="3">
        <v>0</v>
      </c>
      <c r="K4261" s="3">
        <v>0</v>
      </c>
      <c r="L4261" s="3" t="str">
        <f>IF(K4261&lt;-5,"CRÍTICO",IF(K4261&lt;0,"ATENÇÃO",IF(K4261&lt;=5,"OPORTUNO","MUITO BOM")))</f>
        <v>OPORTUNO</v>
      </c>
      <c r="M4261">
        <v>0</v>
      </c>
      <c r="N4261">
        <v>97.86</v>
      </c>
      <c r="O4261">
        <v>31.018518518518519</v>
      </c>
    </row>
    <row r="4262" spans="1:15" hidden="1" x14ac:dyDescent="0.25">
      <c r="A4262" s="11">
        <v>46136</v>
      </c>
      <c r="B4262" t="s">
        <v>61</v>
      </c>
      <c r="C4262" t="s">
        <v>23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>E4262+G4262+H4262</f>
        <v>23</v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>15</v>
      </c>
      <c r="K4262" s="3">
        <f>I4262-J4262</f>
        <v>8</v>
      </c>
      <c r="L4262" s="3" t="str">
        <f>IF(K4262&lt;-5,"CRÍTICO",IF(K4262&lt;0,"ATENÇÃO",IF(K4262&lt;=5,"OPORTUNO","MUITO BOM")))</f>
        <v>MUITO BOM</v>
      </c>
      <c r="M4262">
        <v>10</v>
      </c>
      <c r="N4262">
        <v>100</v>
      </c>
      <c r="O4262">
        <v>36.594202898550733</v>
      </c>
    </row>
    <row r="4263" spans="1:15" hidden="1" x14ac:dyDescent="0.25">
      <c r="A4263" s="11">
        <v>46136</v>
      </c>
      <c r="B4263" t="s">
        <v>35</v>
      </c>
      <c r="C4263" t="s">
        <v>32</v>
      </c>
      <c r="D4263">
        <v>22</v>
      </c>
      <c r="E4263">
        <v>22</v>
      </c>
      <c r="F4263">
        <v>22.04</v>
      </c>
      <c r="G4263">
        <v>0</v>
      </c>
      <c r="H4263">
        <v>0</v>
      </c>
      <c r="I4263" s="3">
        <v>0</v>
      </c>
      <c r="J4263" s="3">
        <v>0</v>
      </c>
      <c r="K4263" s="3">
        <v>0</v>
      </c>
      <c r="L4263" s="3" t="str">
        <f>IF(K4263&lt;-5,"CRÍTICO",IF(K4263&lt;0,"ATENÇÃO",IF(K4263&lt;=5,"OPORTUNO","MUITO BOM")))</f>
        <v>OPORTUNO</v>
      </c>
      <c r="M4263">
        <v>23</v>
      </c>
      <c r="N4263">
        <v>100</v>
      </c>
      <c r="O4263">
        <v>38.653846153846153</v>
      </c>
    </row>
    <row r="4264" spans="1:15" hidden="1" x14ac:dyDescent="0.25">
      <c r="A4264" s="11">
        <v>46136</v>
      </c>
      <c r="B4264" t="s">
        <v>18</v>
      </c>
      <c r="C4264" t="s">
        <v>16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>E4264+G4264+H4264</f>
        <v>8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6</v>
      </c>
      <c r="K4264" s="3">
        <f>I4264-J4264</f>
        <v>2</v>
      </c>
      <c r="L4264" s="3" t="str">
        <f>IF(K4264&lt;-5,"CRÍTICO",IF(K4264&lt;0,"ATENÇÃO",IF(K4264&lt;=5,"OPORTUNO","MUITO BOM")))</f>
        <v>OPORTUNO</v>
      </c>
      <c r="M4264">
        <v>5</v>
      </c>
      <c r="N4264">
        <v>100</v>
      </c>
      <c r="O4264">
        <v>27.368421052631579</v>
      </c>
    </row>
    <row r="4265" spans="1:15" hidden="1" x14ac:dyDescent="0.25">
      <c r="A4265" s="11">
        <v>46136</v>
      </c>
      <c r="B4265" t="s">
        <v>52</v>
      </c>
      <c r="C4265" t="s">
        <v>48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18</v>
      </c>
      <c r="K4265" s="3">
        <f>I4265-J4265</f>
        <v>5</v>
      </c>
      <c r="L4265" s="3" t="str">
        <f>IF(K4265&lt;-5,"CRÍTICO",IF(K4265&lt;0,"ATENÇÃO",IF(K4265&lt;=5,"OPORTUNO","MUITO BOM")))</f>
        <v>OPORTUNO</v>
      </c>
      <c r="M4265">
        <v>19</v>
      </c>
      <c r="N4265">
        <v>97.83</v>
      </c>
      <c r="O4265">
        <v>28.35164835164835</v>
      </c>
    </row>
    <row r="4266" spans="1:15" hidden="1" x14ac:dyDescent="0.25">
      <c r="A4266" s="11">
        <v>46136</v>
      </c>
      <c r="B4266" t="s">
        <v>36</v>
      </c>
      <c r="C4266" t="s">
        <v>32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>E4266+G4266+H4266</f>
        <v>23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23</v>
      </c>
      <c r="K4266" s="3">
        <f>I4266-J4266</f>
        <v>0</v>
      </c>
      <c r="L4266" s="3" t="str">
        <f>IF(K4266&lt;-5,"CRÍTICO",IF(K4266&lt;0,"ATENÇÃO",IF(K4266&lt;=5,"OPORTUNO","MUITO BOM")))</f>
        <v>OPORTUNO</v>
      </c>
      <c r="M4266">
        <v>22</v>
      </c>
      <c r="N4266">
        <v>99.26</v>
      </c>
      <c r="O4266">
        <v>29.766536964980549</v>
      </c>
    </row>
    <row r="4267" spans="1:15" hidden="1" x14ac:dyDescent="0.25">
      <c r="A4267" s="11">
        <v>46136</v>
      </c>
      <c r="B4267" t="s">
        <v>53</v>
      </c>
      <c r="C4267" t="s">
        <v>48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>E4267+G4267+H4267</f>
        <v>25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18</v>
      </c>
      <c r="K4267" s="3">
        <f>I4267-J4267</f>
        <v>7</v>
      </c>
      <c r="L4267" s="3" t="str">
        <f>IF(K4267&lt;-5,"CRÍTICO",IF(K4267&lt;0,"ATENÇÃO",IF(K4267&lt;=5,"OPORTUNO","MUITO BOM")))</f>
        <v>MUITO BOM</v>
      </c>
      <c r="M4267">
        <v>24</v>
      </c>
      <c r="N4267">
        <v>99.19</v>
      </c>
      <c r="O4267">
        <v>29.462365591397852</v>
      </c>
    </row>
    <row r="4268" spans="1:15" hidden="1" x14ac:dyDescent="0.25">
      <c r="A4268" s="11">
        <v>46140</v>
      </c>
      <c r="B4268" t="s">
        <v>53</v>
      </c>
      <c r="C4268" t="s">
        <v>48</v>
      </c>
      <c r="D4268">
        <v>29</v>
      </c>
      <c r="E4268">
        <v>25</v>
      </c>
      <c r="F4268">
        <v>20.23</v>
      </c>
      <c r="G4268">
        <v>0</v>
      </c>
      <c r="H4268">
        <v>0</v>
      </c>
      <c r="I4268" s="3">
        <f>E4268+G4268+H4268</f>
        <v>25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27</v>
      </c>
      <c r="K4268" s="3">
        <f>I4268-J4268</f>
        <v>-2</v>
      </c>
      <c r="L4268" s="3" t="str">
        <f>IF(K4268&lt;-5,"CRÍTICO",IF(K4268&lt;0,"ATENÇÃO",IF(K4268&lt;=5,"OPORTUNO","MUITO BOM")))</f>
        <v>ATENÇÃO</v>
      </c>
      <c r="M4268">
        <v>23</v>
      </c>
      <c r="N4268">
        <v>99.19</v>
      </c>
      <c r="O4268">
        <v>29.462365591397852</v>
      </c>
    </row>
    <row r="4269" spans="1:15" hidden="1" x14ac:dyDescent="0.25">
      <c r="A4269" s="11">
        <v>46136</v>
      </c>
      <c r="B4269" t="s">
        <v>54</v>
      </c>
      <c r="C4269" t="s">
        <v>48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>E4269+G4269+H4269</f>
        <v>19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18</v>
      </c>
      <c r="K4269" s="3">
        <f>I4269-J4269</f>
        <v>1</v>
      </c>
      <c r="L4269" s="3" t="str">
        <f>IF(K4269&lt;-5,"CRÍTICO",IF(K4269&lt;0,"ATENÇÃO",IF(K4269&lt;=5,"OPORTUNO","MUITO BOM")))</f>
        <v>OPORTUNO</v>
      </c>
      <c r="M4269">
        <v>19</v>
      </c>
      <c r="N4269">
        <v>100</v>
      </c>
      <c r="O4269">
        <v>28.921568627450981</v>
      </c>
    </row>
    <row r="4270" spans="1:15" hidden="1" x14ac:dyDescent="0.25">
      <c r="A4270" s="11">
        <v>46136</v>
      </c>
      <c r="B4270" t="s">
        <v>37</v>
      </c>
      <c r="C4270" t="s">
        <v>32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>E4270+G4270+H4270</f>
        <v>35</v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>23</v>
      </c>
      <c r="K4270" s="3">
        <f>I4270-J4270</f>
        <v>12</v>
      </c>
      <c r="L4270" s="3" t="str">
        <f>IF(K4270&lt;-5,"CRÍTICO",IF(K4270&lt;0,"ATENÇÃO",IF(K4270&lt;=5,"OPORTUNO","MUITO BOM")))</f>
        <v>MUITO BOM</v>
      </c>
      <c r="M4270">
        <v>28</v>
      </c>
      <c r="N4270">
        <v>99.57</v>
      </c>
      <c r="O4270">
        <v>30.635838150289018</v>
      </c>
    </row>
    <row r="4271" spans="1:15" hidden="1" x14ac:dyDescent="0.25">
      <c r="A4271" s="11">
        <v>46136</v>
      </c>
      <c r="B4271" t="s">
        <v>38</v>
      </c>
      <c r="C4271" t="s">
        <v>32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v>0</v>
      </c>
      <c r="J4271" s="3">
        <v>0</v>
      </c>
      <c r="K4271" s="3">
        <v>0</v>
      </c>
      <c r="L4271" s="3" t="str">
        <f>IF(K4271&lt;-5,"CRÍTICO",IF(K4271&lt;0,"ATENÇÃO",IF(K4271&lt;=5,"OPORTUNO","MUITO BOM")))</f>
        <v>OPORTUNO</v>
      </c>
      <c r="M4271">
        <v>0</v>
      </c>
      <c r="N4271">
        <v>95.65</v>
      </c>
      <c r="O4271">
        <v>32.432432432432442</v>
      </c>
    </row>
    <row r="4272" spans="1:15" hidden="1" x14ac:dyDescent="0.25">
      <c r="A4272" s="11">
        <v>46136</v>
      </c>
      <c r="B4272" t="s">
        <v>55</v>
      </c>
      <c r="C4272" t="s">
        <v>48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>E4272+G4272+H4272</f>
        <v>17</v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>18</v>
      </c>
      <c r="K4272" s="3">
        <f>I4272-J4272</f>
        <v>-1</v>
      </c>
      <c r="L4272" s="3" t="str">
        <f>IF(K4272&lt;-5,"CRÍTICO",IF(K4272&lt;0,"ATENÇÃO",IF(K4272&lt;=5,"OPORTUNO","MUITO BOM")))</f>
        <v>ATENÇÃO</v>
      </c>
      <c r="M4272">
        <v>14</v>
      </c>
      <c r="N4272">
        <v>98.81</v>
      </c>
      <c r="O4272">
        <v>26.256983240223459</v>
      </c>
    </row>
    <row r="4273" spans="1:15" hidden="1" x14ac:dyDescent="0.25">
      <c r="A4273" s="11">
        <v>46136</v>
      </c>
      <c r="B4273" t="s">
        <v>39</v>
      </c>
      <c r="C4273" t="s">
        <v>32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v>0</v>
      </c>
      <c r="J4273" s="3">
        <v>0</v>
      </c>
      <c r="K4273" s="3">
        <v>0</v>
      </c>
      <c r="L4273" s="3" t="str">
        <f>IF(K4273&lt;-5,"CRÍTICO",IF(K4273&lt;0,"ATENÇÃO",IF(K4273&lt;=5,"OPORTUNO","MUITO BOM")))</f>
        <v>OPORTUNO</v>
      </c>
      <c r="M4273">
        <v>0</v>
      </c>
      <c r="N4273">
        <v>0</v>
      </c>
      <c r="O4273">
        <v>0</v>
      </c>
    </row>
    <row r="4274" spans="1:15" hidden="1" x14ac:dyDescent="0.25">
      <c r="A4274" s="11">
        <v>46136</v>
      </c>
      <c r="B4274" t="s">
        <v>25</v>
      </c>
      <c r="C4274" t="s">
        <v>26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>E4274+G4274+H4274</f>
        <v>15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13</v>
      </c>
      <c r="K4274" s="3">
        <f>I4274-J4274</f>
        <v>2</v>
      </c>
      <c r="L4274" s="3" t="str">
        <f>IF(K4274&lt;-5,"CRÍTICO",IF(K4274&lt;0,"ATENÇÃO",IF(K4274&lt;=5,"OPORTUNO","MUITO BOM")))</f>
        <v>OPORTUNO</v>
      </c>
      <c r="M4274">
        <v>14</v>
      </c>
      <c r="N4274">
        <v>97.17</v>
      </c>
      <c r="O4274">
        <v>28.81844380403458</v>
      </c>
    </row>
    <row r="4275" spans="1:15" hidden="1" x14ac:dyDescent="0.25">
      <c r="A4275" s="11">
        <v>46136</v>
      </c>
      <c r="B4275" t="s">
        <v>40</v>
      </c>
      <c r="C4275" t="s">
        <v>32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v>0</v>
      </c>
      <c r="J4275" s="3">
        <v>0</v>
      </c>
      <c r="K4275" s="3">
        <v>0</v>
      </c>
      <c r="L4275" s="3" t="str">
        <f>IF(K4275&lt;-5,"CRÍTICO",IF(K4275&lt;0,"ATENÇÃO",IF(K4275&lt;=5,"OPORTUNO","MUITO BOM")))</f>
        <v>OPORTUNO</v>
      </c>
      <c r="M4275">
        <v>28</v>
      </c>
      <c r="N4275">
        <v>96.81</v>
      </c>
      <c r="O4275">
        <v>48.018648018648022</v>
      </c>
    </row>
    <row r="4276" spans="1:15" hidden="1" x14ac:dyDescent="0.25">
      <c r="A4276" s="11">
        <v>46136</v>
      </c>
      <c r="B4276" t="s">
        <v>27</v>
      </c>
      <c r="C4276" t="s">
        <v>26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>E4276+G4276+H4276</f>
        <v>11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13</v>
      </c>
      <c r="K4276" s="3">
        <f>I4276-J4276</f>
        <v>-2</v>
      </c>
      <c r="L4276" s="3" t="str">
        <f>IF(K4276&lt;-5,"CRÍTICO",IF(K4276&lt;0,"ATENÇÃO",IF(K4276&lt;=5,"OPORTUNO","MUITO BOM")))</f>
        <v>ATENÇÃO</v>
      </c>
      <c r="M4276">
        <v>11</v>
      </c>
      <c r="N4276">
        <v>98.15</v>
      </c>
      <c r="O4276">
        <v>27.1551724137931</v>
      </c>
    </row>
    <row r="4277" spans="1:15" hidden="1" x14ac:dyDescent="0.25">
      <c r="A4277" s="11">
        <v>46136</v>
      </c>
      <c r="B4277" t="s">
        <v>41</v>
      </c>
      <c r="C4277" t="s">
        <v>32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23</v>
      </c>
      <c r="K4277" s="3">
        <f>I4277-J4277</f>
        <v>-4</v>
      </c>
      <c r="L4277" s="3" t="str">
        <f>IF(K4277&lt;-5,"CRÍTICO",IF(K4277&lt;0,"ATENÇÃO",IF(K4277&lt;=5,"OPORTUNO","MUITO BOM")))</f>
        <v>ATENÇÃO</v>
      </c>
      <c r="M4277">
        <v>19</v>
      </c>
      <c r="N4277">
        <v>99.15</v>
      </c>
      <c r="O4277">
        <v>27.586206896551719</v>
      </c>
    </row>
    <row r="4278" spans="1:15" hidden="1" x14ac:dyDescent="0.25">
      <c r="A4278" s="11">
        <v>46136</v>
      </c>
      <c r="B4278" t="s">
        <v>56</v>
      </c>
      <c r="C4278" t="s">
        <v>48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>E4278+G4278+H4278</f>
        <v>19</v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18</v>
      </c>
      <c r="K4278" s="3">
        <f>I4278-J4278</f>
        <v>1</v>
      </c>
      <c r="L4278" s="3" t="str">
        <f>IF(K4278&lt;-5,"CRÍTICO",IF(K4278&lt;0,"ATENÇÃO",IF(K4278&lt;=5,"OPORTUNO","MUITO BOM")))</f>
        <v>OPORTUNO</v>
      </c>
      <c r="M4278">
        <v>9</v>
      </c>
      <c r="N4278">
        <v>99.17</v>
      </c>
      <c r="O4278">
        <v>29.75206611570248</v>
      </c>
    </row>
    <row r="4279" spans="1:15" hidden="1" x14ac:dyDescent="0.25">
      <c r="A4279" s="11">
        <v>46136</v>
      </c>
      <c r="B4279" t="s">
        <v>57</v>
      </c>
      <c r="C4279" t="s">
        <v>48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>
        <v>0</v>
      </c>
      <c r="N4279">
        <v>98.73</v>
      </c>
      <c r="O4279">
        <v>28.961748633879779</v>
      </c>
    </row>
    <row r="4280" spans="1:15" hidden="1" x14ac:dyDescent="0.25">
      <c r="A4280" s="11">
        <v>46136</v>
      </c>
      <c r="B4280" t="s">
        <v>42</v>
      </c>
      <c r="C4280" t="s">
        <v>32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v>0</v>
      </c>
      <c r="J4280" s="3">
        <v>0</v>
      </c>
      <c r="K4280" s="3">
        <v>0</v>
      </c>
      <c r="L4280" s="3" t="str">
        <f>IF(K4280&lt;-5,"CRÍTICO",IF(K4280&lt;0,"ATENÇÃO",IF(K4280&lt;=5,"OPORTUNO","MUITO BOM")))</f>
        <v>OPORTUNO</v>
      </c>
      <c r="M4280">
        <v>0</v>
      </c>
      <c r="N4280">
        <v>88.68</v>
      </c>
      <c r="O4280">
        <v>22.03389830508474</v>
      </c>
    </row>
    <row r="4281" spans="1:15" hidden="1" x14ac:dyDescent="0.25">
      <c r="A4281" s="11">
        <v>46136</v>
      </c>
      <c r="B4281" t="s">
        <v>62</v>
      </c>
      <c r="C4281" t="s">
        <v>23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>E4281+G4281+H4281</f>
        <v>12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15</v>
      </c>
      <c r="K4281" s="3">
        <f>I4281-J4281</f>
        <v>-3</v>
      </c>
      <c r="L4281" s="3" t="str">
        <f>IF(K4281&lt;-5,"CRÍTICO",IF(K4281&lt;0,"ATENÇÃO",IF(K4281&lt;=5,"OPORTUNO","MUITO BOM")))</f>
        <v>ATENÇÃO</v>
      </c>
      <c r="M4281">
        <v>14</v>
      </c>
      <c r="N4281">
        <v>97.37</v>
      </c>
      <c r="O4281">
        <v>25.76530612244898</v>
      </c>
    </row>
    <row r="4282" spans="1:15" hidden="1" x14ac:dyDescent="0.25">
      <c r="A4282" s="11">
        <v>46136</v>
      </c>
      <c r="B4282" t="s">
        <v>19</v>
      </c>
      <c r="C4282" t="s">
        <v>16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>E4282+G4282+H4282</f>
        <v>16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6</v>
      </c>
      <c r="K4282" s="3">
        <f>I4282-J4282</f>
        <v>10</v>
      </c>
      <c r="L4282" s="3" t="str">
        <f>IF(K4282&lt;-5,"CRÍTICO",IF(K4282&lt;0,"ATENÇÃO",IF(K4282&lt;=5,"OPORTUNO","MUITO BOM")))</f>
        <v>MUITO BOM</v>
      </c>
      <c r="M4282">
        <v>5</v>
      </c>
      <c r="N4282">
        <v>100</v>
      </c>
      <c r="O4282">
        <v>25</v>
      </c>
    </row>
    <row r="4283" spans="1:15" hidden="1" x14ac:dyDescent="0.25">
      <c r="A4283" s="11">
        <v>46136</v>
      </c>
      <c r="B4283" t="s">
        <v>43</v>
      </c>
      <c r="C4283" t="s">
        <v>32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>E4283+G4283+H4283</f>
        <v>12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-11</v>
      </c>
      <c r="L4283" s="3" t="str">
        <f>IF(K4283&lt;-5,"CRÍTICO",IF(K4283&lt;0,"ATENÇÃO",IF(K4283&lt;=5,"OPORTUNO","MUITO BOM")))</f>
        <v>CRÍTICO</v>
      </c>
      <c r="M4283">
        <v>10</v>
      </c>
      <c r="N4283">
        <v>100</v>
      </c>
      <c r="O4283">
        <v>23.9870340356564</v>
      </c>
    </row>
    <row r="4284" spans="1:15" hidden="1" x14ac:dyDescent="0.25">
      <c r="A4284" s="11">
        <v>46136</v>
      </c>
      <c r="B4284" t="s">
        <v>44</v>
      </c>
      <c r="C4284" t="s">
        <v>32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>E4284+G4284+H4284</f>
        <v>28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23</v>
      </c>
      <c r="K4284" s="3">
        <f>I4284-J4284</f>
        <v>5</v>
      </c>
      <c r="L4284" s="3" t="str">
        <f>IF(K4284&lt;-5,"CRÍTICO",IF(K4284&lt;0,"ATENÇÃO",IF(K4284&lt;=5,"OPORTUNO","MUITO BOM")))</f>
        <v>OPORTUNO</v>
      </c>
      <c r="M4284">
        <v>20</v>
      </c>
      <c r="N4284">
        <v>95.49</v>
      </c>
      <c r="O4284">
        <v>28.370221327967808</v>
      </c>
    </row>
    <row r="4285" spans="1:15" hidden="1" x14ac:dyDescent="0.25">
      <c r="A4285" s="11">
        <v>46136</v>
      </c>
      <c r="B4285" t="s">
        <v>20</v>
      </c>
      <c r="C4285" t="s">
        <v>16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>E4285+G4285+H4285</f>
        <v>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6</v>
      </c>
      <c r="K4285" s="3">
        <f>I4285-J4285</f>
        <v>-3</v>
      </c>
      <c r="L4285" s="3" t="str">
        <f>IF(K4285&lt;-5,"CRÍTICO",IF(K4285&lt;0,"ATENÇÃO",IF(K4285&lt;=5,"OPORTUNO","MUITO BOM")))</f>
        <v>ATENÇÃO</v>
      </c>
      <c r="M4285">
        <v>3</v>
      </c>
      <c r="N4285">
        <v>100</v>
      </c>
      <c r="O4285">
        <v>23.77622377622378</v>
      </c>
    </row>
    <row r="4286" spans="1:15" hidden="1" x14ac:dyDescent="0.25">
      <c r="A4286" s="11">
        <v>46136</v>
      </c>
      <c r="B4286" t="s">
        <v>28</v>
      </c>
      <c r="C4286" t="s">
        <v>26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>E4286+G4286+H4286</f>
        <v>13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13</v>
      </c>
      <c r="K4286" s="3">
        <f>I4286-J4286</f>
        <v>0</v>
      </c>
      <c r="L4286" s="3" t="str">
        <f>IF(K4286&lt;-5,"CRÍTICO",IF(K4286&lt;0,"ATENÇÃO",IF(K4286&lt;=5,"OPORTUNO","MUITO BOM")))</f>
        <v>OPORTUNO</v>
      </c>
      <c r="M4286">
        <v>12</v>
      </c>
      <c r="N4286">
        <v>96.15</v>
      </c>
      <c r="O4286">
        <v>24.045801526717561</v>
      </c>
    </row>
    <row r="4287" spans="1:15" hidden="1" x14ac:dyDescent="0.25">
      <c r="A4287" s="11">
        <v>46136</v>
      </c>
      <c r="B4287" t="s">
        <v>58</v>
      </c>
      <c r="C4287" t="s">
        <v>48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>E4287+G4287+H4287</f>
        <v>20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18</v>
      </c>
      <c r="K4287" s="3">
        <f>I4287-J4287</f>
        <v>2</v>
      </c>
      <c r="L4287" s="3" t="str">
        <f>IF(K4287&lt;-5,"CRÍTICO",IF(K4287&lt;0,"ATENÇÃO",IF(K4287&lt;=5,"OPORTUNO","MUITO BOM")))</f>
        <v>OPORTUNO</v>
      </c>
      <c r="M4287">
        <v>17</v>
      </c>
      <c r="N4287">
        <v>99.02</v>
      </c>
      <c r="O4287">
        <v>34.797297297297298</v>
      </c>
    </row>
    <row r="4288" spans="1:15" hidden="1" x14ac:dyDescent="0.25">
      <c r="A4288" s="11">
        <v>46136</v>
      </c>
      <c r="B4288" t="s">
        <v>29</v>
      </c>
      <c r="C4288" t="s">
        <v>26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>E4288+G4288+H4288</f>
        <v>17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4</v>
      </c>
      <c r="L4288" s="3" t="str">
        <f>IF(K4288&lt;-5,"CRÍTICO",IF(K4288&lt;0,"ATENÇÃO",IF(K4288&lt;=5,"OPORTUNO","MUITO BOM")))</f>
        <v>OPORTUNO</v>
      </c>
      <c r="M4288">
        <v>14</v>
      </c>
      <c r="N4288">
        <v>98.84</v>
      </c>
      <c r="O4288">
        <v>31.868131868131869</v>
      </c>
    </row>
    <row r="4289" spans="1:15" hidden="1" x14ac:dyDescent="0.25">
      <c r="A4289" s="11">
        <v>46136</v>
      </c>
      <c r="B4289" t="s">
        <v>30</v>
      </c>
      <c r="C4289" t="s">
        <v>26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>E4289+G4289+H4289</f>
        <v>23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13</v>
      </c>
      <c r="K4289" s="3">
        <f>I4289-J4289</f>
        <v>10</v>
      </c>
      <c r="L4289" s="3" t="str">
        <f>IF(K4289&lt;-5,"CRÍTICO",IF(K4289&lt;0,"ATENÇÃO",IF(K4289&lt;=5,"OPORTUNO","MUITO BOM")))</f>
        <v>MUITO BOM</v>
      </c>
      <c r="M4289">
        <v>18</v>
      </c>
      <c r="N4289">
        <v>100</v>
      </c>
      <c r="O4289">
        <v>34.666666666666671</v>
      </c>
    </row>
    <row r="4290" spans="1:15" hidden="1" x14ac:dyDescent="0.25">
      <c r="A4290" s="11">
        <v>46136</v>
      </c>
      <c r="B4290" t="s">
        <v>21</v>
      </c>
      <c r="C4290" t="s">
        <v>16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>E4290+G4290+H4290</f>
        <v>9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6</v>
      </c>
      <c r="K4290" s="3">
        <f>I4290-J4290</f>
        <v>3</v>
      </c>
      <c r="L4290" s="3" t="str">
        <f>IF(K4290&lt;-5,"CRÍTICO",IF(K4290&lt;0,"ATENÇÃO",IF(K4290&lt;=5,"OPORTUNO","MUITO BOM")))</f>
        <v>OPORTUNO</v>
      </c>
      <c r="M4290">
        <v>4</v>
      </c>
      <c r="N4290">
        <v>94.12</v>
      </c>
      <c r="O4290">
        <v>32.799999999999997</v>
      </c>
    </row>
    <row r="4291" spans="1:15" hidden="1" x14ac:dyDescent="0.25">
      <c r="A4291" s="11">
        <v>46136</v>
      </c>
      <c r="B4291" t="s">
        <v>63</v>
      </c>
      <c r="C4291" t="s">
        <v>23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>E4291+G4291+H4291</f>
        <v>17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15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>
        <v>12</v>
      </c>
      <c r="N4291">
        <v>98.32</v>
      </c>
      <c r="O4291">
        <v>26.858513189448441</v>
      </c>
    </row>
    <row r="4292" spans="1:15" hidden="1" x14ac:dyDescent="0.25">
      <c r="A4292" s="11">
        <v>46136</v>
      </c>
      <c r="B4292" t="s">
        <v>45</v>
      </c>
      <c r="C4292" t="s">
        <v>32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>E4292+G4292+H4292</f>
        <v>25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23</v>
      </c>
      <c r="K4292" s="3">
        <f>I4292-J4292</f>
        <v>2</v>
      </c>
      <c r="L4292" s="3" t="str">
        <f>IF(K4292&lt;-5,"CRÍTICO",IF(K4292&lt;0,"ATENÇÃO",IF(K4292&lt;=5,"OPORTUNO","MUITO BOM")))</f>
        <v>OPORTUNO</v>
      </c>
      <c r="M4292">
        <v>18</v>
      </c>
      <c r="N4292">
        <v>100</v>
      </c>
      <c r="O4292">
        <v>31.135531135531139</v>
      </c>
    </row>
    <row r="4293" spans="1:15" hidden="1" x14ac:dyDescent="0.25">
      <c r="A4293" s="11">
        <v>46136</v>
      </c>
      <c r="B4293" t="s">
        <v>64</v>
      </c>
      <c r="C4293" t="s">
        <v>23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>E4293+G4293+H4293</f>
        <v>16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15</v>
      </c>
      <c r="K4293" s="3">
        <f>I4293-J4293</f>
        <v>1</v>
      </c>
      <c r="L4293" s="3" t="str">
        <f>IF(K4293&lt;-5,"CRÍTICO",IF(K4293&lt;0,"ATENÇÃO",IF(K4293&lt;=5,"OPORTUNO","MUITO BOM")))</f>
        <v>OPORTUNO</v>
      </c>
      <c r="M4293">
        <v>13</v>
      </c>
      <c r="N4293">
        <v>100</v>
      </c>
      <c r="O4293">
        <v>26.36986301369863</v>
      </c>
    </row>
    <row r="4294" spans="1:15" hidden="1" x14ac:dyDescent="0.25">
      <c r="A4294" s="11">
        <v>46136</v>
      </c>
      <c r="B4294" t="s">
        <v>46</v>
      </c>
      <c r="C4294" t="s">
        <v>32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>E4294+G4294+H4294</f>
        <v>18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23</v>
      </c>
      <c r="K4294" s="3">
        <f>I4294-J4294</f>
        <v>-5</v>
      </c>
      <c r="L4294" s="3" t="str">
        <f>IF(K4294&lt;-5,"CRÍTICO",IF(K4294&lt;0,"ATENÇÃO",IF(K4294&lt;=5,"OPORTUNO","MUITO BOM")))</f>
        <v>ATENÇÃO</v>
      </c>
      <c r="M4294">
        <v>11</v>
      </c>
      <c r="N4294">
        <v>99.21</v>
      </c>
      <c r="O4294">
        <v>25.188916876574311</v>
      </c>
    </row>
    <row r="4295" spans="1:15" hidden="1" x14ac:dyDescent="0.25">
      <c r="A4295" s="11">
        <v>46139</v>
      </c>
      <c r="B4295" t="s">
        <v>47</v>
      </c>
      <c r="C4295" t="s">
        <v>48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>E4295+G4295+H4295</f>
        <v>11</v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>12</v>
      </c>
      <c r="K4295" s="3">
        <f>I4295-J4295</f>
        <v>-1</v>
      </c>
      <c r="L4295" s="3" t="str">
        <f>IF(K4295&lt;-5,"CRÍTICO",IF(K4295&lt;0,"ATENÇÃO",IF(K4295&lt;=5,"OPORTUNO","MUITO BOM")))</f>
        <v>ATENÇÃO</v>
      </c>
      <c r="M4295">
        <v>9</v>
      </c>
      <c r="N4295">
        <v>100</v>
      </c>
      <c r="O4295">
        <v>32.764505119453922</v>
      </c>
    </row>
    <row r="4296" spans="1:15" hidden="1" x14ac:dyDescent="0.25">
      <c r="A4296" s="11">
        <v>46139</v>
      </c>
      <c r="B4296" t="s">
        <v>31</v>
      </c>
      <c r="C4296" t="s">
        <v>32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v>0</v>
      </c>
      <c r="J4296" s="3">
        <v>0</v>
      </c>
      <c r="K4296" s="3">
        <v>0</v>
      </c>
      <c r="L4296" s="3" t="str">
        <f>IF(K4296&lt;-5,"CRÍTICO",IF(K4296&lt;0,"ATENÇÃO",IF(K4296&lt;=5,"OPORTUNO","MUITO BOM")))</f>
        <v>OPORTUNO</v>
      </c>
      <c r="M4296">
        <v>15</v>
      </c>
      <c r="N4296">
        <v>98.66</v>
      </c>
      <c r="O4296">
        <v>35.416666666666671</v>
      </c>
    </row>
    <row r="4297" spans="1:15" hidden="1" x14ac:dyDescent="0.25">
      <c r="A4297" s="11">
        <v>46139</v>
      </c>
      <c r="B4297" t="s">
        <v>59</v>
      </c>
      <c r="C4297" t="s">
        <v>23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>E4297+G4297+H4297</f>
        <v>9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9</v>
      </c>
      <c r="K4297" s="3">
        <f>I4297-J4297</f>
        <v>0</v>
      </c>
      <c r="L4297" s="3" t="str">
        <f>IF(K4297&lt;-5,"CRÍTICO",IF(K4297&lt;0,"ATENÇÃO",IF(K4297&lt;=5,"OPORTUNO","MUITO BOM")))</f>
        <v>OPORTUNO</v>
      </c>
      <c r="M4297">
        <v>12</v>
      </c>
      <c r="N4297">
        <v>99.32</v>
      </c>
      <c r="O4297">
        <v>30.648330058939099</v>
      </c>
    </row>
    <row r="4298" spans="1:15" hidden="1" x14ac:dyDescent="0.25">
      <c r="A4298" s="11">
        <v>46139</v>
      </c>
      <c r="B4298" t="s">
        <v>33</v>
      </c>
      <c r="C4298" t="s">
        <v>32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>E4298+G4298+H4298</f>
        <v>10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14</v>
      </c>
      <c r="K4298" s="3">
        <f>I4298-J4298</f>
        <v>-4</v>
      </c>
      <c r="L4298" s="3" t="str">
        <f>IF(K4298&lt;-5,"CRÍTICO",IF(K4298&lt;0,"ATENÇÃO",IF(K4298&lt;=5,"OPORTUNO","MUITO BOM")))</f>
        <v>ATENÇÃO</v>
      </c>
      <c r="M4298">
        <v>10</v>
      </c>
      <c r="N4298">
        <v>100</v>
      </c>
      <c r="O4298">
        <v>27.803738317757009</v>
      </c>
    </row>
    <row r="4299" spans="1:15" hidden="1" x14ac:dyDescent="0.25">
      <c r="A4299" s="11">
        <v>46139</v>
      </c>
      <c r="B4299" t="s">
        <v>15</v>
      </c>
      <c r="C4299" t="s">
        <v>16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>E4299+G4299+H4299</f>
        <v>14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4</v>
      </c>
      <c r="K4299" s="3">
        <f>I4299-J4299</f>
        <v>10</v>
      </c>
      <c r="L4299" s="3" t="str">
        <f>IF(K4299&lt;-5,"CRÍTICO",IF(K4299&lt;0,"ATENÇÃO",IF(K4299&lt;=5,"OPORTUNO","MUITO BOM")))</f>
        <v>MUITO BOM</v>
      </c>
      <c r="M4299">
        <v>14</v>
      </c>
      <c r="N4299">
        <v>96.74</v>
      </c>
      <c r="O4299">
        <v>28.67647058823529</v>
      </c>
    </row>
    <row r="4300" spans="1:15" hidden="1" x14ac:dyDescent="0.25">
      <c r="A4300" s="11">
        <v>46139</v>
      </c>
      <c r="B4300" t="s">
        <v>49</v>
      </c>
      <c r="C4300" t="s">
        <v>48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>E4300+G4300+H4300</f>
        <v>13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1</v>
      </c>
      <c r="L4300" s="3" t="str">
        <f>IF(K4300&lt;-5,"CRÍTICO",IF(K4300&lt;0,"ATENÇÃO",IF(K4300&lt;=5,"OPORTUNO","MUITO BOM")))</f>
        <v>OPORTUNO</v>
      </c>
      <c r="M4300">
        <v>11</v>
      </c>
      <c r="N4300">
        <v>98.82</v>
      </c>
      <c r="O4300">
        <v>30.741410488245929</v>
      </c>
    </row>
    <row r="4301" spans="1:15" hidden="1" x14ac:dyDescent="0.25">
      <c r="A4301" s="11">
        <v>46139</v>
      </c>
      <c r="B4301" t="s">
        <v>50</v>
      </c>
      <c r="C4301" t="s">
        <v>48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>E4301+G4301+H4301</f>
        <v>12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12</v>
      </c>
      <c r="K4301" s="3">
        <f>I4301-J4301</f>
        <v>0</v>
      </c>
      <c r="L4301" s="3" t="str">
        <f>IF(K4301&lt;-5,"CRÍTICO",IF(K4301&lt;0,"ATENÇÃO",IF(K4301&lt;=5,"OPORTUNO","MUITO BOM")))</f>
        <v>OPORTUNO</v>
      </c>
      <c r="M4301">
        <v>11</v>
      </c>
      <c r="N4301">
        <v>98.2</v>
      </c>
      <c r="O4301">
        <v>27.170868347338931</v>
      </c>
    </row>
    <row r="4302" spans="1:15" hidden="1" x14ac:dyDescent="0.25">
      <c r="A4302" s="11">
        <v>46139</v>
      </c>
      <c r="B4302" t="s">
        <v>17</v>
      </c>
      <c r="C4302" t="s">
        <v>16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>E4302+G4302+H4302</f>
        <v>8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4</v>
      </c>
      <c r="K4302" s="3">
        <f>I4302-J4302</f>
        <v>4</v>
      </c>
      <c r="L4302" s="3" t="str">
        <f>IF(K4302&lt;-5,"CRÍTICO",IF(K4302&lt;0,"ATENÇÃO",IF(K4302&lt;=5,"OPORTUNO","MUITO BOM")))</f>
        <v>OPORTUNO</v>
      </c>
      <c r="M4302">
        <v>7</v>
      </c>
      <c r="N4302">
        <v>100</v>
      </c>
      <c r="O4302">
        <v>23.134328358208951</v>
      </c>
    </row>
    <row r="4303" spans="1:15" hidden="1" x14ac:dyDescent="0.25">
      <c r="A4303" s="11">
        <v>46139</v>
      </c>
      <c r="B4303" t="s">
        <v>60</v>
      </c>
      <c r="C4303" t="s">
        <v>23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>E4303+G4303+H4303</f>
        <v>3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9</v>
      </c>
      <c r="K4303" s="3">
        <f>I4303-J4303</f>
        <v>-6</v>
      </c>
      <c r="L4303" s="3" t="str">
        <f>IF(K4303&lt;-5,"CRÍTICO",IF(K4303&lt;0,"ATENÇÃO",IF(K4303&lt;=5,"OPORTUNO","MUITO BOM")))</f>
        <v>CRÍTICO</v>
      </c>
      <c r="M4303">
        <v>4</v>
      </c>
      <c r="N4303">
        <v>96.3</v>
      </c>
      <c r="O4303">
        <v>32.219570405727922</v>
      </c>
    </row>
    <row r="4304" spans="1:15" hidden="1" x14ac:dyDescent="0.25">
      <c r="A4304" s="11">
        <v>46139</v>
      </c>
      <c r="B4304" t="s">
        <v>34</v>
      </c>
      <c r="C4304" t="s">
        <v>32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>E4304+G4304+H4304</f>
        <v>14</v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>14</v>
      </c>
      <c r="K4304" s="3">
        <f>I4304-J4304</f>
        <v>0</v>
      </c>
      <c r="L4304" s="3" t="str">
        <f>IF(K4304&lt;-5,"CRÍTICO",IF(K4304&lt;0,"ATENÇÃO",IF(K4304&lt;=5,"OPORTUNO","MUITO BOM")))</f>
        <v>OPORTUNO</v>
      </c>
      <c r="M4304">
        <v>13</v>
      </c>
      <c r="N4304">
        <v>93.75</v>
      </c>
      <c r="O4304">
        <v>26.819923371647509</v>
      </c>
    </row>
    <row r="4305" spans="1:15" hidden="1" x14ac:dyDescent="0.25">
      <c r="A4305" s="11">
        <v>46139</v>
      </c>
      <c r="B4305" t="s">
        <v>51</v>
      </c>
      <c r="C4305" t="s">
        <v>48</v>
      </c>
      <c r="D4305">
        <v>15</v>
      </c>
      <c r="E4305">
        <v>13</v>
      </c>
      <c r="F4305">
        <v>12.32</v>
      </c>
      <c r="G4305">
        <v>0</v>
      </c>
      <c r="H4305">
        <v>0</v>
      </c>
      <c r="I4305" s="3">
        <v>0</v>
      </c>
      <c r="J4305" s="3">
        <v>0</v>
      </c>
      <c r="K4305" s="3">
        <v>0</v>
      </c>
      <c r="L4305" s="3" t="str">
        <f>IF(K4305&lt;-5,"CRÍTICO",IF(K4305&lt;0,"ATENÇÃO",IF(K4305&lt;=5,"OPORTUNO","MUITO BOM")))</f>
        <v>OPORTUNO</v>
      </c>
      <c r="M4305">
        <v>10</v>
      </c>
      <c r="N4305">
        <v>97.86</v>
      </c>
      <c r="O4305">
        <v>31.018518518518519</v>
      </c>
    </row>
    <row r="4306" spans="1:15" hidden="1" x14ac:dyDescent="0.25">
      <c r="A4306" s="11">
        <v>46139</v>
      </c>
      <c r="B4306" t="s">
        <v>61</v>
      </c>
      <c r="C4306" t="s">
        <v>23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>E4306+G4306+H4306</f>
        <v>12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9</v>
      </c>
      <c r="K4306" s="3">
        <f>I4306-J4306</f>
        <v>3</v>
      </c>
      <c r="L4306" s="3" t="str">
        <f>IF(K4306&lt;-5,"CRÍTICO",IF(K4306&lt;0,"ATENÇÃO",IF(K4306&lt;=5,"OPORTUNO","MUITO BOM")))</f>
        <v>OPORTUNO</v>
      </c>
      <c r="M4306">
        <v>8</v>
      </c>
      <c r="N4306">
        <v>100</v>
      </c>
      <c r="O4306">
        <v>36.594202898550733</v>
      </c>
    </row>
    <row r="4307" spans="1:15" hidden="1" x14ac:dyDescent="0.25">
      <c r="A4307" s="11">
        <v>46139</v>
      </c>
      <c r="B4307" t="s">
        <v>35</v>
      </c>
      <c r="C4307" t="s">
        <v>32</v>
      </c>
      <c r="D4307">
        <v>13</v>
      </c>
      <c r="E4307">
        <v>13</v>
      </c>
      <c r="F4307">
        <v>21.51</v>
      </c>
      <c r="G4307">
        <v>0</v>
      </c>
      <c r="H4307">
        <v>0</v>
      </c>
      <c r="I4307" s="3">
        <v>0</v>
      </c>
      <c r="J4307" s="3">
        <v>0</v>
      </c>
      <c r="K4307" s="3">
        <v>0</v>
      </c>
      <c r="L4307" s="3" t="str">
        <f>IF(K4307&lt;-5,"CRÍTICO",IF(K4307&lt;0,"ATENÇÃO",IF(K4307&lt;=5,"OPORTUNO","MUITO BOM")))</f>
        <v>OPORTUNO</v>
      </c>
      <c r="M4307">
        <v>14</v>
      </c>
      <c r="N4307">
        <v>100</v>
      </c>
      <c r="O4307">
        <v>38.653846153846153</v>
      </c>
    </row>
    <row r="4308" spans="1:15" hidden="1" x14ac:dyDescent="0.25">
      <c r="A4308" s="11">
        <v>46139</v>
      </c>
      <c r="B4308" t="s">
        <v>18</v>
      </c>
      <c r="C4308" t="s">
        <v>16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>E4308+G4308+H4308</f>
        <v>9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4</v>
      </c>
      <c r="K4308" s="3">
        <f>I4308-J4308</f>
        <v>5</v>
      </c>
      <c r="L4308" s="3" t="str">
        <f>IF(K4308&lt;-5,"CRÍTICO",IF(K4308&lt;0,"ATENÇÃO",IF(K4308&lt;=5,"OPORTUNO","MUITO BOM")))</f>
        <v>OPORTUNO</v>
      </c>
      <c r="M4308">
        <v>8</v>
      </c>
      <c r="N4308">
        <v>100</v>
      </c>
      <c r="O4308">
        <v>27.368421052631579</v>
      </c>
    </row>
    <row r="4309" spans="1:15" hidden="1" x14ac:dyDescent="0.25">
      <c r="A4309" s="11">
        <v>46139</v>
      </c>
      <c r="B4309" t="s">
        <v>52</v>
      </c>
      <c r="C4309" t="s">
        <v>48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>E4309+G4309+H4309</f>
        <v>16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12</v>
      </c>
      <c r="K4309" s="3">
        <f>I4309-J4309</f>
        <v>4</v>
      </c>
      <c r="L4309" s="3" t="str">
        <f>IF(K4309&lt;-5,"CRÍTICO",IF(K4309&lt;0,"ATENÇÃO",IF(K4309&lt;=5,"OPORTUNO","MUITO BOM")))</f>
        <v>OPORTUNO</v>
      </c>
      <c r="M4309">
        <v>12</v>
      </c>
      <c r="N4309">
        <v>97.83</v>
      </c>
      <c r="O4309">
        <v>28.35164835164835</v>
      </c>
    </row>
    <row r="4310" spans="1:15" hidden="1" x14ac:dyDescent="0.25">
      <c r="A4310" s="11">
        <v>46139</v>
      </c>
      <c r="B4310" t="s">
        <v>36</v>
      </c>
      <c r="C4310" t="s">
        <v>32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>E4310+G4310+H4310</f>
        <v>15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14</v>
      </c>
      <c r="K4310" s="3">
        <f>I4310-J4310</f>
        <v>1</v>
      </c>
      <c r="L4310" s="3" t="str">
        <f>IF(K4310&lt;-5,"CRÍTICO",IF(K4310&lt;0,"ATENÇÃO",IF(K4310&lt;=5,"OPORTUNO","MUITO BOM")))</f>
        <v>OPORTUNO</v>
      </c>
      <c r="M4310">
        <v>15</v>
      </c>
      <c r="N4310">
        <v>99.26</v>
      </c>
      <c r="O4310">
        <v>29.766536964980549</v>
      </c>
    </row>
    <row r="4311" spans="1:15" hidden="1" x14ac:dyDescent="0.25">
      <c r="A4311" s="11">
        <v>46139</v>
      </c>
      <c r="B4311" t="s">
        <v>53</v>
      </c>
      <c r="C4311" t="s">
        <v>48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>E4311+G4311+H4311</f>
        <v>14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12</v>
      </c>
      <c r="K4311" s="3">
        <f>I4311-J4311</f>
        <v>2</v>
      </c>
      <c r="L4311" s="3" t="str">
        <f>IF(K4311&lt;-5,"CRÍTICO",IF(K4311&lt;0,"ATENÇÃO",IF(K4311&lt;=5,"OPORTUNO","MUITO BOM")))</f>
        <v>OPORTUNO</v>
      </c>
      <c r="M4311">
        <v>14</v>
      </c>
      <c r="N4311">
        <v>99.19</v>
      </c>
      <c r="O4311">
        <v>29.462365591397852</v>
      </c>
    </row>
    <row r="4312" spans="1:15" hidden="1" x14ac:dyDescent="0.25">
      <c r="A4312" s="11">
        <v>46140</v>
      </c>
      <c r="B4312" t="s">
        <v>54</v>
      </c>
      <c r="C4312" t="s">
        <v>48</v>
      </c>
      <c r="D4312">
        <v>37</v>
      </c>
      <c r="E4312">
        <v>36</v>
      </c>
      <c r="F4312">
        <v>15.51</v>
      </c>
      <c r="G4312">
        <v>0</v>
      </c>
      <c r="H4312">
        <v>0</v>
      </c>
      <c r="I4312" s="3">
        <f>E4312+G4312+H4312</f>
        <v>36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27</v>
      </c>
      <c r="K4312" s="3">
        <f>I4312-J4312</f>
        <v>9</v>
      </c>
      <c r="L4312" s="3" t="str">
        <f>IF(K4312&lt;-5,"CRÍTICO",IF(K4312&lt;0,"ATENÇÃO",IF(K4312&lt;=5,"OPORTUNO","MUITO BOM")))</f>
        <v>MUITO BOM</v>
      </c>
      <c r="M4312">
        <v>25</v>
      </c>
      <c r="N4312">
        <v>100</v>
      </c>
      <c r="O4312">
        <v>28.921568627450981</v>
      </c>
    </row>
    <row r="4313" spans="1:15" hidden="1" x14ac:dyDescent="0.25">
      <c r="A4313" s="11">
        <v>46139</v>
      </c>
      <c r="B4313" t="s">
        <v>54</v>
      </c>
      <c r="C4313" t="s">
        <v>48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>E4313+G4313+H4313</f>
        <v>11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12</v>
      </c>
      <c r="K4313" s="3">
        <f>I4313-J4313</f>
        <v>-1</v>
      </c>
      <c r="L4313" s="3" t="str">
        <f>IF(K4313&lt;-5,"CRÍTICO",IF(K4313&lt;0,"ATENÇÃO",IF(K4313&lt;=5,"OPORTUNO","MUITO BOM")))</f>
        <v>ATENÇÃO</v>
      </c>
      <c r="M4313">
        <v>8</v>
      </c>
      <c r="N4313">
        <v>100</v>
      </c>
      <c r="O4313">
        <v>28.921568627450981</v>
      </c>
    </row>
    <row r="4314" spans="1:15" hidden="1" x14ac:dyDescent="0.25">
      <c r="A4314" s="11">
        <v>46139</v>
      </c>
      <c r="B4314" t="s">
        <v>37</v>
      </c>
      <c r="C4314" t="s">
        <v>32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>E4314+G4314+H4314</f>
        <v>19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5</v>
      </c>
      <c r="L4314" s="3" t="str">
        <f>IF(K4314&lt;-5,"CRÍTICO",IF(K4314&lt;0,"ATENÇÃO",IF(K4314&lt;=5,"OPORTUNO","MUITO BOM")))</f>
        <v>OPORTUNO</v>
      </c>
      <c r="M4314">
        <v>16</v>
      </c>
      <c r="N4314">
        <v>99.57</v>
      </c>
      <c r="O4314">
        <v>30.635838150289018</v>
      </c>
    </row>
    <row r="4315" spans="1:15" hidden="1" x14ac:dyDescent="0.25">
      <c r="A4315" s="11">
        <v>46139</v>
      </c>
      <c r="B4315" t="s">
        <v>38</v>
      </c>
      <c r="C4315" t="s">
        <v>32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14</v>
      </c>
      <c r="K4315" s="3">
        <f>I4315-J4315</f>
        <v>-1</v>
      </c>
      <c r="L4315" s="3" t="str">
        <f>IF(K4315&lt;-5,"CRÍTICO",IF(K4315&lt;0,"ATENÇÃO",IF(K4315&lt;=5,"OPORTUNO","MUITO BOM")))</f>
        <v>ATENÇÃO</v>
      </c>
      <c r="M4315">
        <v>10</v>
      </c>
      <c r="N4315">
        <v>95.65</v>
      </c>
      <c r="O4315">
        <v>32.432432432432442</v>
      </c>
    </row>
    <row r="4316" spans="1:15" hidden="1" x14ac:dyDescent="0.25">
      <c r="A4316" s="11">
        <v>46139</v>
      </c>
      <c r="B4316" t="s">
        <v>55</v>
      </c>
      <c r="C4316" t="s">
        <v>48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>E4316+G4316+H4316</f>
        <v>13</v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>12</v>
      </c>
      <c r="K4316" s="3">
        <f>I4316-J4316</f>
        <v>1</v>
      </c>
      <c r="L4316" s="3" t="str">
        <f>IF(K4316&lt;-5,"CRÍTICO",IF(K4316&lt;0,"ATENÇÃO",IF(K4316&lt;=5,"OPORTUNO","MUITO BOM")))</f>
        <v>OPORTUNO</v>
      </c>
      <c r="M4316">
        <v>12</v>
      </c>
      <c r="N4316">
        <v>98.81</v>
      </c>
      <c r="O4316">
        <v>26.256983240223459</v>
      </c>
    </row>
    <row r="4317" spans="1:15" hidden="1" x14ac:dyDescent="0.25">
      <c r="A4317" s="11">
        <v>46139</v>
      </c>
      <c r="B4317" t="s">
        <v>39</v>
      </c>
      <c r="C4317" t="s">
        <v>32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v>0</v>
      </c>
      <c r="J4317" s="3">
        <v>0</v>
      </c>
      <c r="K4317" s="3">
        <v>0</v>
      </c>
      <c r="L4317" s="3" t="str">
        <f>IF(K4317&lt;-5,"CRÍTICO",IF(K4317&lt;0,"ATENÇÃO",IF(K4317&lt;=5,"OPORTUNO","MUITO BOM")))</f>
        <v>OPORTUNO</v>
      </c>
      <c r="M4317">
        <v>0</v>
      </c>
      <c r="N4317">
        <v>0</v>
      </c>
      <c r="O4317">
        <v>0</v>
      </c>
    </row>
    <row r="4318" spans="1:15" hidden="1" x14ac:dyDescent="0.25">
      <c r="A4318" s="11">
        <v>46139</v>
      </c>
      <c r="B4318" t="s">
        <v>25</v>
      </c>
      <c r="C4318" t="s">
        <v>26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>E4318+G4318+H4318</f>
        <v>5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8</v>
      </c>
      <c r="K4318" s="3">
        <f>I4318-J4318</f>
        <v>-3</v>
      </c>
      <c r="L4318" s="3" t="str">
        <f>IF(K4318&lt;-5,"CRÍTICO",IF(K4318&lt;0,"ATENÇÃO",IF(K4318&lt;=5,"OPORTUNO","MUITO BOM")))</f>
        <v>ATENÇÃO</v>
      </c>
      <c r="M4318">
        <v>6</v>
      </c>
      <c r="N4318">
        <v>97.17</v>
      </c>
      <c r="O4318">
        <v>28.81844380403458</v>
      </c>
    </row>
    <row r="4319" spans="1:15" hidden="1" x14ac:dyDescent="0.25">
      <c r="A4319" s="11">
        <v>46139</v>
      </c>
      <c r="B4319" t="s">
        <v>40</v>
      </c>
      <c r="C4319" t="s">
        <v>32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v>0</v>
      </c>
      <c r="J4319" s="3">
        <v>0</v>
      </c>
      <c r="K4319" s="3">
        <v>0</v>
      </c>
      <c r="L4319" s="3" t="str">
        <f>IF(K4319&lt;-5,"CRÍTICO",IF(K4319&lt;0,"ATENÇÃO",IF(K4319&lt;=5,"OPORTUNO","MUITO BOM")))</f>
        <v>OPORTUNO</v>
      </c>
      <c r="M4319">
        <v>29</v>
      </c>
      <c r="N4319">
        <v>96.81</v>
      </c>
      <c r="O4319">
        <v>48.018648018648022</v>
      </c>
    </row>
    <row r="4320" spans="1:15" hidden="1" x14ac:dyDescent="0.25">
      <c r="A4320" s="11">
        <v>46139</v>
      </c>
      <c r="B4320" t="s">
        <v>27</v>
      </c>
      <c r="C4320" t="s">
        <v>26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8</v>
      </c>
      <c r="K4320" s="3">
        <f>I4320-J4320</f>
        <v>5</v>
      </c>
      <c r="L4320" s="3" t="str">
        <f>IF(K4320&lt;-5,"CRÍTICO",IF(K4320&lt;0,"ATENÇÃO",IF(K4320&lt;=5,"OPORTUNO","MUITO BOM")))</f>
        <v>OPORTUNO</v>
      </c>
      <c r="M4320">
        <v>10</v>
      </c>
      <c r="N4320">
        <v>98.15</v>
      </c>
      <c r="O4320">
        <v>27.1551724137931</v>
      </c>
    </row>
    <row r="4321" spans="1:15" hidden="1" x14ac:dyDescent="0.25">
      <c r="A4321" s="11">
        <v>46139</v>
      </c>
      <c r="B4321" t="s">
        <v>41</v>
      </c>
      <c r="C4321" t="s">
        <v>32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>E4321+G4321+H4321</f>
        <v>13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14</v>
      </c>
      <c r="K4321" s="3">
        <f>I4321-J4321</f>
        <v>-1</v>
      </c>
      <c r="L4321" s="3" t="str">
        <f>IF(K4321&lt;-5,"CRÍTICO",IF(K4321&lt;0,"ATENÇÃO",IF(K4321&lt;=5,"OPORTUNO","MUITO BOM")))</f>
        <v>ATENÇÃO</v>
      </c>
      <c r="M4321">
        <v>14</v>
      </c>
      <c r="N4321">
        <v>99.15</v>
      </c>
      <c r="O4321">
        <v>27.586206896551719</v>
      </c>
    </row>
    <row r="4322" spans="1:15" hidden="1" x14ac:dyDescent="0.25">
      <c r="A4322" s="11">
        <v>46139</v>
      </c>
      <c r="B4322" t="s">
        <v>56</v>
      </c>
      <c r="C4322" t="s">
        <v>48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>E4322+G4322+H4322</f>
        <v>2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12</v>
      </c>
      <c r="K4322" s="3">
        <f>I4322-J4322</f>
        <v>-10</v>
      </c>
      <c r="L4322" s="3" t="str">
        <f>IF(K4322&lt;-5,"CRÍTICO",IF(K4322&lt;0,"ATENÇÃO",IF(K4322&lt;=5,"OPORTUNO","MUITO BOM")))</f>
        <v>CRÍTICO</v>
      </c>
      <c r="M4322">
        <v>8</v>
      </c>
      <c r="N4322">
        <v>99.17</v>
      </c>
      <c r="O4322">
        <v>29.75206611570248</v>
      </c>
    </row>
    <row r="4323" spans="1:15" hidden="1" x14ac:dyDescent="0.25">
      <c r="A4323" s="11">
        <v>46139</v>
      </c>
      <c r="B4323" t="s">
        <v>57</v>
      </c>
      <c r="C4323" t="s">
        <v>48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>
        <v>0</v>
      </c>
      <c r="N4323">
        <v>98.73</v>
      </c>
      <c r="O4323">
        <v>28.961748633879779</v>
      </c>
    </row>
    <row r="4324" spans="1:15" hidden="1" x14ac:dyDescent="0.25">
      <c r="A4324" s="11">
        <v>46139</v>
      </c>
      <c r="B4324" t="s">
        <v>42</v>
      </c>
      <c r="C4324" t="s">
        <v>32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v>0</v>
      </c>
      <c r="J4324" s="3">
        <v>0</v>
      </c>
      <c r="K4324" s="3">
        <v>0</v>
      </c>
      <c r="L4324" s="3" t="str">
        <f>IF(K4324&lt;-5,"CRÍTICO",IF(K4324&lt;0,"ATENÇÃO",IF(K4324&lt;=5,"OPORTUNO","MUITO BOM")))</f>
        <v>OPORTUNO</v>
      </c>
      <c r="M4324">
        <v>0</v>
      </c>
      <c r="N4324">
        <v>88.68</v>
      </c>
      <c r="O4324">
        <v>22.03389830508474</v>
      </c>
    </row>
    <row r="4325" spans="1:15" hidden="1" x14ac:dyDescent="0.25">
      <c r="A4325" s="11">
        <v>46139</v>
      </c>
      <c r="B4325" t="s">
        <v>62</v>
      </c>
      <c r="C4325" t="s">
        <v>23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>E4325+G4325+H4325</f>
        <v>9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9</v>
      </c>
      <c r="K4325" s="3">
        <f>I4325-J4325</f>
        <v>0</v>
      </c>
      <c r="L4325" s="3" t="str">
        <f>IF(K4325&lt;-5,"CRÍTICO",IF(K4325&lt;0,"ATENÇÃO",IF(K4325&lt;=5,"OPORTUNO","MUITO BOM")))</f>
        <v>OPORTUNO</v>
      </c>
      <c r="M4325">
        <v>8</v>
      </c>
      <c r="N4325">
        <v>97.37</v>
      </c>
      <c r="O4325">
        <v>25.76530612244898</v>
      </c>
    </row>
    <row r="4326" spans="1:15" hidden="1" x14ac:dyDescent="0.25">
      <c r="A4326" s="11">
        <v>46139</v>
      </c>
      <c r="B4326" t="s">
        <v>19</v>
      </c>
      <c r="C4326" t="s">
        <v>16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v>0</v>
      </c>
      <c r="J4326" s="3">
        <v>0</v>
      </c>
      <c r="K4326" s="3">
        <v>0</v>
      </c>
      <c r="L4326" s="3" t="str">
        <f>IF(K4326&lt;-5,"CRÍTICO",IF(K4326&lt;0,"ATENÇÃO",IF(K4326&lt;=5,"OPORTUNO","MUITO BOM")))</f>
        <v>OPORTUNO</v>
      </c>
      <c r="M4326">
        <v>0</v>
      </c>
      <c r="N4326">
        <v>100</v>
      </c>
      <c r="O4326">
        <v>25</v>
      </c>
    </row>
    <row r="4327" spans="1:15" hidden="1" x14ac:dyDescent="0.25">
      <c r="A4327" s="11">
        <v>46139</v>
      </c>
      <c r="B4327" t="s">
        <v>43</v>
      </c>
      <c r="C4327" t="s">
        <v>32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>
        <v>40</v>
      </c>
      <c r="N4327">
        <v>100</v>
      </c>
      <c r="O4327">
        <v>23.9870340356564</v>
      </c>
    </row>
    <row r="4328" spans="1:15" hidden="1" x14ac:dyDescent="0.25">
      <c r="A4328" s="11">
        <v>46139</v>
      </c>
      <c r="B4328" t="s">
        <v>44</v>
      </c>
      <c r="C4328" t="s">
        <v>32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14</v>
      </c>
      <c r="K4328" s="3">
        <f>I4328-J4328</f>
        <v>0</v>
      </c>
      <c r="L4328" s="3" t="str">
        <f>IF(K4328&lt;-5,"CRÍTICO",IF(K4328&lt;0,"ATENÇÃO",IF(K4328&lt;=5,"OPORTUNO","MUITO BOM")))</f>
        <v>OPORTUNO</v>
      </c>
      <c r="M4328">
        <v>14</v>
      </c>
      <c r="N4328">
        <v>95.49</v>
      </c>
      <c r="O4328">
        <v>28.370221327967808</v>
      </c>
    </row>
    <row r="4329" spans="1:15" hidden="1" x14ac:dyDescent="0.25">
      <c r="A4329" s="11">
        <v>46139</v>
      </c>
      <c r="B4329" t="s">
        <v>20</v>
      </c>
      <c r="C4329" t="s">
        <v>16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>E4329+G4329+H4329</f>
        <v>6</v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>4</v>
      </c>
      <c r="K4329" s="3">
        <f>I4329-J4329</f>
        <v>2</v>
      </c>
      <c r="L4329" s="3" t="str">
        <f>IF(K4329&lt;-5,"CRÍTICO",IF(K4329&lt;0,"ATENÇÃO",IF(K4329&lt;=5,"OPORTUNO","MUITO BOM")))</f>
        <v>OPORTUNO</v>
      </c>
      <c r="M4329">
        <v>5</v>
      </c>
      <c r="N4329">
        <v>100</v>
      </c>
      <c r="O4329">
        <v>23.77622377622378</v>
      </c>
    </row>
    <row r="4330" spans="1:15" hidden="1" x14ac:dyDescent="0.25">
      <c r="A4330" s="11">
        <v>46139</v>
      </c>
      <c r="B4330" t="s">
        <v>28</v>
      </c>
      <c r="C4330" t="s">
        <v>26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v>0</v>
      </c>
      <c r="J4330" s="3">
        <v>0</v>
      </c>
      <c r="K4330" s="3">
        <v>0</v>
      </c>
      <c r="L4330" s="3" t="str">
        <f>IF(K4330&lt;-5,"CRÍTICO",IF(K4330&lt;0,"ATENÇÃO",IF(K4330&lt;=5,"OPORTUNO","MUITO BOM")))</f>
        <v>OPORTUNO</v>
      </c>
      <c r="M4330">
        <v>0</v>
      </c>
      <c r="N4330">
        <v>96.15</v>
      </c>
      <c r="O4330">
        <v>24.045801526717561</v>
      </c>
    </row>
    <row r="4331" spans="1:15" hidden="1" x14ac:dyDescent="0.25">
      <c r="A4331" s="11">
        <v>46139</v>
      </c>
      <c r="B4331" t="s">
        <v>58</v>
      </c>
      <c r="C4331" t="s">
        <v>48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12</v>
      </c>
      <c r="K4331" s="3">
        <f>I4331-J4331</f>
        <v>-4</v>
      </c>
      <c r="L4331" s="3" t="str">
        <f>IF(K4331&lt;-5,"CRÍTICO",IF(K4331&lt;0,"ATENÇÃO",IF(K4331&lt;=5,"OPORTUNO","MUITO BOM")))</f>
        <v>ATENÇÃO</v>
      </c>
      <c r="M4331">
        <v>7</v>
      </c>
      <c r="N4331">
        <v>99.02</v>
      </c>
      <c r="O4331">
        <v>34.797297297297298</v>
      </c>
    </row>
    <row r="4332" spans="1:15" hidden="1" x14ac:dyDescent="0.25">
      <c r="A4332" s="11">
        <v>46139</v>
      </c>
      <c r="B4332" t="s">
        <v>29</v>
      </c>
      <c r="C4332" t="s">
        <v>26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>E4332+G4332+H4332</f>
        <v>8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0</v>
      </c>
      <c r="L4332" s="3" t="str">
        <f>IF(K4332&lt;-5,"CRÍTICO",IF(K4332&lt;0,"ATENÇÃO",IF(K4332&lt;=5,"OPORTUNO","MUITO BOM")))</f>
        <v>OPORTUNO</v>
      </c>
      <c r="M4332">
        <v>7</v>
      </c>
      <c r="N4332">
        <v>98.84</v>
      </c>
      <c r="O4332">
        <v>31.868131868131869</v>
      </c>
    </row>
    <row r="4333" spans="1:15" hidden="1" x14ac:dyDescent="0.25">
      <c r="A4333" s="11">
        <v>46139</v>
      </c>
      <c r="B4333" t="s">
        <v>30</v>
      </c>
      <c r="C4333" t="s">
        <v>26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>E4333+G4333+H4333</f>
        <v>10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8</v>
      </c>
      <c r="K4333" s="3">
        <f>I4333-J4333</f>
        <v>2</v>
      </c>
      <c r="L4333" s="3" t="str">
        <f>IF(K4333&lt;-5,"CRÍTICO",IF(K4333&lt;0,"ATENÇÃO",IF(K4333&lt;=5,"OPORTUNO","MUITO BOM")))</f>
        <v>OPORTUNO</v>
      </c>
      <c r="M4333">
        <v>8</v>
      </c>
      <c r="N4333">
        <v>100</v>
      </c>
      <c r="O4333">
        <v>34.666666666666671</v>
      </c>
    </row>
    <row r="4334" spans="1:15" hidden="1" x14ac:dyDescent="0.25">
      <c r="A4334" s="11">
        <v>46139</v>
      </c>
      <c r="B4334" t="s">
        <v>21</v>
      </c>
      <c r="C4334" t="s">
        <v>16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>E4334+G4334+H4334</f>
        <v>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4</v>
      </c>
      <c r="K4334" s="3">
        <f>I4334-J4334</f>
        <v>0</v>
      </c>
      <c r="L4334" s="3" t="str">
        <f>IF(K4334&lt;-5,"CRÍTICO",IF(K4334&lt;0,"ATENÇÃO",IF(K4334&lt;=5,"OPORTUNO","MUITO BOM")))</f>
        <v>OPORTUNO</v>
      </c>
      <c r="M4334">
        <v>4</v>
      </c>
      <c r="N4334">
        <v>94.12</v>
      </c>
      <c r="O4334">
        <v>32.799999999999997</v>
      </c>
    </row>
    <row r="4335" spans="1:15" hidden="1" x14ac:dyDescent="0.25">
      <c r="A4335" s="11">
        <v>46139</v>
      </c>
      <c r="B4335" t="s">
        <v>63</v>
      </c>
      <c r="C4335" t="s">
        <v>23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>E4335+G4335+H4335</f>
        <v>14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9</v>
      </c>
      <c r="K4335" s="3">
        <f>I4335-J4335</f>
        <v>5</v>
      </c>
      <c r="L4335" s="3" t="str">
        <f>IF(K4335&lt;-5,"CRÍTICO",IF(K4335&lt;0,"ATENÇÃO",IF(K4335&lt;=5,"OPORTUNO","MUITO BOM")))</f>
        <v>OPORTUNO</v>
      </c>
      <c r="M4335">
        <v>11</v>
      </c>
      <c r="N4335">
        <v>98.32</v>
      </c>
      <c r="O4335">
        <v>26.858513189448441</v>
      </c>
    </row>
    <row r="4336" spans="1:15" hidden="1" x14ac:dyDescent="0.25">
      <c r="A4336" s="11">
        <v>46139</v>
      </c>
      <c r="B4336" t="s">
        <v>45</v>
      </c>
      <c r="C4336" t="s">
        <v>32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>E4336+G4336+H4336</f>
        <v>16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14</v>
      </c>
      <c r="K4336" s="3">
        <f>I4336-J4336</f>
        <v>2</v>
      </c>
      <c r="L4336" s="3" t="str">
        <f>IF(K4336&lt;-5,"CRÍTICO",IF(K4336&lt;0,"ATENÇÃO",IF(K4336&lt;=5,"OPORTUNO","MUITO BOM")))</f>
        <v>OPORTUNO</v>
      </c>
      <c r="M4336">
        <v>17</v>
      </c>
      <c r="N4336">
        <v>100</v>
      </c>
      <c r="O4336">
        <v>31.135531135531139</v>
      </c>
    </row>
    <row r="4337" spans="1:15" hidden="1" x14ac:dyDescent="0.25">
      <c r="A4337" s="11">
        <v>46139</v>
      </c>
      <c r="B4337" t="s">
        <v>64</v>
      </c>
      <c r="C4337" t="s">
        <v>23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>E4337+G4337+H4337</f>
        <v>10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9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>
        <v>9</v>
      </c>
      <c r="N4337">
        <v>100</v>
      </c>
      <c r="O4337">
        <v>26.36986301369863</v>
      </c>
    </row>
    <row r="4338" spans="1:15" hidden="1" x14ac:dyDescent="0.25">
      <c r="A4338" s="11">
        <v>46139</v>
      </c>
      <c r="B4338" t="s">
        <v>46</v>
      </c>
      <c r="C4338" t="s">
        <v>32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>E4338+G4338+H4338</f>
        <v>15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14</v>
      </c>
      <c r="K4338" s="3">
        <f>I4338-J4338</f>
        <v>1</v>
      </c>
      <c r="L4338" s="3" t="str">
        <f>IF(K4338&lt;-5,"CRÍTICO",IF(K4338&lt;0,"ATENÇÃO",IF(K4338&lt;=5,"OPORTUNO","MUITO BOM")))</f>
        <v>OPORTUNO</v>
      </c>
      <c r="M4338">
        <v>14</v>
      </c>
      <c r="N4338">
        <v>99.21</v>
      </c>
      <c r="O4338">
        <v>25.188916876574311</v>
      </c>
    </row>
    <row r="4339" spans="1:15" hidden="1" x14ac:dyDescent="0.25">
      <c r="A4339" s="11">
        <v>46140</v>
      </c>
      <c r="B4339" t="s">
        <v>55</v>
      </c>
      <c r="C4339" t="s">
        <v>48</v>
      </c>
      <c r="D4339">
        <v>29</v>
      </c>
      <c r="E4339">
        <v>25</v>
      </c>
      <c r="F4339">
        <v>17.3</v>
      </c>
      <c r="G4339">
        <v>0</v>
      </c>
      <c r="H4339">
        <v>0</v>
      </c>
      <c r="I4339" s="3">
        <f>E4339+G4339+H4339</f>
        <v>25</v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27</v>
      </c>
      <c r="K4339" s="3">
        <f>I4339-J4339</f>
        <v>-2</v>
      </c>
      <c r="L4339" s="3" t="str">
        <f>IF(K4339&lt;-5,"CRÍTICO",IF(K4339&lt;0,"ATENÇÃO",IF(K4339&lt;=5,"OPORTUNO","MUITO BOM")))</f>
        <v>ATENÇÃO</v>
      </c>
      <c r="M4339">
        <v>22</v>
      </c>
      <c r="N4339">
        <v>98.81</v>
      </c>
      <c r="O4339">
        <v>26.256983240223459</v>
      </c>
    </row>
    <row r="4340" spans="1:15" hidden="1" x14ac:dyDescent="0.25">
      <c r="A4340" s="11">
        <v>46140</v>
      </c>
      <c r="B4340" t="s">
        <v>56</v>
      </c>
      <c r="C4340" t="s">
        <v>48</v>
      </c>
      <c r="D4340">
        <v>20</v>
      </c>
      <c r="E4340">
        <v>19</v>
      </c>
      <c r="F4340">
        <v>21.45</v>
      </c>
      <c r="G4340">
        <v>0</v>
      </c>
      <c r="H4340">
        <v>0</v>
      </c>
      <c r="I4340" s="3">
        <f>E4340+G4340+H4340</f>
        <v>19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27</v>
      </c>
      <c r="K4340" s="3">
        <f>I4340-J4340</f>
        <v>-8</v>
      </c>
      <c r="L4340" s="3" t="str">
        <f>IF(K4340&lt;-5,"CRÍTICO",IF(K4340&lt;0,"ATENÇÃO",IF(K4340&lt;=5,"OPORTUNO","MUITO BOM")))</f>
        <v>CRÍTICO</v>
      </c>
      <c r="M4340">
        <v>4</v>
      </c>
      <c r="N4340">
        <v>99.17</v>
      </c>
      <c r="O4340">
        <v>29.75206611570248</v>
      </c>
    </row>
    <row r="4341" spans="1:15" hidden="1" x14ac:dyDescent="0.25">
      <c r="A4341" s="11">
        <v>46140</v>
      </c>
      <c r="B4341" t="s">
        <v>57</v>
      </c>
      <c r="C4341" t="s">
        <v>48</v>
      </c>
      <c r="D4341">
        <v>0</v>
      </c>
      <c r="E4341">
        <v>0</v>
      </c>
      <c r="F4341">
        <v>0</v>
      </c>
      <c r="G4341">
        <v>0</v>
      </c>
      <c r="H4341">
        <v>0</v>
      </c>
      <c r="I4341" s="3">
        <v>0</v>
      </c>
      <c r="J4341" s="3">
        <v>0</v>
      </c>
      <c r="K4341" s="3">
        <v>0</v>
      </c>
      <c r="L4341" s="3" t="str">
        <f>IF(K4341&lt;-5,"CRÍTICO",IF(K4341&lt;0,"ATENÇÃO",IF(K4341&lt;=5,"OPORTUNO","MUITO BOM")))</f>
        <v>OPORTUNO</v>
      </c>
      <c r="M4341">
        <v>0</v>
      </c>
      <c r="N4341">
        <v>98.73</v>
      </c>
      <c r="O4341">
        <v>28.961748633879779</v>
      </c>
    </row>
    <row r="4342" spans="1:15" hidden="1" x14ac:dyDescent="0.25">
      <c r="A4342" s="11">
        <v>46140</v>
      </c>
      <c r="B4342" t="s">
        <v>58</v>
      </c>
      <c r="C4342" t="s">
        <v>48</v>
      </c>
      <c r="D4342">
        <v>0</v>
      </c>
      <c r="E4342">
        <v>0</v>
      </c>
      <c r="F4342">
        <v>0</v>
      </c>
      <c r="G4342">
        <v>0</v>
      </c>
      <c r="H4342">
        <v>0</v>
      </c>
      <c r="I4342" s="3">
        <v>0</v>
      </c>
      <c r="J4342" s="3">
        <v>0</v>
      </c>
      <c r="K4342" s="3">
        <v>0</v>
      </c>
      <c r="L4342" s="3" t="str">
        <f>IF(K4342&lt;-5,"CRÍTICO",IF(K4342&lt;0,"ATENÇÃO",IF(K4342&lt;=5,"OPORTUNO","MUITO BOM")))</f>
        <v>OPORTUNO</v>
      </c>
      <c r="M4342">
        <v>0</v>
      </c>
      <c r="N4342">
        <v>99.02</v>
      </c>
      <c r="O4342">
        <v>34.797297297297298</v>
      </c>
    </row>
    <row r="4343" spans="1:15" hidden="1" x14ac:dyDescent="0.25">
      <c r="A4343" s="11">
        <v>46141</v>
      </c>
      <c r="B4343" t="s">
        <v>47</v>
      </c>
      <c r="C4343" t="s">
        <v>48</v>
      </c>
      <c r="D4343">
        <v>43</v>
      </c>
      <c r="E4343">
        <v>35</v>
      </c>
      <c r="F4343">
        <v>10.15</v>
      </c>
      <c r="G4343">
        <v>0</v>
      </c>
      <c r="H4343">
        <v>0</v>
      </c>
      <c r="I4343" s="3">
        <f>E4343+G4343+H4343</f>
        <v>35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28</v>
      </c>
      <c r="K4343" s="3">
        <f>I4343-J4343</f>
        <v>7</v>
      </c>
      <c r="L4343" s="3" t="str">
        <f>IF(K4343&lt;-5,"CRÍTICO",IF(K4343&lt;0,"ATENÇÃO",IF(K4343&lt;=5,"OPORTUNO","MUITO BOM")))</f>
        <v>MUITO BOM</v>
      </c>
      <c r="M4343">
        <v>28</v>
      </c>
      <c r="N4343">
        <v>100</v>
      </c>
      <c r="O4343">
        <v>32.764505119453922</v>
      </c>
    </row>
    <row r="4344" spans="1:15" hidden="1" x14ac:dyDescent="0.25">
      <c r="A4344" s="11">
        <v>46141</v>
      </c>
      <c r="B4344" t="s">
        <v>49</v>
      </c>
      <c r="C4344" t="s">
        <v>48</v>
      </c>
      <c r="D4344">
        <v>38</v>
      </c>
      <c r="E4344">
        <v>31</v>
      </c>
      <c r="F4344">
        <v>11.5</v>
      </c>
      <c r="G4344">
        <v>0</v>
      </c>
      <c r="H4344">
        <v>0</v>
      </c>
      <c r="I4344" s="3">
        <f>E4344+G4344+H4344</f>
        <v>31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28</v>
      </c>
      <c r="K4344" s="3">
        <f>I4344-J4344</f>
        <v>3</v>
      </c>
      <c r="L4344" s="3" t="str">
        <f>IF(K4344&lt;-5,"CRÍTICO",IF(K4344&lt;0,"ATENÇÃO",IF(K4344&lt;=5,"OPORTUNO","MUITO BOM")))</f>
        <v>OPORTUNO</v>
      </c>
      <c r="M4344">
        <v>39</v>
      </c>
      <c r="N4344">
        <v>98.82</v>
      </c>
      <c r="O4344">
        <v>30.741410488245929</v>
      </c>
    </row>
    <row r="4345" spans="1:15" hidden="1" x14ac:dyDescent="0.25">
      <c r="A4345" s="11">
        <v>46141</v>
      </c>
      <c r="B4345" t="s">
        <v>50</v>
      </c>
      <c r="C4345" t="s">
        <v>48</v>
      </c>
      <c r="D4345">
        <v>24</v>
      </c>
      <c r="E4345">
        <v>23</v>
      </c>
      <c r="F4345">
        <v>25.46</v>
      </c>
      <c r="G4345">
        <v>0</v>
      </c>
      <c r="H4345">
        <v>0</v>
      </c>
      <c r="I4345" s="3">
        <f>E4345+G4345+H4345</f>
        <v>23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28</v>
      </c>
      <c r="K4345" s="3">
        <f>I4345-J4345</f>
        <v>-5</v>
      </c>
      <c r="L4345" s="3" t="str">
        <f>IF(K4345&lt;-5,"CRÍTICO",IF(K4345&lt;0,"ATENÇÃO",IF(K4345&lt;=5,"OPORTUNO","MUITO BOM")))</f>
        <v>ATENÇÃO</v>
      </c>
      <c r="M4345">
        <v>24</v>
      </c>
      <c r="N4345">
        <v>98.2</v>
      </c>
      <c r="O4345">
        <v>27.170868347338931</v>
      </c>
    </row>
    <row r="4346" spans="1:15" hidden="1" x14ac:dyDescent="0.25">
      <c r="A4346" s="11">
        <v>46141</v>
      </c>
      <c r="B4346" t="s">
        <v>51</v>
      </c>
      <c r="C4346" t="s">
        <v>48</v>
      </c>
      <c r="D4346">
        <v>32</v>
      </c>
      <c r="E4346">
        <v>30</v>
      </c>
      <c r="F4346">
        <v>18.45</v>
      </c>
      <c r="G4346">
        <v>0</v>
      </c>
      <c r="H4346">
        <v>0</v>
      </c>
      <c r="I4346" s="3">
        <v>0</v>
      </c>
      <c r="J4346" s="3">
        <v>0</v>
      </c>
      <c r="K4346" s="3">
        <v>0</v>
      </c>
      <c r="L4346" s="3" t="str">
        <f>IF(K4346&lt;-5,"CRÍTICO",IF(K4346&lt;0,"ATENÇÃO",IF(K4346&lt;=5,"OPORTUNO","MUITO BOM")))</f>
        <v>OPORTUNO</v>
      </c>
      <c r="M4346">
        <v>24</v>
      </c>
      <c r="N4346">
        <v>97.86</v>
      </c>
      <c r="O4346">
        <v>31.018518518518519</v>
      </c>
    </row>
    <row r="4347" spans="1:15" hidden="1" x14ac:dyDescent="0.25">
      <c r="A4347" s="11">
        <v>46141</v>
      </c>
      <c r="B4347" t="s">
        <v>52</v>
      </c>
      <c r="C4347" t="s">
        <v>48</v>
      </c>
      <c r="D4347">
        <v>31</v>
      </c>
      <c r="E4347">
        <v>28</v>
      </c>
      <c r="F4347">
        <v>18.260000000000002</v>
      </c>
      <c r="G4347">
        <v>0</v>
      </c>
      <c r="H4347">
        <v>0</v>
      </c>
      <c r="I4347" s="3">
        <f>E4347+G4347+H4347</f>
        <v>28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28</v>
      </c>
      <c r="K4347" s="3">
        <f>I4347-J4347</f>
        <v>0</v>
      </c>
      <c r="L4347" s="3" t="str">
        <f>IF(K4347&lt;-5,"CRÍTICO",IF(K4347&lt;0,"ATENÇÃO",IF(K4347&lt;=5,"OPORTUNO","MUITO BOM")))</f>
        <v>OPORTUNO</v>
      </c>
      <c r="M4347">
        <v>23</v>
      </c>
      <c r="N4347">
        <v>97.83</v>
      </c>
      <c r="O4347">
        <v>28.35164835164835</v>
      </c>
    </row>
    <row r="4348" spans="1:15" hidden="1" x14ac:dyDescent="0.25">
      <c r="A4348" s="11">
        <v>46141</v>
      </c>
      <c r="B4348" t="s">
        <v>53</v>
      </c>
      <c r="C4348" t="s">
        <v>48</v>
      </c>
      <c r="D4348">
        <v>36</v>
      </c>
      <c r="E4348">
        <v>34</v>
      </c>
      <c r="F4348">
        <v>15.24</v>
      </c>
      <c r="G4348">
        <v>0</v>
      </c>
      <c r="H4348">
        <v>0</v>
      </c>
      <c r="I4348" s="3">
        <f>E4348+G4348+H4348</f>
        <v>34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28</v>
      </c>
      <c r="K4348" s="3">
        <f>I4348-J4348</f>
        <v>6</v>
      </c>
      <c r="L4348" s="3" t="str">
        <f>IF(K4348&lt;-5,"CRÍTICO",IF(K4348&lt;0,"ATENÇÃO",IF(K4348&lt;=5,"OPORTUNO","MUITO BOM")))</f>
        <v>MUITO BOM</v>
      </c>
      <c r="M4348">
        <v>30</v>
      </c>
      <c r="N4348">
        <v>99.19</v>
      </c>
      <c r="O4348">
        <v>29.462365591397852</v>
      </c>
    </row>
    <row r="4349" spans="1:15" hidden="1" x14ac:dyDescent="0.25">
      <c r="A4349" s="11">
        <v>46141</v>
      </c>
      <c r="B4349" t="s">
        <v>54</v>
      </c>
      <c r="C4349" t="s">
        <v>48</v>
      </c>
      <c r="D4349">
        <v>29</v>
      </c>
      <c r="E4349">
        <v>26</v>
      </c>
      <c r="F4349">
        <v>18.329999999999998</v>
      </c>
      <c r="G4349">
        <v>0</v>
      </c>
      <c r="H4349">
        <v>0</v>
      </c>
      <c r="I4349" s="3">
        <f>E4349+G4349+H4349</f>
        <v>26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28</v>
      </c>
      <c r="K4349" s="3">
        <f>I4349-J4349</f>
        <v>-2</v>
      </c>
      <c r="L4349" s="3" t="str">
        <f>IF(K4349&lt;-5,"CRÍTICO",IF(K4349&lt;0,"ATENÇÃO",IF(K4349&lt;=5,"OPORTUNO","MUITO BOM")))</f>
        <v>ATENÇÃO</v>
      </c>
      <c r="M4349">
        <v>27</v>
      </c>
      <c r="N4349">
        <v>100</v>
      </c>
      <c r="O4349">
        <v>28.921568627450981</v>
      </c>
    </row>
    <row r="4350" spans="1:15" hidden="1" x14ac:dyDescent="0.25">
      <c r="A4350" s="11">
        <v>46141</v>
      </c>
      <c r="B4350" t="s">
        <v>55</v>
      </c>
      <c r="C4350" t="s">
        <v>48</v>
      </c>
      <c r="D4350">
        <v>39</v>
      </c>
      <c r="E4350">
        <v>28</v>
      </c>
      <c r="F4350">
        <v>10.24</v>
      </c>
      <c r="G4350">
        <v>0</v>
      </c>
      <c r="H4350">
        <v>0</v>
      </c>
      <c r="I4350" s="3">
        <f>E4350+G4350+H4350</f>
        <v>28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28</v>
      </c>
      <c r="K4350" s="3">
        <f>I4350-J4350</f>
        <v>0</v>
      </c>
      <c r="L4350" s="3" t="str">
        <f>IF(K4350&lt;-5,"CRÍTICO",IF(K4350&lt;0,"ATENÇÃO",IF(K4350&lt;=5,"OPORTUNO","MUITO BOM")))</f>
        <v>OPORTUNO</v>
      </c>
      <c r="M4350">
        <v>30</v>
      </c>
      <c r="N4350">
        <v>98.81</v>
      </c>
      <c r="O4350">
        <v>26.256983240223459</v>
      </c>
    </row>
    <row r="4351" spans="1:15" hidden="1" x14ac:dyDescent="0.25">
      <c r="A4351" s="11">
        <v>46141</v>
      </c>
      <c r="B4351" t="s">
        <v>56</v>
      </c>
      <c r="C4351" t="s">
        <v>48</v>
      </c>
      <c r="D4351">
        <v>37</v>
      </c>
      <c r="E4351">
        <v>35</v>
      </c>
      <c r="F4351">
        <v>15.55</v>
      </c>
      <c r="G4351">
        <v>0</v>
      </c>
      <c r="H4351">
        <v>0</v>
      </c>
      <c r="I4351" s="3">
        <f>E4351+G4351+H4351</f>
        <v>35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28</v>
      </c>
      <c r="K4351" s="3">
        <f>I4351-J4351</f>
        <v>7</v>
      </c>
      <c r="L4351" s="3" t="str">
        <f>IF(K4351&lt;-5,"CRÍTICO",IF(K4351&lt;0,"ATENÇÃO",IF(K4351&lt;=5,"OPORTUNO","MUITO BOM")))</f>
        <v>MUITO BOM</v>
      </c>
      <c r="M4351">
        <v>18</v>
      </c>
      <c r="N4351">
        <v>99.17</v>
      </c>
      <c r="O4351">
        <v>29.75206611570248</v>
      </c>
    </row>
    <row r="4352" spans="1:15" hidden="1" x14ac:dyDescent="0.25">
      <c r="A4352" s="11">
        <v>46141</v>
      </c>
      <c r="B4352" t="s">
        <v>57</v>
      </c>
      <c r="C4352" t="s">
        <v>48</v>
      </c>
      <c r="D4352">
        <v>0</v>
      </c>
      <c r="E4352">
        <v>0</v>
      </c>
      <c r="F4352">
        <v>0</v>
      </c>
      <c r="G4352">
        <v>0</v>
      </c>
      <c r="H4352">
        <v>0</v>
      </c>
      <c r="I4352" s="3">
        <v>0</v>
      </c>
      <c r="J4352" s="3">
        <v>0</v>
      </c>
      <c r="K4352" s="3">
        <v>0</v>
      </c>
      <c r="L4352" s="3" t="str">
        <f>IF(K4352&lt;-5,"CRÍTICO",IF(K4352&lt;0,"ATENÇÃO",IF(K4352&lt;=5,"OPORTUNO","MUITO BOM")))</f>
        <v>OPORTUNO</v>
      </c>
      <c r="M4352">
        <v>0</v>
      </c>
      <c r="N4352">
        <v>98.73</v>
      </c>
      <c r="O4352">
        <v>28.961748633879779</v>
      </c>
    </row>
    <row r="4353" spans="1:15" hidden="1" x14ac:dyDescent="0.25">
      <c r="A4353" s="11">
        <v>46141</v>
      </c>
      <c r="B4353" t="s">
        <v>58</v>
      </c>
      <c r="C4353" t="s">
        <v>48</v>
      </c>
      <c r="D4353">
        <v>0</v>
      </c>
      <c r="E4353">
        <v>0</v>
      </c>
      <c r="F4353">
        <v>0</v>
      </c>
      <c r="G4353">
        <v>0</v>
      </c>
      <c r="H4353">
        <v>0</v>
      </c>
      <c r="I4353" s="3">
        <v>0</v>
      </c>
      <c r="J4353" s="3">
        <v>0</v>
      </c>
      <c r="K4353" s="3">
        <v>0</v>
      </c>
      <c r="L4353" s="3" t="str">
        <f>IF(K4353&lt;-5,"CRÍTICO",IF(K4353&lt;0,"ATENÇÃO",IF(K4353&lt;=5,"OPORTUNO","MUITO BOM")))</f>
        <v>OPORTUNO</v>
      </c>
      <c r="M4353">
        <v>0</v>
      </c>
      <c r="N4353">
        <v>99.02</v>
      </c>
      <c r="O4353">
        <v>34.797297297297298</v>
      </c>
    </row>
    <row r="4354" spans="1:15" hidden="1" x14ac:dyDescent="0.25">
      <c r="A4354" s="11">
        <v>46142</v>
      </c>
      <c r="B4354" t="s">
        <v>47</v>
      </c>
      <c r="C4354" t="s">
        <v>48</v>
      </c>
      <c r="D4354">
        <v>12</v>
      </c>
      <c r="E4354">
        <v>10</v>
      </c>
      <c r="F4354">
        <v>9.1199999999999992</v>
      </c>
      <c r="G4354">
        <v>0</v>
      </c>
      <c r="H4354">
        <v>0</v>
      </c>
      <c r="I4354" s="3">
        <f>E4354+G4354+H4354</f>
        <v>10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26</v>
      </c>
      <c r="K4354" s="3">
        <f>I4354-J4354</f>
        <v>-16</v>
      </c>
      <c r="L4354" s="3" t="str">
        <f>IF(K4354&lt;-5,"CRÍTICO",IF(K4354&lt;0,"ATENÇÃO",IF(K4354&lt;=5,"OPORTUNO","MUITO BOM")))</f>
        <v>CRÍTICO</v>
      </c>
      <c r="M4354">
        <v>8</v>
      </c>
      <c r="N4354">
        <v>100</v>
      </c>
      <c r="O4354">
        <v>32.764505119453922</v>
      </c>
    </row>
    <row r="4355" spans="1:15" hidden="1" x14ac:dyDescent="0.25">
      <c r="A4355" s="11">
        <v>46142</v>
      </c>
      <c r="B4355" t="s">
        <v>49</v>
      </c>
      <c r="C4355" t="s">
        <v>48</v>
      </c>
      <c r="D4355">
        <v>32</v>
      </c>
      <c r="E4355">
        <v>31</v>
      </c>
      <c r="F4355">
        <v>13.5</v>
      </c>
      <c r="G4355">
        <v>0</v>
      </c>
      <c r="H4355">
        <v>0</v>
      </c>
      <c r="I4355" s="3">
        <f>E4355+G4355+H4355</f>
        <v>31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26</v>
      </c>
      <c r="K4355" s="3">
        <f>I4355-J4355</f>
        <v>5</v>
      </c>
      <c r="L4355" s="3" t="str">
        <f>IF(K4355&lt;-5,"CRÍTICO",IF(K4355&lt;0,"ATENÇÃO",IF(K4355&lt;=5,"OPORTUNO","MUITO BOM")))</f>
        <v>OPORTUNO</v>
      </c>
      <c r="M4355">
        <v>29</v>
      </c>
      <c r="N4355">
        <v>98.82</v>
      </c>
      <c r="O4355">
        <v>30.741410488245929</v>
      </c>
    </row>
    <row r="4356" spans="1:15" hidden="1" x14ac:dyDescent="0.25">
      <c r="A4356" s="11">
        <v>46142</v>
      </c>
      <c r="B4356" t="s">
        <v>50</v>
      </c>
      <c r="C4356" t="s">
        <v>48</v>
      </c>
      <c r="D4356">
        <v>32</v>
      </c>
      <c r="E4356">
        <v>30</v>
      </c>
      <c r="F4356">
        <v>15.09</v>
      </c>
      <c r="G4356">
        <v>0</v>
      </c>
      <c r="H4356">
        <v>0</v>
      </c>
      <c r="I4356" s="3">
        <f>E4356+G4356+H4356</f>
        <v>30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26</v>
      </c>
      <c r="K4356" s="3">
        <f>I4356-J4356</f>
        <v>4</v>
      </c>
      <c r="L4356" s="3" t="str">
        <f>IF(K4356&lt;-5,"CRÍTICO",IF(K4356&lt;0,"ATENÇÃO",IF(K4356&lt;=5,"OPORTUNO","MUITO BOM")))</f>
        <v>OPORTUNO</v>
      </c>
      <c r="M4356">
        <v>30</v>
      </c>
      <c r="N4356">
        <v>98.2</v>
      </c>
      <c r="O4356">
        <v>27.170868347338931</v>
      </c>
    </row>
    <row r="4357" spans="1:15" hidden="1" x14ac:dyDescent="0.25">
      <c r="A4357" s="11">
        <v>46142</v>
      </c>
      <c r="B4357" t="s">
        <v>51</v>
      </c>
      <c r="C4357" t="s">
        <v>48</v>
      </c>
      <c r="D4357">
        <v>27</v>
      </c>
      <c r="E4357">
        <v>24</v>
      </c>
      <c r="F4357">
        <v>20.149999999999999</v>
      </c>
      <c r="G4357">
        <v>0</v>
      </c>
      <c r="H4357">
        <v>0</v>
      </c>
      <c r="I4357" s="3">
        <v>0</v>
      </c>
      <c r="J4357" s="3">
        <v>0</v>
      </c>
      <c r="K4357" s="3">
        <v>0</v>
      </c>
      <c r="L4357" s="3" t="str">
        <f>IF(K4357&lt;-5,"CRÍTICO",IF(K4357&lt;0,"ATENÇÃO",IF(K4357&lt;=5,"OPORTUNO","MUITO BOM")))</f>
        <v>OPORTUNO</v>
      </c>
      <c r="M4357">
        <v>18</v>
      </c>
      <c r="N4357">
        <v>97.86</v>
      </c>
      <c r="O4357">
        <v>31.018518518518519</v>
      </c>
    </row>
    <row r="4358" spans="1:15" hidden="1" x14ac:dyDescent="0.25">
      <c r="A4358" s="11">
        <v>46142</v>
      </c>
      <c r="B4358" t="s">
        <v>52</v>
      </c>
      <c r="C4358" t="s">
        <v>48</v>
      </c>
      <c r="D4358">
        <v>38</v>
      </c>
      <c r="E4358">
        <v>38</v>
      </c>
      <c r="F4358">
        <v>15.02</v>
      </c>
      <c r="G4358">
        <v>0</v>
      </c>
      <c r="H4358">
        <v>0</v>
      </c>
      <c r="I4358" s="3">
        <f>E4358+G4358+H4358</f>
        <v>38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26</v>
      </c>
      <c r="K4358" s="3">
        <f>I4358-J4358</f>
        <v>12</v>
      </c>
      <c r="L4358" s="3" t="str">
        <f>IF(K4358&lt;-5,"CRÍTICO",IF(K4358&lt;0,"ATENÇÃO",IF(K4358&lt;=5,"OPORTUNO","MUITO BOM")))</f>
        <v>MUITO BOM</v>
      </c>
      <c r="M4358">
        <v>35</v>
      </c>
      <c r="N4358">
        <v>97.83</v>
      </c>
      <c r="O4358">
        <v>28.35164835164835</v>
      </c>
    </row>
    <row r="4359" spans="1:15" hidden="1" x14ac:dyDescent="0.25">
      <c r="A4359" s="11">
        <v>46142</v>
      </c>
      <c r="B4359" t="s">
        <v>53</v>
      </c>
      <c r="C4359" t="s">
        <v>48</v>
      </c>
      <c r="D4359">
        <v>42</v>
      </c>
      <c r="E4359">
        <v>42</v>
      </c>
      <c r="F4359">
        <v>16.41</v>
      </c>
      <c r="G4359">
        <v>0</v>
      </c>
      <c r="H4359">
        <v>0</v>
      </c>
      <c r="I4359" s="3">
        <f>E4359+G4359+H4359</f>
        <v>42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26</v>
      </c>
      <c r="K4359" s="3">
        <f>I4359-J4359</f>
        <v>16</v>
      </c>
      <c r="L4359" s="3" t="str">
        <f>IF(K4359&lt;-5,"CRÍTICO",IF(K4359&lt;0,"ATENÇÃO",IF(K4359&lt;=5,"OPORTUNO","MUITO BOM")))</f>
        <v>MUITO BOM</v>
      </c>
      <c r="M4359">
        <v>35</v>
      </c>
      <c r="N4359">
        <v>99.19</v>
      </c>
      <c r="O4359">
        <v>29.462365591397852</v>
      </c>
    </row>
    <row r="4360" spans="1:15" hidden="1" x14ac:dyDescent="0.25">
      <c r="A4360" s="11">
        <v>46142</v>
      </c>
      <c r="B4360" t="s">
        <v>54</v>
      </c>
      <c r="C4360" t="s">
        <v>48</v>
      </c>
      <c r="D4360">
        <v>25</v>
      </c>
      <c r="E4360">
        <v>25</v>
      </c>
      <c r="F4360">
        <v>18.5</v>
      </c>
      <c r="G4360">
        <v>0</v>
      </c>
      <c r="H4360">
        <v>0</v>
      </c>
      <c r="I4360" s="3">
        <f>E4360+G4360+H4360</f>
        <v>25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26</v>
      </c>
      <c r="K4360" s="3">
        <f>I4360-J4360</f>
        <v>-1</v>
      </c>
      <c r="L4360" s="3" t="str">
        <f>IF(K4360&lt;-5,"CRÍTICO",IF(K4360&lt;0,"ATENÇÃO",IF(K4360&lt;=5,"OPORTUNO","MUITO BOM")))</f>
        <v>ATENÇÃO</v>
      </c>
      <c r="M4360">
        <v>26</v>
      </c>
      <c r="N4360">
        <v>100</v>
      </c>
      <c r="O4360">
        <v>28.921568627450981</v>
      </c>
    </row>
    <row r="4361" spans="1:15" hidden="1" x14ac:dyDescent="0.25">
      <c r="A4361" s="11">
        <v>46142</v>
      </c>
      <c r="B4361" t="s">
        <v>55</v>
      </c>
      <c r="C4361" t="s">
        <v>48</v>
      </c>
      <c r="D4361">
        <v>21</v>
      </c>
      <c r="E4361">
        <v>16</v>
      </c>
      <c r="F4361">
        <v>11.48</v>
      </c>
      <c r="G4361">
        <v>0</v>
      </c>
      <c r="H4361">
        <v>0</v>
      </c>
      <c r="I4361" s="3">
        <f>E4361+G4361+H4361</f>
        <v>16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26</v>
      </c>
      <c r="K4361" s="3">
        <f>I4361-J4361</f>
        <v>-10</v>
      </c>
      <c r="L4361" s="3" t="str">
        <f>IF(K4361&lt;-5,"CRÍTICO",IF(K4361&lt;0,"ATENÇÃO",IF(K4361&lt;=5,"OPORTUNO","MUITO BOM")))</f>
        <v>CRÍTICO</v>
      </c>
      <c r="M4361">
        <v>13</v>
      </c>
      <c r="N4361">
        <v>98.81</v>
      </c>
      <c r="O4361">
        <v>26.256983240223459</v>
      </c>
    </row>
    <row r="4362" spans="1:15" hidden="1" x14ac:dyDescent="0.25">
      <c r="A4362" s="11">
        <v>46142</v>
      </c>
      <c r="B4362" t="s">
        <v>56</v>
      </c>
      <c r="C4362" t="s">
        <v>48</v>
      </c>
      <c r="D4362">
        <v>18</v>
      </c>
      <c r="E4362">
        <v>17</v>
      </c>
      <c r="F4362">
        <v>21.44</v>
      </c>
      <c r="G4362">
        <v>0</v>
      </c>
      <c r="H4362">
        <v>0</v>
      </c>
      <c r="I4362" s="3">
        <f>E4362+G4362+H4362</f>
        <v>17</v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>26</v>
      </c>
      <c r="K4362" s="3">
        <f>I4362-J4362</f>
        <v>-9</v>
      </c>
      <c r="L4362" s="3" t="str">
        <f>IF(K4362&lt;-5,"CRÍTICO",IF(K4362&lt;0,"ATENÇÃO",IF(K4362&lt;=5,"OPORTUNO","MUITO BOM")))</f>
        <v>CRÍTICO</v>
      </c>
      <c r="M4362">
        <v>1</v>
      </c>
      <c r="N4362">
        <v>99.17</v>
      </c>
      <c r="O4362">
        <v>29.75206611570248</v>
      </c>
    </row>
    <row r="4363" spans="1:15" hidden="1" x14ac:dyDescent="0.25">
      <c r="A4363" s="11">
        <v>46142</v>
      </c>
      <c r="B4363" t="s">
        <v>57</v>
      </c>
      <c r="C4363" t="s">
        <v>48</v>
      </c>
      <c r="D4363">
        <v>0</v>
      </c>
      <c r="E4363">
        <v>0</v>
      </c>
      <c r="F4363">
        <v>0</v>
      </c>
      <c r="G4363">
        <v>0</v>
      </c>
      <c r="H4363">
        <v>0</v>
      </c>
      <c r="I4363" s="3">
        <v>0</v>
      </c>
      <c r="J4363" s="3">
        <v>0</v>
      </c>
      <c r="K4363" s="3">
        <v>0</v>
      </c>
      <c r="L4363" s="3" t="str">
        <f>IF(K4363&lt;-5,"CRÍTICO",IF(K4363&lt;0,"ATENÇÃO",IF(K4363&lt;=5,"OPORTUNO","MUITO BOM")))</f>
        <v>OPORTUNO</v>
      </c>
      <c r="M4363">
        <v>0</v>
      </c>
      <c r="N4363">
        <v>98.73</v>
      </c>
      <c r="O4363">
        <v>28.961748633879779</v>
      </c>
    </row>
    <row r="4364" spans="1:15" hidden="1" x14ac:dyDescent="0.25">
      <c r="A4364" s="11">
        <v>46142</v>
      </c>
      <c r="B4364" t="s">
        <v>58</v>
      </c>
      <c r="C4364" t="s">
        <v>48</v>
      </c>
      <c r="D4364">
        <v>31</v>
      </c>
      <c r="E4364">
        <v>27</v>
      </c>
      <c r="F4364">
        <v>15.42</v>
      </c>
      <c r="G4364">
        <v>0</v>
      </c>
      <c r="H4364">
        <v>0</v>
      </c>
      <c r="I4364" s="3">
        <f>E4364+G4364+H4364</f>
        <v>27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26</v>
      </c>
      <c r="K4364" s="3">
        <f>I4364-J4364</f>
        <v>1</v>
      </c>
      <c r="L4364" s="3" t="str">
        <f>IF(K4364&lt;-5,"CRÍTICO",IF(K4364&lt;0,"ATENÇÃO",IF(K4364&lt;=5,"OPORTUNO","MUITO BOM")))</f>
        <v>OPORTUNO</v>
      </c>
      <c r="M4364">
        <v>24</v>
      </c>
      <c r="N4364">
        <v>99.02</v>
      </c>
      <c r="O4364">
        <v>34.797297297297298</v>
      </c>
    </row>
    <row r="4365" spans="1:15" x14ac:dyDescent="0.25">
      <c r="A4365" s="11">
        <v>46168</v>
      </c>
      <c r="B4365" t="s">
        <v>54</v>
      </c>
      <c r="C4365" t="s">
        <v>48</v>
      </c>
      <c r="D4365" s="12">
        <v>24</v>
      </c>
      <c r="E4365" s="12">
        <v>23</v>
      </c>
      <c r="F4365" s="12">
        <v>15.03</v>
      </c>
      <c r="G4365" s="12">
        <v>1</v>
      </c>
      <c r="M4365" s="12">
        <v>20</v>
      </c>
      <c r="N4365" s="12">
        <v>98.98</v>
      </c>
      <c r="O4365" s="12">
        <v>19.35483870967742</v>
      </c>
    </row>
    <row r="4366" spans="1:15" x14ac:dyDescent="0.25">
      <c r="A4366" s="11">
        <v>46168</v>
      </c>
      <c r="B4366" t="s">
        <v>37</v>
      </c>
      <c r="C4366" t="s">
        <v>32</v>
      </c>
      <c r="D4366" s="12">
        <v>38</v>
      </c>
      <c r="E4366" s="12">
        <v>35</v>
      </c>
      <c r="F4366" s="12">
        <v>13.38</v>
      </c>
      <c r="G4366" s="12">
        <v>5</v>
      </c>
      <c r="M4366" s="12">
        <v>34</v>
      </c>
      <c r="N4366" s="12">
        <v>99</v>
      </c>
      <c r="O4366" s="12">
        <v>22.27414330218069</v>
      </c>
    </row>
    <row r="4367" spans="1:15" x14ac:dyDescent="0.25">
      <c r="A4367" s="11">
        <v>46168</v>
      </c>
      <c r="B4367" t="s">
        <v>38</v>
      </c>
      <c r="C4367" t="s">
        <v>32</v>
      </c>
      <c r="D4367" s="12">
        <v>18</v>
      </c>
      <c r="E4367" s="12">
        <v>16</v>
      </c>
      <c r="F4367" s="12">
        <v>10.14</v>
      </c>
      <c r="G4367" s="12">
        <v>4</v>
      </c>
      <c r="M4367" s="12">
        <v>15</v>
      </c>
      <c r="N4367" s="12">
        <v>97.04</v>
      </c>
      <c r="O4367" s="12">
        <v>29.828850855745721</v>
      </c>
    </row>
    <row r="4368" spans="1:15" x14ac:dyDescent="0.25">
      <c r="A4368" s="11">
        <v>46168</v>
      </c>
      <c r="B4368" t="s">
        <v>55</v>
      </c>
      <c r="C4368" t="s">
        <v>48</v>
      </c>
      <c r="D4368" s="12">
        <v>34</v>
      </c>
      <c r="E4368" s="12">
        <v>20</v>
      </c>
      <c r="F4368" s="12">
        <v>7.25</v>
      </c>
      <c r="G4368" s="12">
        <v>0</v>
      </c>
      <c r="M4368" s="12">
        <v>21</v>
      </c>
      <c r="N4368" s="12">
        <v>98.94</v>
      </c>
      <c r="O4368" s="12">
        <v>21.270718232044199</v>
      </c>
    </row>
    <row r="4369" spans="1:15" x14ac:dyDescent="0.25">
      <c r="A4369" s="11">
        <v>46168</v>
      </c>
      <c r="B4369" t="s">
        <v>39</v>
      </c>
      <c r="C4369" t="s">
        <v>32</v>
      </c>
      <c r="D4369" s="12">
        <v>0</v>
      </c>
      <c r="E4369" s="12">
        <v>0</v>
      </c>
      <c r="F4369" s="12">
        <v>0</v>
      </c>
      <c r="G4369" s="12">
        <v>0</v>
      </c>
      <c r="H4369" s="12">
        <v>0</v>
      </c>
      <c r="I4369" s="12">
        <v>0</v>
      </c>
      <c r="J4369" s="12">
        <v>0</v>
      </c>
      <c r="K4369" s="12">
        <v>0</v>
      </c>
      <c r="M4369" s="12">
        <v>0</v>
      </c>
      <c r="N4369" s="12">
        <v>0</v>
      </c>
      <c r="O4369" s="12">
        <v>0</v>
      </c>
    </row>
    <row r="4370" spans="1:15" x14ac:dyDescent="0.25">
      <c r="A4370" s="11">
        <v>46168</v>
      </c>
      <c r="B4370" t="s">
        <v>40</v>
      </c>
      <c r="C4370" t="s">
        <v>32</v>
      </c>
      <c r="D4370" s="12">
        <v>30</v>
      </c>
      <c r="E4370" s="12">
        <v>29</v>
      </c>
      <c r="F4370" s="12">
        <v>15.33</v>
      </c>
      <c r="G4370" s="12">
        <v>2</v>
      </c>
      <c r="M4370" s="12">
        <v>25</v>
      </c>
      <c r="N4370" s="12">
        <v>96.84</v>
      </c>
      <c r="O4370" s="12">
        <v>16.338028169014081</v>
      </c>
    </row>
    <row r="4371" spans="1:15" x14ac:dyDescent="0.25">
      <c r="A4371" s="11">
        <v>46168</v>
      </c>
      <c r="B4371" t="s">
        <v>41</v>
      </c>
      <c r="C4371" t="s">
        <v>32</v>
      </c>
      <c r="D4371" s="12">
        <v>29</v>
      </c>
      <c r="E4371" s="12">
        <v>26</v>
      </c>
      <c r="F4371" s="12">
        <v>15.05</v>
      </c>
      <c r="G4371" s="12">
        <v>0</v>
      </c>
      <c r="M4371" s="12">
        <v>25</v>
      </c>
      <c r="N4371" s="12">
        <v>100</v>
      </c>
      <c r="O4371" s="12">
        <v>18.244803695150122</v>
      </c>
    </row>
    <row r="4372" spans="1:15" x14ac:dyDescent="0.25">
      <c r="A4372" s="11">
        <v>46168</v>
      </c>
      <c r="B4372" t="s">
        <v>56</v>
      </c>
      <c r="C4372" t="s">
        <v>48</v>
      </c>
      <c r="D4372" s="12">
        <v>21</v>
      </c>
      <c r="E4372" s="12">
        <v>20</v>
      </c>
      <c r="F4372" s="12">
        <v>20.39</v>
      </c>
      <c r="G4372" s="12">
        <v>0</v>
      </c>
      <c r="M4372" s="12">
        <v>18</v>
      </c>
      <c r="N4372" s="12">
        <v>99</v>
      </c>
      <c r="O4372" s="12">
        <v>22.010869565217391</v>
      </c>
    </row>
    <row r="4373" spans="1:15" x14ac:dyDescent="0.25">
      <c r="A4373" s="11">
        <v>46168</v>
      </c>
      <c r="B4373" t="s">
        <v>57</v>
      </c>
      <c r="C4373" t="s">
        <v>48</v>
      </c>
      <c r="D4373" s="12">
        <v>18</v>
      </c>
      <c r="E4373" s="12">
        <v>17</v>
      </c>
      <c r="F4373" s="12">
        <v>22.25</v>
      </c>
      <c r="G4373" s="12">
        <v>0</v>
      </c>
      <c r="M4373" s="12">
        <v>15</v>
      </c>
      <c r="N4373" s="12">
        <v>100</v>
      </c>
      <c r="O4373" s="12">
        <v>25</v>
      </c>
    </row>
    <row r="4374" spans="1:15" x14ac:dyDescent="0.25">
      <c r="A4374" s="11">
        <v>46168</v>
      </c>
      <c r="B4374" t="s">
        <v>42</v>
      </c>
      <c r="C4374" t="s">
        <v>32</v>
      </c>
      <c r="D4374" s="12">
        <v>0</v>
      </c>
      <c r="E4374" s="12">
        <v>0</v>
      </c>
      <c r="F4374" s="12">
        <v>0</v>
      </c>
      <c r="G4374" s="12">
        <v>0</v>
      </c>
      <c r="H4374" s="12">
        <v>0</v>
      </c>
      <c r="I4374" s="12">
        <v>0</v>
      </c>
      <c r="J4374" s="12">
        <v>0</v>
      </c>
      <c r="K4374" s="12">
        <v>0</v>
      </c>
      <c r="M4374" s="12">
        <v>17</v>
      </c>
      <c r="N4374" s="12">
        <v>100</v>
      </c>
      <c r="O4374" s="12">
        <v>15.789473684210529</v>
      </c>
    </row>
    <row r="4375" spans="1:15" x14ac:dyDescent="0.25">
      <c r="A4375" s="11">
        <v>46168</v>
      </c>
      <c r="B4375" t="s">
        <v>62</v>
      </c>
      <c r="C4375" t="s">
        <v>23</v>
      </c>
      <c r="D4375" s="12">
        <v>28</v>
      </c>
      <c r="E4375" s="12">
        <v>27</v>
      </c>
      <c r="F4375" s="12">
        <v>16.45</v>
      </c>
      <c r="G4375" s="12">
        <v>1</v>
      </c>
      <c r="M4375" s="12">
        <v>26</v>
      </c>
      <c r="N4375" s="12">
        <v>94.55</v>
      </c>
      <c r="O4375" s="12">
        <v>23.450134770889491</v>
      </c>
    </row>
    <row r="4376" spans="1:15" hidden="1" x14ac:dyDescent="0.25">
      <c r="A4376" s="5">
        <v>46146</v>
      </c>
      <c r="B4376" s="6" t="s">
        <v>59</v>
      </c>
      <c r="C4376" s="3" t="s">
        <v>23</v>
      </c>
      <c r="D4376" s="3">
        <v>41</v>
      </c>
      <c r="E4376" s="3">
        <v>39</v>
      </c>
      <c r="F4376" s="3">
        <v>17.309999999999999</v>
      </c>
      <c r="G4376" s="3">
        <v>1</v>
      </c>
      <c r="H4376" s="3">
        <v>0</v>
      </c>
      <c r="I4376" s="3">
        <f>E4376+G4376+H4376</f>
        <v>40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23</v>
      </c>
      <c r="K4376" s="3">
        <f>I4376-J4376</f>
        <v>17</v>
      </c>
      <c r="L4376" s="3" t="str">
        <f>IF(K4376&lt;-5,"CRÍTICO",IF(K4376&lt;0,"ATENÇÃO",IF(K4376&lt;=5,"BOM","EXCELENTE")))</f>
        <v>EXCELENTE</v>
      </c>
      <c r="M4376" s="9">
        <v>35</v>
      </c>
      <c r="N4376" s="9">
        <v>96.25</v>
      </c>
      <c r="O4376" s="9">
        <v>25.586353944562902</v>
      </c>
    </row>
    <row r="4377" spans="1:15" hidden="1" x14ac:dyDescent="0.25">
      <c r="A4377" s="5">
        <v>46146</v>
      </c>
      <c r="B4377" s="6" t="s">
        <v>60</v>
      </c>
      <c r="C4377" s="3" t="s">
        <v>23</v>
      </c>
      <c r="D4377" s="3">
        <v>32</v>
      </c>
      <c r="E4377" s="3">
        <v>26</v>
      </c>
      <c r="F4377" s="3">
        <v>15.13</v>
      </c>
      <c r="G4377" s="3">
        <v>6</v>
      </c>
      <c r="H4377" s="3">
        <v>0</v>
      </c>
      <c r="I4377" s="3">
        <f>E4377+G4377+H4377</f>
        <v>32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23</v>
      </c>
      <c r="K4377" s="3">
        <f>I4377-J4377</f>
        <v>9</v>
      </c>
      <c r="L4377" s="3" t="str">
        <f>IF(K4377&lt;-5,"CRÍTICO",IF(K4377&lt;0,"ATENÇÃO",IF(K4377&lt;=5,"BOM","EXCELENTE")))</f>
        <v>EXCELENTE</v>
      </c>
      <c r="M4377" s="9">
        <v>29</v>
      </c>
      <c r="N4377" s="9">
        <v>97.48</v>
      </c>
      <c r="O4377" s="9">
        <v>22.99465240641711</v>
      </c>
    </row>
    <row r="4378" spans="1:15" hidden="1" x14ac:dyDescent="0.25">
      <c r="A4378" s="5">
        <v>46146</v>
      </c>
      <c r="B4378" s="6" t="s">
        <v>61</v>
      </c>
      <c r="C4378" s="3" t="s">
        <v>23</v>
      </c>
      <c r="D4378" s="3">
        <v>28</v>
      </c>
      <c r="E4378" s="3">
        <v>27</v>
      </c>
      <c r="F4378" s="3">
        <v>17.14</v>
      </c>
      <c r="G4378" s="3">
        <v>0</v>
      </c>
      <c r="H4378" s="3">
        <v>0</v>
      </c>
      <c r="I4378" s="3">
        <f>E4378+G4378+H4378</f>
        <v>27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23</v>
      </c>
      <c r="K4378" s="3">
        <f>I4378-J4378</f>
        <v>4</v>
      </c>
      <c r="L4378" s="3" t="str">
        <f>IF(K4378&lt;-5,"CRÍTICO",IF(K4378&lt;0,"ATENÇÃO",IF(K4378&lt;=5,"BOM","EXCELENTE")))</f>
        <v>BOM</v>
      </c>
      <c r="M4378" s="9">
        <v>16</v>
      </c>
      <c r="N4378" s="9">
        <v>100</v>
      </c>
      <c r="O4378" s="9">
        <v>20.788530465949819</v>
      </c>
    </row>
    <row r="4379" spans="1:15" hidden="1" x14ac:dyDescent="0.25">
      <c r="A4379" s="5">
        <v>46146</v>
      </c>
      <c r="B4379" s="6" t="s">
        <v>62</v>
      </c>
      <c r="C4379" s="3" t="s">
        <v>23</v>
      </c>
      <c r="D4379" s="3">
        <v>25</v>
      </c>
      <c r="E4379" s="3">
        <v>21</v>
      </c>
      <c r="F4379" s="3">
        <v>17.18</v>
      </c>
      <c r="G4379" s="3">
        <v>4</v>
      </c>
      <c r="H4379" s="3">
        <v>0</v>
      </c>
      <c r="I4379" s="3">
        <f>E4379+G4379+H4379</f>
        <v>25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23</v>
      </c>
      <c r="K4379" s="3">
        <f>I4379-J4379</f>
        <v>2</v>
      </c>
      <c r="L4379" s="3" t="str">
        <f>IF(K4379&lt;-5,"CRÍTICO",IF(K4379&lt;0,"ATENÇÃO",IF(K4379&lt;=5,"BOM","EXCELENTE")))</f>
        <v>BOM</v>
      </c>
      <c r="M4379" s="9">
        <v>26</v>
      </c>
      <c r="N4379" s="9">
        <v>94.55</v>
      </c>
      <c r="O4379" s="9">
        <v>23.450134770889491</v>
      </c>
    </row>
    <row r="4380" spans="1:15" hidden="1" x14ac:dyDescent="0.25">
      <c r="A4380" s="5">
        <v>46146</v>
      </c>
      <c r="B4380" s="6" t="s">
        <v>63</v>
      </c>
      <c r="C4380" s="3" t="s">
        <v>23</v>
      </c>
      <c r="D4380" s="3">
        <v>27</v>
      </c>
      <c r="E4380" s="3">
        <v>23</v>
      </c>
      <c r="F4380" s="3">
        <v>14.07</v>
      </c>
      <c r="G4380" s="3">
        <v>4</v>
      </c>
      <c r="H4380" s="3">
        <v>0</v>
      </c>
      <c r="I4380" s="3">
        <f>E4380+G4380+H4380</f>
        <v>27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23</v>
      </c>
      <c r="K4380" s="3">
        <f>I4380-J4380</f>
        <v>4</v>
      </c>
      <c r="L4380" s="3" t="str">
        <f>IF(K4380&lt;-5,"CRÍTICO",IF(K4380&lt;0,"ATENÇÃO",IF(K4380&lt;=5,"BOM","EXCELENTE")))</f>
        <v>BOM</v>
      </c>
      <c r="M4380" s="9">
        <v>20</v>
      </c>
      <c r="N4380" s="9">
        <v>98</v>
      </c>
      <c r="O4380" s="9">
        <v>20.73490813648294</v>
      </c>
    </row>
    <row r="4381" spans="1:15" hidden="1" x14ac:dyDescent="0.25">
      <c r="A4381" s="5">
        <v>46146</v>
      </c>
      <c r="B4381" s="6" t="s">
        <v>64</v>
      </c>
      <c r="C4381" s="3" t="s">
        <v>23</v>
      </c>
      <c r="D4381" s="3">
        <v>20</v>
      </c>
      <c r="E4381" s="3">
        <v>20</v>
      </c>
      <c r="F4381" s="3">
        <v>25.29</v>
      </c>
      <c r="G4381" s="3">
        <v>0</v>
      </c>
      <c r="H4381" s="3">
        <v>0</v>
      </c>
      <c r="I4381" s="3">
        <f>E4381+G4381+H4381</f>
        <v>20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23</v>
      </c>
      <c r="K4381" s="3">
        <f>I4381-J4381</f>
        <v>-3</v>
      </c>
      <c r="L4381" s="3" t="str">
        <f>IF(K4381&lt;-5,"CRÍTICO",IF(K4381&lt;0,"ATENÇÃO",IF(K4381&lt;=5,"BOM","EXCELENTE")))</f>
        <v>ATENÇÃO</v>
      </c>
      <c r="M4381" s="9">
        <v>20</v>
      </c>
      <c r="N4381" s="9">
        <v>100</v>
      </c>
      <c r="O4381" s="9">
        <v>18</v>
      </c>
    </row>
    <row r="4382" spans="1:15" hidden="1" x14ac:dyDescent="0.25">
      <c r="A4382" s="5">
        <v>46147</v>
      </c>
      <c r="B4382" t="s">
        <v>59</v>
      </c>
      <c r="C4382" s="3" t="s">
        <v>23</v>
      </c>
      <c r="D4382" s="3">
        <v>30</v>
      </c>
      <c r="E4382" s="3">
        <v>30</v>
      </c>
      <c r="F4382" s="3">
        <v>17.010000000000002</v>
      </c>
      <c r="G4382" s="3">
        <v>7</v>
      </c>
      <c r="H4382" s="3">
        <v>0</v>
      </c>
      <c r="I4382" s="3">
        <f>E4382+G4382+H4382</f>
        <v>37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23</v>
      </c>
      <c r="K4382" s="3">
        <f>I4382-J4382</f>
        <v>14</v>
      </c>
      <c r="L4382" s="3" t="str">
        <f>IF(K4382&lt;-5,"CRÍTICO",IF(K4382&lt;0,"ATENÇÃO",IF(K4382&lt;=5,"BOM","EXCELENTE")))</f>
        <v>EXCELENTE</v>
      </c>
      <c r="M4382" s="3">
        <v>36</v>
      </c>
      <c r="N4382" s="3">
        <v>96.25</v>
      </c>
      <c r="O4382" s="3">
        <v>25.586353944562902</v>
      </c>
    </row>
    <row r="4383" spans="1:15" hidden="1" x14ac:dyDescent="0.25">
      <c r="A4383" s="5">
        <v>46147</v>
      </c>
      <c r="B4383" s="6" t="s">
        <v>60</v>
      </c>
      <c r="C4383" s="3" t="s">
        <v>23</v>
      </c>
      <c r="D4383" s="3">
        <v>122</v>
      </c>
      <c r="E4383" s="3">
        <v>28</v>
      </c>
      <c r="F4383" s="3">
        <v>3.47</v>
      </c>
      <c r="G4383" s="3">
        <v>1</v>
      </c>
      <c r="H4383" s="3">
        <v>0</v>
      </c>
      <c r="I4383" s="3">
        <f>E4383+G4383+H4383</f>
        <v>29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23</v>
      </c>
      <c r="K4383" s="3">
        <f>I4383-J4383</f>
        <v>6</v>
      </c>
      <c r="L4383" s="3" t="str">
        <f>IF(K4383&lt;-5,"CRÍTICO",IF(K4383&lt;0,"ATENÇÃO",IF(K4383&lt;=5,"BOM","EXCELENTE")))</f>
        <v>EXCELENTE</v>
      </c>
      <c r="M4383" s="3">
        <v>16</v>
      </c>
      <c r="N4383" s="3">
        <v>97.48</v>
      </c>
      <c r="O4383" s="3">
        <v>22.99465240641711</v>
      </c>
    </row>
    <row r="4384" spans="1:15" hidden="1" x14ac:dyDescent="0.25">
      <c r="A4384" s="5">
        <v>46147</v>
      </c>
      <c r="B4384" s="6" t="s">
        <v>61</v>
      </c>
      <c r="C4384" s="3" t="s">
        <v>23</v>
      </c>
      <c r="D4384" s="3">
        <v>12</v>
      </c>
      <c r="E4384" s="3">
        <v>12</v>
      </c>
      <c r="F4384" s="3">
        <v>28.25</v>
      </c>
      <c r="G4384" s="3">
        <v>10</v>
      </c>
      <c r="H4384" s="3">
        <v>0</v>
      </c>
      <c r="I4384" s="3">
        <f>E4384+G4384+H4384</f>
        <v>22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23</v>
      </c>
      <c r="K4384" s="3">
        <f>I4384-J4384</f>
        <v>-1</v>
      </c>
      <c r="L4384" s="3" t="str">
        <f>IF(K4384&lt;-5,"CRÍTICO",IF(K4384&lt;0,"ATENÇÃO",IF(K4384&lt;=5,"BOM","EXCELENTE")))</f>
        <v>ATENÇÃO</v>
      </c>
      <c r="M4384" s="3">
        <v>18</v>
      </c>
      <c r="N4384" s="3">
        <v>100</v>
      </c>
      <c r="O4384" s="3">
        <v>20.788530465949819</v>
      </c>
    </row>
    <row r="4385" spans="1:15" hidden="1" x14ac:dyDescent="0.25">
      <c r="A4385" s="5">
        <v>46147</v>
      </c>
      <c r="B4385" s="6" t="s">
        <v>62</v>
      </c>
      <c r="C4385" s="3" t="s">
        <v>23</v>
      </c>
      <c r="D4385" s="3">
        <v>31</v>
      </c>
      <c r="E4385" s="3">
        <v>28</v>
      </c>
      <c r="F4385" s="3">
        <v>17.329999999999998</v>
      </c>
      <c r="G4385" s="3">
        <v>1</v>
      </c>
      <c r="H4385" s="3">
        <v>0</v>
      </c>
      <c r="I4385" s="3">
        <f>E4385+G4385+H4385</f>
        <v>29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23</v>
      </c>
      <c r="K4385" s="3">
        <f>I4385-J4385</f>
        <v>6</v>
      </c>
      <c r="L4385" s="3" t="str">
        <f>IF(K4385&lt;-5,"CRÍTICO",IF(K4385&lt;0,"ATENÇÃO",IF(K4385&lt;=5,"BOM","EXCELENTE")))</f>
        <v>EXCELENTE</v>
      </c>
      <c r="M4385" s="3">
        <v>30</v>
      </c>
      <c r="N4385" s="3">
        <v>94.55</v>
      </c>
      <c r="O4385" s="3">
        <v>23.450134770889491</v>
      </c>
    </row>
    <row r="4386" spans="1:15" hidden="1" x14ac:dyDescent="0.25">
      <c r="A4386" s="5">
        <v>46147</v>
      </c>
      <c r="B4386" s="6" t="s">
        <v>63</v>
      </c>
      <c r="C4386" s="3" t="s">
        <v>23</v>
      </c>
      <c r="D4386" s="3">
        <v>31</v>
      </c>
      <c r="E4386" s="3">
        <v>26</v>
      </c>
      <c r="F4386" s="3">
        <v>13.5</v>
      </c>
      <c r="G4386" s="3">
        <v>10</v>
      </c>
      <c r="H4386" s="3">
        <v>0</v>
      </c>
      <c r="I4386" s="3">
        <f>E4386+G4386+H4386</f>
        <v>36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23</v>
      </c>
      <c r="K4386" s="3">
        <f>I4386-J4386</f>
        <v>13</v>
      </c>
      <c r="L4386" s="3" t="str">
        <f>IF(K4386&lt;-5,"CRÍTICO",IF(K4386&lt;0,"ATENÇÃO",IF(K4386&lt;=5,"BOM","EXCELENTE")))</f>
        <v>EXCELENTE</v>
      </c>
      <c r="M4386" s="3">
        <v>21</v>
      </c>
      <c r="N4386" s="3">
        <v>98</v>
      </c>
      <c r="O4386" s="3">
        <v>20.73490813648294</v>
      </c>
    </row>
    <row r="4387" spans="1:15" hidden="1" x14ac:dyDescent="0.25">
      <c r="A4387" s="5">
        <v>46147</v>
      </c>
      <c r="B4387" s="6" t="s">
        <v>64</v>
      </c>
      <c r="C4387" s="3" t="s">
        <v>23</v>
      </c>
      <c r="D4387" s="3">
        <v>14</v>
      </c>
      <c r="E4387" s="3">
        <v>14</v>
      </c>
      <c r="F4387" s="3">
        <v>35.53</v>
      </c>
      <c r="G4387" s="3">
        <v>3</v>
      </c>
      <c r="H4387" s="3">
        <v>0</v>
      </c>
      <c r="I4387" s="3">
        <f>E4387+G4387+H4387</f>
        <v>17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23</v>
      </c>
      <c r="K4387" s="3">
        <f>I4387-J4387</f>
        <v>-6</v>
      </c>
      <c r="L4387" s="3" t="str">
        <f>IF(K4387&lt;-5,"CRÍTICO",IF(K4387&lt;0,"ATENÇÃO",IF(K4387&lt;=5,"BOM","EXCELENTE")))</f>
        <v>CRÍTICO</v>
      </c>
      <c r="M4387" s="3">
        <v>10</v>
      </c>
      <c r="N4387" s="3">
        <v>100</v>
      </c>
      <c r="O4387" s="3">
        <v>18</v>
      </c>
    </row>
    <row r="4388" spans="1:15" hidden="1" x14ac:dyDescent="0.25">
      <c r="A4388" s="5">
        <v>46148</v>
      </c>
      <c r="B4388" s="6" t="s">
        <v>59</v>
      </c>
      <c r="C4388" s="3" t="s">
        <v>23</v>
      </c>
      <c r="D4388" s="3">
        <v>50</v>
      </c>
      <c r="E4388" s="3">
        <v>43</v>
      </c>
      <c r="F4388">
        <v>14.05</v>
      </c>
      <c r="G4388" s="3">
        <v>6</v>
      </c>
      <c r="H4388" s="3">
        <v>0</v>
      </c>
      <c r="I4388" s="3">
        <f>E4388+G4388+H4388</f>
        <v>49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23</v>
      </c>
      <c r="K4388" s="3">
        <f>I4388-J4388</f>
        <v>26</v>
      </c>
      <c r="L4388" s="3" t="str">
        <f>IF(K4388&lt;-5,"CRÍTICO",IF(K4388&lt;0,"ATENÇÃO",IF(K4388&lt;=5,"BOM","EXCELENTE")))</f>
        <v>EXCELENTE</v>
      </c>
      <c r="M4388" s="3">
        <v>43</v>
      </c>
      <c r="N4388" s="3">
        <v>96.25</v>
      </c>
      <c r="O4388" s="3">
        <v>25.586353944562902</v>
      </c>
    </row>
    <row r="4389" spans="1:15" hidden="1" x14ac:dyDescent="0.25">
      <c r="A4389" s="5">
        <v>46148</v>
      </c>
      <c r="B4389" s="6" t="s">
        <v>60</v>
      </c>
      <c r="C4389" s="3" t="s">
        <v>23</v>
      </c>
      <c r="D4389" s="3">
        <v>24</v>
      </c>
      <c r="E4389" s="3">
        <v>23</v>
      </c>
      <c r="F4389">
        <v>17.07</v>
      </c>
      <c r="G4389" s="3">
        <v>9</v>
      </c>
      <c r="H4389" s="3">
        <v>0</v>
      </c>
      <c r="I4389" s="3">
        <f>E4389+G4389+H4389</f>
        <v>32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23</v>
      </c>
      <c r="K4389" s="3">
        <f>I4389-J4389</f>
        <v>9</v>
      </c>
      <c r="L4389" s="3" t="str">
        <f>IF(K4389&lt;-5,"CRÍTICO",IF(K4389&lt;0,"ATENÇÃO",IF(K4389&lt;=5,"BOM","EXCELENTE")))</f>
        <v>EXCELENTE</v>
      </c>
      <c r="M4389" s="3">
        <v>30</v>
      </c>
      <c r="N4389" s="3">
        <v>97.48</v>
      </c>
      <c r="O4389" s="3">
        <v>22.99465240641711</v>
      </c>
    </row>
    <row r="4390" spans="1:15" hidden="1" x14ac:dyDescent="0.25">
      <c r="A4390" s="5">
        <v>46148</v>
      </c>
      <c r="B4390" s="6" t="s">
        <v>61</v>
      </c>
      <c r="C4390" s="3" t="s">
        <v>23</v>
      </c>
      <c r="D4390" s="3">
        <v>19</v>
      </c>
      <c r="E4390" s="3">
        <v>16</v>
      </c>
      <c r="F4390">
        <v>16.510000000000002</v>
      </c>
      <c r="G4390" s="3">
        <v>0</v>
      </c>
      <c r="H4390" s="3">
        <v>0</v>
      </c>
      <c r="I4390" s="3">
        <f>E4390+G4390+H4390</f>
        <v>16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23</v>
      </c>
      <c r="K4390" s="3">
        <f>I4390-J4390</f>
        <v>-7</v>
      </c>
      <c r="L4390" s="3" t="str">
        <f>IF(K4390&lt;-5,"CRÍTICO",IF(K4390&lt;0,"ATENÇÃO",IF(K4390&lt;=5,"BOM","EXCELENTE")))</f>
        <v>CRÍTICO</v>
      </c>
      <c r="M4390" s="3">
        <v>13</v>
      </c>
      <c r="N4390" s="3">
        <v>100</v>
      </c>
      <c r="O4390" s="3">
        <v>20.788530465949819</v>
      </c>
    </row>
    <row r="4391" spans="1:15" hidden="1" x14ac:dyDescent="0.25">
      <c r="A4391" s="5">
        <v>46148</v>
      </c>
      <c r="B4391" s="6" t="s">
        <v>62</v>
      </c>
      <c r="C4391" s="3" t="s">
        <v>23</v>
      </c>
      <c r="D4391" s="3">
        <v>31</v>
      </c>
      <c r="E4391" s="3">
        <v>30</v>
      </c>
      <c r="F4391">
        <v>17.329999999999998</v>
      </c>
      <c r="G4391" s="3">
        <v>8</v>
      </c>
      <c r="H4391" s="3">
        <v>0</v>
      </c>
      <c r="I4391" s="3">
        <f>E4391+G4391+H4391</f>
        <v>38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23</v>
      </c>
      <c r="K4391" s="3">
        <f>I4391-J4391</f>
        <v>15</v>
      </c>
      <c r="L4391" s="3" t="str">
        <f>IF(K4391&lt;-5,"CRÍTICO",IF(K4391&lt;0,"ATENÇÃO",IF(K4391&lt;=5,"BOM","EXCELENTE")))</f>
        <v>EXCELENTE</v>
      </c>
      <c r="M4391" s="3">
        <v>36</v>
      </c>
      <c r="N4391" s="3">
        <v>94.55</v>
      </c>
      <c r="O4391" s="3">
        <v>23.450134770889491</v>
      </c>
    </row>
    <row r="4392" spans="1:15" hidden="1" x14ac:dyDescent="0.25">
      <c r="A4392" s="5">
        <v>46148</v>
      </c>
      <c r="B4392" s="6" t="s">
        <v>63</v>
      </c>
      <c r="C4392" s="3" t="s">
        <v>23</v>
      </c>
      <c r="D4392" s="3">
        <v>34</v>
      </c>
      <c r="E4392" s="3">
        <v>30</v>
      </c>
      <c r="F4392">
        <v>13.25</v>
      </c>
      <c r="G4392" s="3">
        <v>5</v>
      </c>
      <c r="H4392" s="3">
        <v>0</v>
      </c>
      <c r="I4392" s="3">
        <f>E4392+G4392+H4392</f>
        <v>35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23</v>
      </c>
      <c r="K4392" s="3">
        <f>I4392-J4392</f>
        <v>12</v>
      </c>
      <c r="L4392" s="3" t="str">
        <f>IF(K4392&lt;-5,"CRÍTICO",IF(K4392&lt;0,"ATENÇÃO",IF(K4392&lt;=5,"BOM","EXCELENTE")))</f>
        <v>EXCELENTE</v>
      </c>
      <c r="M4392" s="3">
        <v>23</v>
      </c>
      <c r="N4392" s="3">
        <v>98</v>
      </c>
      <c r="O4392" s="3">
        <v>20.73490813648294</v>
      </c>
    </row>
    <row r="4393" spans="1:15" hidden="1" x14ac:dyDescent="0.25">
      <c r="A4393" s="5">
        <v>46148</v>
      </c>
      <c r="B4393" s="6" t="s">
        <v>64</v>
      </c>
      <c r="C4393" s="3" t="s">
        <v>23</v>
      </c>
      <c r="D4393" s="3">
        <v>19</v>
      </c>
      <c r="E4393" s="3">
        <v>18</v>
      </c>
      <c r="F4393">
        <v>26.43</v>
      </c>
      <c r="G4393" s="3">
        <v>1</v>
      </c>
      <c r="H4393" s="3">
        <v>0</v>
      </c>
      <c r="I4393" s="3">
        <f>E4393+G4393+H4393</f>
        <v>19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23</v>
      </c>
      <c r="K4393" s="3">
        <f>I4393-J4393</f>
        <v>-4</v>
      </c>
      <c r="L4393" s="3" t="str">
        <f>IF(K4393&lt;-5,"CRÍTICO",IF(K4393&lt;0,"ATENÇÃO",IF(K4393&lt;=5,"BOM","EXCELENTE")))</f>
        <v>ATENÇÃO</v>
      </c>
      <c r="M4393" s="3">
        <v>18</v>
      </c>
      <c r="N4393" s="3">
        <v>100</v>
      </c>
      <c r="O4393" s="3">
        <v>18</v>
      </c>
    </row>
    <row r="4394" spans="1:15" hidden="1" x14ac:dyDescent="0.25">
      <c r="A4394" s="5">
        <v>46149</v>
      </c>
      <c r="B4394" s="6" t="s">
        <v>59</v>
      </c>
      <c r="C4394" s="3" t="s">
        <v>23</v>
      </c>
      <c r="D4394" s="3">
        <v>31</v>
      </c>
      <c r="E4394" s="3">
        <v>28</v>
      </c>
      <c r="F4394">
        <v>15.11</v>
      </c>
      <c r="G4394" s="3">
        <v>10</v>
      </c>
      <c r="H4394" s="3">
        <v>0</v>
      </c>
      <c r="I4394" s="3">
        <f>E4394+G4394+H4394</f>
        <v>38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16</v>
      </c>
      <c r="L4394" s="3" t="str">
        <f>IF(K4394&lt;-5,"CRÍTICO",IF(K4394&lt;0,"ATENÇÃO",IF(K4394&lt;=5,"BOM","EXCELENTE")))</f>
        <v>EXCELENTE</v>
      </c>
      <c r="M4394" s="3">
        <v>36</v>
      </c>
      <c r="N4394" s="3">
        <v>96.25</v>
      </c>
      <c r="O4394" s="3">
        <v>25.586353944562902</v>
      </c>
    </row>
    <row r="4395" spans="1:15" hidden="1" x14ac:dyDescent="0.25">
      <c r="A4395" s="5">
        <v>46149</v>
      </c>
      <c r="B4395" s="6" t="s">
        <v>60</v>
      </c>
      <c r="C4395" s="3" t="s">
        <v>23</v>
      </c>
      <c r="D4395" s="3">
        <v>25</v>
      </c>
      <c r="E4395" s="3">
        <v>23</v>
      </c>
      <c r="F4395">
        <v>16.559999999999999</v>
      </c>
      <c r="G4395" s="3">
        <v>1</v>
      </c>
      <c r="H4395" s="3">
        <v>0</v>
      </c>
      <c r="I4395" s="3">
        <f>E4395+G4395+H4395</f>
        <v>24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22</v>
      </c>
      <c r="K4395" s="3">
        <f>I4395-J4395</f>
        <v>2</v>
      </c>
      <c r="L4395" s="3" t="str">
        <f>IF(K4395&lt;-5,"CRÍTICO",IF(K4395&lt;0,"ATENÇÃO",IF(K4395&lt;=5,"BOM","EXCELENTE")))</f>
        <v>BOM</v>
      </c>
      <c r="M4395" s="3">
        <v>22</v>
      </c>
      <c r="N4395" s="3">
        <v>97.48</v>
      </c>
      <c r="O4395" s="3">
        <v>22.99465240641711</v>
      </c>
    </row>
    <row r="4396" spans="1:15" hidden="1" x14ac:dyDescent="0.25">
      <c r="A4396" s="5">
        <v>46149</v>
      </c>
      <c r="B4396" s="6" t="s">
        <v>61</v>
      </c>
      <c r="C4396" s="3" t="s">
        <v>23</v>
      </c>
      <c r="D4396" s="3">
        <v>17</v>
      </c>
      <c r="E4396" s="3">
        <v>17</v>
      </c>
      <c r="F4396">
        <v>16.5</v>
      </c>
      <c r="G4396" s="3">
        <v>7</v>
      </c>
      <c r="H4396" s="3">
        <v>0</v>
      </c>
      <c r="I4396" s="3">
        <f>E4396+G4396+H4396</f>
        <v>24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22</v>
      </c>
      <c r="K4396" s="3">
        <f>I4396-J4396</f>
        <v>2</v>
      </c>
      <c r="L4396" s="3" t="str">
        <f>IF(K4396&lt;-5,"CRÍTICO",IF(K4396&lt;0,"ATENÇÃO",IF(K4396&lt;=5,"BOM","EXCELENTE")))</f>
        <v>BOM</v>
      </c>
      <c r="M4396" s="3">
        <v>19</v>
      </c>
      <c r="N4396" s="3">
        <v>100</v>
      </c>
      <c r="O4396" s="3">
        <v>20.788530465949819</v>
      </c>
    </row>
    <row r="4397" spans="1:15" hidden="1" x14ac:dyDescent="0.25">
      <c r="A4397" s="5">
        <v>46149</v>
      </c>
      <c r="B4397" s="6" t="s">
        <v>62</v>
      </c>
      <c r="C4397" s="3" t="s">
        <v>23</v>
      </c>
      <c r="D4397" s="3">
        <v>25</v>
      </c>
      <c r="E4397" s="3">
        <v>25</v>
      </c>
      <c r="F4397">
        <v>25.28</v>
      </c>
      <c r="G4397" s="3">
        <v>1</v>
      </c>
      <c r="H4397" s="3">
        <v>0</v>
      </c>
      <c r="I4397" s="3">
        <f>E4397+G4397+H4397</f>
        <v>26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22</v>
      </c>
      <c r="K4397" s="3">
        <f>I4397-J4397</f>
        <v>4</v>
      </c>
      <c r="L4397" s="3" t="str">
        <f>IF(K4397&lt;-5,"CRÍTICO",IF(K4397&lt;0,"ATENÇÃO",IF(K4397&lt;=5,"BOM","EXCELENTE")))</f>
        <v>BOM</v>
      </c>
      <c r="M4397" s="3">
        <v>25</v>
      </c>
      <c r="N4397" s="3">
        <v>94.55</v>
      </c>
      <c r="O4397" s="3">
        <v>23.450134770889491</v>
      </c>
    </row>
    <row r="4398" spans="1:15" hidden="1" x14ac:dyDescent="0.25">
      <c r="A4398" s="5">
        <v>46149</v>
      </c>
      <c r="B4398" s="6" t="s">
        <v>63</v>
      </c>
      <c r="C4398" s="3" t="s">
        <v>23</v>
      </c>
      <c r="D4398" s="3">
        <v>31</v>
      </c>
      <c r="E4398" s="3">
        <v>26</v>
      </c>
      <c r="F4398">
        <v>11.59</v>
      </c>
      <c r="G4398" s="3">
        <v>14</v>
      </c>
      <c r="H4398" s="3">
        <v>0</v>
      </c>
      <c r="I4398" s="3">
        <f>E4398+G4398+H4398</f>
        <v>40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22</v>
      </c>
      <c r="K4398" s="3">
        <f>I4398-J4398</f>
        <v>18</v>
      </c>
      <c r="L4398" s="3" t="str">
        <f>IF(K4398&lt;-5,"CRÍTICO",IF(K4398&lt;0,"ATENÇÃO",IF(K4398&lt;=5,"BOM","EXCELENTE")))</f>
        <v>EXCELENTE</v>
      </c>
      <c r="M4398" s="3">
        <v>23</v>
      </c>
      <c r="N4398" s="3">
        <v>98</v>
      </c>
      <c r="O4398" s="3">
        <v>20.73490813648294</v>
      </c>
    </row>
    <row r="4399" spans="1:15" hidden="1" x14ac:dyDescent="0.25">
      <c r="A4399" s="5">
        <v>46149</v>
      </c>
      <c r="B4399" s="6" t="s">
        <v>64</v>
      </c>
      <c r="C4399" s="3" t="s">
        <v>23</v>
      </c>
      <c r="D4399" s="3">
        <v>14</v>
      </c>
      <c r="E4399" s="3">
        <v>14</v>
      </c>
      <c r="F4399">
        <v>33.450000000000003</v>
      </c>
      <c r="G4399" s="3">
        <v>6</v>
      </c>
      <c r="H4399" s="3">
        <v>0</v>
      </c>
      <c r="I4399" s="3">
        <f>E4399+G4399+H4399</f>
        <v>20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22</v>
      </c>
      <c r="K4399" s="3">
        <f>I4399-J4399</f>
        <v>-2</v>
      </c>
      <c r="L4399" s="3" t="str">
        <f>IF(K4399&lt;-5,"CRÍTICO",IF(K4399&lt;0,"ATENÇÃO",IF(K4399&lt;=5,"BOM","EXCELENTE")))</f>
        <v>ATENÇÃO</v>
      </c>
      <c r="M4399" s="3">
        <v>20</v>
      </c>
      <c r="N4399" s="3">
        <v>100</v>
      </c>
      <c r="O4399" s="3">
        <v>18</v>
      </c>
    </row>
    <row r="4400" spans="1:15" hidden="1" x14ac:dyDescent="0.25">
      <c r="A4400" s="5">
        <v>46150</v>
      </c>
      <c r="B4400" s="6" t="s">
        <v>59</v>
      </c>
      <c r="C4400" s="3" t="s">
        <v>23</v>
      </c>
      <c r="D4400" s="3">
        <v>26</v>
      </c>
      <c r="E4400" s="3">
        <v>25</v>
      </c>
      <c r="F4400">
        <v>22.39</v>
      </c>
      <c r="G4400" s="3">
        <v>0</v>
      </c>
      <c r="H4400" s="3">
        <v>0</v>
      </c>
      <c r="I4400" s="3">
        <f>E4400+G4400+H4400</f>
        <v>25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19</v>
      </c>
      <c r="K4400" s="3">
        <f>I4400-J4400</f>
        <v>6</v>
      </c>
      <c r="L4400" s="3" t="str">
        <f>IF(K4400&lt;-5,"CRÍTICO",IF(K4400&lt;0,"ATENÇÃO",IF(K4400&lt;=5,"BOM","EXCELENTE")))</f>
        <v>EXCELENTE</v>
      </c>
      <c r="M4400" s="3">
        <v>24</v>
      </c>
      <c r="N4400" s="3">
        <v>96.25</v>
      </c>
      <c r="O4400" s="3">
        <v>25.586353944562902</v>
      </c>
    </row>
    <row r="4401" spans="1:15" hidden="1" x14ac:dyDescent="0.25">
      <c r="A4401" s="5">
        <v>46150</v>
      </c>
      <c r="B4401" s="6" t="s">
        <v>60</v>
      </c>
      <c r="C4401" s="3" t="s">
        <v>23</v>
      </c>
      <c r="D4401" s="3">
        <v>25</v>
      </c>
      <c r="E4401" s="3">
        <v>24</v>
      </c>
      <c r="F4401">
        <v>17.350000000000001</v>
      </c>
      <c r="G4401" s="3">
        <v>6</v>
      </c>
      <c r="H4401" s="3">
        <v>0</v>
      </c>
      <c r="I4401" s="3">
        <f>E4401+G4401+H4401</f>
        <v>30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19</v>
      </c>
      <c r="K4401" s="3">
        <f>I4401-J4401</f>
        <v>11</v>
      </c>
      <c r="L4401" s="3" t="str">
        <f>IF(K4401&lt;-5,"CRÍTICO",IF(K4401&lt;0,"ATENÇÃO",IF(K4401&lt;=5,"BOM","EXCELENTE")))</f>
        <v>EXCELENTE</v>
      </c>
      <c r="M4401">
        <v>27</v>
      </c>
      <c r="N4401">
        <v>97.48</v>
      </c>
      <c r="O4401">
        <v>22.99465240641711</v>
      </c>
    </row>
    <row r="4402" spans="1:15" hidden="1" x14ac:dyDescent="0.25">
      <c r="A4402" s="5">
        <v>46150</v>
      </c>
      <c r="B4402" s="6" t="s">
        <v>61</v>
      </c>
      <c r="C4402" s="3" t="s">
        <v>23</v>
      </c>
      <c r="D4402" s="3">
        <v>16</v>
      </c>
      <c r="E4402" s="3">
        <v>16</v>
      </c>
      <c r="F4402">
        <v>23.51</v>
      </c>
      <c r="G4402" s="3">
        <v>0</v>
      </c>
      <c r="H4402" s="3">
        <v>0</v>
      </c>
      <c r="I4402" s="3">
        <f>E4402+G4402+H4402</f>
        <v>16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19</v>
      </c>
      <c r="K4402" s="3">
        <f>I4402-J4402</f>
        <v>-3</v>
      </c>
      <c r="L4402" s="3" t="str">
        <f>IF(K4402&lt;-5,"CRÍTICO",IF(K4402&lt;0,"ATENÇÃO",IF(K4402&lt;=5,"BOM","EXCELENTE")))</f>
        <v>ATENÇÃO</v>
      </c>
      <c r="M4402">
        <v>11</v>
      </c>
      <c r="N4402">
        <v>100</v>
      </c>
      <c r="O4402">
        <v>20.788530465949819</v>
      </c>
    </row>
    <row r="4403" spans="1:15" hidden="1" x14ac:dyDescent="0.25">
      <c r="A4403" s="5">
        <v>46150</v>
      </c>
      <c r="B4403" s="6" t="s">
        <v>62</v>
      </c>
      <c r="C4403" s="3" t="s">
        <v>23</v>
      </c>
      <c r="D4403" s="3">
        <v>18</v>
      </c>
      <c r="E4403" s="3">
        <v>17</v>
      </c>
      <c r="F4403">
        <v>25.06</v>
      </c>
      <c r="G4403" s="3">
        <v>6</v>
      </c>
      <c r="H4403" s="3">
        <v>0</v>
      </c>
      <c r="I4403" s="3">
        <f>E4403+G4403+H4403</f>
        <v>23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19</v>
      </c>
      <c r="K4403" s="3">
        <f>I4403-J4403</f>
        <v>4</v>
      </c>
      <c r="L4403" s="3" t="str">
        <f>IF(K4403&lt;-5,"CRÍTICO",IF(K4403&lt;0,"ATENÇÃO",IF(K4403&lt;=5,"BOM","EXCELENTE")))</f>
        <v>BOM</v>
      </c>
      <c r="M4403">
        <v>23</v>
      </c>
      <c r="N4403">
        <v>94.55</v>
      </c>
      <c r="O4403">
        <v>23.450134770889491</v>
      </c>
    </row>
    <row r="4404" spans="1:15" hidden="1" x14ac:dyDescent="0.25">
      <c r="A4404" s="5">
        <v>46150</v>
      </c>
      <c r="B4404" s="6" t="s">
        <v>63</v>
      </c>
      <c r="C4404" s="3" t="s">
        <v>23</v>
      </c>
      <c r="D4404" s="3">
        <v>39</v>
      </c>
      <c r="E4404" s="3">
        <v>34</v>
      </c>
      <c r="F4404">
        <v>12.08</v>
      </c>
      <c r="G4404" s="3">
        <v>2</v>
      </c>
      <c r="H4404" s="3">
        <v>0</v>
      </c>
      <c r="I4404" s="3">
        <f>E4404+G4404+H4404</f>
        <v>36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19</v>
      </c>
      <c r="K4404" s="3">
        <f>I4404-J4404</f>
        <v>17</v>
      </c>
      <c r="L4404" s="3" t="str">
        <f>IF(K4404&lt;-5,"CRÍTICO",IF(K4404&lt;0,"ATENÇÃO",IF(K4404&lt;=5,"BOM","EXCELENTE")))</f>
        <v>EXCELENTE</v>
      </c>
      <c r="M4404">
        <v>32</v>
      </c>
      <c r="N4404">
        <v>98</v>
      </c>
      <c r="O4404">
        <v>20.73490813648294</v>
      </c>
    </row>
    <row r="4405" spans="1:15" hidden="1" x14ac:dyDescent="0.25">
      <c r="A4405" s="5">
        <v>46150</v>
      </c>
      <c r="B4405" s="6" t="s">
        <v>64</v>
      </c>
      <c r="C4405" s="3" t="s">
        <v>23</v>
      </c>
      <c r="D4405" s="3">
        <v>0</v>
      </c>
      <c r="E4405" s="3">
        <v>0</v>
      </c>
      <c r="F4405" s="3">
        <v>0</v>
      </c>
      <c r="G4405" s="3">
        <v>0</v>
      </c>
      <c r="H4405" s="3">
        <v>0</v>
      </c>
      <c r="I4405" s="3">
        <v>0</v>
      </c>
      <c r="J4405" s="3">
        <v>0</v>
      </c>
      <c r="K4405" s="3">
        <v>0</v>
      </c>
      <c r="L4405" s="3" t="str">
        <f>IF(K4405&lt;-5,"CRÍTICO",IF(K4405&lt;0,"ATENÇÃO",IF(K4405&lt;=5,"BOM","EXCELENTE")))</f>
        <v>BOM</v>
      </c>
      <c r="M4405" s="9">
        <v>0</v>
      </c>
      <c r="N4405" s="9">
        <v>100</v>
      </c>
      <c r="O4405" s="9">
        <v>18</v>
      </c>
    </row>
    <row r="4406" spans="1:15" hidden="1" x14ac:dyDescent="0.25">
      <c r="A4406" s="5">
        <v>46153</v>
      </c>
      <c r="B4406" s="6" t="s">
        <v>59</v>
      </c>
      <c r="C4406" s="3" t="s">
        <v>23</v>
      </c>
      <c r="D4406" s="3">
        <v>40</v>
      </c>
      <c r="E4406" s="3">
        <v>38</v>
      </c>
      <c r="F4406">
        <v>13.44</v>
      </c>
      <c r="G4406" s="3">
        <v>8</v>
      </c>
      <c r="H4406" s="3">
        <v>0</v>
      </c>
      <c r="I4406" s="3">
        <f>E4406+G4406+H4406</f>
        <v>46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>I4406-J4406</f>
        <v>26</v>
      </c>
      <c r="L4406" s="3" t="str">
        <f>IF(K4406&lt;-5,"CRÍTICO",IF(K4406&lt;0,"ATENÇÃO",IF(K4406&lt;=5,"BOM","EXCELENTE")))</f>
        <v>EXCELENTE</v>
      </c>
      <c r="M4406" s="3">
        <v>38</v>
      </c>
      <c r="N4406" s="3">
        <v>96.25</v>
      </c>
      <c r="O4406" s="3">
        <v>25.586353944562902</v>
      </c>
    </row>
    <row r="4407" spans="1:15" hidden="1" x14ac:dyDescent="0.25">
      <c r="A4407" s="5">
        <v>46153</v>
      </c>
      <c r="B4407" s="6" t="s">
        <v>60</v>
      </c>
      <c r="C4407" s="3" t="s">
        <v>23</v>
      </c>
      <c r="D4407" s="3">
        <v>24</v>
      </c>
      <c r="E4407" s="3">
        <v>23</v>
      </c>
      <c r="F4407">
        <v>18.57</v>
      </c>
      <c r="G4407" s="3">
        <v>2</v>
      </c>
      <c r="H4407" s="3">
        <v>0</v>
      </c>
      <c r="I4407" s="3">
        <f>E4407+G4407+H4407</f>
        <v>25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20</v>
      </c>
      <c r="K4407" s="3">
        <f>I4407-J4407</f>
        <v>5</v>
      </c>
      <c r="L4407" s="3" t="str">
        <f>IF(K4407&lt;-5,"CRÍTICO",IF(K4407&lt;0,"ATENÇÃO",IF(K4407&lt;=5,"BOM","EXCELENTE")))</f>
        <v>BOM</v>
      </c>
      <c r="M4407">
        <v>21</v>
      </c>
      <c r="N4407">
        <v>97.48</v>
      </c>
      <c r="O4407">
        <v>22.99465240641711</v>
      </c>
    </row>
    <row r="4408" spans="1:15" hidden="1" x14ac:dyDescent="0.25">
      <c r="A4408" s="5">
        <v>46153</v>
      </c>
      <c r="B4408" s="6" t="s">
        <v>61</v>
      </c>
      <c r="C4408" s="3" t="s">
        <v>23</v>
      </c>
      <c r="D4408" s="3">
        <v>24</v>
      </c>
      <c r="E4408" s="3">
        <v>20</v>
      </c>
      <c r="F4408">
        <v>13.37</v>
      </c>
      <c r="G4408" s="3">
        <v>2</v>
      </c>
      <c r="H4408" s="3">
        <v>0</v>
      </c>
      <c r="I4408" s="3">
        <f>E4408+G4408+H4408</f>
        <v>22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20</v>
      </c>
      <c r="K4408" s="3">
        <f>I4408-J4408</f>
        <v>2</v>
      </c>
      <c r="L4408" s="3" t="str">
        <f>IF(K4408&lt;-5,"CRÍTICO",IF(K4408&lt;0,"ATENÇÃO",IF(K4408&lt;=5,"BOM","EXCELENTE")))</f>
        <v>BOM</v>
      </c>
      <c r="M4408">
        <v>19</v>
      </c>
      <c r="N4408">
        <v>100</v>
      </c>
      <c r="O4408">
        <v>20.788530465949819</v>
      </c>
    </row>
    <row r="4409" spans="1:15" hidden="1" x14ac:dyDescent="0.25">
      <c r="A4409" s="5">
        <v>46153</v>
      </c>
      <c r="B4409" s="6" t="s">
        <v>62</v>
      </c>
      <c r="C4409" s="3" t="s">
        <v>23</v>
      </c>
      <c r="D4409" s="3">
        <v>24</v>
      </c>
      <c r="E4409" s="3">
        <v>23</v>
      </c>
      <c r="F4409">
        <v>17.22</v>
      </c>
      <c r="G4409" s="3">
        <v>1</v>
      </c>
      <c r="H4409" s="3">
        <v>0</v>
      </c>
      <c r="I4409" s="3">
        <f>E4409+G4409+H4409</f>
        <v>24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20</v>
      </c>
      <c r="K4409" s="3">
        <f>I4409-J4409</f>
        <v>4</v>
      </c>
      <c r="L4409" s="3" t="str">
        <f>IF(K4409&lt;-5,"CRÍTICO",IF(K4409&lt;0,"ATENÇÃO",IF(K4409&lt;=5,"BOM","EXCELENTE")))</f>
        <v>BOM</v>
      </c>
      <c r="M4409">
        <v>25</v>
      </c>
      <c r="N4409">
        <v>94.55</v>
      </c>
      <c r="O4409">
        <v>23.450134770889491</v>
      </c>
    </row>
    <row r="4410" spans="1:15" hidden="1" x14ac:dyDescent="0.25">
      <c r="A4410" s="5">
        <v>46153</v>
      </c>
      <c r="B4410" s="6" t="s">
        <v>63</v>
      </c>
      <c r="C4410" s="3" t="s">
        <v>23</v>
      </c>
      <c r="D4410" s="3">
        <v>29</v>
      </c>
      <c r="E4410" s="3">
        <v>25</v>
      </c>
      <c r="F4410">
        <v>22.14</v>
      </c>
      <c r="G4410" s="3">
        <v>6</v>
      </c>
      <c r="H4410" s="3">
        <v>0</v>
      </c>
      <c r="I4410" s="3">
        <f>E4410+G4410+H4410</f>
        <v>31</v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20</v>
      </c>
      <c r="K4410" s="3">
        <f>I4410-J4410</f>
        <v>11</v>
      </c>
      <c r="L4410" s="3" t="str">
        <f>IF(K4410&lt;-5,"CRÍTICO",IF(K4410&lt;0,"ATENÇÃO",IF(K4410&lt;=5,"BOM","EXCELENTE")))</f>
        <v>EXCELENTE</v>
      </c>
      <c r="M4410">
        <v>24</v>
      </c>
      <c r="N4410">
        <v>98</v>
      </c>
      <c r="O4410">
        <v>20.73490813648294</v>
      </c>
    </row>
    <row r="4411" spans="1:15" hidden="1" x14ac:dyDescent="0.25">
      <c r="A4411" s="5">
        <v>46153</v>
      </c>
      <c r="B4411" s="6" t="s">
        <v>64</v>
      </c>
      <c r="C4411" s="3" t="s">
        <v>23</v>
      </c>
      <c r="D4411" s="3">
        <v>16</v>
      </c>
      <c r="E4411" s="3">
        <v>16</v>
      </c>
      <c r="F4411">
        <v>33.21</v>
      </c>
      <c r="G4411" s="3">
        <v>1</v>
      </c>
      <c r="H4411" s="3">
        <v>0</v>
      </c>
      <c r="I4411" s="3">
        <f>E4411+G4411+H4411</f>
        <v>17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20</v>
      </c>
      <c r="K4411" s="3">
        <f>I4411-J4411</f>
        <v>-3</v>
      </c>
      <c r="L4411" s="3" t="str">
        <f>IF(K4411&lt;-5,"CRÍTICO",IF(K4411&lt;0,"ATENÇÃO",IF(K4411&lt;=5,"BOM","EXCELENTE")))</f>
        <v>ATENÇÃO</v>
      </c>
      <c r="M4411">
        <v>15</v>
      </c>
      <c r="N4411">
        <v>100</v>
      </c>
      <c r="O4411">
        <v>18</v>
      </c>
    </row>
    <row r="4412" spans="1:15" hidden="1" x14ac:dyDescent="0.25">
      <c r="A4412" s="5">
        <v>46154</v>
      </c>
      <c r="B4412" s="6" t="s">
        <v>59</v>
      </c>
      <c r="C4412" s="3" t="s">
        <v>23</v>
      </c>
      <c r="D4412" s="3">
        <v>31</v>
      </c>
      <c r="E4412" s="3">
        <v>29</v>
      </c>
      <c r="F4412">
        <v>17.38</v>
      </c>
      <c r="G4412" s="3">
        <v>2</v>
      </c>
      <c r="H4412" s="3">
        <v>0</v>
      </c>
      <c r="I4412" s="3">
        <f>E4412+G4412+H4412</f>
        <v>31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21</v>
      </c>
      <c r="K4412" s="3">
        <f>I4412-J4412</f>
        <v>10</v>
      </c>
      <c r="L4412" s="3" t="str">
        <f>IF(K4412&lt;-5,"CRÍTICO",IF(K4412&lt;0,"ATENÇÃO",IF(K4412&lt;=5,"BOM","EXCELENTE")))</f>
        <v>EXCELENTE</v>
      </c>
      <c r="M4412" s="3">
        <v>27</v>
      </c>
      <c r="N4412" s="3">
        <v>96.25</v>
      </c>
      <c r="O4412" s="3">
        <v>25.586353944562902</v>
      </c>
    </row>
    <row r="4413" spans="1:15" hidden="1" x14ac:dyDescent="0.25">
      <c r="A4413" s="5">
        <v>46154</v>
      </c>
      <c r="B4413" s="6" t="s">
        <v>60</v>
      </c>
      <c r="C4413" s="3" t="s">
        <v>23</v>
      </c>
      <c r="D4413" s="3">
        <v>24</v>
      </c>
      <c r="E4413" s="3">
        <v>23</v>
      </c>
      <c r="F4413">
        <v>13.58</v>
      </c>
      <c r="G4413" s="3">
        <v>5</v>
      </c>
      <c r="H4413" s="3">
        <v>0</v>
      </c>
      <c r="I4413" s="3">
        <f>E4413+G4413+H4413</f>
        <v>28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21</v>
      </c>
      <c r="K4413" s="3">
        <f>I4413-J4413</f>
        <v>7</v>
      </c>
      <c r="L4413" s="3" t="str">
        <f>IF(K4413&lt;-5,"CRÍTICO",IF(K4413&lt;0,"ATENÇÃO",IF(K4413&lt;=5,"BOM","EXCELENTE")))</f>
        <v>EXCELENTE</v>
      </c>
      <c r="M4413">
        <v>25</v>
      </c>
      <c r="N4413">
        <v>97.48</v>
      </c>
      <c r="O4413">
        <v>22.99465240641711</v>
      </c>
    </row>
    <row r="4414" spans="1:15" hidden="1" x14ac:dyDescent="0.25">
      <c r="A4414" s="5">
        <v>46154</v>
      </c>
      <c r="B4414" s="6" t="s">
        <v>61</v>
      </c>
      <c r="C4414" s="3" t="s">
        <v>23</v>
      </c>
      <c r="D4414" s="3">
        <v>28</v>
      </c>
      <c r="E4414" s="3">
        <v>26</v>
      </c>
      <c r="F4414">
        <v>11.47</v>
      </c>
      <c r="G4414" s="3">
        <v>0</v>
      </c>
      <c r="H4414" s="3">
        <v>0</v>
      </c>
      <c r="I4414" s="3">
        <f>E4414+G4414+H4414</f>
        <v>26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21</v>
      </c>
      <c r="K4414" s="3">
        <f>I4414-J4414</f>
        <v>5</v>
      </c>
      <c r="L4414" s="3" t="str">
        <f>IF(K4414&lt;-5,"CRÍTICO",IF(K4414&lt;0,"ATENÇÃO",IF(K4414&lt;=5,"BOM","EXCELENTE")))</f>
        <v>BOM</v>
      </c>
      <c r="M4414">
        <v>17</v>
      </c>
      <c r="N4414">
        <v>100</v>
      </c>
      <c r="O4414">
        <v>20.788530465949819</v>
      </c>
    </row>
    <row r="4415" spans="1:15" hidden="1" x14ac:dyDescent="0.25">
      <c r="A4415" s="5">
        <v>46154</v>
      </c>
      <c r="B4415" s="6" t="s">
        <v>62</v>
      </c>
      <c r="C4415" s="3" t="s">
        <v>23</v>
      </c>
      <c r="D4415" s="3">
        <v>24</v>
      </c>
      <c r="E4415" s="3">
        <v>20</v>
      </c>
      <c r="F4415">
        <v>19.149999999999999</v>
      </c>
      <c r="G4415" s="3">
        <v>4</v>
      </c>
      <c r="H4415" s="3">
        <v>0</v>
      </c>
      <c r="I4415" s="3">
        <f>E4415+G4415+H4415</f>
        <v>24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21</v>
      </c>
      <c r="K4415" s="3">
        <f>I4415-J4415</f>
        <v>3</v>
      </c>
      <c r="L4415" s="3" t="str">
        <f>IF(K4415&lt;-5,"CRÍTICO",IF(K4415&lt;0,"ATENÇÃO",IF(K4415&lt;=5,"BOM","EXCELENTE")))</f>
        <v>BOM</v>
      </c>
      <c r="M4415">
        <v>22</v>
      </c>
      <c r="N4415">
        <v>94.55</v>
      </c>
      <c r="O4415">
        <v>23.450134770889491</v>
      </c>
    </row>
    <row r="4416" spans="1:15" hidden="1" x14ac:dyDescent="0.25">
      <c r="A4416" s="5">
        <v>46154</v>
      </c>
      <c r="B4416" s="6" t="s">
        <v>63</v>
      </c>
      <c r="C4416" s="3" t="s">
        <v>23</v>
      </c>
      <c r="D4416" s="3">
        <v>27</v>
      </c>
      <c r="E4416" s="3">
        <v>26</v>
      </c>
      <c r="F4416">
        <v>17.2</v>
      </c>
      <c r="G4416" s="3">
        <v>1</v>
      </c>
      <c r="H4416" s="3">
        <v>0</v>
      </c>
      <c r="I4416" s="3">
        <f>E4416+G4416+H4416</f>
        <v>27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21</v>
      </c>
      <c r="K4416" s="3">
        <f>I4416-J4416</f>
        <v>6</v>
      </c>
      <c r="L4416" s="3" t="str">
        <f>IF(K4416&lt;-5,"CRÍTICO",IF(K4416&lt;0,"ATENÇÃO",IF(K4416&lt;=5,"BOM","EXCELENTE")))</f>
        <v>EXCELENTE</v>
      </c>
      <c r="M4416">
        <v>20</v>
      </c>
      <c r="N4416">
        <v>98</v>
      </c>
      <c r="O4416">
        <v>20.73490813648294</v>
      </c>
    </row>
    <row r="4417" spans="1:15" hidden="1" x14ac:dyDescent="0.25">
      <c r="A4417" s="5">
        <v>46154</v>
      </c>
      <c r="B4417" s="6" t="s">
        <v>64</v>
      </c>
      <c r="C4417" s="3" t="s">
        <v>23</v>
      </c>
      <c r="D4417" s="3">
        <v>19</v>
      </c>
      <c r="E4417" s="3">
        <v>19</v>
      </c>
      <c r="F4417">
        <v>30.07</v>
      </c>
      <c r="G4417" s="3">
        <v>0</v>
      </c>
      <c r="H4417" s="3">
        <v>0</v>
      </c>
      <c r="I4417" s="3">
        <f>E4417+G4417+H4417</f>
        <v>19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21</v>
      </c>
      <c r="K4417" s="3">
        <f>I4417-J4417</f>
        <v>-2</v>
      </c>
      <c r="L4417" s="3" t="str">
        <f>IF(K4417&lt;-5,"CRÍTICO",IF(K4417&lt;0,"ATENÇÃO",IF(K4417&lt;=5,"BOM","EXCELENTE")))</f>
        <v>ATENÇÃO</v>
      </c>
      <c r="M4417">
        <v>19</v>
      </c>
      <c r="N4417">
        <v>100</v>
      </c>
      <c r="O4417">
        <v>18</v>
      </c>
    </row>
    <row r="4418" spans="1:15" hidden="1" x14ac:dyDescent="0.25">
      <c r="A4418" s="5">
        <v>46155</v>
      </c>
      <c r="B4418" s="6" t="s">
        <v>59</v>
      </c>
      <c r="C4418" s="3" t="s">
        <v>23</v>
      </c>
      <c r="D4418" s="3">
        <v>25</v>
      </c>
      <c r="E4418" s="3">
        <v>21</v>
      </c>
      <c r="F4418">
        <v>22.22</v>
      </c>
      <c r="G4418" s="3">
        <v>7</v>
      </c>
      <c r="H4418" s="3">
        <v>0</v>
      </c>
      <c r="I4418" s="3">
        <f>E4418+G4418+H4418</f>
        <v>28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9</v>
      </c>
      <c r="L4418" s="3" t="str">
        <f>IF(K4418&lt;-5,"CRÍTICO",IF(K4418&lt;0,"ATENÇÃO",IF(K4418&lt;=5,"BOM","EXCELENTE")))</f>
        <v>EXCELENTE</v>
      </c>
      <c r="M4418" s="3">
        <v>26</v>
      </c>
      <c r="N4418" s="3">
        <v>96.25</v>
      </c>
      <c r="O4418" s="3">
        <v>25.586353944562902</v>
      </c>
    </row>
    <row r="4419" spans="1:15" hidden="1" x14ac:dyDescent="0.25">
      <c r="A4419" s="5">
        <v>46155</v>
      </c>
      <c r="B4419" s="6" t="s">
        <v>60</v>
      </c>
      <c r="C4419" s="3" t="s">
        <v>23</v>
      </c>
      <c r="D4419" s="3">
        <v>37</v>
      </c>
      <c r="E4419" s="3">
        <v>32</v>
      </c>
      <c r="F4419">
        <v>15.32</v>
      </c>
      <c r="G4419" s="3">
        <v>3</v>
      </c>
      <c r="H4419" s="3">
        <v>0</v>
      </c>
      <c r="I4419" s="3">
        <f>E4419+G4419+H4419</f>
        <v>35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16</v>
      </c>
      <c r="L4419" s="3" t="str">
        <f>IF(K4419&lt;-5,"CRÍTICO",IF(K4419&lt;0,"ATENÇÃO",IF(K4419&lt;=5,"BOM","EXCELENTE")))</f>
        <v>EXCELENTE</v>
      </c>
      <c r="M4419">
        <v>26</v>
      </c>
      <c r="N4419">
        <v>97.48</v>
      </c>
      <c r="O4419">
        <v>22.99465240641711</v>
      </c>
    </row>
    <row r="4420" spans="1:15" hidden="1" x14ac:dyDescent="0.25">
      <c r="A4420" s="5">
        <v>46155</v>
      </c>
      <c r="B4420" s="6" t="s">
        <v>61</v>
      </c>
      <c r="C4420" s="3" t="s">
        <v>23</v>
      </c>
      <c r="D4420" s="3">
        <v>17</v>
      </c>
      <c r="E4420" s="3">
        <v>16</v>
      </c>
      <c r="F4420">
        <v>21.54</v>
      </c>
      <c r="G4420" s="3">
        <v>5</v>
      </c>
      <c r="H4420" s="3">
        <v>0</v>
      </c>
      <c r="I4420" s="3">
        <f>E4420+G4420+H4420</f>
        <v>21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2</v>
      </c>
      <c r="L4420" s="3" t="str">
        <f>IF(K4420&lt;-5,"CRÍTICO",IF(K4420&lt;0,"ATENÇÃO",IF(K4420&lt;=5,"BOM","EXCELENTE")))</f>
        <v>BOM</v>
      </c>
      <c r="M4420">
        <v>19</v>
      </c>
      <c r="N4420">
        <v>100</v>
      </c>
      <c r="O4420">
        <v>20.788530465949819</v>
      </c>
    </row>
    <row r="4421" spans="1:15" hidden="1" x14ac:dyDescent="0.25">
      <c r="A4421" s="5">
        <v>46155</v>
      </c>
      <c r="B4421" s="6" t="s">
        <v>62</v>
      </c>
      <c r="C4421" s="3" t="s">
        <v>23</v>
      </c>
      <c r="D4421" s="3">
        <v>24</v>
      </c>
      <c r="E4421" s="3">
        <v>22</v>
      </c>
      <c r="F4421">
        <v>20.170000000000002</v>
      </c>
      <c r="G4421" s="3">
        <v>1</v>
      </c>
      <c r="H4421" s="3">
        <v>0</v>
      </c>
      <c r="I4421" s="3">
        <f>E4421+G4421+H4421</f>
        <v>23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4</v>
      </c>
      <c r="L4421" s="3" t="str">
        <f>IF(K4421&lt;-5,"CRÍTICO",IF(K4421&lt;0,"ATENÇÃO",IF(K4421&lt;=5,"BOM","EXCELENTE")))</f>
        <v>BOM</v>
      </c>
      <c r="M4421">
        <v>22</v>
      </c>
      <c r="N4421">
        <v>94.55</v>
      </c>
      <c r="O4421">
        <v>23.450134770889491</v>
      </c>
    </row>
    <row r="4422" spans="1:15" hidden="1" x14ac:dyDescent="0.25">
      <c r="A4422" s="5">
        <v>46155</v>
      </c>
      <c r="B4422" s="6" t="s">
        <v>63</v>
      </c>
      <c r="C4422" s="3" t="s">
        <v>23</v>
      </c>
      <c r="D4422" s="3">
        <v>33</v>
      </c>
      <c r="E4422" s="3">
        <v>31</v>
      </c>
      <c r="F4422">
        <v>13.48</v>
      </c>
      <c r="G4422" s="3">
        <v>7</v>
      </c>
      <c r="H4422" s="3">
        <v>0</v>
      </c>
      <c r="I4422" s="3">
        <f>E4422+G4422+H4422</f>
        <v>38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19</v>
      </c>
      <c r="L4422" s="3" t="str">
        <f>IF(K4422&lt;-5,"CRÍTICO",IF(K4422&lt;0,"ATENÇÃO",IF(K4422&lt;=5,"BOM","EXCELENTE")))</f>
        <v>EXCELENTE</v>
      </c>
      <c r="M4422">
        <v>31</v>
      </c>
      <c r="N4422">
        <v>98</v>
      </c>
      <c r="O4422">
        <v>20.73490813648294</v>
      </c>
    </row>
    <row r="4423" spans="1:15" hidden="1" x14ac:dyDescent="0.25">
      <c r="A4423" s="5">
        <v>46155</v>
      </c>
      <c r="B4423" s="6" t="s">
        <v>64</v>
      </c>
      <c r="C4423" s="3" t="s">
        <v>23</v>
      </c>
      <c r="D4423" s="3">
        <v>11</v>
      </c>
      <c r="E4423" s="3">
        <v>10</v>
      </c>
      <c r="F4423">
        <v>33.26</v>
      </c>
      <c r="G4423" s="3">
        <v>5</v>
      </c>
      <c r="H4423" s="3">
        <v>0</v>
      </c>
      <c r="I4423" s="3">
        <f>E4423+G4423+H4423</f>
        <v>15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-4</v>
      </c>
      <c r="L4423" s="3" t="str">
        <f>IF(K4423&lt;-5,"CRÍTICO",IF(K4423&lt;0,"ATENÇÃO",IF(K4423&lt;=5,"BOM","EXCELENTE")))</f>
        <v>ATENÇÃO</v>
      </c>
      <c r="M4423">
        <v>16</v>
      </c>
      <c r="N4423">
        <v>100</v>
      </c>
      <c r="O4423">
        <v>18</v>
      </c>
    </row>
    <row r="4424" spans="1:15" hidden="1" x14ac:dyDescent="0.25">
      <c r="A4424" s="5">
        <v>46156</v>
      </c>
      <c r="B4424" s="6" t="s">
        <v>59</v>
      </c>
      <c r="C4424" s="3" t="s">
        <v>23</v>
      </c>
      <c r="D4424" s="3">
        <v>27</v>
      </c>
      <c r="E4424" s="3">
        <v>25</v>
      </c>
      <c r="F4424">
        <v>18.510000000000002</v>
      </c>
      <c r="G4424" s="3">
        <v>1</v>
      </c>
      <c r="H4424" s="3">
        <v>0</v>
      </c>
      <c r="I4424" s="3">
        <f>E4424+G4424+H4424</f>
        <v>26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19</v>
      </c>
      <c r="K4424" s="3">
        <f>I4424-J4424</f>
        <v>7</v>
      </c>
      <c r="L4424" s="3" t="str">
        <f>IF(K4424&lt;-5,"CRÍTICO",IF(K4424&lt;0,"ATENÇÃO",IF(K4424&lt;=5,"BOM","EXCELENTE")))</f>
        <v>EXCELENTE</v>
      </c>
      <c r="M4424" s="3">
        <v>23</v>
      </c>
      <c r="N4424" s="3">
        <v>96.25</v>
      </c>
      <c r="O4424" s="3">
        <v>25.586353944562902</v>
      </c>
    </row>
    <row r="4425" spans="1:15" hidden="1" x14ac:dyDescent="0.25">
      <c r="A4425" s="5">
        <v>46156</v>
      </c>
      <c r="B4425" s="6" t="s">
        <v>60</v>
      </c>
      <c r="C4425" s="3" t="s">
        <v>23</v>
      </c>
      <c r="D4425" s="3">
        <v>33</v>
      </c>
      <c r="E4425" s="3">
        <v>29</v>
      </c>
      <c r="F4425">
        <v>11.54</v>
      </c>
      <c r="G4425" s="3">
        <v>7</v>
      </c>
      <c r="H4425" s="3">
        <v>0</v>
      </c>
      <c r="I4425" s="3">
        <f>E4425+G4425+H4425</f>
        <v>36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>I4425-J4425</f>
        <v>17</v>
      </c>
      <c r="L4425" s="3" t="str">
        <f>IF(K4425&lt;-5,"CRÍTICO",IF(K4425&lt;0,"ATENÇÃO",IF(K4425&lt;=5,"BOM","EXCELENTE")))</f>
        <v>EXCELENTE</v>
      </c>
      <c r="M4425">
        <v>30</v>
      </c>
      <c r="N4425">
        <v>97.48</v>
      </c>
      <c r="O4425">
        <v>22.99465240641711</v>
      </c>
    </row>
    <row r="4426" spans="1:15" hidden="1" x14ac:dyDescent="0.25">
      <c r="A4426" s="5">
        <v>46156</v>
      </c>
      <c r="B4426" s="6" t="s">
        <v>61</v>
      </c>
      <c r="C4426" s="3" t="s">
        <v>23</v>
      </c>
      <c r="D4426" s="3">
        <v>30</v>
      </c>
      <c r="E4426" s="3">
        <v>28</v>
      </c>
      <c r="F4426">
        <v>18.25</v>
      </c>
      <c r="G4426" s="3">
        <v>1</v>
      </c>
      <c r="H4426" s="3">
        <v>0</v>
      </c>
      <c r="I4426" s="3">
        <f>E4426+G4426+H4426</f>
        <v>29</v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>19</v>
      </c>
      <c r="K4426" s="3">
        <f>I4426-J4426</f>
        <v>10</v>
      </c>
      <c r="L4426" s="3" t="str">
        <f>IF(K4426&lt;-5,"CRÍTICO",IF(K4426&lt;0,"ATENÇÃO",IF(K4426&lt;=5,"BOM","EXCELENTE")))</f>
        <v>EXCELENTE</v>
      </c>
      <c r="M4426">
        <v>20</v>
      </c>
      <c r="N4426">
        <v>100</v>
      </c>
      <c r="O4426">
        <v>20.788530465949819</v>
      </c>
    </row>
    <row r="4427" spans="1:15" hidden="1" x14ac:dyDescent="0.25">
      <c r="A4427" s="5">
        <v>46156</v>
      </c>
      <c r="B4427" s="6" t="s">
        <v>62</v>
      </c>
      <c r="C4427" s="3" t="s">
        <v>23</v>
      </c>
      <c r="D4427" s="3">
        <v>11</v>
      </c>
      <c r="E4427" s="3">
        <v>11</v>
      </c>
      <c r="F4427">
        <v>33.21</v>
      </c>
      <c r="G4427" s="3">
        <v>4</v>
      </c>
      <c r="H4427" s="3">
        <v>0</v>
      </c>
      <c r="I4427" s="3">
        <f>E4427+G4427+H4427</f>
        <v>15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19</v>
      </c>
      <c r="K4427" s="3">
        <f>I4427-J4427</f>
        <v>-4</v>
      </c>
      <c r="L4427" s="3" t="str">
        <f>IF(K4427&lt;-5,"CRÍTICO",IF(K4427&lt;0,"ATENÇÃO",IF(K4427&lt;=5,"BOM","EXCELENTE")))</f>
        <v>ATENÇÃO</v>
      </c>
      <c r="M4427">
        <v>16</v>
      </c>
      <c r="N4427">
        <v>94.55</v>
      </c>
      <c r="O4427">
        <v>23.450134770889491</v>
      </c>
    </row>
    <row r="4428" spans="1:15" hidden="1" x14ac:dyDescent="0.25">
      <c r="A4428" s="5">
        <v>46156</v>
      </c>
      <c r="B4428" s="6" t="s">
        <v>63</v>
      </c>
      <c r="C4428" s="3" t="s">
        <v>23</v>
      </c>
      <c r="D4428" s="3">
        <v>26</v>
      </c>
      <c r="E4428" s="3">
        <v>25</v>
      </c>
      <c r="F4428">
        <v>15.24</v>
      </c>
      <c r="G4428" s="3">
        <v>1</v>
      </c>
      <c r="H4428" s="3">
        <v>0</v>
      </c>
      <c r="I4428" s="3">
        <f>E4428+G4428+H4428</f>
        <v>26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19</v>
      </c>
      <c r="K4428" s="3">
        <f>I4428-J4428</f>
        <v>7</v>
      </c>
      <c r="L4428" s="3" t="str">
        <f>IF(K4428&lt;-5,"CRÍTICO",IF(K4428&lt;0,"ATENÇÃO",IF(K4428&lt;=5,"BOM","EXCELENTE")))</f>
        <v>EXCELENTE</v>
      </c>
      <c r="M4428">
        <v>24</v>
      </c>
      <c r="N4428">
        <v>98</v>
      </c>
      <c r="O4428">
        <v>20.73490813648294</v>
      </c>
    </row>
    <row r="4429" spans="1:15" hidden="1" x14ac:dyDescent="0.25">
      <c r="A4429" s="5">
        <v>46156</v>
      </c>
      <c r="B4429" s="6" t="s">
        <v>64</v>
      </c>
      <c r="C4429" s="3" t="s">
        <v>23</v>
      </c>
      <c r="D4429" s="3">
        <v>20</v>
      </c>
      <c r="E4429" s="3">
        <v>19</v>
      </c>
      <c r="F4429">
        <v>20.29</v>
      </c>
      <c r="G4429" s="3">
        <v>0</v>
      </c>
      <c r="H4429" s="3">
        <v>0</v>
      </c>
      <c r="I4429" s="3">
        <f>E4429+G4429+H4429</f>
        <v>19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19</v>
      </c>
      <c r="K4429" s="3">
        <f>I4429-J4429</f>
        <v>0</v>
      </c>
      <c r="L4429" s="3" t="str">
        <f>IF(K4429&lt;-5,"CRÍTICO",IF(K4429&lt;0,"ATENÇÃO",IF(K4429&lt;=5,"BOM","EXCELENTE")))</f>
        <v>BOM</v>
      </c>
      <c r="M4429">
        <v>17</v>
      </c>
      <c r="N4429">
        <v>100</v>
      </c>
      <c r="O4429">
        <v>18</v>
      </c>
    </row>
    <row r="4430" spans="1:15" hidden="1" x14ac:dyDescent="0.25">
      <c r="A4430" s="5">
        <v>46157</v>
      </c>
      <c r="B4430" s="6" t="s">
        <v>59</v>
      </c>
      <c r="C4430" s="3" t="s">
        <v>23</v>
      </c>
      <c r="D4430" s="3">
        <v>40</v>
      </c>
      <c r="E4430" s="3">
        <v>38</v>
      </c>
      <c r="F4430">
        <v>15.24</v>
      </c>
      <c r="G4430" s="3">
        <v>5</v>
      </c>
      <c r="H4430" s="3">
        <v>0</v>
      </c>
      <c r="I4430" s="3">
        <f>E4430+G4430+H4430</f>
        <v>43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19</v>
      </c>
      <c r="K4430" s="3">
        <f>I4430-J4430</f>
        <v>24</v>
      </c>
      <c r="L4430" s="3" t="str">
        <f>IF(K4430&lt;-5,"CRÍTICO",IF(K4430&lt;0,"ATENÇÃO",IF(K4430&lt;=5,"BOM","EXCELENTE")))</f>
        <v>EXCELENTE</v>
      </c>
      <c r="M4430" s="3">
        <v>36</v>
      </c>
      <c r="N4430" s="3">
        <v>96.25</v>
      </c>
      <c r="O4430" s="3">
        <v>25.586353944562902</v>
      </c>
    </row>
    <row r="4431" spans="1:15" hidden="1" x14ac:dyDescent="0.25">
      <c r="A4431" s="5">
        <v>46157</v>
      </c>
      <c r="B4431" s="6" t="s">
        <v>60</v>
      </c>
      <c r="C4431" s="3" t="s">
        <v>23</v>
      </c>
      <c r="D4431" s="3">
        <v>24</v>
      </c>
      <c r="E4431" s="3">
        <v>20</v>
      </c>
      <c r="F4431">
        <v>19.190000000000001</v>
      </c>
      <c r="G4431" s="3">
        <v>3</v>
      </c>
      <c r="H4431" s="3">
        <v>0</v>
      </c>
      <c r="I4431" s="3">
        <f>E4431+G4431+H4431</f>
        <v>23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19</v>
      </c>
      <c r="K4431" s="3">
        <f>I4431-J4431</f>
        <v>4</v>
      </c>
      <c r="L4431" s="3" t="str">
        <f>IF(K4431&lt;-5,"CRÍTICO",IF(K4431&lt;0,"ATENÇÃO",IF(K4431&lt;=5,"BOM","EXCELENTE")))</f>
        <v>BOM</v>
      </c>
      <c r="M4431">
        <v>20</v>
      </c>
      <c r="N4431">
        <v>97.48</v>
      </c>
      <c r="O4431">
        <v>22.99465240641711</v>
      </c>
    </row>
    <row r="4432" spans="1:15" hidden="1" x14ac:dyDescent="0.25">
      <c r="A4432" s="5">
        <v>46157</v>
      </c>
      <c r="B4432" s="6" t="s">
        <v>61</v>
      </c>
      <c r="C4432" s="3" t="s">
        <v>23</v>
      </c>
      <c r="D4432" s="3">
        <v>18</v>
      </c>
      <c r="E4432" s="3">
        <v>18</v>
      </c>
      <c r="F4432">
        <v>25.25</v>
      </c>
      <c r="G4432" s="3">
        <v>3</v>
      </c>
      <c r="H4432" s="3">
        <v>0</v>
      </c>
      <c r="I4432" s="3">
        <f>E4432+G4432+H4432</f>
        <v>21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19</v>
      </c>
      <c r="K4432" s="3">
        <f>I4432-J4432</f>
        <v>2</v>
      </c>
      <c r="L4432" s="3" t="str">
        <f>IF(K4432&lt;-5,"CRÍTICO",IF(K4432&lt;0,"ATENÇÃO",IF(K4432&lt;=5,"BOM","EXCELENTE")))</f>
        <v>BOM</v>
      </c>
      <c r="M4432">
        <v>19</v>
      </c>
      <c r="N4432">
        <v>100</v>
      </c>
      <c r="O4432">
        <v>20.788530465949819</v>
      </c>
    </row>
    <row r="4433" spans="1:15" hidden="1" x14ac:dyDescent="0.25">
      <c r="A4433" s="5">
        <v>46157</v>
      </c>
      <c r="B4433" s="6" t="s">
        <v>62</v>
      </c>
      <c r="C4433" s="3" t="s">
        <v>23</v>
      </c>
      <c r="D4433" s="3">
        <v>24</v>
      </c>
      <c r="E4433" s="3">
        <v>21</v>
      </c>
      <c r="F4433">
        <v>20.350000000000001</v>
      </c>
      <c r="G4433" s="3">
        <v>2</v>
      </c>
      <c r="H4433" s="3">
        <v>0</v>
      </c>
      <c r="I4433" s="3">
        <f>E4433+G4433+H4433</f>
        <v>23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19</v>
      </c>
      <c r="K4433" s="3">
        <f>I4433-J4433</f>
        <v>4</v>
      </c>
      <c r="L4433" s="3" t="str">
        <f>IF(K4433&lt;-5,"CRÍTICO",IF(K4433&lt;0,"ATENÇÃO",IF(K4433&lt;=5,"BOM","EXCELENTE")))</f>
        <v>BOM</v>
      </c>
      <c r="M4433">
        <v>24</v>
      </c>
      <c r="N4433">
        <v>94.55</v>
      </c>
      <c r="O4433">
        <v>23.450134770889491</v>
      </c>
    </row>
    <row r="4434" spans="1:15" hidden="1" x14ac:dyDescent="0.25">
      <c r="A4434" s="5">
        <v>46157</v>
      </c>
      <c r="B4434" s="6" t="s">
        <v>63</v>
      </c>
      <c r="C4434" s="3" t="s">
        <v>23</v>
      </c>
      <c r="D4434" s="3">
        <v>28</v>
      </c>
      <c r="E4434" s="3">
        <v>25</v>
      </c>
      <c r="F4434">
        <v>13.57</v>
      </c>
      <c r="G4434" s="3">
        <v>5</v>
      </c>
      <c r="H4434" s="3">
        <v>0</v>
      </c>
      <c r="I4434" s="3">
        <f>E4434+G4434+H4434</f>
        <v>30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19</v>
      </c>
      <c r="K4434" s="3">
        <f>I4434-J4434</f>
        <v>11</v>
      </c>
      <c r="L4434" s="3" t="str">
        <f>IF(K4434&lt;-5,"CRÍTICO",IF(K4434&lt;0,"ATENÇÃO",IF(K4434&lt;=5,"BOM","EXCELENTE")))</f>
        <v>EXCELENTE</v>
      </c>
      <c r="M4434">
        <v>23</v>
      </c>
      <c r="N4434">
        <v>98</v>
      </c>
      <c r="O4434">
        <v>20.73490813648294</v>
      </c>
    </row>
    <row r="4435" spans="1:15" hidden="1" x14ac:dyDescent="0.25">
      <c r="A4435" s="5">
        <v>46157</v>
      </c>
      <c r="B4435" s="6" t="s">
        <v>64</v>
      </c>
      <c r="C4435" s="3" t="s">
        <v>23</v>
      </c>
      <c r="D4435" s="3">
        <v>18</v>
      </c>
      <c r="E4435" s="3">
        <v>17</v>
      </c>
      <c r="F4435">
        <v>35.31</v>
      </c>
      <c r="G4435" s="3">
        <v>3</v>
      </c>
      <c r="H4435" s="3">
        <v>0</v>
      </c>
      <c r="I4435" s="3">
        <f>E4435+G4435+H4435</f>
        <v>20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19</v>
      </c>
      <c r="K4435" s="3">
        <f>I4435-J4435</f>
        <v>1</v>
      </c>
      <c r="L4435" s="3" t="str">
        <f>IF(K4435&lt;-5,"CRÍTICO",IF(K4435&lt;0,"ATENÇÃO",IF(K4435&lt;=5,"BOM","EXCELENTE")))</f>
        <v>BOM</v>
      </c>
      <c r="M4435">
        <v>14</v>
      </c>
      <c r="N4435">
        <v>100</v>
      </c>
      <c r="O4435">
        <v>18</v>
      </c>
    </row>
    <row r="4436" spans="1:15" hidden="1" x14ac:dyDescent="0.25">
      <c r="A4436" s="5">
        <v>46160</v>
      </c>
      <c r="B4436" s="6" t="s">
        <v>59</v>
      </c>
      <c r="C4436" s="3" t="s">
        <v>23</v>
      </c>
      <c r="D4436" s="3">
        <v>18</v>
      </c>
      <c r="E4436" s="3">
        <v>17</v>
      </c>
      <c r="F4436">
        <v>20.190000000000001</v>
      </c>
      <c r="G4436" s="3">
        <v>2</v>
      </c>
      <c r="H4436" s="3">
        <v>0</v>
      </c>
      <c r="I4436" s="3">
        <f>E4436+G4436+H4436</f>
        <v>19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17</v>
      </c>
      <c r="K4436" s="3">
        <f>I4436-J4436</f>
        <v>2</v>
      </c>
      <c r="L4436" s="3" t="str">
        <f>IF(K4436&lt;-5,"CRÍTICO",IF(K4436&lt;0,"ATENÇÃO",IF(K4436&lt;=5,"BOM","EXCELENTE")))</f>
        <v>BOM</v>
      </c>
      <c r="M4436" s="3">
        <v>18</v>
      </c>
      <c r="N4436" s="3">
        <v>96.25</v>
      </c>
      <c r="O4436" s="3">
        <v>25.586353944562902</v>
      </c>
    </row>
    <row r="4437" spans="1:15" hidden="1" x14ac:dyDescent="0.25">
      <c r="A4437" s="5">
        <v>46160</v>
      </c>
      <c r="B4437" s="6" t="s">
        <v>60</v>
      </c>
      <c r="C4437" s="3" t="s">
        <v>23</v>
      </c>
      <c r="D4437" s="3">
        <v>22</v>
      </c>
      <c r="E4437" s="3">
        <v>21</v>
      </c>
      <c r="F4437">
        <v>20.04</v>
      </c>
      <c r="G4437" s="3">
        <v>3</v>
      </c>
      <c r="H4437" s="3">
        <v>0</v>
      </c>
      <c r="I4437" s="3">
        <f>E4437+G4437+H4437</f>
        <v>24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17</v>
      </c>
      <c r="K4437" s="3">
        <f>I4437-J4437</f>
        <v>7</v>
      </c>
      <c r="L4437" s="3" t="str">
        <f>IF(K4437&lt;-5,"CRÍTICO",IF(K4437&lt;0,"ATENÇÃO",IF(K4437&lt;=5,"BOM","EXCELENTE")))</f>
        <v>EXCELENTE</v>
      </c>
      <c r="M4437">
        <v>22</v>
      </c>
      <c r="N4437">
        <v>97.48</v>
      </c>
      <c r="O4437">
        <v>22.99465240641711</v>
      </c>
    </row>
    <row r="4438" spans="1:15" hidden="1" x14ac:dyDescent="0.25">
      <c r="A4438" s="5">
        <v>46160</v>
      </c>
      <c r="B4438" s="6" t="s">
        <v>61</v>
      </c>
      <c r="C4438" s="3" t="s">
        <v>23</v>
      </c>
      <c r="D4438" s="3">
        <v>20</v>
      </c>
      <c r="E4438" s="3">
        <v>19</v>
      </c>
      <c r="F4438">
        <v>18.52</v>
      </c>
      <c r="G4438" s="3">
        <v>3</v>
      </c>
      <c r="H4438" s="3">
        <v>0</v>
      </c>
      <c r="I4438" s="3">
        <f>E4438+G4438+H4438</f>
        <v>22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17</v>
      </c>
      <c r="K4438" s="3">
        <f>I4438-J4438</f>
        <v>5</v>
      </c>
      <c r="L4438" s="3" t="str">
        <f>IF(K4438&lt;-5,"CRÍTICO",IF(K4438&lt;0,"ATENÇÃO",IF(K4438&lt;=5,"BOM","EXCELENTE")))</f>
        <v>BOM</v>
      </c>
      <c r="M4438">
        <v>18</v>
      </c>
      <c r="N4438">
        <v>100</v>
      </c>
      <c r="O4438">
        <v>20.788530465949819</v>
      </c>
    </row>
    <row r="4439" spans="1:15" hidden="1" x14ac:dyDescent="0.25">
      <c r="A4439" s="5">
        <v>46160</v>
      </c>
      <c r="B4439" s="6" t="s">
        <v>62</v>
      </c>
      <c r="C4439" s="3" t="s">
        <v>23</v>
      </c>
      <c r="D4439" s="3">
        <v>21</v>
      </c>
      <c r="E4439" s="3">
        <v>20</v>
      </c>
      <c r="F4439">
        <v>17.02</v>
      </c>
      <c r="G4439" s="3">
        <v>2</v>
      </c>
      <c r="H4439" s="3">
        <v>0</v>
      </c>
      <c r="I4439" s="3">
        <f>E4439+G4439+H4439</f>
        <v>22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17</v>
      </c>
      <c r="K4439" s="3">
        <f>I4439-J4439</f>
        <v>5</v>
      </c>
      <c r="L4439" s="3" t="str">
        <f>IF(K4439&lt;-5,"CRÍTICO",IF(K4439&lt;0,"ATENÇÃO",IF(K4439&lt;=5,"BOM","EXCELENTE")))</f>
        <v>BOM</v>
      </c>
      <c r="M4439">
        <v>20</v>
      </c>
      <c r="N4439">
        <v>94.55</v>
      </c>
      <c r="O4439">
        <v>23.450134770889491</v>
      </c>
    </row>
    <row r="4440" spans="1:15" hidden="1" x14ac:dyDescent="0.25">
      <c r="A4440" s="5">
        <v>46160</v>
      </c>
      <c r="B4440" s="6" t="s">
        <v>63</v>
      </c>
      <c r="C4440" s="3" t="s">
        <v>23</v>
      </c>
      <c r="D4440" s="3">
        <v>28</v>
      </c>
      <c r="E4440" s="3">
        <v>25</v>
      </c>
      <c r="F4440">
        <v>14.02</v>
      </c>
      <c r="G4440" s="3">
        <v>1</v>
      </c>
      <c r="H4440" s="3">
        <v>0</v>
      </c>
      <c r="I4440" s="3">
        <f>E4440+G4440+H4440</f>
        <v>26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17</v>
      </c>
      <c r="K4440" s="3">
        <f>I4440-J4440</f>
        <v>9</v>
      </c>
      <c r="L4440" s="3" t="str">
        <f>IF(K4440&lt;-5,"CRÍTICO",IF(K4440&lt;0,"ATENÇÃO",IF(K4440&lt;=5,"BOM","EXCELENTE")))</f>
        <v>EXCELENTE</v>
      </c>
      <c r="M4440">
        <v>20</v>
      </c>
      <c r="N4440">
        <v>98</v>
      </c>
      <c r="O4440">
        <v>20.73490813648294</v>
      </c>
    </row>
    <row r="4441" spans="1:15" hidden="1" x14ac:dyDescent="0.25">
      <c r="A4441" s="5">
        <v>46160</v>
      </c>
      <c r="B4441" s="6" t="s">
        <v>64</v>
      </c>
      <c r="C4441" s="3" t="s">
        <v>23</v>
      </c>
      <c r="D4441" s="3">
        <v>23</v>
      </c>
      <c r="E4441" s="3">
        <v>19</v>
      </c>
      <c r="F4441">
        <v>23.58</v>
      </c>
      <c r="G4441" s="3">
        <v>3</v>
      </c>
      <c r="H4441" s="3">
        <v>0</v>
      </c>
      <c r="I4441" s="3">
        <f>E4441+G4441+H4441</f>
        <v>22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17</v>
      </c>
      <c r="K4441" s="3">
        <f>I4441-J4441</f>
        <v>5</v>
      </c>
      <c r="L4441" s="3" t="str">
        <f>IF(K4441&lt;-5,"CRÍTICO",IF(K4441&lt;0,"ATENÇÃO",IF(K4441&lt;=5,"BOM","EXCELENTE")))</f>
        <v>BOM</v>
      </c>
      <c r="M4441">
        <v>18</v>
      </c>
      <c r="N4441">
        <v>100</v>
      </c>
      <c r="O4441">
        <v>18</v>
      </c>
    </row>
    <row r="4442" spans="1:15" hidden="1" x14ac:dyDescent="0.25">
      <c r="A4442" s="7">
        <v>46161</v>
      </c>
      <c r="B4442" s="8" t="s">
        <v>59</v>
      </c>
      <c r="C4442" s="9" t="s">
        <v>23</v>
      </c>
      <c r="D4442" s="3">
        <v>30</v>
      </c>
      <c r="E4442" s="3">
        <v>29</v>
      </c>
      <c r="F4442">
        <v>15.36</v>
      </c>
      <c r="G4442" s="3">
        <v>1</v>
      </c>
      <c r="H4442" s="3">
        <v>0</v>
      </c>
      <c r="I4442" s="3">
        <f>E4442+G4442+H4442</f>
        <v>30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19</v>
      </c>
      <c r="K4442" s="3">
        <f>I4442-J4442</f>
        <v>11</v>
      </c>
      <c r="L4442" s="3" t="str">
        <f>IF(K4442&lt;-5,"CRÍTICO",IF(K4442&lt;0,"ATENÇÃO",IF(K4442&lt;=5,"BOM","EXCELENTE")))</f>
        <v>EXCELENTE</v>
      </c>
      <c r="M4442" s="3">
        <v>29</v>
      </c>
      <c r="N4442" s="3">
        <v>96.25</v>
      </c>
      <c r="O4442" s="3">
        <v>25.586353944562902</v>
      </c>
    </row>
    <row r="4443" spans="1:15" hidden="1" x14ac:dyDescent="0.25">
      <c r="A4443" s="7">
        <v>46161</v>
      </c>
      <c r="B4443" s="8" t="s">
        <v>60</v>
      </c>
      <c r="C4443" s="9" t="s">
        <v>23</v>
      </c>
      <c r="D4443" s="3">
        <v>26</v>
      </c>
      <c r="E4443" s="3">
        <v>25</v>
      </c>
      <c r="F4443">
        <v>15.02</v>
      </c>
      <c r="G4443" s="3">
        <v>1</v>
      </c>
      <c r="H4443" s="3">
        <v>0</v>
      </c>
      <c r="I4443" s="3">
        <f>E4443+G4443+H4443</f>
        <v>26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19</v>
      </c>
      <c r="K4443" s="3">
        <f>I4443-J4443</f>
        <v>7</v>
      </c>
      <c r="L4443" s="3" t="str">
        <f>IF(K4443&lt;-5,"CRÍTICO",IF(K4443&lt;0,"ATENÇÃO",IF(K4443&lt;=5,"BOM","EXCELENTE")))</f>
        <v>EXCELENTE</v>
      </c>
      <c r="M4443">
        <v>19</v>
      </c>
      <c r="N4443">
        <v>97.48</v>
      </c>
      <c r="O4443">
        <v>22.99465240641711</v>
      </c>
    </row>
    <row r="4444" spans="1:15" hidden="1" x14ac:dyDescent="0.25">
      <c r="A4444" s="7">
        <v>46161</v>
      </c>
      <c r="B4444" s="8" t="s">
        <v>61</v>
      </c>
      <c r="C4444" s="9" t="s">
        <v>23</v>
      </c>
      <c r="D4444" s="3">
        <v>21</v>
      </c>
      <c r="E4444" s="3">
        <v>20</v>
      </c>
      <c r="F4444">
        <v>12.3</v>
      </c>
      <c r="G4444" s="3">
        <v>1</v>
      </c>
      <c r="H4444" s="3">
        <v>0</v>
      </c>
      <c r="I4444" s="3">
        <f>E4444+G4444+H4444</f>
        <v>21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19</v>
      </c>
      <c r="K4444" s="3">
        <f>I4444-J4444</f>
        <v>2</v>
      </c>
      <c r="L4444" s="3" t="str">
        <f>IF(K4444&lt;-5,"CRÍTICO",IF(K4444&lt;0,"ATENÇÃO",IF(K4444&lt;=5,"BOM","EXCELENTE")))</f>
        <v>BOM</v>
      </c>
      <c r="M4444">
        <v>15</v>
      </c>
      <c r="N4444">
        <v>100</v>
      </c>
      <c r="O4444">
        <v>20.788530465949819</v>
      </c>
    </row>
    <row r="4445" spans="1:15" hidden="1" x14ac:dyDescent="0.25">
      <c r="A4445" s="7">
        <v>46161</v>
      </c>
      <c r="B4445" s="8" t="s">
        <v>62</v>
      </c>
      <c r="C4445" s="9" t="s">
        <v>23</v>
      </c>
      <c r="D4445" s="3">
        <v>18</v>
      </c>
      <c r="E4445" s="3">
        <v>17</v>
      </c>
      <c r="F4445">
        <v>25.09</v>
      </c>
      <c r="G4445" s="3">
        <v>2</v>
      </c>
      <c r="H4445" s="3">
        <v>0</v>
      </c>
      <c r="I4445" s="3">
        <f>E4445+G4445+H4445</f>
        <v>19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19</v>
      </c>
      <c r="K4445" s="3">
        <f>I4445-J4445</f>
        <v>0</v>
      </c>
      <c r="L4445" s="3" t="str">
        <f>IF(K4445&lt;-5,"CRÍTICO",IF(K4445&lt;0,"ATENÇÃO",IF(K4445&lt;=5,"BOM","EXCELENTE")))</f>
        <v>BOM</v>
      </c>
      <c r="M4445">
        <v>18</v>
      </c>
      <c r="N4445">
        <v>94.55</v>
      </c>
      <c r="O4445">
        <v>23.450134770889491</v>
      </c>
    </row>
    <row r="4446" spans="1:15" hidden="1" x14ac:dyDescent="0.25">
      <c r="A4446" s="7">
        <v>46161</v>
      </c>
      <c r="B4446" s="8" t="s">
        <v>63</v>
      </c>
      <c r="C4446" s="9" t="s">
        <v>23</v>
      </c>
      <c r="D4446" s="3">
        <v>35</v>
      </c>
      <c r="E4446" s="3">
        <v>31</v>
      </c>
      <c r="F4446">
        <v>13.24</v>
      </c>
      <c r="G4446" s="3">
        <v>2</v>
      </c>
      <c r="H4446" s="3">
        <v>0</v>
      </c>
      <c r="I4446" s="3">
        <f>E4446+G4446+H4446</f>
        <v>33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19</v>
      </c>
      <c r="K4446" s="3">
        <f>I4446-J4446</f>
        <v>14</v>
      </c>
      <c r="L4446" s="3" t="str">
        <f>IF(K4446&lt;-5,"CRÍTICO",IF(K4446&lt;0,"ATENÇÃO",IF(K4446&lt;=5,"BOM","EXCELENTE")))</f>
        <v>EXCELENTE</v>
      </c>
      <c r="M4446">
        <v>26</v>
      </c>
      <c r="N4446">
        <v>98</v>
      </c>
      <c r="O4446">
        <v>20.73490813648294</v>
      </c>
    </row>
    <row r="4447" spans="1:15" hidden="1" x14ac:dyDescent="0.25">
      <c r="A4447" s="7">
        <v>46161</v>
      </c>
      <c r="B4447" s="8" t="s">
        <v>64</v>
      </c>
      <c r="C4447" s="9" t="s">
        <v>23</v>
      </c>
      <c r="D4447" s="3">
        <v>18</v>
      </c>
      <c r="E4447" s="3">
        <v>18</v>
      </c>
      <c r="F4447">
        <v>25.39</v>
      </c>
      <c r="G4447" s="3">
        <v>0</v>
      </c>
      <c r="H4447" s="3">
        <v>0</v>
      </c>
      <c r="I4447" s="3">
        <f>E4447+G4447+H4447</f>
        <v>18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19</v>
      </c>
      <c r="K4447" s="3">
        <f>I4447-J4447</f>
        <v>-1</v>
      </c>
      <c r="L4447" s="3" t="str">
        <f>IF(K4447&lt;-5,"CRÍTICO",IF(K4447&lt;0,"ATENÇÃO",IF(K4447&lt;=5,"BOM","EXCELENTE")))</f>
        <v>ATENÇÃO</v>
      </c>
      <c r="M4447">
        <v>17</v>
      </c>
      <c r="N4447">
        <v>100</v>
      </c>
      <c r="O4447">
        <v>18</v>
      </c>
    </row>
    <row r="4448" spans="1:15" hidden="1" x14ac:dyDescent="0.25">
      <c r="A4448" s="7">
        <v>46162</v>
      </c>
      <c r="B4448" s="8" t="s">
        <v>59</v>
      </c>
      <c r="C4448" s="9" t="s">
        <v>23</v>
      </c>
      <c r="D4448" s="3">
        <v>26</v>
      </c>
      <c r="E4448" s="3">
        <v>25</v>
      </c>
      <c r="F4448" s="3">
        <v>15.37</v>
      </c>
      <c r="G4448" s="3">
        <v>1</v>
      </c>
      <c r="H4448" s="3">
        <v>0</v>
      </c>
      <c r="I4448" s="3">
        <f>E4448+G4448+H4448</f>
        <v>26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17</v>
      </c>
      <c r="K4448" s="3">
        <f>I4448-J4448</f>
        <v>9</v>
      </c>
      <c r="L4448" s="3" t="str">
        <f>IF(K4448&lt;-5,"CRÍTICO",IF(K4448&lt;0,"ATENÇÃO",IF(K4448&lt;=5,"OPORTUNO","MUITO BOM")))</f>
        <v>MUITO BOM</v>
      </c>
      <c r="M4448" s="9">
        <v>27</v>
      </c>
      <c r="N4448" s="9">
        <v>96.25</v>
      </c>
      <c r="O4448" s="9">
        <v>25.586353944562902</v>
      </c>
    </row>
    <row r="4449" spans="1:15" hidden="1" x14ac:dyDescent="0.25">
      <c r="A4449" s="7">
        <v>46162</v>
      </c>
      <c r="B4449" s="8" t="s">
        <v>60</v>
      </c>
      <c r="C4449" s="9" t="s">
        <v>23</v>
      </c>
      <c r="D4449" s="3">
        <v>23</v>
      </c>
      <c r="E4449" s="3">
        <v>23</v>
      </c>
      <c r="F4449" s="3">
        <v>15.5</v>
      </c>
      <c r="G4449" s="3">
        <v>1</v>
      </c>
      <c r="H4449" s="3">
        <v>0</v>
      </c>
      <c r="I4449" s="3">
        <f>E4449+G4449+H4449</f>
        <v>24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17</v>
      </c>
      <c r="K4449" s="3">
        <f>I4449-J4449</f>
        <v>7</v>
      </c>
      <c r="L4449" s="3" t="str">
        <f>IF(K4449&lt;-5,"CRÍTICO",IF(K4449&lt;0,"ATENÇÃO",IF(K4449&lt;=5,"OPORTUNO","MUITO BOM")))</f>
        <v>MUITO BOM</v>
      </c>
      <c r="M4449" s="9">
        <v>22</v>
      </c>
      <c r="N4449" s="9">
        <v>97.48</v>
      </c>
      <c r="O4449" s="9">
        <v>22.99465240641711</v>
      </c>
    </row>
    <row r="4450" spans="1:15" hidden="1" x14ac:dyDescent="0.25">
      <c r="A4450" s="7">
        <v>46162</v>
      </c>
      <c r="B4450" s="8" t="s">
        <v>61</v>
      </c>
      <c r="C4450" s="9" t="s">
        <v>23</v>
      </c>
      <c r="D4450" s="3">
        <v>17</v>
      </c>
      <c r="E4450" s="3">
        <v>14</v>
      </c>
      <c r="F4450" s="3">
        <v>15.58</v>
      </c>
      <c r="G4450" s="3">
        <v>2</v>
      </c>
      <c r="H4450" s="3">
        <v>0</v>
      </c>
      <c r="I4450" s="3">
        <f>E4450+G4450+H4450</f>
        <v>16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17</v>
      </c>
      <c r="K4450" s="3">
        <f>I4450-J4450</f>
        <v>-1</v>
      </c>
      <c r="L4450" s="3" t="str">
        <f>IF(K4450&lt;-5,"CRÍTICO",IF(K4450&lt;0,"ATENÇÃO",IF(K4450&lt;=5,"OPORTUNO","MUITO BOM")))</f>
        <v>ATENÇÃO</v>
      </c>
      <c r="M4450" s="9">
        <v>13</v>
      </c>
      <c r="N4450" s="9">
        <v>100</v>
      </c>
      <c r="O4450" s="9">
        <v>20.788530465949819</v>
      </c>
    </row>
    <row r="4451" spans="1:15" hidden="1" x14ac:dyDescent="0.25">
      <c r="A4451" s="7">
        <v>46162</v>
      </c>
      <c r="B4451" s="8" t="s">
        <v>62</v>
      </c>
      <c r="C4451" s="9" t="s">
        <v>23</v>
      </c>
      <c r="D4451" s="3">
        <v>18</v>
      </c>
      <c r="E4451" s="3">
        <v>17</v>
      </c>
      <c r="F4451" s="3">
        <v>15.33</v>
      </c>
      <c r="G4451" s="3">
        <v>1</v>
      </c>
      <c r="H4451" s="3">
        <v>0</v>
      </c>
      <c r="I4451" s="3">
        <f>E4451+G4451+H4451</f>
        <v>18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17</v>
      </c>
      <c r="K4451" s="3">
        <f>I4451-J4451</f>
        <v>1</v>
      </c>
      <c r="L4451" s="3" t="str">
        <f>IF(K4451&lt;-5,"CRÍTICO",IF(K4451&lt;0,"ATENÇÃO",IF(K4451&lt;=5,"OPORTUNO","MUITO BOM")))</f>
        <v>OPORTUNO</v>
      </c>
      <c r="M4451" s="9">
        <v>16</v>
      </c>
      <c r="N4451" s="9">
        <v>94.55</v>
      </c>
      <c r="O4451" s="9">
        <v>23.450134770889491</v>
      </c>
    </row>
    <row r="4452" spans="1:15" hidden="1" x14ac:dyDescent="0.25">
      <c r="A4452" s="7">
        <v>46162</v>
      </c>
      <c r="B4452" s="8" t="s">
        <v>63</v>
      </c>
      <c r="C4452" s="9" t="s">
        <v>23</v>
      </c>
      <c r="D4452" s="3">
        <v>25</v>
      </c>
      <c r="E4452" s="3">
        <v>24</v>
      </c>
      <c r="F4452" s="3">
        <v>17.059999999999999</v>
      </c>
      <c r="G4452" s="3">
        <v>1</v>
      </c>
      <c r="H4452" s="3">
        <v>0</v>
      </c>
      <c r="I4452" s="3">
        <f>E4452+G4452+H4452</f>
        <v>25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17</v>
      </c>
      <c r="K4452" s="3">
        <f>I4452-J4452</f>
        <v>8</v>
      </c>
      <c r="L4452" s="3" t="str">
        <f>IF(K4452&lt;-5,"CRÍTICO",IF(K4452&lt;0,"ATENÇÃO",IF(K4452&lt;=5,"OPORTUNO","MUITO BOM")))</f>
        <v>MUITO BOM</v>
      </c>
      <c r="M4452" s="9">
        <v>18</v>
      </c>
      <c r="N4452" s="9">
        <v>98</v>
      </c>
      <c r="O4452" s="9">
        <v>20.73490813648294</v>
      </c>
    </row>
    <row r="4453" spans="1:15" hidden="1" x14ac:dyDescent="0.25">
      <c r="A4453" s="7">
        <v>46162</v>
      </c>
      <c r="B4453" s="8" t="s">
        <v>64</v>
      </c>
      <c r="C4453" s="9" t="s">
        <v>23</v>
      </c>
      <c r="D4453" s="3">
        <v>17</v>
      </c>
      <c r="E4453" s="3">
        <v>17</v>
      </c>
      <c r="F4453" s="3">
        <v>34.04</v>
      </c>
      <c r="G4453" s="3">
        <v>1</v>
      </c>
      <c r="H4453" s="3">
        <v>0</v>
      </c>
      <c r="I4453" s="3">
        <f>E4453+G4453+H4453</f>
        <v>18</v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>17</v>
      </c>
      <c r="K4453" s="3">
        <f>I4453-J4453</f>
        <v>1</v>
      </c>
      <c r="L4453" s="3" t="str">
        <f>IF(K4453&lt;-5,"CRÍTICO",IF(K4453&lt;0,"ATENÇÃO",IF(K4453&lt;=5,"OPORTUNO","MUITO BOM")))</f>
        <v>OPORTUNO</v>
      </c>
      <c r="M4453" s="9">
        <v>14</v>
      </c>
      <c r="N4453" s="9">
        <v>100</v>
      </c>
      <c r="O4453" s="9">
        <v>18</v>
      </c>
    </row>
    <row r="4454" spans="1:15" hidden="1" x14ac:dyDescent="0.25">
      <c r="A4454" s="5">
        <v>46163</v>
      </c>
      <c r="B4454" s="6" t="s">
        <v>59</v>
      </c>
      <c r="C4454" s="3" t="s">
        <v>23</v>
      </c>
      <c r="D4454" s="3">
        <v>24</v>
      </c>
      <c r="E4454" s="3">
        <v>23</v>
      </c>
      <c r="F4454" s="3">
        <v>17.07</v>
      </c>
      <c r="G4454" s="3">
        <v>0</v>
      </c>
      <c r="H4454" s="3">
        <v>0</v>
      </c>
      <c r="I4454" s="3">
        <f>E4454+G4454+H4454</f>
        <v>23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15</v>
      </c>
      <c r="K4454" s="3">
        <f>I4454-J4454</f>
        <v>8</v>
      </c>
      <c r="L4454" s="3" t="str">
        <f>IF(K4454&lt;-5,"CRÍTICO",IF(K4454&lt;0,"ATENÇÃO",IF(K4454&lt;=5,"OPORTUNO","MUITO BOM")))</f>
        <v>MUITO BOM</v>
      </c>
      <c r="M4454" s="3">
        <v>21</v>
      </c>
      <c r="N4454" s="3">
        <v>96.25</v>
      </c>
      <c r="O4454" s="3">
        <v>25.586353944562902</v>
      </c>
    </row>
    <row r="4455" spans="1:15" hidden="1" x14ac:dyDescent="0.25">
      <c r="A4455" s="5">
        <v>46163</v>
      </c>
      <c r="B4455" s="6" t="s">
        <v>60</v>
      </c>
      <c r="C4455" s="3" t="s">
        <v>23</v>
      </c>
      <c r="D4455" s="3">
        <v>23</v>
      </c>
      <c r="E4455" s="3">
        <v>22</v>
      </c>
      <c r="F4455" s="3">
        <v>17.079999999999998</v>
      </c>
      <c r="G4455" s="3">
        <v>0</v>
      </c>
      <c r="H4455" s="3">
        <v>0</v>
      </c>
      <c r="I4455" s="3">
        <f>E4455+G4455+H4455</f>
        <v>22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15</v>
      </c>
      <c r="K4455" s="3">
        <f>I4455-J4455</f>
        <v>7</v>
      </c>
      <c r="L4455" s="3" t="str">
        <f>IF(K4455&lt;-5,"CRÍTICO",IF(K4455&lt;0,"ATENÇÃO",IF(K4455&lt;=5,"OPORTUNO","MUITO BOM")))</f>
        <v>MUITO BOM</v>
      </c>
      <c r="M4455" s="3">
        <v>17</v>
      </c>
      <c r="N4455" s="3">
        <v>97.48</v>
      </c>
      <c r="O4455" s="3">
        <v>22.99465240641711</v>
      </c>
    </row>
    <row r="4456" spans="1:15" hidden="1" x14ac:dyDescent="0.25">
      <c r="A4456" s="5">
        <v>46163</v>
      </c>
      <c r="B4456" s="6" t="s">
        <v>61</v>
      </c>
      <c r="C4456" s="3" t="s">
        <v>23</v>
      </c>
      <c r="D4456" s="3">
        <v>16</v>
      </c>
      <c r="E4456" s="3">
        <v>16</v>
      </c>
      <c r="F4456" s="3">
        <v>26.5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15</v>
      </c>
      <c r="K4456" s="3">
        <f>I4456-J4456</f>
        <v>1</v>
      </c>
      <c r="L4456" s="3" t="str">
        <f>IF(K4456&lt;-5,"CRÍTICO",IF(K4456&lt;0,"ATENÇÃO",IF(K4456&lt;=5,"OPORTUNO","MUITO BOM")))</f>
        <v>OPORTUNO</v>
      </c>
      <c r="M4456" s="3">
        <v>14</v>
      </c>
      <c r="N4456" s="3">
        <v>100</v>
      </c>
      <c r="O4456" s="3">
        <v>20.788530465949819</v>
      </c>
    </row>
    <row r="4457" spans="1:15" hidden="1" x14ac:dyDescent="0.25">
      <c r="A4457" s="5">
        <v>46163</v>
      </c>
      <c r="B4457" s="6" t="s">
        <v>62</v>
      </c>
      <c r="C4457" s="3" t="s">
        <v>23</v>
      </c>
      <c r="D4457" s="3">
        <v>22</v>
      </c>
      <c r="E4457" s="3">
        <v>20</v>
      </c>
      <c r="F4457" s="3">
        <v>19.059999999999999</v>
      </c>
      <c r="G4457" s="3">
        <v>0</v>
      </c>
      <c r="H4457" s="3">
        <v>0</v>
      </c>
      <c r="I4457" s="3">
        <f>E4457+G4457+H4457</f>
        <v>20</v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15</v>
      </c>
      <c r="K4457" s="3">
        <f>I4457-J4457</f>
        <v>5</v>
      </c>
      <c r="L4457" s="3" t="str">
        <f>IF(K4457&lt;-5,"CRÍTICO",IF(K4457&lt;0,"ATENÇÃO",IF(K4457&lt;=5,"OPORTUNO","MUITO BOM")))</f>
        <v>OPORTUNO</v>
      </c>
      <c r="M4457" s="3">
        <v>21</v>
      </c>
      <c r="N4457" s="3">
        <v>94.55</v>
      </c>
      <c r="O4457" s="3">
        <v>23.450134770889491</v>
      </c>
    </row>
    <row r="4458" spans="1:15" hidden="1" x14ac:dyDescent="0.25">
      <c r="A4458" s="5">
        <v>46163</v>
      </c>
      <c r="B4458" s="6" t="s">
        <v>63</v>
      </c>
      <c r="C4458" s="3" t="s">
        <v>23</v>
      </c>
      <c r="D4458" s="3">
        <v>27</v>
      </c>
      <c r="E4458" s="3">
        <v>27</v>
      </c>
      <c r="F4458" s="3">
        <v>15.1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15</v>
      </c>
      <c r="K4458" s="3">
        <f>I4458-J4458</f>
        <v>12</v>
      </c>
      <c r="L4458" s="3" t="str">
        <f>IF(K4458&lt;-5,"CRÍTICO",IF(K4458&lt;0,"ATENÇÃO",IF(K4458&lt;=5,"OPORTUNO","MUITO BOM")))</f>
        <v>MUITO BOM</v>
      </c>
      <c r="M4458" s="3">
        <v>20</v>
      </c>
      <c r="N4458" s="3">
        <v>98</v>
      </c>
      <c r="O4458" s="3">
        <v>20.73490813648294</v>
      </c>
    </row>
    <row r="4459" spans="1:15" hidden="1" x14ac:dyDescent="0.25">
      <c r="A4459" s="5">
        <v>46163</v>
      </c>
      <c r="B4459" s="6" t="s">
        <v>64</v>
      </c>
      <c r="C4459" s="3" t="s">
        <v>23</v>
      </c>
      <c r="D4459" s="3">
        <v>12</v>
      </c>
      <c r="E4459" s="3">
        <v>12</v>
      </c>
      <c r="F4459" s="3">
        <v>44.02</v>
      </c>
      <c r="G4459" s="3">
        <v>0</v>
      </c>
      <c r="H4459" s="3">
        <v>0</v>
      </c>
      <c r="I4459" s="3">
        <f>E4459+G4459+H4459</f>
        <v>12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15</v>
      </c>
      <c r="K4459" s="3">
        <f>I4459-J4459</f>
        <v>-3</v>
      </c>
      <c r="L4459" s="3" t="str">
        <f>IF(K4459&lt;-5,"CRÍTICO",IF(K4459&lt;0,"ATENÇÃO",IF(K4459&lt;=5,"OPORTUNO","MUITO BOM")))</f>
        <v>ATENÇÃO</v>
      </c>
      <c r="M4459" s="3">
        <v>10</v>
      </c>
      <c r="N4459" s="3">
        <v>100</v>
      </c>
      <c r="O4459" s="3">
        <v>18</v>
      </c>
    </row>
    <row r="4460" spans="1:15" hidden="1" x14ac:dyDescent="0.25">
      <c r="A4460" s="10">
        <v>46164</v>
      </c>
      <c r="B4460" s="6" t="s">
        <v>59</v>
      </c>
      <c r="C4460" s="3" t="s">
        <v>23</v>
      </c>
      <c r="D4460" s="3">
        <v>11</v>
      </c>
      <c r="E4460" s="3">
        <v>9</v>
      </c>
      <c r="F4460" s="3">
        <v>15.17</v>
      </c>
      <c r="G4460" s="3">
        <v>3</v>
      </c>
      <c r="H4460" s="3">
        <v>0</v>
      </c>
      <c r="I4460" s="3">
        <f>E4460+G4460+H4460</f>
        <v>12</v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>13</v>
      </c>
      <c r="K4460" s="3">
        <f>I4460-J4460</f>
        <v>-1</v>
      </c>
      <c r="L4460" s="3" t="str">
        <f>IF(K4460&lt;-5,"CRÍTICO",IF(K4460&lt;0,"ATENÇÃO",IF(K4460&lt;=5,"OPORTUNO","MUITO BOM")))</f>
        <v>ATENÇÃO</v>
      </c>
      <c r="M4460" s="3">
        <v>10</v>
      </c>
      <c r="N4460" s="3">
        <v>96.25</v>
      </c>
      <c r="O4460" s="3">
        <v>25.586353944562902</v>
      </c>
    </row>
    <row r="4461" spans="1:15" hidden="1" x14ac:dyDescent="0.25">
      <c r="A4461" s="10">
        <v>46164</v>
      </c>
      <c r="B4461" s="6" t="s">
        <v>60</v>
      </c>
      <c r="C4461" s="3" t="s">
        <v>23</v>
      </c>
      <c r="D4461" s="3">
        <v>15</v>
      </c>
      <c r="E4461" s="3">
        <v>14</v>
      </c>
      <c r="F4461" s="3">
        <v>12.06</v>
      </c>
      <c r="G4461" s="3">
        <v>0</v>
      </c>
      <c r="H4461" s="3">
        <v>0</v>
      </c>
      <c r="I4461" s="3">
        <f>E4461+G4461+H4461</f>
        <v>14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13</v>
      </c>
      <c r="K4461" s="3">
        <f>I4461-J4461</f>
        <v>1</v>
      </c>
      <c r="L4461" s="3" t="str">
        <f>IF(K4461&lt;-5,"CRÍTICO",IF(K4461&lt;0,"ATENÇÃO",IF(K4461&lt;=5,"OPORTUNO","MUITO BOM")))</f>
        <v>OPORTUNO</v>
      </c>
      <c r="M4461" s="3">
        <v>12</v>
      </c>
      <c r="N4461" s="3">
        <v>97.48</v>
      </c>
      <c r="O4461" s="3">
        <v>22.99465240641711</v>
      </c>
    </row>
    <row r="4462" spans="1:15" hidden="1" x14ac:dyDescent="0.25">
      <c r="A4462" s="10">
        <v>46164</v>
      </c>
      <c r="B4462" s="6" t="s">
        <v>61</v>
      </c>
      <c r="C4462" s="3" t="s">
        <v>23</v>
      </c>
      <c r="D4462" s="3">
        <v>24</v>
      </c>
      <c r="E4462" s="3">
        <v>23</v>
      </c>
      <c r="F4462" s="3">
        <v>10.35</v>
      </c>
      <c r="G4462" s="3">
        <v>0</v>
      </c>
      <c r="H4462" s="3">
        <v>0</v>
      </c>
      <c r="I4462" s="3">
        <f>E4462+G4462+H4462</f>
        <v>23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13</v>
      </c>
      <c r="K4462" s="3">
        <f>I4462-J4462</f>
        <v>10</v>
      </c>
      <c r="L4462" s="3" t="str">
        <f>IF(K4462&lt;-5,"CRÍTICO",IF(K4462&lt;0,"ATENÇÃO",IF(K4462&lt;=5,"OPORTUNO","MUITO BOM")))</f>
        <v>MUITO BOM</v>
      </c>
      <c r="M4462" s="3">
        <v>18</v>
      </c>
      <c r="N4462" s="3">
        <v>100</v>
      </c>
      <c r="O4462" s="3">
        <v>20.788530465949819</v>
      </c>
    </row>
    <row r="4463" spans="1:15" hidden="1" x14ac:dyDescent="0.25">
      <c r="A4463" s="10">
        <v>46164</v>
      </c>
      <c r="B4463" s="6" t="s">
        <v>62</v>
      </c>
      <c r="C4463" s="3" t="s">
        <v>23</v>
      </c>
      <c r="D4463" s="3">
        <v>8</v>
      </c>
      <c r="E4463" s="3">
        <v>8</v>
      </c>
      <c r="F4463" s="3">
        <v>32.369999999999997</v>
      </c>
      <c r="G4463" s="3">
        <v>0</v>
      </c>
      <c r="H4463" s="3">
        <v>0</v>
      </c>
      <c r="I4463" s="3">
        <f>E4463+G4463+H4463</f>
        <v>8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13</v>
      </c>
      <c r="K4463" s="3">
        <f>I4463-J4463</f>
        <v>-5</v>
      </c>
      <c r="L4463" s="3" t="str">
        <f>IF(K4463&lt;-5,"CRÍTICO",IF(K4463&lt;0,"ATENÇÃO",IF(K4463&lt;=5,"OPORTUNO","MUITO BOM")))</f>
        <v>ATENÇÃO</v>
      </c>
      <c r="M4463" s="3">
        <v>8</v>
      </c>
      <c r="N4463" s="3">
        <v>94.55</v>
      </c>
      <c r="O4463" s="3">
        <v>23.450134770889491</v>
      </c>
    </row>
    <row r="4464" spans="1:15" hidden="1" x14ac:dyDescent="0.25">
      <c r="A4464" s="10">
        <v>46164</v>
      </c>
      <c r="B4464" s="6" t="s">
        <v>63</v>
      </c>
      <c r="C4464" s="3" t="s">
        <v>23</v>
      </c>
      <c r="D4464" s="3">
        <v>18</v>
      </c>
      <c r="E4464" s="3">
        <v>18</v>
      </c>
      <c r="F4464" s="3">
        <v>20.45</v>
      </c>
      <c r="G4464" s="3">
        <v>2</v>
      </c>
      <c r="H4464" s="3">
        <v>0</v>
      </c>
      <c r="I4464" s="3">
        <f>E4464+G4464+H4464</f>
        <v>20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13</v>
      </c>
      <c r="K4464" s="3">
        <f>I4464-J4464</f>
        <v>7</v>
      </c>
      <c r="L4464" s="3" t="str">
        <f>IF(K4464&lt;-5,"CRÍTICO",IF(K4464&lt;0,"ATENÇÃO",IF(K4464&lt;=5,"OPORTUNO","MUITO BOM")))</f>
        <v>MUITO BOM</v>
      </c>
      <c r="M4464" s="3">
        <v>12</v>
      </c>
      <c r="N4464" s="3">
        <v>98</v>
      </c>
      <c r="O4464" s="3">
        <v>20.73490813648294</v>
      </c>
    </row>
    <row r="4465" spans="1:15" hidden="1" x14ac:dyDescent="0.25">
      <c r="A4465" s="10">
        <v>46164</v>
      </c>
      <c r="B4465" s="6" t="s">
        <v>64</v>
      </c>
      <c r="C4465" s="3" t="s">
        <v>23</v>
      </c>
      <c r="D4465" s="3">
        <v>17</v>
      </c>
      <c r="E4465" s="3">
        <v>16</v>
      </c>
      <c r="F4465" s="3">
        <v>20.55</v>
      </c>
      <c r="G4465" s="3">
        <v>1</v>
      </c>
      <c r="H4465" s="3">
        <v>0</v>
      </c>
      <c r="I4465" s="3">
        <f>E4465+G4465+H4465</f>
        <v>17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13</v>
      </c>
      <c r="K4465" s="3">
        <f>I4465-J4465</f>
        <v>4</v>
      </c>
      <c r="L4465" s="3" t="str">
        <f>IF(K4465&lt;-5,"CRÍTICO",IF(K4465&lt;0,"ATENÇÃO",IF(K4465&lt;=5,"OPORTUNO","MUITO BOM")))</f>
        <v>OPORTUNO</v>
      </c>
      <c r="M4465" s="3">
        <v>17</v>
      </c>
      <c r="N4465" s="3">
        <v>100</v>
      </c>
      <c r="O4465" s="3">
        <v>18</v>
      </c>
    </row>
    <row r="4466" spans="1:15" hidden="1" x14ac:dyDescent="0.25">
      <c r="A4466" s="11">
        <v>46167</v>
      </c>
      <c r="B4466" t="s">
        <v>59</v>
      </c>
      <c r="C4466" t="s">
        <v>23</v>
      </c>
      <c r="D4466">
        <v>25</v>
      </c>
      <c r="E4466">
        <v>24</v>
      </c>
      <c r="F4466">
        <v>15.25</v>
      </c>
      <c r="G4466">
        <v>0</v>
      </c>
      <c r="H4466">
        <v>0</v>
      </c>
      <c r="I4466" s="3">
        <v>0</v>
      </c>
      <c r="J4466" s="3">
        <v>0</v>
      </c>
      <c r="K4466" s="3">
        <v>0</v>
      </c>
      <c r="L4466" s="3" t="str">
        <f>IF(K4466&lt;-5,"CRÍTICO",IF(K4466&lt;0,"ATENÇÃO",IF(K4466&lt;=5,"OPORTUNO","MUITO BOM")))</f>
        <v>OPORTUNO</v>
      </c>
      <c r="M4466">
        <v>21</v>
      </c>
      <c r="N4466">
        <v>96.25</v>
      </c>
      <c r="O4466">
        <v>25.586353944562902</v>
      </c>
    </row>
    <row r="4467" spans="1:15" hidden="1" x14ac:dyDescent="0.25">
      <c r="A4467" s="11">
        <v>46167</v>
      </c>
      <c r="B4467" t="s">
        <v>60</v>
      </c>
      <c r="C4467" t="s">
        <v>23</v>
      </c>
      <c r="D4467">
        <v>11</v>
      </c>
      <c r="E4467">
        <v>11</v>
      </c>
      <c r="F4467">
        <v>15.57</v>
      </c>
      <c r="G4467">
        <v>0</v>
      </c>
      <c r="H4467">
        <v>0</v>
      </c>
      <c r="I4467" s="3">
        <v>0</v>
      </c>
      <c r="J4467" s="3">
        <v>0</v>
      </c>
      <c r="K4467" s="3">
        <v>0</v>
      </c>
      <c r="L4467" s="3" t="str">
        <f>IF(K4467&lt;-5,"CRÍTICO",IF(K4467&lt;0,"ATENÇÃO",IF(K4467&lt;=5,"OPORTUNO","MUITO BOM")))</f>
        <v>OPORTUNO</v>
      </c>
      <c r="M4467">
        <v>11</v>
      </c>
      <c r="N4467">
        <v>97.48</v>
      </c>
      <c r="O4467">
        <v>22.99465240641711</v>
      </c>
    </row>
    <row r="4468" spans="1:15" hidden="1" x14ac:dyDescent="0.25">
      <c r="A4468" s="11">
        <v>46167</v>
      </c>
      <c r="B4468" t="s">
        <v>61</v>
      </c>
      <c r="C4468" t="s">
        <v>23</v>
      </c>
      <c r="D4468">
        <v>28</v>
      </c>
      <c r="E4468">
        <v>25</v>
      </c>
      <c r="F4468">
        <v>13.29</v>
      </c>
      <c r="G4468">
        <v>0</v>
      </c>
      <c r="H4468">
        <v>0</v>
      </c>
      <c r="I4468" s="3">
        <v>0</v>
      </c>
      <c r="J4468" s="3">
        <v>0</v>
      </c>
      <c r="K4468" s="3">
        <v>0</v>
      </c>
      <c r="L4468" s="3" t="str">
        <f>IF(K4468&lt;-5,"CRÍTICO",IF(K4468&lt;0,"ATENÇÃO",IF(K4468&lt;=5,"OPORTUNO","MUITO BOM")))</f>
        <v>OPORTUNO</v>
      </c>
      <c r="M4468">
        <v>18</v>
      </c>
      <c r="N4468">
        <v>100</v>
      </c>
      <c r="O4468">
        <v>20.788530465949819</v>
      </c>
    </row>
    <row r="4469" spans="1:15" hidden="1" x14ac:dyDescent="0.25">
      <c r="A4469" s="11">
        <v>46167</v>
      </c>
      <c r="B4469" t="s">
        <v>62</v>
      </c>
      <c r="C4469" t="s">
        <v>23</v>
      </c>
      <c r="D4469">
        <v>14</v>
      </c>
      <c r="E4469">
        <v>14</v>
      </c>
      <c r="F4469">
        <v>28.35</v>
      </c>
      <c r="G4469">
        <v>0</v>
      </c>
      <c r="H4469">
        <v>0</v>
      </c>
      <c r="I4469" s="3">
        <v>0</v>
      </c>
      <c r="J4469" s="3">
        <v>0</v>
      </c>
      <c r="K4469" s="3">
        <v>0</v>
      </c>
      <c r="L4469" s="3" t="str">
        <f>IF(K4469&lt;-5,"CRÍTICO",IF(K4469&lt;0,"ATENÇÃO",IF(K4469&lt;=5,"OPORTUNO","MUITO BOM")))</f>
        <v>OPORTUNO</v>
      </c>
      <c r="M4469">
        <v>14</v>
      </c>
      <c r="N4469">
        <v>94.55</v>
      </c>
      <c r="O4469">
        <v>23.450134770889491</v>
      </c>
    </row>
    <row r="4470" spans="1:15" hidden="1" x14ac:dyDescent="0.25">
      <c r="A4470" s="11">
        <v>46167</v>
      </c>
      <c r="B4470" t="s">
        <v>63</v>
      </c>
      <c r="C4470" t="s">
        <v>23</v>
      </c>
      <c r="D4470">
        <v>28</v>
      </c>
      <c r="E4470">
        <v>26</v>
      </c>
      <c r="F4470">
        <v>15.04</v>
      </c>
      <c r="G4470">
        <v>0</v>
      </c>
      <c r="H4470">
        <v>0</v>
      </c>
      <c r="I4470" s="3">
        <v>0</v>
      </c>
      <c r="J4470" s="3">
        <v>0</v>
      </c>
      <c r="K4470" s="3">
        <v>0</v>
      </c>
      <c r="L4470" s="3" t="str">
        <f>IF(K4470&lt;-5,"CRÍTICO",IF(K4470&lt;0,"ATENÇÃO",IF(K4470&lt;=5,"OPORTUNO","MUITO BOM")))</f>
        <v>OPORTUNO</v>
      </c>
      <c r="M4470">
        <v>22</v>
      </c>
      <c r="N4470">
        <v>98</v>
      </c>
      <c r="O4470">
        <v>20.73490813648294</v>
      </c>
    </row>
    <row r="4471" spans="1:15" hidden="1" x14ac:dyDescent="0.25">
      <c r="A4471" s="11">
        <v>46167</v>
      </c>
      <c r="B4471" t="s">
        <v>64</v>
      </c>
      <c r="C4471" t="s">
        <v>23</v>
      </c>
      <c r="D4471">
        <v>17</v>
      </c>
      <c r="E4471">
        <v>17</v>
      </c>
      <c r="F4471">
        <v>25.3</v>
      </c>
      <c r="G4471">
        <v>0</v>
      </c>
      <c r="H4471">
        <v>0</v>
      </c>
      <c r="I4471" s="3">
        <v>0</v>
      </c>
      <c r="J4471" s="3">
        <v>0</v>
      </c>
      <c r="K4471" s="3">
        <v>0</v>
      </c>
      <c r="L4471" s="3" t="str">
        <f>IF(K4471&lt;-5,"CRÍTICO",IF(K4471&lt;0,"ATENÇÃO",IF(K4471&lt;=5,"OPORTUNO","MUITO BOM")))</f>
        <v>OPORTUNO</v>
      </c>
      <c r="M4471">
        <v>18</v>
      </c>
      <c r="N4471">
        <v>100</v>
      </c>
      <c r="O4471">
        <v>18</v>
      </c>
    </row>
    <row r="4472" spans="1:15" hidden="1" x14ac:dyDescent="0.25">
      <c r="A4472" s="11">
        <v>46140</v>
      </c>
      <c r="B4472" t="s">
        <v>22</v>
      </c>
      <c r="C4472" t="s">
        <v>23</v>
      </c>
      <c r="D4472">
        <v>9</v>
      </c>
      <c r="E4472">
        <v>5</v>
      </c>
      <c r="F4472">
        <v>10.29</v>
      </c>
      <c r="G4472">
        <v>0</v>
      </c>
      <c r="H4472">
        <v>0</v>
      </c>
      <c r="I4472" s="3">
        <f>E4472+G4472+H4472</f>
        <v>5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22</v>
      </c>
      <c r="K4472" s="3">
        <f>I4472-J4472</f>
        <v>-17</v>
      </c>
      <c r="L4472" s="3" t="str">
        <f>IF(K4472&lt;-5,"CRÍTICO",IF(K4472&lt;0,"ATENÇÃO",IF(K4472&lt;=5,"OPORTUNO","MUITO BOM")))</f>
        <v>CRÍTICO</v>
      </c>
      <c r="M4472">
        <v>39</v>
      </c>
      <c r="N4472">
        <v>99.28</v>
      </c>
      <c r="O4472">
        <v>27.689243027888441</v>
      </c>
    </row>
    <row r="4473" spans="1:15" hidden="1" x14ac:dyDescent="0.25">
      <c r="A4473" s="11">
        <v>46141</v>
      </c>
      <c r="B4473" t="s">
        <v>22</v>
      </c>
      <c r="C4473" t="s">
        <v>23</v>
      </c>
      <c r="D4473">
        <v>0</v>
      </c>
      <c r="E4473">
        <v>0</v>
      </c>
      <c r="F4473">
        <v>0</v>
      </c>
      <c r="G4473">
        <v>0</v>
      </c>
      <c r="H4473">
        <v>0</v>
      </c>
      <c r="I4473" s="3">
        <v>0</v>
      </c>
      <c r="J4473" s="3">
        <v>0</v>
      </c>
      <c r="K4473" s="3">
        <v>0</v>
      </c>
      <c r="L4473" s="3" t="str">
        <f>IF(K4473&lt;-5,"CRÍTICO",IF(K4473&lt;0,"ATENÇÃO",IF(K4473&lt;=5,"OPORTUNO","MUITO BOM")))</f>
        <v>OPORTUNO</v>
      </c>
      <c r="M4473">
        <v>54</v>
      </c>
      <c r="N4473">
        <v>99.28</v>
      </c>
      <c r="O4473">
        <v>27.689243027888441</v>
      </c>
    </row>
    <row r="4474" spans="1:15" hidden="1" x14ac:dyDescent="0.25">
      <c r="A4474" s="11">
        <v>46142</v>
      </c>
      <c r="B4474" t="s">
        <v>22</v>
      </c>
      <c r="C4474" t="s">
        <v>23</v>
      </c>
      <c r="D4474">
        <v>3</v>
      </c>
      <c r="E4474">
        <v>3</v>
      </c>
      <c r="F4474">
        <v>15.05</v>
      </c>
      <c r="G4474">
        <v>0</v>
      </c>
      <c r="H4474">
        <v>0</v>
      </c>
      <c r="I4474" s="3">
        <f>E4474+G4474+H4474</f>
        <v>3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21</v>
      </c>
      <c r="K4474" s="3">
        <f>I4474-J4474</f>
        <v>-18</v>
      </c>
      <c r="L4474" s="3" t="str">
        <f>IF(K4474&lt;-5,"CRÍTICO",IF(K4474&lt;0,"ATENÇÃO",IF(K4474&lt;=5,"OPORTUNO","MUITO BOM")))</f>
        <v>CRÍTICO</v>
      </c>
      <c r="M4474">
        <v>24</v>
      </c>
      <c r="N4474">
        <v>99.28</v>
      </c>
      <c r="O4474">
        <v>27.689243027888441</v>
      </c>
    </row>
    <row r="4475" spans="1:15" hidden="1" x14ac:dyDescent="0.25">
      <c r="A4475" s="5">
        <v>46146</v>
      </c>
      <c r="B4475" s="6" t="s">
        <v>22</v>
      </c>
      <c r="C4475" s="3" t="s">
        <v>23</v>
      </c>
      <c r="D4475" s="3">
        <v>24</v>
      </c>
      <c r="E4475" s="3">
        <v>20</v>
      </c>
      <c r="F4475" s="3">
        <v>21.45</v>
      </c>
      <c r="G4475" s="3">
        <v>7</v>
      </c>
      <c r="H4475" s="3">
        <v>0</v>
      </c>
      <c r="I4475" s="3">
        <f>E4475+G4475+H4475</f>
        <v>27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23</v>
      </c>
      <c r="K4475" s="3">
        <f>I4475-J4475</f>
        <v>4</v>
      </c>
      <c r="L4475" s="3" t="str">
        <f>IF(K4475&lt;-5,"CRÍTICO",IF(K4475&lt;0,"ATENÇÃO",IF(K4475&lt;=5,"OPORTUNO","MUITO BOM")))</f>
        <v>OPORTUNO</v>
      </c>
      <c r="M4475" s="9">
        <v>22</v>
      </c>
      <c r="N4475" s="9">
        <v>99.06</v>
      </c>
      <c r="O4475" s="9">
        <v>19.417475728155338</v>
      </c>
    </row>
    <row r="4476" spans="1:15" hidden="1" x14ac:dyDescent="0.25">
      <c r="A4476" s="5">
        <v>46147</v>
      </c>
      <c r="B4476" s="6" t="s">
        <v>22</v>
      </c>
      <c r="C4476" s="3" t="s">
        <v>23</v>
      </c>
      <c r="D4476" s="3">
        <v>13</v>
      </c>
      <c r="E4476" s="3">
        <v>12</v>
      </c>
      <c r="F4476" s="3">
        <v>17.149999999999999</v>
      </c>
      <c r="G4476" s="3">
        <v>9</v>
      </c>
      <c r="H4476" s="3">
        <v>0</v>
      </c>
      <c r="I4476" s="3">
        <f>E4476+G4476+H4476</f>
        <v>21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23</v>
      </c>
      <c r="K4476" s="3">
        <f>I4476-J4476</f>
        <v>-2</v>
      </c>
      <c r="L4476" s="3" t="str">
        <f>IF(K4476&lt;-5,"CRÍTICO",IF(K4476&lt;0,"ATENÇÃO",IF(K4476&lt;=5,"OPORTUNO","MUITO BOM")))</f>
        <v>ATENÇÃO</v>
      </c>
      <c r="M4476" s="3">
        <v>12</v>
      </c>
      <c r="N4476" s="3">
        <v>99.06</v>
      </c>
      <c r="O4476" s="3">
        <v>19.417475728155338</v>
      </c>
    </row>
    <row r="4477" spans="1:15" hidden="1" x14ac:dyDescent="0.25">
      <c r="A4477" s="5">
        <v>46148</v>
      </c>
      <c r="B4477" s="6" t="s">
        <v>22</v>
      </c>
      <c r="C4477" s="3" t="s">
        <v>23</v>
      </c>
      <c r="D4477" s="3">
        <v>23</v>
      </c>
      <c r="E4477" s="3">
        <v>22</v>
      </c>
      <c r="F4477">
        <v>20.21</v>
      </c>
      <c r="G4477" s="3">
        <v>9</v>
      </c>
      <c r="H4477" s="3">
        <v>0</v>
      </c>
      <c r="I4477" s="3">
        <f>E4477+G4477+H4477</f>
        <v>31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23</v>
      </c>
      <c r="K4477" s="3">
        <f>I4477-J4477</f>
        <v>8</v>
      </c>
      <c r="L4477" s="3" t="str">
        <f>IF(K4477&lt;-5,"CRÍTICO",IF(K4477&lt;0,"ATENÇÃO",IF(K4477&lt;=5,"OPORTUNO","MUITO BOM")))</f>
        <v>MUITO BOM</v>
      </c>
      <c r="M4477" s="3">
        <v>24</v>
      </c>
      <c r="N4477" s="3">
        <v>99.06</v>
      </c>
      <c r="O4477" s="3">
        <v>19.417475728155338</v>
      </c>
    </row>
    <row r="4478" spans="1:15" hidden="1" x14ac:dyDescent="0.25">
      <c r="A4478" s="5">
        <v>46149</v>
      </c>
      <c r="B4478" s="6" t="s">
        <v>22</v>
      </c>
      <c r="C4478" s="3" t="s">
        <v>23</v>
      </c>
      <c r="D4478" s="3">
        <v>26</v>
      </c>
      <c r="E4478" s="3">
        <v>26</v>
      </c>
      <c r="F4478">
        <v>18.46</v>
      </c>
      <c r="G4478" s="3">
        <v>2</v>
      </c>
      <c r="H4478" s="3">
        <v>0</v>
      </c>
      <c r="I4478" s="3">
        <f>E4478+G4478+H4478</f>
        <v>28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22</v>
      </c>
      <c r="K4478" s="3">
        <f>I4478-J4478</f>
        <v>6</v>
      </c>
      <c r="L4478" s="3" t="str">
        <f>IF(K4478&lt;-5,"CRÍTICO",IF(K4478&lt;0,"ATENÇÃO",IF(K4478&lt;=5,"OPORTUNO","MUITO BOM")))</f>
        <v>MUITO BOM</v>
      </c>
      <c r="M4478" s="3">
        <v>24</v>
      </c>
      <c r="N4478" s="3">
        <v>99.06</v>
      </c>
      <c r="O4478" s="3">
        <v>19.417475728155338</v>
      </c>
    </row>
    <row r="4479" spans="1:15" hidden="1" x14ac:dyDescent="0.25">
      <c r="A4479" s="5">
        <v>46150</v>
      </c>
      <c r="B4479" s="6" t="s">
        <v>22</v>
      </c>
      <c r="C4479" s="3" t="s">
        <v>23</v>
      </c>
      <c r="D4479" s="3">
        <v>0</v>
      </c>
      <c r="E4479" s="3">
        <v>0</v>
      </c>
      <c r="F4479" s="3">
        <v>0</v>
      </c>
      <c r="G4479" s="3">
        <v>0</v>
      </c>
      <c r="H4479" s="3">
        <v>0</v>
      </c>
      <c r="I4479" s="3">
        <v>0</v>
      </c>
      <c r="J4479" s="3">
        <v>0</v>
      </c>
      <c r="K4479" s="3">
        <v>0</v>
      </c>
      <c r="L4479" s="3" t="str">
        <f>IF(K4479&lt;-5,"CRÍTICO",IF(K4479&lt;0,"ATENÇÃO",IF(K4479&lt;=5,"OPORTUNO","MUITO BOM")))</f>
        <v>OPORTUNO</v>
      </c>
      <c r="M4479" s="9">
        <v>0</v>
      </c>
      <c r="N4479" s="9">
        <v>99.06</v>
      </c>
      <c r="O4479" s="9">
        <v>19.417475728155338</v>
      </c>
    </row>
    <row r="4480" spans="1:15" hidden="1" x14ac:dyDescent="0.25">
      <c r="A4480" s="5">
        <v>46153</v>
      </c>
      <c r="B4480" s="6" t="s">
        <v>22</v>
      </c>
      <c r="C4480" s="3" t="s">
        <v>23</v>
      </c>
      <c r="D4480" s="3">
        <v>25</v>
      </c>
      <c r="E4480" s="3">
        <v>22</v>
      </c>
      <c r="F4480">
        <v>17.3</v>
      </c>
      <c r="G4480" s="3">
        <v>5</v>
      </c>
      <c r="H4480" s="3">
        <v>0</v>
      </c>
      <c r="I4480" s="3">
        <f>E4480+G4480+H4480</f>
        <v>27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20</v>
      </c>
      <c r="K4480" s="3">
        <f>I4480-J4480</f>
        <v>7</v>
      </c>
      <c r="L4480" s="3" t="str">
        <f>IF(K4480&lt;-5,"CRÍTICO",IF(K4480&lt;0,"ATENÇÃO",IF(K4480&lt;=5,"OPORTUNO","MUITO BOM")))</f>
        <v>MUITO BOM</v>
      </c>
      <c r="M4480">
        <v>23</v>
      </c>
      <c r="N4480">
        <v>99.06</v>
      </c>
      <c r="O4480">
        <v>19.417475728155338</v>
      </c>
    </row>
    <row r="4481" spans="1:15" hidden="1" x14ac:dyDescent="0.25">
      <c r="A4481" s="5">
        <v>46154</v>
      </c>
      <c r="B4481" s="6" t="s">
        <v>22</v>
      </c>
      <c r="C4481" s="3" t="s">
        <v>23</v>
      </c>
      <c r="D4481" s="3">
        <v>17</v>
      </c>
      <c r="E4481" s="3">
        <v>17</v>
      </c>
      <c r="F4481">
        <v>17.170000000000002</v>
      </c>
      <c r="G4481" s="3"/>
      <c r="H4481" s="3">
        <v>7</v>
      </c>
      <c r="I4481" s="3">
        <f>E4481+G4481+H4481</f>
        <v>24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21</v>
      </c>
      <c r="K4481" s="3">
        <f>I4481-J4481</f>
        <v>3</v>
      </c>
      <c r="L4481" s="3" t="str">
        <f>IF(K4481&lt;-5,"CRÍTICO",IF(K4481&lt;0,"ATENÇÃO",IF(K4481&lt;=5,"OPORTUNO","MUITO BOM")))</f>
        <v>OPORTUNO</v>
      </c>
      <c r="M4481">
        <v>24</v>
      </c>
      <c r="N4481">
        <v>99.06</v>
      </c>
      <c r="O4481">
        <v>19.417475728155338</v>
      </c>
    </row>
    <row r="4482" spans="1:15" hidden="1" x14ac:dyDescent="0.25">
      <c r="A4482" s="5">
        <v>46155</v>
      </c>
      <c r="B4482" s="6" t="s">
        <v>22</v>
      </c>
      <c r="C4482" s="3" t="s">
        <v>23</v>
      </c>
      <c r="D4482" s="3">
        <v>20</v>
      </c>
      <c r="E4482" s="3">
        <v>16</v>
      </c>
      <c r="F4482">
        <v>23.26</v>
      </c>
      <c r="G4482" s="3">
        <v>11</v>
      </c>
      <c r="H4482" s="3">
        <v>7</v>
      </c>
      <c r="I4482" s="3">
        <f>E4482+G4482+H4482</f>
        <v>34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19</v>
      </c>
      <c r="K4482" s="3">
        <f>I4482-J4482</f>
        <v>15</v>
      </c>
      <c r="L4482" s="3" t="str">
        <f>IF(K4482&lt;-5,"CRÍTICO",IF(K4482&lt;0,"ATENÇÃO",IF(K4482&lt;=5,"OPORTUNO","MUITO BOM")))</f>
        <v>MUITO BOM</v>
      </c>
      <c r="M4482">
        <v>18</v>
      </c>
      <c r="N4482">
        <v>99.06</v>
      </c>
      <c r="O4482">
        <v>19.417475728155338</v>
      </c>
    </row>
    <row r="4483" spans="1:15" hidden="1" x14ac:dyDescent="0.25">
      <c r="A4483" s="5">
        <v>46156</v>
      </c>
      <c r="B4483" s="6" t="s">
        <v>22</v>
      </c>
      <c r="C4483" s="3" t="s">
        <v>23</v>
      </c>
      <c r="D4483" s="3">
        <v>19</v>
      </c>
      <c r="E4483" s="3">
        <v>18</v>
      </c>
      <c r="F4483">
        <v>22.29</v>
      </c>
      <c r="G4483" s="3">
        <v>0</v>
      </c>
      <c r="H4483" s="3">
        <v>5</v>
      </c>
      <c r="I4483" s="3">
        <f>E4483+G4483+H4483</f>
        <v>23</v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>19</v>
      </c>
      <c r="K4483" s="3">
        <f>I4483-J4483</f>
        <v>4</v>
      </c>
      <c r="L4483" s="3" t="str">
        <f>IF(K4483&lt;-5,"CRÍTICO",IF(K4483&lt;0,"ATENÇÃO",IF(K4483&lt;=5,"OPORTUNO","MUITO BOM")))</f>
        <v>OPORTUNO</v>
      </c>
      <c r="M4483">
        <v>23</v>
      </c>
      <c r="N4483">
        <v>99.06</v>
      </c>
      <c r="O4483">
        <v>19.417475728155338</v>
      </c>
    </row>
    <row r="4484" spans="1:15" hidden="1" x14ac:dyDescent="0.25">
      <c r="A4484" s="5">
        <v>46157</v>
      </c>
      <c r="B4484" s="6" t="s">
        <v>22</v>
      </c>
      <c r="C4484" s="3" t="s">
        <v>23</v>
      </c>
      <c r="D4484" s="3">
        <v>19</v>
      </c>
      <c r="E4484" s="3">
        <v>16</v>
      </c>
      <c r="F4484">
        <v>16.559999999999999</v>
      </c>
      <c r="G4484" s="3">
        <v>6</v>
      </c>
      <c r="H4484" s="3">
        <v>1</v>
      </c>
      <c r="I4484" s="3">
        <f>E4484+G4484+H4484</f>
        <v>23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19</v>
      </c>
      <c r="K4484" s="3">
        <f>I4484-J4484</f>
        <v>4</v>
      </c>
      <c r="L4484" s="3" t="str">
        <f>IF(K4484&lt;-5,"CRÍTICO",IF(K4484&lt;0,"ATENÇÃO",IF(K4484&lt;=5,"OPORTUNO","MUITO BOM")))</f>
        <v>OPORTUNO</v>
      </c>
      <c r="M4484">
        <v>15</v>
      </c>
      <c r="N4484">
        <v>99.06</v>
      </c>
      <c r="O4484">
        <v>19.417475728155338</v>
      </c>
    </row>
    <row r="4485" spans="1:15" hidden="1" x14ac:dyDescent="0.25">
      <c r="A4485" s="5">
        <v>46160</v>
      </c>
      <c r="B4485" s="6" t="s">
        <v>22</v>
      </c>
      <c r="C4485" s="3" t="s">
        <v>23</v>
      </c>
      <c r="D4485" s="3">
        <v>21</v>
      </c>
      <c r="E4485" s="3">
        <v>18</v>
      </c>
      <c r="F4485">
        <v>20.22</v>
      </c>
      <c r="G4485" s="3">
        <v>6</v>
      </c>
      <c r="H4485" s="3">
        <v>1</v>
      </c>
      <c r="I4485" s="3">
        <f>E4485+G4485+H4485</f>
        <v>25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17</v>
      </c>
      <c r="K4485" s="3">
        <f>I4485-J4485</f>
        <v>8</v>
      </c>
      <c r="L4485" s="3" t="str">
        <f>IF(K4485&lt;-5,"CRÍTICO",IF(K4485&lt;0,"ATENÇÃO",IF(K4485&lt;=5,"OPORTUNO","MUITO BOM")))</f>
        <v>MUITO BOM</v>
      </c>
      <c r="M4485">
        <v>18</v>
      </c>
      <c r="N4485">
        <v>99.06</v>
      </c>
      <c r="O4485">
        <v>19.417475728155338</v>
      </c>
    </row>
    <row r="4486" spans="1:15" hidden="1" x14ac:dyDescent="0.25">
      <c r="A4486" s="7">
        <v>46161</v>
      </c>
      <c r="B4486" s="8" t="s">
        <v>22</v>
      </c>
      <c r="C4486" s="9" t="s">
        <v>23</v>
      </c>
      <c r="D4486" s="3">
        <v>19</v>
      </c>
      <c r="E4486" s="3">
        <v>18</v>
      </c>
      <c r="F4486">
        <v>21.58</v>
      </c>
      <c r="G4486" s="3">
        <v>3</v>
      </c>
      <c r="H4486" s="3">
        <v>3</v>
      </c>
      <c r="I4486" s="3">
        <f>E4486+G4486+H4486</f>
        <v>24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19</v>
      </c>
      <c r="K4486" s="3">
        <f>I4486-J4486</f>
        <v>5</v>
      </c>
      <c r="L4486" s="3" t="str">
        <f>IF(K4486&lt;-5,"CRÍTICO",IF(K4486&lt;0,"ATENÇÃO",IF(K4486&lt;=5,"OPORTUNO","MUITO BOM")))</f>
        <v>OPORTUNO</v>
      </c>
      <c r="M4486">
        <v>20</v>
      </c>
      <c r="N4486">
        <v>99.06</v>
      </c>
      <c r="O4486">
        <v>19.417475728155338</v>
      </c>
    </row>
    <row r="4487" spans="1:15" hidden="1" x14ac:dyDescent="0.25">
      <c r="A4487" s="7">
        <v>46162</v>
      </c>
      <c r="B4487" s="8" t="s">
        <v>22</v>
      </c>
      <c r="C4487" s="9" t="s">
        <v>23</v>
      </c>
      <c r="D4487" s="3">
        <v>26</v>
      </c>
      <c r="E4487" s="3">
        <v>20</v>
      </c>
      <c r="F4487" s="3">
        <v>15.09</v>
      </c>
      <c r="G4487" s="3">
        <v>5</v>
      </c>
      <c r="H4487" s="3">
        <v>2</v>
      </c>
      <c r="I4487" s="3">
        <f>E4487+G4487+H4487</f>
        <v>27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17</v>
      </c>
      <c r="K4487" s="3">
        <f>I4487-J4487</f>
        <v>10</v>
      </c>
      <c r="L4487" s="3" t="str">
        <f>IF(K4487&lt;-5,"CRÍTICO",IF(K4487&lt;0,"ATENÇÃO",IF(K4487&lt;=5,"OPORTUNO","MUITO BOM")))</f>
        <v>MUITO BOM</v>
      </c>
      <c r="M4487" s="9">
        <v>21</v>
      </c>
      <c r="N4487" s="9">
        <v>99.06</v>
      </c>
      <c r="O4487" s="9">
        <v>19.417475728155338</v>
      </c>
    </row>
    <row r="4488" spans="1:15" hidden="1" x14ac:dyDescent="0.25">
      <c r="A4488" s="5">
        <v>46163</v>
      </c>
      <c r="B4488" s="6" t="s">
        <v>22</v>
      </c>
      <c r="C4488" s="3" t="s">
        <v>23</v>
      </c>
      <c r="D4488" s="3">
        <v>16</v>
      </c>
      <c r="E4488" s="3">
        <v>15</v>
      </c>
      <c r="F4488" s="3">
        <v>25.07</v>
      </c>
      <c r="G4488" s="3">
        <v>3</v>
      </c>
      <c r="H4488" s="3">
        <v>0</v>
      </c>
      <c r="I4488" s="3">
        <f>E4488+G4488+H4488</f>
        <v>18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15</v>
      </c>
      <c r="K4488" s="3">
        <f>I4488-J4488</f>
        <v>3</v>
      </c>
      <c r="L4488" s="3" t="str">
        <f>IF(K4488&lt;-5,"CRÍTICO",IF(K4488&lt;0,"ATENÇÃO",IF(K4488&lt;=5,"OPORTUNO","MUITO BOM")))</f>
        <v>OPORTUNO</v>
      </c>
      <c r="M4488" s="3">
        <v>15</v>
      </c>
      <c r="N4488" s="3">
        <v>99.06</v>
      </c>
      <c r="O4488" s="3">
        <v>19.417475728155338</v>
      </c>
    </row>
    <row r="4489" spans="1:15" hidden="1" x14ac:dyDescent="0.25">
      <c r="A4489" s="11">
        <v>46140</v>
      </c>
      <c r="B4489" t="s">
        <v>59</v>
      </c>
      <c r="C4489" t="s">
        <v>23</v>
      </c>
      <c r="D4489">
        <v>26</v>
      </c>
      <c r="E4489">
        <v>24</v>
      </c>
      <c r="F4489">
        <v>19.190000000000001</v>
      </c>
      <c r="G4489">
        <v>0</v>
      </c>
      <c r="H4489">
        <v>0</v>
      </c>
      <c r="I4489" s="3">
        <f>E4489+G4489+H4489</f>
        <v>24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22</v>
      </c>
      <c r="K4489" s="3">
        <f>I4489-J4489</f>
        <v>2</v>
      </c>
      <c r="L4489" s="3" t="str">
        <f>IF(K4489&lt;-5,"CRÍTICO",IF(K4489&lt;0,"ATENÇÃO",IF(K4489&lt;=5,"OPORTUNO","MUITO BOM")))</f>
        <v>OPORTUNO</v>
      </c>
      <c r="M4489">
        <v>22</v>
      </c>
      <c r="N4489">
        <v>99.32</v>
      </c>
      <c r="O4489">
        <v>30.648330058939099</v>
      </c>
    </row>
    <row r="4490" spans="1:15" hidden="1" x14ac:dyDescent="0.25">
      <c r="A4490" s="11">
        <v>46140</v>
      </c>
      <c r="B4490" t="s">
        <v>60</v>
      </c>
      <c r="C4490" t="s">
        <v>23</v>
      </c>
      <c r="D4490">
        <v>27</v>
      </c>
      <c r="E4490">
        <v>26</v>
      </c>
      <c r="F4490">
        <v>15.4</v>
      </c>
      <c r="G4490">
        <v>0</v>
      </c>
      <c r="H4490">
        <v>0</v>
      </c>
      <c r="I4490" s="3">
        <f>E4490+G4490+H4490</f>
        <v>26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22</v>
      </c>
      <c r="K4490" s="3">
        <f>I4490-J4490</f>
        <v>4</v>
      </c>
      <c r="L4490" s="3" t="str">
        <f>IF(K4490&lt;-5,"CRÍTICO",IF(K4490&lt;0,"ATENÇÃO",IF(K4490&lt;=5,"OPORTUNO","MUITO BOM")))</f>
        <v>OPORTUNO</v>
      </c>
      <c r="M4490">
        <v>25</v>
      </c>
      <c r="N4490">
        <v>96.3</v>
      </c>
      <c r="O4490">
        <v>32.219570405727922</v>
      </c>
    </row>
    <row r="4491" spans="1:15" hidden="1" x14ac:dyDescent="0.25">
      <c r="A4491" s="11">
        <v>46140</v>
      </c>
      <c r="B4491" t="s">
        <v>61</v>
      </c>
      <c r="C4491" t="s">
        <v>23</v>
      </c>
      <c r="D4491">
        <v>17</v>
      </c>
      <c r="E4491">
        <v>17</v>
      </c>
      <c r="F4491">
        <v>17.23</v>
      </c>
      <c r="G4491">
        <v>0</v>
      </c>
      <c r="H4491">
        <v>0</v>
      </c>
      <c r="I4491" s="3">
        <f>E4491+G4491+H4491</f>
        <v>17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22</v>
      </c>
      <c r="K4491" s="3">
        <f>I4491-J4491</f>
        <v>-5</v>
      </c>
      <c r="L4491" s="3" t="str">
        <f>IF(K4491&lt;-5,"CRÍTICO",IF(K4491&lt;0,"ATENÇÃO",IF(K4491&lt;=5,"OPORTUNO","MUITO BOM")))</f>
        <v>ATENÇÃO</v>
      </c>
      <c r="M4491">
        <v>15</v>
      </c>
      <c r="N4491">
        <v>100</v>
      </c>
      <c r="O4491">
        <v>36.594202898550733</v>
      </c>
    </row>
    <row r="4492" spans="1:15" hidden="1" x14ac:dyDescent="0.25">
      <c r="A4492" s="10">
        <v>46164</v>
      </c>
      <c r="B4492" s="6" t="s">
        <v>22</v>
      </c>
      <c r="C4492" s="3" t="s">
        <v>23</v>
      </c>
      <c r="D4492" s="3">
        <v>8</v>
      </c>
      <c r="E4492" s="3">
        <v>7</v>
      </c>
      <c r="F4492" s="3">
        <v>18.34</v>
      </c>
      <c r="G4492" s="3">
        <v>0</v>
      </c>
      <c r="H4492" s="3">
        <v>0</v>
      </c>
      <c r="I4492" s="3">
        <f>E4492+G4492+H4492</f>
        <v>7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13</v>
      </c>
      <c r="K4492" s="3">
        <f>I4492-J4492</f>
        <v>-6</v>
      </c>
      <c r="L4492" s="3" t="str">
        <f>IF(K4492&lt;-5,"CRÍTICO",IF(K4492&lt;0,"ATENÇÃO",IF(K4492&lt;=5,"OPORTUNO","MUITO BOM")))</f>
        <v>CRÍTICO</v>
      </c>
      <c r="M4492" s="3">
        <v>7</v>
      </c>
      <c r="N4492" s="3">
        <v>99.06</v>
      </c>
      <c r="O4492" s="3">
        <v>19.417475728155338</v>
      </c>
    </row>
    <row r="4493" spans="1:15" hidden="1" x14ac:dyDescent="0.25">
      <c r="A4493" s="11">
        <v>46140</v>
      </c>
      <c r="B4493" t="s">
        <v>62</v>
      </c>
      <c r="C4493" t="s">
        <v>23</v>
      </c>
      <c r="D4493">
        <v>20</v>
      </c>
      <c r="E4493">
        <v>19</v>
      </c>
      <c r="F4493">
        <v>20.09</v>
      </c>
      <c r="G4493">
        <v>0</v>
      </c>
      <c r="H4493">
        <v>0</v>
      </c>
      <c r="I4493" s="3">
        <f>E4493+G4493+H4493</f>
        <v>19</v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22</v>
      </c>
      <c r="K4493" s="3">
        <f>I4493-J4493</f>
        <v>-3</v>
      </c>
      <c r="L4493" s="3" t="str">
        <f>IF(K4493&lt;-5,"CRÍTICO",IF(K4493&lt;0,"ATENÇÃO",IF(K4493&lt;=5,"OPORTUNO","MUITO BOM")))</f>
        <v>ATENÇÃO</v>
      </c>
      <c r="M4493">
        <v>18</v>
      </c>
      <c r="N4493">
        <v>97.37</v>
      </c>
      <c r="O4493">
        <v>25.76530612244898</v>
      </c>
    </row>
    <row r="4494" spans="1:15" hidden="1" x14ac:dyDescent="0.25">
      <c r="A4494" s="11">
        <v>46140</v>
      </c>
      <c r="B4494" t="s">
        <v>63</v>
      </c>
      <c r="C4494" t="s">
        <v>23</v>
      </c>
      <c r="D4494">
        <v>36</v>
      </c>
      <c r="E4494">
        <v>30</v>
      </c>
      <c r="F4494">
        <v>13.43</v>
      </c>
      <c r="G4494">
        <v>0</v>
      </c>
      <c r="H4494">
        <v>0</v>
      </c>
      <c r="I4494" s="3">
        <f>E4494+G4494+H4494</f>
        <v>30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22</v>
      </c>
      <c r="K4494" s="3">
        <f>I4494-J4494</f>
        <v>8</v>
      </c>
      <c r="L4494" s="3" t="str">
        <f>IF(K4494&lt;-5,"CRÍTICO",IF(K4494&lt;0,"ATENÇÃO",IF(K4494&lt;=5,"OPORTUNO","MUITO BOM")))</f>
        <v>MUITO BOM</v>
      </c>
      <c r="M4494">
        <v>26</v>
      </c>
      <c r="N4494">
        <v>98.32</v>
      </c>
      <c r="O4494">
        <v>26.858513189448441</v>
      </c>
    </row>
    <row r="4495" spans="1:15" hidden="1" x14ac:dyDescent="0.25">
      <c r="A4495" s="11">
        <v>46140</v>
      </c>
      <c r="B4495" t="s">
        <v>64</v>
      </c>
      <c r="C4495" t="s">
        <v>23</v>
      </c>
      <c r="D4495">
        <v>25</v>
      </c>
      <c r="E4495">
        <v>25</v>
      </c>
      <c r="F4495">
        <v>20.47</v>
      </c>
      <c r="G4495">
        <v>0</v>
      </c>
      <c r="H4495">
        <v>0</v>
      </c>
      <c r="I4495" s="3">
        <f>E4495+G4495+H4495</f>
        <v>25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22</v>
      </c>
      <c r="K4495" s="3">
        <f>I4495-J4495</f>
        <v>3</v>
      </c>
      <c r="L4495" s="3" t="str">
        <f>IF(K4495&lt;-5,"CRÍTICO",IF(K4495&lt;0,"ATENÇÃO",IF(K4495&lt;=5,"OPORTUNO","MUITO BOM")))</f>
        <v>OPORTUNO</v>
      </c>
      <c r="M4495">
        <v>23</v>
      </c>
      <c r="N4495">
        <v>100</v>
      </c>
      <c r="O4495">
        <v>26.36986301369863</v>
      </c>
    </row>
    <row r="4496" spans="1:15" hidden="1" x14ac:dyDescent="0.25">
      <c r="A4496" s="11">
        <v>46141</v>
      </c>
      <c r="B4496" t="s">
        <v>59</v>
      </c>
      <c r="C4496" t="s">
        <v>23</v>
      </c>
      <c r="D4496">
        <v>33</v>
      </c>
      <c r="E4496">
        <v>29</v>
      </c>
      <c r="F4496">
        <v>20.25</v>
      </c>
      <c r="G4496">
        <v>0</v>
      </c>
      <c r="H4496">
        <v>0</v>
      </c>
      <c r="I4496" s="3">
        <f>E4496+G4496+H4496</f>
        <v>29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23</v>
      </c>
      <c r="K4496" s="3">
        <f>I4496-J4496</f>
        <v>6</v>
      </c>
      <c r="L4496" s="3" t="str">
        <f>IF(K4496&lt;-5,"CRÍTICO",IF(K4496&lt;0,"ATENÇÃO",IF(K4496&lt;=5,"OPORTUNO","MUITO BOM")))</f>
        <v>MUITO BOM</v>
      </c>
      <c r="M4496">
        <v>28</v>
      </c>
      <c r="N4496">
        <v>99.32</v>
      </c>
      <c r="O4496">
        <v>30.648330058939099</v>
      </c>
    </row>
    <row r="4497" spans="1:15" hidden="1" x14ac:dyDescent="0.25">
      <c r="A4497" s="11">
        <v>46141</v>
      </c>
      <c r="B4497" t="s">
        <v>60</v>
      </c>
      <c r="C4497" t="s">
        <v>23</v>
      </c>
      <c r="D4497">
        <v>51</v>
      </c>
      <c r="E4497">
        <v>13</v>
      </c>
      <c r="F4497">
        <v>3.26</v>
      </c>
      <c r="G4497">
        <v>0</v>
      </c>
      <c r="H4497">
        <v>0</v>
      </c>
      <c r="I4497" s="3">
        <f>E4497+G4497+H4497</f>
        <v>13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23</v>
      </c>
      <c r="K4497" s="3">
        <f>I4497-J4497</f>
        <v>-10</v>
      </c>
      <c r="L4497" s="3" t="str">
        <f>IF(K4497&lt;-5,"CRÍTICO",IF(K4497&lt;0,"ATENÇÃO",IF(K4497&lt;=5,"OPORTUNO","MUITO BOM")))</f>
        <v>CRÍTICO</v>
      </c>
      <c r="M4497">
        <v>19</v>
      </c>
      <c r="N4497">
        <v>96.3</v>
      </c>
      <c r="O4497">
        <v>32.219570405727922</v>
      </c>
    </row>
    <row r="4498" spans="1:15" hidden="1" x14ac:dyDescent="0.25">
      <c r="A4498" s="11">
        <v>46141</v>
      </c>
      <c r="B4498" t="s">
        <v>61</v>
      </c>
      <c r="C4498" t="s">
        <v>23</v>
      </c>
      <c r="D4498">
        <v>29</v>
      </c>
      <c r="E4498">
        <v>28</v>
      </c>
      <c r="F4498">
        <v>18.510000000000002</v>
      </c>
      <c r="G4498">
        <v>0</v>
      </c>
      <c r="H4498">
        <v>0</v>
      </c>
      <c r="I4498" s="3">
        <f>E4498+G4498+H4498</f>
        <v>28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23</v>
      </c>
      <c r="K4498" s="3">
        <f>I4498-J4498</f>
        <v>5</v>
      </c>
      <c r="L4498" s="3" t="str">
        <f>IF(K4498&lt;-5,"CRÍTICO",IF(K4498&lt;0,"ATENÇÃO",IF(K4498&lt;=5,"OPORTUNO","MUITO BOM")))</f>
        <v>OPORTUNO</v>
      </c>
      <c r="M4498">
        <v>22</v>
      </c>
      <c r="N4498">
        <v>100</v>
      </c>
      <c r="O4498">
        <v>36.594202898550733</v>
      </c>
    </row>
    <row r="4499" spans="1:15" hidden="1" x14ac:dyDescent="0.25">
      <c r="A4499" s="11">
        <v>46141</v>
      </c>
      <c r="B4499" t="s">
        <v>62</v>
      </c>
      <c r="C4499" t="s">
        <v>23</v>
      </c>
      <c r="D4499">
        <v>20</v>
      </c>
      <c r="E4499">
        <v>18</v>
      </c>
      <c r="F4499">
        <v>20.37</v>
      </c>
      <c r="G4499">
        <v>0</v>
      </c>
      <c r="H4499">
        <v>0</v>
      </c>
      <c r="I4499" s="3">
        <f>E4499+G4499+H4499</f>
        <v>18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23</v>
      </c>
      <c r="K4499" s="3">
        <f>I4499-J4499</f>
        <v>-5</v>
      </c>
      <c r="L4499" s="3" t="str">
        <f>IF(K4499&lt;-5,"CRÍTICO",IF(K4499&lt;0,"ATENÇÃO",IF(K4499&lt;=5,"OPORTUNO","MUITO BOM")))</f>
        <v>ATENÇÃO</v>
      </c>
      <c r="M4499">
        <v>20</v>
      </c>
      <c r="N4499">
        <v>97.37</v>
      </c>
      <c r="O4499">
        <v>25.76530612244898</v>
      </c>
    </row>
    <row r="4500" spans="1:15" hidden="1" x14ac:dyDescent="0.25">
      <c r="A4500" s="11">
        <v>46141</v>
      </c>
      <c r="B4500" t="s">
        <v>63</v>
      </c>
      <c r="C4500" t="s">
        <v>23</v>
      </c>
      <c r="D4500">
        <v>32</v>
      </c>
      <c r="E4500">
        <v>28</v>
      </c>
      <c r="F4500">
        <v>13.21</v>
      </c>
      <c r="G4500">
        <v>0</v>
      </c>
      <c r="H4500">
        <v>0</v>
      </c>
      <c r="I4500" s="3">
        <f>E4500+G4500+H4500</f>
        <v>28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23</v>
      </c>
      <c r="K4500" s="3">
        <f>I4500-J4500</f>
        <v>5</v>
      </c>
      <c r="L4500" s="3" t="str">
        <f>IF(K4500&lt;-5,"CRÍTICO",IF(K4500&lt;0,"ATENÇÃO",IF(K4500&lt;=5,"OPORTUNO","MUITO BOM")))</f>
        <v>OPORTUNO</v>
      </c>
      <c r="M4500">
        <v>21</v>
      </c>
      <c r="N4500">
        <v>98.32</v>
      </c>
      <c r="O4500">
        <v>26.858513189448441</v>
      </c>
    </row>
    <row r="4501" spans="1:15" hidden="1" x14ac:dyDescent="0.25">
      <c r="A4501" s="11">
        <v>46141</v>
      </c>
      <c r="B4501" t="s">
        <v>64</v>
      </c>
      <c r="C4501" t="s">
        <v>23</v>
      </c>
      <c r="D4501">
        <v>15</v>
      </c>
      <c r="E4501">
        <v>14</v>
      </c>
      <c r="F4501">
        <v>23.58</v>
      </c>
      <c r="G4501">
        <v>0</v>
      </c>
      <c r="H4501">
        <v>0</v>
      </c>
      <c r="I4501" s="3">
        <f>E4501+G4501+H4501</f>
        <v>14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23</v>
      </c>
      <c r="K4501" s="3">
        <f>I4501-J4501</f>
        <v>-9</v>
      </c>
      <c r="L4501" s="3" t="str">
        <f>IF(K4501&lt;-5,"CRÍTICO",IF(K4501&lt;0,"ATENÇÃO",IF(K4501&lt;=5,"OPORTUNO","MUITO BOM")))</f>
        <v>CRÍTICO</v>
      </c>
      <c r="M4501">
        <v>13</v>
      </c>
      <c r="N4501">
        <v>100</v>
      </c>
      <c r="O4501">
        <v>26.36986301369863</v>
      </c>
    </row>
    <row r="4502" spans="1:15" hidden="1" x14ac:dyDescent="0.25">
      <c r="A4502" s="11">
        <v>46142</v>
      </c>
      <c r="B4502" t="s">
        <v>59</v>
      </c>
      <c r="C4502" t="s">
        <v>23</v>
      </c>
      <c r="D4502">
        <v>26</v>
      </c>
      <c r="E4502">
        <v>24</v>
      </c>
      <c r="F4502">
        <v>18.239999999999998</v>
      </c>
      <c r="G4502">
        <v>0</v>
      </c>
      <c r="H4502">
        <v>0</v>
      </c>
      <c r="I4502" s="3">
        <f>E4502+G4502+H4502</f>
        <v>24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21</v>
      </c>
      <c r="K4502" s="3">
        <f>I4502-J4502</f>
        <v>3</v>
      </c>
      <c r="L4502" s="3" t="str">
        <f>IF(K4502&lt;-5,"CRÍTICO",IF(K4502&lt;0,"ATENÇÃO",IF(K4502&lt;=5,"OPORTUNO","MUITO BOM")))</f>
        <v>OPORTUNO</v>
      </c>
      <c r="M4502">
        <v>26</v>
      </c>
      <c r="N4502">
        <v>99.32</v>
      </c>
      <c r="O4502">
        <v>30.648330058939099</v>
      </c>
    </row>
    <row r="4503" spans="1:15" hidden="1" x14ac:dyDescent="0.25">
      <c r="A4503" s="11">
        <v>46142</v>
      </c>
      <c r="B4503" t="s">
        <v>60</v>
      </c>
      <c r="C4503" t="s">
        <v>23</v>
      </c>
      <c r="D4503">
        <v>23</v>
      </c>
      <c r="E4503">
        <v>23</v>
      </c>
      <c r="F4503">
        <v>25.3</v>
      </c>
      <c r="G4503">
        <v>0</v>
      </c>
      <c r="H4503">
        <v>0</v>
      </c>
      <c r="I4503" s="3">
        <f>E4503+G4503+H4503</f>
        <v>23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21</v>
      </c>
      <c r="K4503" s="3">
        <f>I4503-J4503</f>
        <v>2</v>
      </c>
      <c r="L4503" s="3" t="str">
        <f>IF(K4503&lt;-5,"CRÍTICO",IF(K4503&lt;0,"ATENÇÃO",IF(K4503&lt;=5,"OPORTUNO","MUITO BOM")))</f>
        <v>OPORTUNO</v>
      </c>
      <c r="M4503">
        <v>19</v>
      </c>
      <c r="N4503">
        <v>96.3</v>
      </c>
      <c r="O4503">
        <v>32.219570405727922</v>
      </c>
    </row>
    <row r="4504" spans="1:15" hidden="1" x14ac:dyDescent="0.25">
      <c r="A4504" s="11">
        <v>46142</v>
      </c>
      <c r="B4504" t="s">
        <v>61</v>
      </c>
      <c r="C4504" t="s">
        <v>23</v>
      </c>
      <c r="D4504">
        <v>23</v>
      </c>
      <c r="E4504">
        <v>23</v>
      </c>
      <c r="F4504">
        <v>20.21</v>
      </c>
      <c r="G4504">
        <v>0</v>
      </c>
      <c r="H4504">
        <v>0</v>
      </c>
      <c r="I4504" s="3">
        <f>E4504+G4504+H4504</f>
        <v>23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21</v>
      </c>
      <c r="K4504" s="3">
        <f>I4504-J4504</f>
        <v>2</v>
      </c>
      <c r="L4504" s="3" t="str">
        <f>IF(K4504&lt;-5,"CRÍTICO",IF(K4504&lt;0,"ATENÇÃO",IF(K4504&lt;=5,"OPORTUNO","MUITO BOM")))</f>
        <v>OPORTUNO</v>
      </c>
      <c r="M4504">
        <v>17</v>
      </c>
      <c r="N4504">
        <v>100</v>
      </c>
      <c r="O4504">
        <v>36.594202898550733</v>
      </c>
    </row>
    <row r="4505" spans="1:15" hidden="1" x14ac:dyDescent="0.25">
      <c r="A4505" s="11">
        <v>46167</v>
      </c>
      <c r="B4505" t="s">
        <v>22</v>
      </c>
      <c r="C4505" t="s">
        <v>23</v>
      </c>
      <c r="D4505">
        <v>25</v>
      </c>
      <c r="E4505">
        <v>25</v>
      </c>
      <c r="F4505">
        <v>12.33</v>
      </c>
      <c r="G4505">
        <v>0</v>
      </c>
      <c r="H4505">
        <v>0</v>
      </c>
      <c r="I4505" s="3">
        <v>0</v>
      </c>
      <c r="J4505" s="3">
        <v>0</v>
      </c>
      <c r="K4505" s="3">
        <v>0</v>
      </c>
      <c r="L4505" s="3" t="str">
        <f>IF(K4505&lt;-5,"CRÍTICO",IF(K4505&lt;0,"ATENÇÃO",IF(K4505&lt;=5,"OPORTUNO","MUITO BOM")))</f>
        <v>OPORTUNO</v>
      </c>
      <c r="M4505">
        <v>24</v>
      </c>
      <c r="N4505">
        <v>99.06</v>
      </c>
      <c r="O4505">
        <v>19.417475728155338</v>
      </c>
    </row>
    <row r="4506" spans="1:15" hidden="1" x14ac:dyDescent="0.25">
      <c r="A4506" s="11">
        <v>46142</v>
      </c>
      <c r="B4506" t="s">
        <v>62</v>
      </c>
      <c r="C4506" t="s">
        <v>23</v>
      </c>
      <c r="D4506">
        <v>30</v>
      </c>
      <c r="E4506">
        <v>28</v>
      </c>
      <c r="F4506">
        <v>16.54</v>
      </c>
      <c r="G4506">
        <v>0</v>
      </c>
      <c r="H4506">
        <v>0</v>
      </c>
      <c r="I4506" s="3">
        <f>E4506+G4506+H4506</f>
        <v>28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21</v>
      </c>
      <c r="K4506" s="3">
        <f>I4506-J4506</f>
        <v>7</v>
      </c>
      <c r="L4506" s="3" t="str">
        <f>IF(K4506&lt;-5,"CRÍTICO",IF(K4506&lt;0,"ATENÇÃO",IF(K4506&lt;=5,"OPORTUNO","MUITO BOM")))</f>
        <v>MUITO BOM</v>
      </c>
      <c r="M4506">
        <v>26</v>
      </c>
      <c r="N4506">
        <v>97.37</v>
      </c>
      <c r="O4506">
        <v>25.76530612244898</v>
      </c>
    </row>
    <row r="4507" spans="1:15" hidden="1" x14ac:dyDescent="0.25">
      <c r="A4507" s="11">
        <v>46142</v>
      </c>
      <c r="B4507" t="s">
        <v>63</v>
      </c>
      <c r="C4507" t="s">
        <v>23</v>
      </c>
      <c r="D4507">
        <v>27</v>
      </c>
      <c r="E4507">
        <v>24</v>
      </c>
      <c r="F4507">
        <v>15.08</v>
      </c>
      <c r="G4507">
        <v>0</v>
      </c>
      <c r="H4507">
        <v>0</v>
      </c>
      <c r="I4507" s="3">
        <f>E4507+G4507+H4507</f>
        <v>24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21</v>
      </c>
      <c r="K4507" s="3">
        <f>I4507-J4507</f>
        <v>3</v>
      </c>
      <c r="L4507" s="3" t="str">
        <f>IF(K4507&lt;-5,"CRÍTICO",IF(K4507&lt;0,"ATENÇÃO",IF(K4507&lt;=5,"OPORTUNO","MUITO BOM")))</f>
        <v>OPORTUNO</v>
      </c>
      <c r="M4507">
        <v>22</v>
      </c>
      <c r="N4507">
        <v>98.32</v>
      </c>
      <c r="O4507">
        <v>26.858513189448441</v>
      </c>
    </row>
    <row r="4508" spans="1:15" hidden="1" x14ac:dyDescent="0.25">
      <c r="A4508" s="11">
        <v>46142</v>
      </c>
      <c r="B4508" t="s">
        <v>64</v>
      </c>
      <c r="C4508" t="s">
        <v>23</v>
      </c>
      <c r="D4508">
        <v>10</v>
      </c>
      <c r="E4508">
        <v>10</v>
      </c>
      <c r="F4508">
        <v>23.27</v>
      </c>
      <c r="G4508">
        <v>0</v>
      </c>
      <c r="H4508">
        <v>0</v>
      </c>
      <c r="I4508" s="3">
        <f>E4508+G4508+H4508</f>
        <v>10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21</v>
      </c>
      <c r="K4508" s="3">
        <f>I4508-J4508</f>
        <v>-11</v>
      </c>
      <c r="L4508" s="3" t="str">
        <f>IF(K4508&lt;-5,"CRÍTICO",IF(K4508&lt;0,"ATENÇÃO",IF(K4508&lt;=5,"OPORTUNO","MUITO BOM")))</f>
        <v>CRÍTICO</v>
      </c>
      <c r="M4508">
        <v>10</v>
      </c>
      <c r="N4508">
        <v>100</v>
      </c>
      <c r="O4508">
        <v>26.36986301369863</v>
      </c>
    </row>
    <row r="4509" spans="1:15" x14ac:dyDescent="0.25">
      <c r="A4509" s="11">
        <v>46168</v>
      </c>
      <c r="B4509" t="s">
        <v>43</v>
      </c>
      <c r="C4509" t="s">
        <v>32</v>
      </c>
      <c r="D4509" s="12">
        <v>0</v>
      </c>
      <c r="E4509" s="12">
        <v>0</v>
      </c>
      <c r="F4509" s="12">
        <v>0</v>
      </c>
      <c r="G4509" s="12">
        <v>0</v>
      </c>
      <c r="H4509" s="12">
        <v>0</v>
      </c>
      <c r="I4509" s="12">
        <v>0</v>
      </c>
      <c r="J4509" s="12">
        <v>0</v>
      </c>
      <c r="K4509" s="12">
        <v>0</v>
      </c>
      <c r="M4509" s="12">
        <v>18</v>
      </c>
      <c r="N4509" s="12">
        <v>98.39</v>
      </c>
      <c r="O4509" s="12">
        <v>8.7999999999999989</v>
      </c>
    </row>
    <row r="4510" spans="1:15" x14ac:dyDescent="0.25">
      <c r="A4510" s="11">
        <v>46168</v>
      </c>
      <c r="B4510" t="s">
        <v>44</v>
      </c>
      <c r="C4510" t="s">
        <v>32</v>
      </c>
      <c r="D4510" s="12">
        <v>33</v>
      </c>
      <c r="E4510" s="12">
        <v>30</v>
      </c>
      <c r="F4510" s="12">
        <v>10.1</v>
      </c>
      <c r="G4510" s="12">
        <v>2</v>
      </c>
      <c r="M4510" s="12">
        <v>26</v>
      </c>
      <c r="N4510" s="12">
        <v>96.38</v>
      </c>
      <c r="O4510" s="12">
        <v>23.198198198198199</v>
      </c>
    </row>
    <row r="4511" spans="1:15" x14ac:dyDescent="0.25">
      <c r="A4511" s="11">
        <v>46168</v>
      </c>
      <c r="B4511" t="s">
        <v>58</v>
      </c>
      <c r="C4511" t="s">
        <v>48</v>
      </c>
      <c r="D4511" s="12">
        <v>0</v>
      </c>
      <c r="E4511" s="12">
        <v>0</v>
      </c>
      <c r="F4511" s="12">
        <v>0</v>
      </c>
      <c r="G4511" s="12">
        <v>0</v>
      </c>
      <c r="H4511" s="12">
        <v>0</v>
      </c>
      <c r="I4511" s="12">
        <v>0</v>
      </c>
      <c r="J4511" s="12">
        <v>0</v>
      </c>
      <c r="K4511" s="12">
        <v>0</v>
      </c>
      <c r="M4511" s="12">
        <v>0</v>
      </c>
      <c r="N4511" s="12">
        <v>100</v>
      </c>
      <c r="O4511" s="12">
        <v>20.183486238532112</v>
      </c>
    </row>
    <row r="4512" spans="1:15" x14ac:dyDescent="0.25">
      <c r="A4512" s="11">
        <v>46168</v>
      </c>
      <c r="B4512" t="s">
        <v>63</v>
      </c>
      <c r="C4512" t="s">
        <v>23</v>
      </c>
      <c r="D4512" s="12">
        <v>29</v>
      </c>
      <c r="E4512" s="12">
        <v>26</v>
      </c>
      <c r="F4512" s="12">
        <v>15.57</v>
      </c>
      <c r="G4512" s="12">
        <v>4</v>
      </c>
      <c r="M4512" s="12">
        <v>22</v>
      </c>
      <c r="N4512" s="12">
        <v>98</v>
      </c>
      <c r="O4512" s="12">
        <v>20.73490813648294</v>
      </c>
    </row>
    <row r="4513" spans="1:15" x14ac:dyDescent="0.25">
      <c r="A4513" s="11">
        <v>46168</v>
      </c>
      <c r="B4513" t="s">
        <v>45</v>
      </c>
      <c r="C4513" t="s">
        <v>32</v>
      </c>
      <c r="D4513" s="12">
        <v>37</v>
      </c>
      <c r="E4513" s="12">
        <v>33</v>
      </c>
      <c r="F4513" s="12">
        <v>11.48</v>
      </c>
      <c r="G4513" s="12">
        <v>0</v>
      </c>
      <c r="M4513" s="12">
        <v>24</v>
      </c>
      <c r="N4513" s="12">
        <v>99.39</v>
      </c>
      <c r="O4513" s="12">
        <v>25.203252032520329</v>
      </c>
    </row>
    <row r="4514" spans="1:15" x14ac:dyDescent="0.25">
      <c r="A4514" s="11">
        <v>46168</v>
      </c>
      <c r="B4514" t="s">
        <v>64</v>
      </c>
      <c r="C4514" t="s">
        <v>23</v>
      </c>
      <c r="D4514" s="12">
        <v>15</v>
      </c>
      <c r="E4514" s="12">
        <v>15</v>
      </c>
      <c r="F4514" s="12">
        <v>37</v>
      </c>
      <c r="G4514" s="12">
        <v>0</v>
      </c>
      <c r="M4514" s="12">
        <v>14</v>
      </c>
      <c r="N4514" s="12">
        <v>100</v>
      </c>
      <c r="O4514" s="12">
        <v>18</v>
      </c>
    </row>
    <row r="4515" spans="1:15" x14ac:dyDescent="0.25">
      <c r="A4515" s="11">
        <v>46168</v>
      </c>
      <c r="B4515" t="s">
        <v>46</v>
      </c>
      <c r="C4515" t="s">
        <v>32</v>
      </c>
      <c r="D4515" s="12">
        <v>24</v>
      </c>
      <c r="E4515" s="12">
        <v>22</v>
      </c>
      <c r="F4515" s="12">
        <v>15.22</v>
      </c>
      <c r="G4515" s="12">
        <v>0</v>
      </c>
      <c r="M4515" s="12">
        <v>17</v>
      </c>
      <c r="N4515" s="12">
        <v>97</v>
      </c>
      <c r="O4515" s="12">
        <v>20.325203252032519</v>
      </c>
    </row>
    <row r="4516" spans="1:15" hidden="1" x14ac:dyDescent="0.25">
      <c r="A4516" s="11">
        <v>46133</v>
      </c>
      <c r="B4516" t="s">
        <v>22</v>
      </c>
      <c r="C4516" t="s">
        <v>23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s="3"/>
      <c r="M4516">
        <v>0</v>
      </c>
      <c r="N4516">
        <v>99.28</v>
      </c>
      <c r="O4516">
        <v>27.689243027888441</v>
      </c>
    </row>
    <row r="4517" spans="1:15" hidden="1" x14ac:dyDescent="0.25">
      <c r="A4517" s="11">
        <v>46133</v>
      </c>
      <c r="B4517" t="s">
        <v>47</v>
      </c>
      <c r="C4517" t="s">
        <v>48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s="3"/>
      <c r="M4517">
        <v>0</v>
      </c>
      <c r="N4517">
        <v>100</v>
      </c>
      <c r="O4517">
        <v>32.764505119453922</v>
      </c>
    </row>
    <row r="4518" spans="1:15" hidden="1" x14ac:dyDescent="0.25">
      <c r="A4518" s="11">
        <v>46133</v>
      </c>
      <c r="B4518" t="s">
        <v>31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s="3"/>
      <c r="M4518">
        <v>0</v>
      </c>
      <c r="N4518">
        <v>98.66</v>
      </c>
      <c r="O4518">
        <v>35.416666666666671</v>
      </c>
    </row>
    <row r="4519" spans="1:15" hidden="1" x14ac:dyDescent="0.25">
      <c r="A4519" s="11">
        <v>46133</v>
      </c>
      <c r="B4519" t="s">
        <v>59</v>
      </c>
      <c r="C4519" t="s">
        <v>23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s="3"/>
      <c r="M4519">
        <v>0</v>
      </c>
      <c r="N4519">
        <v>99.32</v>
      </c>
      <c r="O4519">
        <v>30.648330058939099</v>
      </c>
    </row>
    <row r="4520" spans="1:15" hidden="1" x14ac:dyDescent="0.25">
      <c r="A4520" s="11">
        <v>46133</v>
      </c>
      <c r="B4520" t="s">
        <v>33</v>
      </c>
      <c r="C4520" t="s">
        <v>32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s="3"/>
      <c r="M4520">
        <v>0</v>
      </c>
      <c r="N4520">
        <v>100</v>
      </c>
      <c r="O4520">
        <v>27.803738317757009</v>
      </c>
    </row>
    <row r="4521" spans="1:15" hidden="1" x14ac:dyDescent="0.25">
      <c r="A4521" s="11">
        <v>46133</v>
      </c>
      <c r="B4521" t="s">
        <v>15</v>
      </c>
      <c r="C4521" t="s">
        <v>16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s="3"/>
      <c r="M4521">
        <v>0</v>
      </c>
      <c r="N4521">
        <v>96.74</v>
      </c>
      <c r="O4521">
        <v>28.67647058823529</v>
      </c>
    </row>
    <row r="4522" spans="1:15" hidden="1" x14ac:dyDescent="0.25">
      <c r="A4522" s="11">
        <v>46133</v>
      </c>
      <c r="B4522" t="s">
        <v>49</v>
      </c>
      <c r="C4522" t="s">
        <v>48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s="3"/>
      <c r="M4522">
        <v>0</v>
      </c>
      <c r="N4522">
        <v>98.82</v>
      </c>
      <c r="O4522">
        <v>30.741410488245929</v>
      </c>
    </row>
    <row r="4523" spans="1:15" hidden="1" x14ac:dyDescent="0.25">
      <c r="A4523" s="11">
        <v>46133</v>
      </c>
      <c r="B4523" t="s">
        <v>50</v>
      </c>
      <c r="C4523" t="s">
        <v>48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s="3"/>
      <c r="M4523">
        <v>0</v>
      </c>
      <c r="N4523">
        <v>98.2</v>
      </c>
      <c r="O4523">
        <v>27.170868347338931</v>
      </c>
    </row>
    <row r="4524" spans="1:15" hidden="1" x14ac:dyDescent="0.25">
      <c r="A4524" s="11">
        <v>46133</v>
      </c>
      <c r="B4524" t="s">
        <v>17</v>
      </c>
      <c r="C4524" t="s">
        <v>16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s="3"/>
      <c r="M4524">
        <v>0</v>
      </c>
      <c r="N4524">
        <v>100</v>
      </c>
      <c r="O4524">
        <v>23.134328358208951</v>
      </c>
    </row>
    <row r="4525" spans="1:15" hidden="1" x14ac:dyDescent="0.25">
      <c r="A4525" s="11">
        <v>46133</v>
      </c>
      <c r="B4525" t="s">
        <v>60</v>
      </c>
      <c r="C4525" t="s">
        <v>23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s="3"/>
      <c r="M4525">
        <v>0</v>
      </c>
      <c r="N4525">
        <v>96.3</v>
      </c>
      <c r="O4525">
        <v>32.219570405727922</v>
      </c>
    </row>
    <row r="4526" spans="1:15" hidden="1" x14ac:dyDescent="0.25">
      <c r="A4526" s="11">
        <v>46133</v>
      </c>
      <c r="B4526" t="s">
        <v>34</v>
      </c>
      <c r="C4526" t="s">
        <v>32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s="3"/>
      <c r="M4526">
        <v>0</v>
      </c>
      <c r="N4526">
        <v>93.75</v>
      </c>
      <c r="O4526">
        <v>26.819923371647509</v>
      </c>
    </row>
    <row r="4527" spans="1:15" hidden="1" x14ac:dyDescent="0.25">
      <c r="A4527" s="11">
        <v>46133</v>
      </c>
      <c r="B4527" t="s">
        <v>51</v>
      </c>
      <c r="C4527" t="s">
        <v>48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s="3"/>
      <c r="M4527">
        <v>0</v>
      </c>
      <c r="N4527">
        <v>97.86</v>
      </c>
      <c r="O4527">
        <v>31.018518518518519</v>
      </c>
    </row>
    <row r="4528" spans="1:15" hidden="1" x14ac:dyDescent="0.25">
      <c r="A4528" s="11">
        <v>46133</v>
      </c>
      <c r="B4528" t="s">
        <v>61</v>
      </c>
      <c r="C4528" t="s">
        <v>23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s="3"/>
      <c r="M4528">
        <v>0</v>
      </c>
      <c r="N4528">
        <v>100</v>
      </c>
      <c r="O4528">
        <v>36.594202898550733</v>
      </c>
    </row>
    <row r="4529" spans="1:15" hidden="1" x14ac:dyDescent="0.25">
      <c r="A4529" s="11">
        <v>46133</v>
      </c>
      <c r="B4529" t="s">
        <v>35</v>
      </c>
      <c r="C4529" t="s">
        <v>32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s="3"/>
      <c r="M4529">
        <v>0</v>
      </c>
      <c r="N4529">
        <v>100</v>
      </c>
      <c r="O4529">
        <v>38.653846153846153</v>
      </c>
    </row>
    <row r="4530" spans="1:15" hidden="1" x14ac:dyDescent="0.25">
      <c r="A4530" s="11">
        <v>46133</v>
      </c>
      <c r="B4530" t="s">
        <v>18</v>
      </c>
      <c r="C4530" t="s">
        <v>16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s="3"/>
      <c r="M4530">
        <v>0</v>
      </c>
      <c r="N4530">
        <v>100</v>
      </c>
      <c r="O4530">
        <v>27.368421052631579</v>
      </c>
    </row>
    <row r="4531" spans="1:15" hidden="1" x14ac:dyDescent="0.25">
      <c r="A4531" s="11">
        <v>46133</v>
      </c>
      <c r="B4531" t="s">
        <v>52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s="3"/>
      <c r="M4531">
        <v>0</v>
      </c>
      <c r="N4531">
        <v>97.83</v>
      </c>
      <c r="O4531">
        <v>28.35164835164835</v>
      </c>
    </row>
    <row r="4532" spans="1:15" hidden="1" x14ac:dyDescent="0.25">
      <c r="A4532" s="11">
        <v>46133</v>
      </c>
      <c r="B4532" t="s">
        <v>36</v>
      </c>
      <c r="C4532" t="s">
        <v>32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s="3"/>
      <c r="M4532">
        <v>0</v>
      </c>
      <c r="N4532">
        <v>99.26</v>
      </c>
      <c r="O4532">
        <v>29.766536964980549</v>
      </c>
    </row>
    <row r="4533" spans="1:15" hidden="1" x14ac:dyDescent="0.25">
      <c r="A4533" s="11">
        <v>46133</v>
      </c>
      <c r="B4533" t="s">
        <v>53</v>
      </c>
      <c r="C4533" t="s">
        <v>48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s="3"/>
      <c r="M4533">
        <v>0</v>
      </c>
      <c r="N4533">
        <v>99.19</v>
      </c>
      <c r="O4533">
        <v>29.462365591397852</v>
      </c>
    </row>
    <row r="4534" spans="1:15" hidden="1" x14ac:dyDescent="0.25">
      <c r="A4534" s="11">
        <v>46133</v>
      </c>
      <c r="B4534" t="s">
        <v>54</v>
      </c>
      <c r="C4534" t="s">
        <v>48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s="3"/>
      <c r="M4534">
        <v>0</v>
      </c>
      <c r="N4534">
        <v>100</v>
      </c>
      <c r="O4534">
        <v>28.921568627450981</v>
      </c>
    </row>
    <row r="4535" spans="1:15" hidden="1" x14ac:dyDescent="0.25">
      <c r="A4535" s="11">
        <v>46133</v>
      </c>
      <c r="B4535" t="s">
        <v>37</v>
      </c>
      <c r="C4535" t="s">
        <v>32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s="3"/>
      <c r="M4535">
        <v>0</v>
      </c>
      <c r="N4535">
        <v>99.57</v>
      </c>
      <c r="O4535">
        <v>30.635838150289018</v>
      </c>
    </row>
    <row r="4536" spans="1:15" hidden="1" x14ac:dyDescent="0.25">
      <c r="A4536" s="11">
        <v>46133</v>
      </c>
      <c r="B4536" t="s">
        <v>38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s="3"/>
      <c r="M4536">
        <v>0</v>
      </c>
      <c r="N4536">
        <v>95.65</v>
      </c>
      <c r="O4536">
        <v>32.432432432432442</v>
      </c>
    </row>
    <row r="4537" spans="1:15" hidden="1" x14ac:dyDescent="0.25">
      <c r="A4537" s="11">
        <v>46133</v>
      </c>
      <c r="B4537" t="s">
        <v>55</v>
      </c>
      <c r="C4537" t="s">
        <v>48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s="3"/>
      <c r="M4537">
        <v>0</v>
      </c>
      <c r="N4537">
        <v>98.81</v>
      </c>
      <c r="O4537">
        <v>26.256983240223459</v>
      </c>
    </row>
    <row r="4538" spans="1:15" hidden="1" x14ac:dyDescent="0.25">
      <c r="A4538" s="11">
        <v>46133</v>
      </c>
      <c r="B4538" t="s">
        <v>39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s="3"/>
      <c r="M4538">
        <v>0</v>
      </c>
      <c r="N4538">
        <v>0</v>
      </c>
      <c r="O4538">
        <v>0</v>
      </c>
    </row>
    <row r="4539" spans="1:15" hidden="1" x14ac:dyDescent="0.25">
      <c r="A4539" s="11">
        <v>46133</v>
      </c>
      <c r="B4539" t="s">
        <v>25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s="3"/>
      <c r="M4539">
        <v>0</v>
      </c>
      <c r="N4539">
        <v>97.17</v>
      </c>
      <c r="O4539">
        <v>28.81844380403458</v>
      </c>
    </row>
    <row r="4540" spans="1:15" hidden="1" x14ac:dyDescent="0.25">
      <c r="A4540" s="11">
        <v>46133</v>
      </c>
      <c r="B4540" t="s">
        <v>40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s="3"/>
      <c r="M4540">
        <v>0</v>
      </c>
      <c r="N4540">
        <v>96.81</v>
      </c>
      <c r="O4540">
        <v>48.018648018648022</v>
      </c>
    </row>
    <row r="4541" spans="1:15" hidden="1" x14ac:dyDescent="0.25">
      <c r="A4541" s="11">
        <v>46133</v>
      </c>
      <c r="B4541" t="s">
        <v>27</v>
      </c>
      <c r="C4541" t="s">
        <v>26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s="3"/>
      <c r="M4541">
        <v>0</v>
      </c>
      <c r="N4541">
        <v>98.15</v>
      </c>
      <c r="O4541">
        <v>27.1551724137931</v>
      </c>
    </row>
    <row r="4542" spans="1:15" hidden="1" x14ac:dyDescent="0.25">
      <c r="A4542" s="11">
        <v>46133</v>
      </c>
      <c r="B4542" t="s">
        <v>41</v>
      </c>
      <c r="C4542" t="s">
        <v>32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s="3"/>
      <c r="M4542">
        <v>0</v>
      </c>
      <c r="N4542">
        <v>99.15</v>
      </c>
      <c r="O4542">
        <v>27.586206896551719</v>
      </c>
    </row>
    <row r="4543" spans="1:15" hidden="1" x14ac:dyDescent="0.25">
      <c r="A4543" s="11">
        <v>46133</v>
      </c>
      <c r="B4543" t="s">
        <v>56</v>
      </c>
      <c r="C4543" t="s">
        <v>48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s="3"/>
      <c r="M4543">
        <v>0</v>
      </c>
      <c r="N4543">
        <v>99.17</v>
      </c>
      <c r="O4543">
        <v>29.75206611570248</v>
      </c>
    </row>
    <row r="4544" spans="1:15" hidden="1" x14ac:dyDescent="0.25">
      <c r="A4544" s="11">
        <v>46133</v>
      </c>
      <c r="B4544" t="s">
        <v>57</v>
      </c>
      <c r="C4544" t="s">
        <v>48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s="3"/>
      <c r="M4544">
        <v>0</v>
      </c>
      <c r="N4544">
        <v>98.73</v>
      </c>
      <c r="O4544">
        <v>28.961748633879779</v>
      </c>
    </row>
    <row r="4545" spans="1:15" hidden="1" x14ac:dyDescent="0.25">
      <c r="A4545" s="11">
        <v>46133</v>
      </c>
      <c r="B4545" t="s">
        <v>42</v>
      </c>
      <c r="C4545" t="s">
        <v>32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s="3"/>
      <c r="M4545">
        <v>0</v>
      </c>
      <c r="N4545">
        <v>88.68</v>
      </c>
      <c r="O4545">
        <v>22.03389830508474</v>
      </c>
    </row>
    <row r="4546" spans="1:15" hidden="1" x14ac:dyDescent="0.25">
      <c r="A4546" s="11">
        <v>46133</v>
      </c>
      <c r="B4546" t="s">
        <v>62</v>
      </c>
      <c r="C4546" t="s">
        <v>23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s="3"/>
      <c r="M4546">
        <v>0</v>
      </c>
      <c r="N4546">
        <v>97.37</v>
      </c>
      <c r="O4546">
        <v>25.76530612244898</v>
      </c>
    </row>
    <row r="4547" spans="1:15" hidden="1" x14ac:dyDescent="0.25">
      <c r="A4547" s="11">
        <v>46133</v>
      </c>
      <c r="B4547" t="s">
        <v>19</v>
      </c>
      <c r="C4547" t="s">
        <v>16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s="3"/>
      <c r="M4547">
        <v>0</v>
      </c>
      <c r="N4547">
        <v>100</v>
      </c>
      <c r="O4547">
        <v>25</v>
      </c>
    </row>
    <row r="4548" spans="1:15" hidden="1" x14ac:dyDescent="0.25">
      <c r="A4548" s="11">
        <v>46133</v>
      </c>
      <c r="B4548" t="s">
        <v>43</v>
      </c>
      <c r="C4548" t="s">
        <v>32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s="3"/>
      <c r="M4548">
        <v>0</v>
      </c>
      <c r="N4548">
        <v>100</v>
      </c>
      <c r="O4548">
        <v>23.9870340356564</v>
      </c>
    </row>
    <row r="4549" spans="1:15" hidden="1" x14ac:dyDescent="0.25">
      <c r="A4549" s="11">
        <v>46133</v>
      </c>
      <c r="B4549" t="s">
        <v>44</v>
      </c>
      <c r="C4549" t="s">
        <v>32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s="3"/>
      <c r="M4549">
        <v>0</v>
      </c>
      <c r="N4549">
        <v>95.49</v>
      </c>
      <c r="O4549">
        <v>28.370221327967808</v>
      </c>
    </row>
    <row r="4550" spans="1:15" hidden="1" x14ac:dyDescent="0.25">
      <c r="A4550" s="11">
        <v>46133</v>
      </c>
      <c r="B4550" t="s">
        <v>20</v>
      </c>
      <c r="C4550" t="s">
        <v>16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s="3"/>
      <c r="M4550">
        <v>0</v>
      </c>
      <c r="N4550">
        <v>100</v>
      </c>
      <c r="O4550">
        <v>23.77622377622378</v>
      </c>
    </row>
    <row r="4551" spans="1:15" hidden="1" x14ac:dyDescent="0.25">
      <c r="A4551" s="11">
        <v>46133</v>
      </c>
      <c r="B4551" t="s">
        <v>28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s="3"/>
      <c r="M4551">
        <v>0</v>
      </c>
      <c r="N4551">
        <v>96.15</v>
      </c>
      <c r="O4551">
        <v>24.045801526717561</v>
      </c>
    </row>
    <row r="4552" spans="1:15" hidden="1" x14ac:dyDescent="0.25">
      <c r="A4552" s="11">
        <v>46133</v>
      </c>
      <c r="B4552" t="s">
        <v>58</v>
      </c>
      <c r="C4552" t="s">
        <v>48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s="3"/>
      <c r="M4552">
        <v>0</v>
      </c>
      <c r="N4552">
        <v>99.02</v>
      </c>
      <c r="O4552">
        <v>34.797297297297298</v>
      </c>
    </row>
    <row r="4553" spans="1:15" hidden="1" x14ac:dyDescent="0.25">
      <c r="A4553" s="11">
        <v>46133</v>
      </c>
      <c r="B4553" t="s">
        <v>29</v>
      </c>
      <c r="C4553" t="s">
        <v>26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s="3"/>
      <c r="M4553">
        <v>0</v>
      </c>
      <c r="N4553">
        <v>98.84</v>
      </c>
      <c r="O4553">
        <v>31.868131868131869</v>
      </c>
    </row>
    <row r="4554" spans="1:15" hidden="1" x14ac:dyDescent="0.25">
      <c r="A4554" s="11">
        <v>46133</v>
      </c>
      <c r="B4554" t="s">
        <v>30</v>
      </c>
      <c r="C4554" t="s">
        <v>26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s="3"/>
      <c r="M4554">
        <v>0</v>
      </c>
      <c r="N4554">
        <v>100</v>
      </c>
      <c r="O4554">
        <v>34.666666666666671</v>
      </c>
    </row>
    <row r="4555" spans="1:15" hidden="1" x14ac:dyDescent="0.25">
      <c r="A4555" s="11">
        <v>46133</v>
      </c>
      <c r="B4555" t="s">
        <v>21</v>
      </c>
      <c r="C4555" t="s">
        <v>16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s="3"/>
      <c r="M4555">
        <v>0</v>
      </c>
      <c r="N4555">
        <v>94.12</v>
      </c>
      <c r="O4555">
        <v>32.799999999999997</v>
      </c>
    </row>
    <row r="4556" spans="1:15" hidden="1" x14ac:dyDescent="0.25">
      <c r="A4556" s="11">
        <v>46133</v>
      </c>
      <c r="B4556" t="s">
        <v>63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s="3"/>
      <c r="M4556">
        <v>0</v>
      </c>
      <c r="N4556">
        <v>98.32</v>
      </c>
      <c r="O4556">
        <v>26.858513189448441</v>
      </c>
    </row>
    <row r="4557" spans="1:15" hidden="1" x14ac:dyDescent="0.25">
      <c r="A4557" s="11">
        <v>46133</v>
      </c>
      <c r="B4557" t="s">
        <v>45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s="3"/>
      <c r="M4557">
        <v>0</v>
      </c>
      <c r="N4557">
        <v>100</v>
      </c>
      <c r="O4557">
        <v>31.135531135531139</v>
      </c>
    </row>
    <row r="4558" spans="1:15" hidden="1" x14ac:dyDescent="0.25">
      <c r="A4558" s="11">
        <v>46133</v>
      </c>
      <c r="B4558" t="s">
        <v>64</v>
      </c>
      <c r="C4558" t="s">
        <v>23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s="3"/>
      <c r="M4558">
        <v>0</v>
      </c>
      <c r="N4558">
        <v>100</v>
      </c>
      <c r="O4558">
        <v>26.36986301369863</v>
      </c>
    </row>
    <row r="4559" spans="1:15" hidden="1" x14ac:dyDescent="0.25">
      <c r="A4559" s="11">
        <v>46133</v>
      </c>
      <c r="B4559" t="s">
        <v>46</v>
      </c>
      <c r="C4559" t="s">
        <v>32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s="3"/>
      <c r="M4559">
        <v>0</v>
      </c>
      <c r="N4559">
        <v>99.21</v>
      </c>
      <c r="O4559">
        <v>25.188916876574311</v>
      </c>
    </row>
    <row r="4560" spans="1:15" hidden="1" x14ac:dyDescent="0.25">
      <c r="A4560" s="11">
        <v>46143</v>
      </c>
      <c r="B4560" t="s">
        <v>15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s="3"/>
      <c r="M4560">
        <v>0</v>
      </c>
      <c r="N4560">
        <v>99.25</v>
      </c>
      <c r="O4560">
        <v>20.408163265306118</v>
      </c>
    </row>
    <row r="4561" spans="1:15" hidden="1" x14ac:dyDescent="0.25">
      <c r="A4561" s="11">
        <v>46143</v>
      </c>
      <c r="B4561" t="s">
        <v>17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s="3"/>
      <c r="M4561">
        <v>0</v>
      </c>
      <c r="N4561">
        <v>97.14</v>
      </c>
      <c r="O4561">
        <v>24.761904761904759</v>
      </c>
    </row>
    <row r="4562" spans="1:15" hidden="1" x14ac:dyDescent="0.25">
      <c r="A4562" s="11">
        <v>46143</v>
      </c>
      <c r="B4562" t="s">
        <v>18</v>
      </c>
      <c r="C4562" t="s">
        <v>16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s="3"/>
      <c r="M4562">
        <v>0</v>
      </c>
      <c r="N4562">
        <v>100</v>
      </c>
      <c r="O4562">
        <v>28.94736842105263</v>
      </c>
    </row>
    <row r="4563" spans="1:15" hidden="1" x14ac:dyDescent="0.25">
      <c r="A4563" s="11">
        <v>46143</v>
      </c>
      <c r="B4563" t="s">
        <v>19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s="3"/>
      <c r="M4563">
        <v>0</v>
      </c>
      <c r="N4563">
        <v>100</v>
      </c>
      <c r="O4563">
        <v>12.941176470588241</v>
      </c>
    </row>
    <row r="4564" spans="1:15" hidden="1" x14ac:dyDescent="0.25">
      <c r="A4564" s="11">
        <v>46143</v>
      </c>
      <c r="B4564" t="s">
        <v>20</v>
      </c>
      <c r="C4564" t="s">
        <v>16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s="3"/>
      <c r="M4564">
        <v>0</v>
      </c>
      <c r="N4564">
        <v>100</v>
      </c>
      <c r="O4564">
        <v>17.1875</v>
      </c>
    </row>
    <row r="4565" spans="1:15" hidden="1" x14ac:dyDescent="0.25">
      <c r="A4565" s="11">
        <v>46143</v>
      </c>
      <c r="B4565" t="s">
        <v>21</v>
      </c>
      <c r="C4565" t="s">
        <v>16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s="3"/>
      <c r="M4565">
        <v>0</v>
      </c>
      <c r="N4565">
        <v>98.36</v>
      </c>
      <c r="O4565">
        <v>21.917808219178081</v>
      </c>
    </row>
    <row r="4566" spans="1:15" hidden="1" x14ac:dyDescent="0.25">
      <c r="A4566" s="11">
        <v>46143</v>
      </c>
      <c r="B4566" t="s">
        <v>25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s="3"/>
      <c r="M4566">
        <v>0</v>
      </c>
      <c r="N4566">
        <v>97.62</v>
      </c>
      <c r="O4566">
        <v>17.82477341389728</v>
      </c>
    </row>
    <row r="4567" spans="1:15" hidden="1" x14ac:dyDescent="0.25">
      <c r="A4567" s="11">
        <v>46143</v>
      </c>
      <c r="B4567" t="s">
        <v>27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s="3"/>
      <c r="M4567">
        <v>0</v>
      </c>
      <c r="N4567">
        <v>100</v>
      </c>
      <c r="O4567">
        <v>19.072164948453612</v>
      </c>
    </row>
    <row r="4568" spans="1:15" hidden="1" x14ac:dyDescent="0.25">
      <c r="A4568" s="11">
        <v>46143</v>
      </c>
      <c r="B4568" t="s">
        <v>28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s="3"/>
      <c r="M4568">
        <v>0</v>
      </c>
      <c r="N4568">
        <v>96.83</v>
      </c>
      <c r="O4568">
        <v>20.94017094017094</v>
      </c>
    </row>
    <row r="4569" spans="1:15" hidden="1" x14ac:dyDescent="0.25">
      <c r="A4569" s="11">
        <v>46143</v>
      </c>
      <c r="B4569" t="s">
        <v>29</v>
      </c>
      <c r="C4569" t="s">
        <v>26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s="3"/>
      <c r="M4569">
        <v>0</v>
      </c>
      <c r="N4569">
        <v>100</v>
      </c>
      <c r="O4569">
        <v>20.0836820083682</v>
      </c>
    </row>
    <row r="4570" spans="1:15" hidden="1" x14ac:dyDescent="0.25">
      <c r="A4570" s="11">
        <v>46143</v>
      </c>
      <c r="B4570" t="s">
        <v>30</v>
      </c>
      <c r="C4570" t="s">
        <v>26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s="3"/>
      <c r="M4570">
        <v>0</v>
      </c>
      <c r="N4570">
        <v>100</v>
      </c>
      <c r="O4570">
        <v>16.34241245136187</v>
      </c>
    </row>
    <row r="4571" spans="1:15" hidden="1" x14ac:dyDescent="0.25">
      <c r="A4571" s="11">
        <v>46143</v>
      </c>
      <c r="B4571" t="s">
        <v>31</v>
      </c>
      <c r="C4571" t="s">
        <v>32</v>
      </c>
      <c r="D4571">
        <v>0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s="3"/>
      <c r="M4571">
        <v>0</v>
      </c>
      <c r="N4571">
        <v>100</v>
      </c>
      <c r="O4571">
        <v>0</v>
      </c>
    </row>
    <row r="4572" spans="1:15" hidden="1" x14ac:dyDescent="0.25">
      <c r="A4572" s="11">
        <v>46143</v>
      </c>
      <c r="B4572" t="s">
        <v>33</v>
      </c>
      <c r="C4572" t="s">
        <v>32</v>
      </c>
      <c r="D4572">
        <v>0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s="3"/>
      <c r="M4572">
        <v>0</v>
      </c>
      <c r="N4572">
        <v>96.94</v>
      </c>
      <c r="O4572">
        <v>19.613259668508292</v>
      </c>
    </row>
    <row r="4573" spans="1:15" hidden="1" x14ac:dyDescent="0.25">
      <c r="A4573" s="11">
        <v>46143</v>
      </c>
      <c r="B4573" t="s">
        <v>34</v>
      </c>
      <c r="C4573" t="s">
        <v>32</v>
      </c>
      <c r="D4573">
        <v>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s="3"/>
      <c r="M4573">
        <v>0</v>
      </c>
      <c r="N4573">
        <v>92.81</v>
      </c>
      <c r="O4573">
        <v>25.477707006369432</v>
      </c>
    </row>
    <row r="4574" spans="1:15" hidden="1" x14ac:dyDescent="0.25">
      <c r="A4574" s="11">
        <v>46143</v>
      </c>
      <c r="B4574" t="s">
        <v>35</v>
      </c>
      <c r="C4574" t="s">
        <v>32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s="3"/>
      <c r="M4574">
        <v>0</v>
      </c>
      <c r="N4574">
        <v>99.19</v>
      </c>
      <c r="O4574">
        <v>28.404669260700391</v>
      </c>
    </row>
    <row r="4575" spans="1:15" hidden="1" x14ac:dyDescent="0.25">
      <c r="A4575" s="11">
        <v>46143</v>
      </c>
      <c r="B4575" t="s">
        <v>36</v>
      </c>
      <c r="C4575" t="s">
        <v>32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s="3"/>
      <c r="M4575">
        <v>0</v>
      </c>
      <c r="N4575">
        <v>100</v>
      </c>
      <c r="O4575">
        <v>13.51351351351351</v>
      </c>
    </row>
    <row r="4576" spans="1:15" hidden="1" x14ac:dyDescent="0.25">
      <c r="A4576" s="11">
        <v>46143</v>
      </c>
      <c r="B4576" t="s">
        <v>37</v>
      </c>
      <c r="C4576" t="s">
        <v>32</v>
      </c>
      <c r="D4576">
        <v>0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s="3"/>
      <c r="M4576">
        <v>0</v>
      </c>
      <c r="N4576">
        <v>99</v>
      </c>
      <c r="O4576">
        <v>22.27414330218069</v>
      </c>
    </row>
    <row r="4577" spans="1:15" hidden="1" x14ac:dyDescent="0.25">
      <c r="A4577" s="11">
        <v>46143</v>
      </c>
      <c r="B4577" t="s">
        <v>38</v>
      </c>
      <c r="C4577" t="s">
        <v>32</v>
      </c>
      <c r="D4577">
        <v>0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s="3"/>
      <c r="M4577">
        <v>0</v>
      </c>
      <c r="N4577">
        <v>97.04</v>
      </c>
      <c r="O4577">
        <v>29.828850855745721</v>
      </c>
    </row>
    <row r="4578" spans="1:15" hidden="1" x14ac:dyDescent="0.25">
      <c r="A4578" s="11">
        <v>46143</v>
      </c>
      <c r="B4578" t="s">
        <v>39</v>
      </c>
      <c r="C4578" t="s">
        <v>32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s="3"/>
      <c r="M4578">
        <v>0</v>
      </c>
      <c r="N4578">
        <v>0</v>
      </c>
      <c r="O4578">
        <v>0</v>
      </c>
    </row>
    <row r="4579" spans="1:15" hidden="1" x14ac:dyDescent="0.25">
      <c r="A4579" s="11">
        <v>46143</v>
      </c>
      <c r="B4579" t="s">
        <v>40</v>
      </c>
      <c r="C4579" t="s">
        <v>32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s="3"/>
      <c r="M4579">
        <v>0</v>
      </c>
      <c r="N4579">
        <v>96.84</v>
      </c>
      <c r="O4579">
        <v>16.338028169014081</v>
      </c>
    </row>
    <row r="4580" spans="1:15" hidden="1" x14ac:dyDescent="0.25">
      <c r="A4580" s="11">
        <v>46143</v>
      </c>
      <c r="B4580" t="s">
        <v>41</v>
      </c>
      <c r="C4580" t="s">
        <v>32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s="3"/>
      <c r="M4580">
        <v>0</v>
      </c>
      <c r="N4580">
        <v>100</v>
      </c>
      <c r="O4580">
        <v>18.244803695150122</v>
      </c>
    </row>
    <row r="4581" spans="1:15" hidden="1" x14ac:dyDescent="0.25">
      <c r="A4581" s="11">
        <v>46143</v>
      </c>
      <c r="B4581" t="s">
        <v>42</v>
      </c>
      <c r="C4581" t="s">
        <v>32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s="3"/>
      <c r="M4581">
        <v>0</v>
      </c>
      <c r="N4581">
        <v>100</v>
      </c>
      <c r="O4581">
        <v>15.789473684210529</v>
      </c>
    </row>
    <row r="4582" spans="1:15" hidden="1" x14ac:dyDescent="0.25">
      <c r="A4582" s="11">
        <v>46143</v>
      </c>
      <c r="B4582" t="s">
        <v>43</v>
      </c>
      <c r="C4582" t="s">
        <v>32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s="3"/>
      <c r="M4582">
        <v>0</v>
      </c>
      <c r="N4582">
        <v>98.39</v>
      </c>
      <c r="O4582">
        <v>8.7999999999999989</v>
      </c>
    </row>
    <row r="4583" spans="1:15" hidden="1" x14ac:dyDescent="0.25">
      <c r="A4583" s="11">
        <v>46143</v>
      </c>
      <c r="B4583" t="s">
        <v>44</v>
      </c>
      <c r="C4583" t="s">
        <v>32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s="3"/>
      <c r="M4583">
        <v>0</v>
      </c>
      <c r="N4583">
        <v>96.38</v>
      </c>
      <c r="O4583">
        <v>23.198198198198199</v>
      </c>
    </row>
    <row r="4584" spans="1:15" hidden="1" x14ac:dyDescent="0.25">
      <c r="A4584" s="11">
        <v>46143</v>
      </c>
      <c r="B4584" t="s">
        <v>45</v>
      </c>
      <c r="C4584" t="s">
        <v>32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s="3"/>
      <c r="M4584">
        <v>0</v>
      </c>
      <c r="N4584">
        <v>99.39</v>
      </c>
      <c r="O4584">
        <v>25.203252032520329</v>
      </c>
    </row>
    <row r="4585" spans="1:15" hidden="1" x14ac:dyDescent="0.25">
      <c r="A4585" s="11">
        <v>46143</v>
      </c>
      <c r="B4585" t="s">
        <v>46</v>
      </c>
      <c r="C4585" t="s">
        <v>32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s="3"/>
      <c r="M4585">
        <v>0</v>
      </c>
      <c r="N4585">
        <v>97</v>
      </c>
      <c r="O4585">
        <v>20.325203252032519</v>
      </c>
    </row>
    <row r="4586" spans="1:15" hidden="1" x14ac:dyDescent="0.25">
      <c r="A4586" s="11">
        <v>46143</v>
      </c>
      <c r="B4586" t="s">
        <v>47</v>
      </c>
      <c r="C4586" t="s">
        <v>48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s="3"/>
      <c r="M4586">
        <v>0</v>
      </c>
      <c r="N4586">
        <v>99.18</v>
      </c>
      <c r="O4586">
        <v>24.501424501424498</v>
      </c>
    </row>
    <row r="4587" spans="1:15" hidden="1" x14ac:dyDescent="0.25">
      <c r="A4587" s="11">
        <v>46143</v>
      </c>
      <c r="B4587" t="s">
        <v>49</v>
      </c>
      <c r="C4587" t="s">
        <v>48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s="3"/>
      <c r="M4587">
        <v>0</v>
      </c>
      <c r="N4587">
        <v>99.35</v>
      </c>
      <c r="O4587">
        <v>19.852941176470591</v>
      </c>
    </row>
    <row r="4588" spans="1:15" hidden="1" x14ac:dyDescent="0.25">
      <c r="A4588" s="11">
        <v>46143</v>
      </c>
      <c r="B4588" t="s">
        <v>50</v>
      </c>
      <c r="C4588" t="s">
        <v>48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s="3"/>
      <c r="M4588">
        <v>0</v>
      </c>
      <c r="N4588">
        <v>99.07</v>
      </c>
      <c r="O4588">
        <v>20.098039215686271</v>
      </c>
    </row>
    <row r="4589" spans="1:15" hidden="1" x14ac:dyDescent="0.25">
      <c r="A4589" s="11">
        <v>46143</v>
      </c>
      <c r="B4589" t="s">
        <v>51</v>
      </c>
      <c r="C4589" t="s">
        <v>48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s="3"/>
      <c r="M4589">
        <v>0</v>
      </c>
      <c r="N4589">
        <v>98.81</v>
      </c>
      <c r="O4589">
        <v>22.767857142857139</v>
      </c>
    </row>
    <row r="4590" spans="1:15" hidden="1" x14ac:dyDescent="0.25">
      <c r="A4590" s="11">
        <v>46143</v>
      </c>
      <c r="B4590" t="s">
        <v>52</v>
      </c>
      <c r="C4590" t="s">
        <v>48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s="3"/>
      <c r="M4590">
        <v>0</v>
      </c>
      <c r="N4590">
        <v>99.01</v>
      </c>
      <c r="O4590">
        <v>17.766497461928939</v>
      </c>
    </row>
    <row r="4591" spans="1:15" hidden="1" x14ac:dyDescent="0.25">
      <c r="A4591" s="11">
        <v>46143</v>
      </c>
      <c r="B4591" t="s">
        <v>53</v>
      </c>
      <c r="C4591" t="s">
        <v>48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s="3"/>
      <c r="M4591">
        <v>0</v>
      </c>
      <c r="N4591">
        <v>100</v>
      </c>
      <c r="O4591">
        <v>17.241379310344829</v>
      </c>
    </row>
    <row r="4592" spans="1:15" hidden="1" x14ac:dyDescent="0.25">
      <c r="A4592" s="11">
        <v>46143</v>
      </c>
      <c r="B4592" t="s">
        <v>54</v>
      </c>
      <c r="C4592" t="s">
        <v>48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s="3"/>
      <c r="M4592">
        <v>0</v>
      </c>
      <c r="N4592">
        <v>98.98</v>
      </c>
      <c r="O4592">
        <v>19.35483870967742</v>
      </c>
    </row>
    <row r="4593" spans="1:15" hidden="1" x14ac:dyDescent="0.25">
      <c r="A4593" s="11">
        <v>46143</v>
      </c>
      <c r="B4593" t="s">
        <v>55</v>
      </c>
      <c r="C4593" t="s">
        <v>48</v>
      </c>
      <c r="D4593">
        <v>0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s="3"/>
      <c r="M4593">
        <v>0</v>
      </c>
      <c r="N4593">
        <v>98.94</v>
      </c>
      <c r="O4593">
        <v>21.270718232044199</v>
      </c>
    </row>
    <row r="4594" spans="1:15" hidden="1" x14ac:dyDescent="0.25">
      <c r="A4594" s="11">
        <v>46143</v>
      </c>
      <c r="B4594" t="s">
        <v>56</v>
      </c>
      <c r="C4594" t="s">
        <v>48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s="3"/>
      <c r="M4594">
        <v>0</v>
      </c>
      <c r="N4594">
        <v>99</v>
      </c>
      <c r="O4594">
        <v>22.010869565217391</v>
      </c>
    </row>
    <row r="4595" spans="1:15" hidden="1" x14ac:dyDescent="0.25">
      <c r="A4595" s="11">
        <v>46143</v>
      </c>
      <c r="B4595" t="s">
        <v>57</v>
      </c>
      <c r="C4595" t="s">
        <v>48</v>
      </c>
      <c r="D4595">
        <v>0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s="3"/>
      <c r="M4595">
        <v>0</v>
      </c>
      <c r="N4595">
        <v>100</v>
      </c>
      <c r="O4595">
        <v>25</v>
      </c>
    </row>
    <row r="4596" spans="1:15" hidden="1" x14ac:dyDescent="0.25">
      <c r="A4596" s="11">
        <v>46143</v>
      </c>
      <c r="B4596" t="s">
        <v>58</v>
      </c>
      <c r="C4596" t="s">
        <v>48</v>
      </c>
      <c r="D4596">
        <v>0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s="3"/>
      <c r="M4596">
        <v>0</v>
      </c>
      <c r="N4596">
        <v>100</v>
      </c>
      <c r="O4596">
        <v>20.183486238532112</v>
      </c>
    </row>
    <row r="4597" spans="1:15" hidden="1" x14ac:dyDescent="0.25">
      <c r="A4597" s="11">
        <v>46143</v>
      </c>
      <c r="B4597" t="s">
        <v>22</v>
      </c>
      <c r="C4597" t="s">
        <v>23</v>
      </c>
      <c r="D4597">
        <v>0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s="3"/>
      <c r="M4597">
        <v>0</v>
      </c>
      <c r="N4597">
        <v>99.06</v>
      </c>
      <c r="O4597">
        <v>19.417475728155338</v>
      </c>
    </row>
    <row r="4598" spans="1:15" hidden="1" x14ac:dyDescent="0.25">
      <c r="A4598" s="11">
        <v>46143</v>
      </c>
      <c r="B4598" t="s">
        <v>59</v>
      </c>
      <c r="C4598" t="s">
        <v>23</v>
      </c>
      <c r="D4598">
        <v>0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s="3"/>
      <c r="M4598">
        <v>0</v>
      </c>
      <c r="N4598">
        <v>96.25</v>
      </c>
      <c r="O4598">
        <v>25.586353944562902</v>
      </c>
    </row>
    <row r="4599" spans="1:15" hidden="1" x14ac:dyDescent="0.25">
      <c r="A4599" s="11">
        <v>46143</v>
      </c>
      <c r="B4599" t="s">
        <v>60</v>
      </c>
      <c r="C4599" t="s">
        <v>23</v>
      </c>
      <c r="D4599">
        <v>0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s="3"/>
      <c r="M4599">
        <v>0</v>
      </c>
      <c r="N4599">
        <v>97.48</v>
      </c>
      <c r="O4599">
        <v>22.99465240641711</v>
      </c>
    </row>
    <row r="4600" spans="1:15" hidden="1" x14ac:dyDescent="0.25">
      <c r="A4600" s="11">
        <v>46143</v>
      </c>
      <c r="B4600" t="s">
        <v>61</v>
      </c>
      <c r="C4600" t="s">
        <v>23</v>
      </c>
      <c r="D4600">
        <v>0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s="3"/>
      <c r="M4600">
        <v>0</v>
      </c>
      <c r="N4600">
        <v>100</v>
      </c>
      <c r="O4600">
        <v>20.788530465949819</v>
      </c>
    </row>
    <row r="4601" spans="1:15" hidden="1" x14ac:dyDescent="0.25">
      <c r="A4601" s="11">
        <v>46143</v>
      </c>
      <c r="B4601" t="s">
        <v>62</v>
      </c>
      <c r="C4601" t="s">
        <v>23</v>
      </c>
      <c r="D4601">
        <v>0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s="3"/>
      <c r="M4601">
        <v>0</v>
      </c>
      <c r="N4601">
        <v>94.55</v>
      </c>
      <c r="O4601">
        <v>23.450134770889491</v>
      </c>
    </row>
    <row r="4602" spans="1:15" hidden="1" x14ac:dyDescent="0.25">
      <c r="A4602" s="11">
        <v>46143</v>
      </c>
      <c r="B4602" t="s">
        <v>63</v>
      </c>
      <c r="C4602" t="s">
        <v>23</v>
      </c>
      <c r="D4602">
        <v>0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s="3"/>
      <c r="M4602">
        <v>0</v>
      </c>
      <c r="N4602">
        <v>98</v>
      </c>
      <c r="O4602">
        <v>20.73490813648294</v>
      </c>
    </row>
    <row r="4603" spans="1:15" hidden="1" x14ac:dyDescent="0.25">
      <c r="A4603" s="11">
        <v>46143</v>
      </c>
      <c r="B4603" t="s">
        <v>64</v>
      </c>
      <c r="C4603" t="s">
        <v>23</v>
      </c>
      <c r="D4603">
        <v>0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s="3"/>
      <c r="M4603">
        <v>0</v>
      </c>
      <c r="N4603">
        <v>100</v>
      </c>
      <c r="O4603">
        <v>18</v>
      </c>
    </row>
  </sheetData>
  <autoFilter ref="A1:O4603" xr:uid="{00000000-0009-0000-0000-000000000000}">
    <filterColumn colId="0">
      <filters>
        <dateGroupItem year="2026" month="5" day="26" dateTimeGrouping="day"/>
      </filters>
    </filterColumn>
    <filterColumn colId="2">
      <filters>
        <filter val="Técnico I"/>
        <filter val="Técnico II"/>
        <filter val="Técnico III"/>
      </filters>
    </filterColumn>
    <sortState xmlns:xlrd2="http://schemas.microsoft.com/office/spreadsheetml/2017/richdata2" ref="A244:O4515">
      <sortCondition ref="B1:B4603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2026-05-28T11:37:40Z</dcterms:modified>
</cp:coreProperties>
</file>
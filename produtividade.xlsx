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'Produtividade'!$A$1:$O$4470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0"/>
  <sheetViews>
    <sheetView tabSelected="1" zoomScale="85" zoomScaleNormal="85" workbookViewId="0">
      <selection activeCell="M66" sqref="M66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13.5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17.31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17.2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10.4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11.44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20.3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25.13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15.13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13.54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17.14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21.4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38.45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15.09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18.37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14.11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12.18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22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14.15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18.51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20.48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25.03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15.44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15.47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15.1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17.18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3.57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10.27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10.48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23.3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8.34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16.51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17.35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17.11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34.04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14.07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12.23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25.29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17.25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12.29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17.01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18.41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17.29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12.39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4.04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13.52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26.46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42.06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18.46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3.47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10.45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28.25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24.15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14.15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20.01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15.42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13.26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14.13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10</v>
      </c>
      <c r="E72" s="3" t="n">
        <v>10</v>
      </c>
      <c r="F72" s="3" t="n">
        <v>21.42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18.42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22.35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16.4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18.28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15.27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17.33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15.35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15.03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11.53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17.39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20.04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18.23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13.5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10.46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35.53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15.31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F90" t="n">
        <v>12.32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F92" t="n">
        <v>14.05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F93" t="n">
        <v>18.47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F94" t="n">
        <v>18.45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F95" t="n">
        <v>14.16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F96" t="n">
        <v>23.4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F97" t="n">
        <v>20.07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F98" t="n">
        <v>5.13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F99" t="n">
        <v>7.02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F100" t="n">
        <v>30.08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F101" t="n">
        <v>22.06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F102" t="n">
        <v>17.07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F103" t="n">
        <v>12.07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0</v>
      </c>
      <c r="E104" s="3" t="n">
        <v>0</v>
      </c>
      <c r="F104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F105" t="n">
        <v>16.51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F106" t="n">
        <v>17.18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0</v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F107" t="n">
        <v>17.31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N110" t="n">
        <v>98.91</v>
      </c>
      <c r="O110" t="n">
        <v>31.36729222520107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F111" t="n">
        <v>20.01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F112" t="n">
        <v>13.59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F113" t="n">
        <v>12.18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F114" t="n">
        <v>10.28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F116" t="n">
        <v>30.08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F117" t="n">
        <v>22.17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F118" t="n">
        <v>30.43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F119" t="n">
        <v>16.42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F120" t="n">
        <v>15.35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F121" t="n">
        <v>16.42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0</v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F123" t="n">
        <v>17.33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F124" t="n">
        <v>18.39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F125" t="n">
        <v>19.04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F127" t="n">
        <v>15.19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F128" t="n">
        <v>20.34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F129" t="n">
        <v>17.24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F130" t="n">
        <v>13.25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F131" t="n">
        <v>10.53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F132" t="n">
        <v>26.43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F133" t="n">
        <v>18.47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F134" t="n">
        <v>8.33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F136" t="n">
        <v>15.11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F137" t="n">
        <v>17.26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F138" t="n">
        <v>13.37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F139" t="n">
        <v>25.23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F140" t="n">
        <v>19.09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F141" t="n">
        <v>19.17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F142" t="n">
        <v>3.44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F143" t="n">
        <v>5.49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F144" t="n">
        <v>16.56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F145" t="n">
        <v>11.45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0</v>
      </c>
      <c r="E146" s="3" t="n">
        <v>0</v>
      </c>
      <c r="F146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F147" t="n">
        <v>16.5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F148" t="n">
        <v>21.48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F149" t="n">
        <v>27.04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F150" t="n">
        <v>32.02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F151" t="n">
        <v>17.1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N154" t="n">
        <v>98.91</v>
      </c>
      <c r="O154" t="n">
        <v>31.36729222520107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F155" t="n">
        <v>24.02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F156" t="n">
        <v>13.48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F157" t="n">
        <v>10.43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F158" t="n">
        <v>13.53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F160" t="n">
        <v>23.23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F161" t="n">
        <v>20.33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11</v>
      </c>
      <c r="F162" t="n">
        <v>36.43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F163" t="n">
        <v>20.42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F164" t="n">
        <v>13.54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F165" t="n">
        <v>18.21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F167" t="n">
        <v>25.28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F168" t="n">
        <v>9.02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F169" t="n">
        <v>15.28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F171" t="n">
        <v>28.38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F172" t="n">
        <v>21.57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F173" t="n">
        <v>17.09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F174" t="n">
        <v>11.59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F175" t="n">
        <v>13.33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F176" t="n">
        <v>33.45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F177" t="n">
        <v>15.09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F178" t="n">
        <v>11.56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F180" t="n">
        <v>22.39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F181" t="n">
        <v>16.5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F182" t="n">
        <v>15.19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F183" t="n">
        <v>38.58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F184" t="n">
        <v>17.35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F185" t="n">
        <v>17.37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0</v>
      </c>
      <c r="E186" s="3" t="n">
        <v>0</v>
      </c>
      <c r="F186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F187" t="n">
        <v>23.51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F188" t="n">
        <v>25.05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F189" t="n">
        <v>15.27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F190" t="n">
        <v>17.38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F191" t="n">
        <v>27.06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N192" t="n">
        <v>98.91</v>
      </c>
      <c r="O192" t="n">
        <v>31.36729222520107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F193" t="n">
        <v>5.58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F194" t="n">
        <v>41.45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F195" t="n">
        <v>28.35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F196" t="n">
        <v>12.17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N199" t="n">
        <v>98.91</v>
      </c>
      <c r="O199" t="n">
        <v>31.36729222520107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F200" t="n">
        <v>15.28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F201" t="n">
        <v>14.1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F202" t="n">
        <v>12.31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F203" t="n">
        <v>14.16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F205" t="n">
        <v>22.21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F206" t="n">
        <v>30.5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F207" t="n">
        <v>33.55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F208" t="n">
        <v>22.03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F209" t="n">
        <v>15.45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F210" t="n">
        <v>20.06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F212" t="n">
        <v>25.06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F21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F214" t="n">
        <v>13.33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F215" t="n">
        <v>5.5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F216" t="n">
        <v>17.08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F217" t="n">
        <v>23.46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F218" t="n">
        <v>18.3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F219" t="n">
        <v>12.08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F220" t="n">
        <v>10.22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F222" t="n">
        <v>14.04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F223" t="n">
        <v>11.5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F225" t="n">
        <v>13.44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F226" t="n">
        <v>23.31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F227" t="n">
        <v>17.13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F228" t="n">
        <v>26.55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F229" t="n">
        <v>18.57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F230" t="n">
        <v>12.1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0</v>
      </c>
      <c r="E231" s="3" t="n">
        <v>0</v>
      </c>
      <c r="F231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F232" t="n">
        <v>13.37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F233" t="n">
        <v>29.18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0</v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F234" t="n">
        <v>15.35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F235" t="n">
        <v>45.11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F236" t="n">
        <v>21.51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F237" t="n">
        <v>15.05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F240" t="n">
        <v>5.18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F241" t="n">
        <v>29.17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F242" t="n">
        <v>30.41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F244" t="n">
        <v>18.31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F245" t="n">
        <v>11.56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F246" t="n">
        <v>11.59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F247" t="n">
        <v>12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F249" t="n">
        <v>30.53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F250" t="n">
        <v>20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F251" t="n">
        <v>22.06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F252" t="n">
        <v>14.18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F253" t="n">
        <v>17.13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F254" t="n">
        <v>17.05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F256" t="n">
        <v>17.22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F257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F258" t="n">
        <v>8.43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F259" t="n">
        <v>10.02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F260" t="n">
        <v>23.37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F261" t="n">
        <v>15.43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F262" t="n">
        <v>20.21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F263" t="n">
        <v>22.14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F264" t="n">
        <v>17.37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F265" t="n">
        <v>33.21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F266" t="n">
        <v>15.04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F267" t="n">
        <v>9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F269" t="n">
        <v>17.38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F270" t="n">
        <v>15.56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F271" t="n">
        <v>12.22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F272" t="n">
        <v>27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F273" t="n">
        <v>13.58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F274" t="n">
        <v>10.52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0</v>
      </c>
      <c r="E275" s="3" t="n">
        <v>0</v>
      </c>
      <c r="F275" t="n">
        <v>0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F276" t="n">
        <v>11.47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F277" t="n">
        <v>25.03</v>
      </c>
      <c r="G277" s="3" t="n">
        <v>0</v>
      </c>
      <c r="H277" s="3" t="n">
        <v>0</v>
      </c>
      <c r="I277" s="3" t="n">
        <v>0</v>
      </c>
      <c r="J277" s="3" t="n">
        <v>0</v>
      </c>
      <c r="K277" s="3" t="n">
        <v>0</v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F278" t="n">
        <v>17.21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F281" t="n">
        <v>20.14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F283" t="n">
        <v>25.14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F284" t="n">
        <v>10.34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F285" t="n">
        <v>10.49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F286" t="n">
        <v>15.07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F288" t="n">
        <v>21.43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F289" t="n">
        <v>25.12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F290" t="n">
        <v>33.28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F291" t="n">
        <v>16.55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F292" t="n">
        <v>23.59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F293" t="n">
        <v>25.44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F295" t="n">
        <v>19.15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F296" t="n">
        <v>33.4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F297" t="n">
        <v>3.55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F298" t="n">
        <v>7.15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F299" t="n">
        <v>29.01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F300" t="n">
        <v>24.05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F301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F302" t="n">
        <v>13.49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F303" t="n">
        <v>8.380000000000001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F304" t="n">
        <v>17.19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F305" t="n">
        <v>21.44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F306" t="n">
        <v>21.47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F307" t="n">
        <v>17.2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F308" t="n">
        <v>13.43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F309" t="n">
        <v>30.07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F310" t="n">
        <v>14.1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F311" t="n">
        <v>17.22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F313" t="n">
        <v>22.22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F314" t="n">
        <v>18.24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F315" t="n">
        <v>18.31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F316" t="n">
        <v>28.53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F317" t="n">
        <v>15.32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F318" t="n">
        <v>12.09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0</v>
      </c>
      <c r="E319" s="3" t="n">
        <v>0</v>
      </c>
      <c r="F319" t="n">
        <v>0</v>
      </c>
      <c r="G319" s="3" t="n">
        <v>0</v>
      </c>
      <c r="H319" s="3" t="n">
        <v>0</v>
      </c>
      <c r="I319" s="3" t="n">
        <v>0</v>
      </c>
      <c r="J319" s="3" t="n">
        <v>0</v>
      </c>
      <c r="K319" s="3" t="n">
        <v>0</v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F320" t="n">
        <v>21.54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F321" t="n">
        <v>25.33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F322" t="n">
        <v>20.05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F326" t="n">
        <v>28.56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F327" t="n">
        <v>16.42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F328" t="n">
        <v>12.34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F329" t="n">
        <v>15.43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F331" t="n">
        <v>24.07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F332" t="n">
        <v>15.44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F334" t="n">
        <v>20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F335" t="n">
        <v>22.3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F336" t="n">
        <v>15.49</v>
      </c>
      <c r="G336" s="3" t="n">
        <v>0</v>
      </c>
      <c r="H336" s="3" t="n">
        <v>0</v>
      </c>
      <c r="I336" s="3" t="n">
        <v>0</v>
      </c>
      <c r="J336" s="3" t="n">
        <v>0</v>
      </c>
      <c r="K336" s="3" t="n">
        <v>0</v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F338" t="n">
        <v>20.17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F339" t="n">
        <v>15.57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F340" t="n">
        <v>42.33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F341" t="n">
        <v>2.24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F342" t="n">
        <v>6.59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F343" t="n">
        <v>29.1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F344" t="n">
        <v>23.42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F345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F346" t="n">
        <v>10.47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F347" t="n">
        <v>17.14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F348" t="n">
        <v>21.47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F349" t="n">
        <v>25.27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F350" t="n">
        <v>13.2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F351" t="n">
        <v>13.48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F352" t="n">
        <v>13.49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F353" t="n">
        <v>33.26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F354" t="n">
        <v>17.29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F355" t="n">
        <v>10.58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F357" t="n">
        <v>18.51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F358" t="n">
        <v>17.34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F359" t="n">
        <v>12.28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F360" t="n">
        <v>20.56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F361" t="n">
        <v>11.54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0</v>
      </c>
      <c r="E363" s="3" t="n">
        <v>0</v>
      </c>
      <c r="F363" t="n">
        <v>0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F364" t="n">
        <v>18.25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F365" t="n">
        <v>22.3</v>
      </c>
      <c r="G365" s="3" t="n">
        <v>0</v>
      </c>
      <c r="H365" s="3" t="n">
        <v>0</v>
      </c>
      <c r="I365" s="3" t="n">
        <v>0</v>
      </c>
      <c r="J365" s="3" t="n">
        <v>0</v>
      </c>
      <c r="K365" s="3" t="n">
        <v>0</v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F366" t="n">
        <v>19.05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F370" t="n">
        <v>28.35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F371" t="n">
        <v>13.41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F372" t="n">
        <v>10.52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F373" t="n">
        <v>25.25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F375" t="n">
        <v>25.1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F376" t="n">
        <v>17.03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F377" t="n">
        <v>27.03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F378" t="n">
        <v>19.05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F379" t="n">
        <v>18.58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F380" t="n">
        <v>23.52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F382" t="n">
        <v>33.21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F383" t="n">
        <v>18.5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F384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F385" t="n">
        <v>9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F386" t="n">
        <v>24.16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F387" t="n">
        <v>3.22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F388" t="n">
        <v>6.57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F389" t="n">
        <v>54.06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F390" t="n">
        <v>24.18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F391" t="n">
        <v>12.17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F392" t="n">
        <v>20.36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F393" t="n">
        <v>19.08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F394" t="n">
        <v>23.26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F395" t="n">
        <v>15.24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F396" t="n">
        <v>13.51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F397" t="n">
        <v>20.29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F398" t="n">
        <v>13.43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F399" t="n">
        <v>13.2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F401" t="n">
        <v>15.24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F402" t="n">
        <v>13.59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F403" t="n">
        <v>23.34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F404" t="n">
        <v>25.22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F405" t="n">
        <v>19.19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F406" t="n">
        <v>11.51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0</v>
      </c>
      <c r="E407" s="3" t="n">
        <v>0</v>
      </c>
      <c r="F407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F408" t="n">
        <v>25.25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0</v>
      </c>
      <c r="E409" s="3" t="n">
        <v>0</v>
      </c>
      <c r="F409" t="n">
        <v>0</v>
      </c>
      <c r="G409" s="3" t="n">
        <v>0</v>
      </c>
      <c r="H409" s="3" t="n">
        <v>0</v>
      </c>
      <c r="I409" s="3" t="n">
        <v>0</v>
      </c>
      <c r="J409" s="3" t="n">
        <v>0</v>
      </c>
      <c r="K409" s="3" t="n">
        <v>0</v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F410" t="n">
        <v>18.42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F413" t="n">
        <v>22.04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F414" t="n">
        <v>12.34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F415" t="n">
        <v>13.38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F416" t="n">
        <v>15.05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F418" t="n">
        <v>25.17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F419" t="n">
        <v>16.53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F420" t="n">
        <v>27.02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F421" t="n">
        <v>15.4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0</v>
      </c>
      <c r="E422" s="3" t="n">
        <v>0</v>
      </c>
      <c r="F422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F424" t="n">
        <v>20.35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F425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F426" t="n">
        <v>12.18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F427" t="n">
        <v>15.42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F428" t="n">
        <v>20.19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F429" t="n">
        <v>3.43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F431" t="n">
        <v>6.47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F432" t="n">
        <v>39.06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F433" t="n">
        <v>23.57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F434" t="n">
        <v>13.55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F435" t="n">
        <v>33.59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F436" t="n">
        <v>28.33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F437" t="n">
        <v>15.53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F438" t="n">
        <v>13.57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F439" t="n">
        <v>13.49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F440" t="n">
        <v>35.31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F441" t="n">
        <v>17.35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F442" t="n">
        <v>7.38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F444" t="n">
        <v>20.19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1</v>
      </c>
      <c r="E446" s="3" t="n">
        <v>1</v>
      </c>
      <c r="F446" t="n">
        <v>5.09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F447" t="n">
        <v>11.41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F448" t="n">
        <v>21.44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F449" t="n">
        <v>20.04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F450" t="n">
        <v>13.29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F452" t="n">
        <v>18.52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F454" t="n">
        <v>12.34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F457" t="n">
        <v>24.07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F458" t="n">
        <v>15.11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F459" t="n">
        <v>13.21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F460" t="n">
        <v>17.15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F462" t="n">
        <v>30.41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F463" t="n">
        <v>23.54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F464" t="n">
        <v>21.58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F465" t="n">
        <v>15.47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F466" t="n">
        <v>16.55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0</v>
      </c>
      <c r="E467" s="3" t="n">
        <v>0</v>
      </c>
      <c r="F467" t="n">
        <v>0</v>
      </c>
      <c r="G467" s="3" t="n">
        <v>0</v>
      </c>
      <c r="H467" s="3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F469" t="n">
        <v>17.02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F470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F471" t="n">
        <v>10.14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F472" t="n">
        <v>13.56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F473" t="n">
        <v>19.19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F474" t="n">
        <v>22.14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F475" t="n">
        <v>20.47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F476" t="n">
        <v>15.59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F477" t="n">
        <v>4.16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F479" t="n">
        <v>8.210000000000001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F480" t="n">
        <v>30.49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F481" t="n">
        <v>29.09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F482" t="n">
        <v>14.02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F483" t="n">
        <v>13.56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F484" t="n">
        <v>23.58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F485" t="n">
        <v>17.29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F486" t="n">
        <v>12.17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F488" t="n">
        <v>15.36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F489" t="n">
        <v>20.44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F490" t="n">
        <v>18.21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F491" t="n">
        <v>16.46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F492" t="n">
        <v>16.54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F493" t="n">
        <v>25.28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F494" t="n">
        <v>15.02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F495" t="n">
        <v>11.55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F497" t="n">
        <v>12.3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F499" t="n">
        <v>2.2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F500" t="n">
        <v>13.4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18.2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F505" t="n">
        <v>16.55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F506" t="n">
        <v>13.55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F507" t="n">
        <v>14.08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F508" t="n">
        <v>17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F510" t="n">
        <v>28.41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F511" t="n">
        <v>17.18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F512" t="n">
        <v>18.56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F513" t="n">
        <v>15.39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F514" t="n">
        <v>19.03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0</v>
      </c>
      <c r="E515" s="3" t="n">
        <v>0</v>
      </c>
      <c r="F515" t="n">
        <v>0</v>
      </c>
      <c r="G515" s="3" t="n">
        <v>0</v>
      </c>
      <c r="H515" s="3" t="n">
        <v>0</v>
      </c>
      <c r="I515" s="3" t="n">
        <v>0</v>
      </c>
      <c r="J515" s="3" t="n">
        <v>0</v>
      </c>
      <c r="K515" s="3" t="n">
        <v>0</v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F516" t="n">
        <v>21.49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F517" t="n">
        <v>25.09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F518" t="n">
        <v>13.26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F519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F520" t="n">
        <v>10.43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F521" t="n">
        <v>21.51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F522" t="n">
        <v>11.43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F523" t="n">
        <v>17.03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F524" t="n">
        <v>19.19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F525" t="n">
        <v>23.57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F526" t="n">
        <v>25.31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F527" t="n">
        <v>13.24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F528" t="n">
        <v>10.55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F529" t="n">
        <v>25.39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F530" t="n">
        <v>18.25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11.43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15.37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18.34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14.07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15.11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18.58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20.44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15.5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14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15.58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3.22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10.26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23.52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13.25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15.53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14.11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23.27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23.31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28.22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12.33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20.02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0</v>
      </c>
      <c r="E560" s="3" t="n">
        <v>0</v>
      </c>
      <c r="F560" s="3" t="n">
        <v>0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15.25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15.33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10.49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15.01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22.03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15.38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22.09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18.21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25.22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17.06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15.26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34.04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12.07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17.07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15.57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10.15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18.55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27.14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13.42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9.02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23.33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0</v>
      </c>
      <c r="E605" s="3" t="n">
        <v>0</v>
      </c>
      <c r="F605" s="3" t="n">
        <v>0</v>
      </c>
      <c r="G605" s="3" t="n">
        <v>0</v>
      </c>
      <c r="H605" s="3" t="n">
        <v>0</v>
      </c>
      <c r="I605" s="3" t="n">
        <v>0</v>
      </c>
      <c r="J605" s="3" t="n">
        <v>0</v>
      </c>
      <c r="K605" s="3" t="n">
        <v>0</v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19.06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21.43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15.16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33.54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16.49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44.02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17.08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0</v>
      </c>
      <c r="E644" s="3" t="n">
        <v>0</v>
      </c>
      <c r="F644" s="3" t="n">
        <v>0</v>
      </c>
      <c r="G644" s="3" t="n">
        <v>0</v>
      </c>
      <c r="H644" s="3" t="n">
        <v>0</v>
      </c>
      <c r="I644" s="3" t="n">
        <v>0</v>
      </c>
      <c r="J644" s="3" t="n">
        <v>0</v>
      </c>
      <c r="K644" s="3" t="n">
        <v>0</v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11" t="n">
        <v>46167</v>
      </c>
      <c r="B730" t="inlineStr">
        <is>
          <t>Alisson de Freitas Silva</t>
        </is>
      </c>
      <c r="C730" t="inlineStr">
        <is>
          <t>Técnico II</t>
        </is>
      </c>
      <c r="D730" t="n">
        <v>34</v>
      </c>
      <c r="E730" t="n">
        <v>30</v>
      </c>
      <c r="F730" t="n">
        <v>10.14</v>
      </c>
      <c r="G730" t="n">
        <v>0</v>
      </c>
      <c r="H730" t="n">
        <v>0</v>
      </c>
      <c r="I730" s="3" t="n">
        <v>0</v>
      </c>
      <c r="J730" s="3" t="n">
        <v>0</v>
      </c>
      <c r="K730" s="3" t="n">
        <v>0</v>
      </c>
      <c r="L730" s="3">
        <f>IF(K730&lt;-5,"CRÍTICO",IF(K730&lt;0,"ATENÇÃO",IF(K730&lt;=5,"OPORTUNO","MUITO BOM")))</f>
        <v/>
      </c>
    </row>
    <row r="731" hidden="1">
      <c r="A731" s="11" t="n">
        <v>46167</v>
      </c>
      <c r="B731" t="inlineStr">
        <is>
          <t>Amanda Moura Ferreira</t>
        </is>
      </c>
      <c r="C731" t="inlineStr">
        <is>
          <t>Técnico III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s="3" t="n">
        <v>0</v>
      </c>
      <c r="J731" s="3" t="n">
        <v>0</v>
      </c>
      <c r="K731" s="3" t="n">
        <v>0</v>
      </c>
      <c r="L731" s="3">
        <f>IF(K731&lt;-5,"CRÍTICO",IF(K731&lt;0,"ATENÇÃO",IF(K731&lt;=5,"OPORTUNO","MUITO BOM")))</f>
        <v/>
      </c>
    </row>
    <row r="732" hidden="1">
      <c r="A732" s="11" t="n">
        <v>46167</v>
      </c>
      <c r="B732" t="inlineStr">
        <is>
          <t>Ana Karollyne Souza Faria</t>
        </is>
      </c>
      <c r="C732" t="inlineStr">
        <is>
          <t>Técnico I</t>
        </is>
      </c>
      <c r="D732" t="n">
        <v>25</v>
      </c>
      <c r="E732" t="n">
        <v>24</v>
      </c>
      <c r="F732" t="n">
        <v>15.25</v>
      </c>
      <c r="G732" t="n">
        <v>0</v>
      </c>
      <c r="H732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</row>
    <row r="733" hidden="1">
      <c r="A733" s="11" t="n">
        <v>46167</v>
      </c>
      <c r="B733" t="inlineStr">
        <is>
          <t>Ana Paula Da Luz Silva Aleixo</t>
        </is>
      </c>
      <c r="C733" t="inlineStr">
        <is>
          <t>Técnico III</t>
        </is>
      </c>
      <c r="D733" t="n">
        <v>27</v>
      </c>
      <c r="E733" t="n">
        <v>23</v>
      </c>
      <c r="F733" t="n">
        <v>13.5</v>
      </c>
      <c r="G733" t="n">
        <v>0</v>
      </c>
      <c r="H73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IF(K733&lt;-5,"CRÍTICO",IF(K733&lt;0,"ATENÇÃO",IF(K733&lt;=5,"OPORTUNO","MUITO BOM")))</f>
        <v/>
      </c>
    </row>
    <row r="734" hidden="1">
      <c r="A734" s="11" t="n">
        <v>46167</v>
      </c>
      <c r="B734" t="inlineStr">
        <is>
          <t>Anna Luiza Rezende Tavares</t>
        </is>
      </c>
      <c r="C734" t="inlineStr">
        <is>
          <t>JR</t>
        </is>
      </c>
      <c r="D734" t="n">
        <v>25</v>
      </c>
      <c r="E734" t="n">
        <v>25</v>
      </c>
      <c r="F734" t="n">
        <v>15.22</v>
      </c>
      <c r="G734" t="n">
        <v>0</v>
      </c>
      <c r="H734" t="n">
        <v>0</v>
      </c>
      <c r="I734" s="3" t="n">
        <v>0</v>
      </c>
      <c r="J734" s="3" t="n">
        <v>0</v>
      </c>
      <c r="K734" s="3" t="n">
        <v>0</v>
      </c>
      <c r="L734" s="3">
        <f>IF(K734&lt;-5,"CRÍTICO",IF(K734&lt;0,"ATENÇÃO",IF(K734&lt;=5,"OPORTUNO","MUITO BOM")))</f>
        <v/>
      </c>
    </row>
    <row r="735" hidden="1">
      <c r="A735" s="11" t="n">
        <v>46167</v>
      </c>
      <c r="B735" t="inlineStr">
        <is>
          <t>Brenda de Menezes Silva</t>
        </is>
      </c>
      <c r="C735" t="inlineStr">
        <is>
          <t>Técnico II</t>
        </is>
      </c>
      <c r="D735" t="n">
        <v>35</v>
      </c>
      <c r="E735" t="n">
        <v>31</v>
      </c>
      <c r="F735" t="n">
        <v>10.11</v>
      </c>
      <c r="G735" t="n">
        <v>0</v>
      </c>
      <c r="H735" t="n">
        <v>0</v>
      </c>
      <c r="I735" s="3" t="n">
        <v>0</v>
      </c>
      <c r="J735" s="3" t="n">
        <v>0</v>
      </c>
      <c r="K735" s="3" t="n">
        <v>0</v>
      </c>
      <c r="L735" s="3">
        <f>IF(K735&lt;-5,"CRÍTICO",IF(K735&lt;0,"ATENÇÃO",IF(K735&lt;=5,"OPORTUNO","MUITO BOM")))</f>
        <v/>
      </c>
    </row>
    <row r="736" hidden="1">
      <c r="A736" s="11" t="n">
        <v>46167</v>
      </c>
      <c r="B736" t="inlineStr">
        <is>
          <t>Carlos Mateus Cassimiro Nunes</t>
        </is>
      </c>
      <c r="C736" t="inlineStr">
        <is>
          <t>Técnico II</t>
        </is>
      </c>
      <c r="D736" t="n">
        <v>23</v>
      </c>
      <c r="E736" t="n">
        <v>23</v>
      </c>
      <c r="F736" t="n">
        <v>20.51</v>
      </c>
      <c r="G736" t="n">
        <v>0</v>
      </c>
      <c r="H736" t="n">
        <v>0</v>
      </c>
      <c r="I736" s="3" t="n">
        <v>0</v>
      </c>
      <c r="J736" s="3" t="n">
        <v>0</v>
      </c>
      <c r="K736" s="3" t="n">
        <v>0</v>
      </c>
      <c r="L736" s="3">
        <f>IF(K736&lt;-5,"CRÍTICO",IF(K736&lt;0,"ATENÇÃO",IF(K736&lt;=5,"OPORTUNO","MUITO BOM")))</f>
        <v/>
      </c>
    </row>
    <row r="737" hidden="1">
      <c r="A737" s="11" t="n">
        <v>46167</v>
      </c>
      <c r="B737" t="inlineStr">
        <is>
          <t>Claudio de Sousa Velasco Filho</t>
        </is>
      </c>
      <c r="C737" t="inlineStr">
        <is>
          <t>Estágio</t>
        </is>
      </c>
      <c r="D737" t="n">
        <v>6</v>
      </c>
      <c r="E737" t="n">
        <v>4</v>
      </c>
      <c r="F737" t="n">
        <v>26.55</v>
      </c>
      <c r="G737" t="n">
        <v>0</v>
      </c>
      <c r="H737" t="n">
        <v>0</v>
      </c>
      <c r="I737" s="3" t="n">
        <v>0</v>
      </c>
      <c r="J737" s="3" t="n">
        <v>0</v>
      </c>
      <c r="K737" s="3" t="n">
        <v>0</v>
      </c>
      <c r="L737" s="3">
        <f>IF(K737&lt;-5,"CRÍTICO",IF(K737&lt;0,"ATENÇÃO",IF(K737&lt;=5,"OPORTUNO","MUITO BOM")))</f>
        <v/>
      </c>
    </row>
    <row r="738" hidden="1">
      <c r="A738" s="11" t="n">
        <v>46167</v>
      </c>
      <c r="B738" t="inlineStr">
        <is>
          <t>Clessiane Pereira dos Santos</t>
        </is>
      </c>
      <c r="C738" t="inlineStr">
        <is>
          <t>Técnico I</t>
        </is>
      </c>
      <c r="D738" t="n">
        <v>11</v>
      </c>
      <c r="E738" t="n">
        <v>11</v>
      </c>
      <c r="F738" t="n">
        <v>15.57</v>
      </c>
      <c r="G738" t="n">
        <v>0</v>
      </c>
      <c r="H738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IF(K738&lt;-5,"CRÍTICO",IF(K738&lt;0,"ATENÇÃO",IF(K738&lt;=5,"OPORTUNO","MUITO BOM")))</f>
        <v/>
      </c>
    </row>
    <row r="739" hidden="1">
      <c r="A739" s="11" t="n">
        <v>46167</v>
      </c>
      <c r="B739" t="inlineStr">
        <is>
          <t>Cristiane Ramos da Silva Rocha</t>
        </is>
      </c>
      <c r="C739" t="inlineStr">
        <is>
          <t>Técnico III</t>
        </is>
      </c>
      <c r="D739" t="n">
        <v>25</v>
      </c>
      <c r="E739" t="n">
        <v>22</v>
      </c>
      <c r="F739" t="n">
        <v>12.25</v>
      </c>
      <c r="G739" t="n">
        <v>0</v>
      </c>
      <c r="H739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</row>
    <row r="740" hidden="1">
      <c r="A740" s="11" t="n">
        <v>46167</v>
      </c>
      <c r="B740" t="inlineStr">
        <is>
          <t>Damyllis Lorraine de Oliveira Gonçalves</t>
        </is>
      </c>
      <c r="C740" t="inlineStr">
        <is>
          <t>Técnico 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IF(K740&lt;-5,"CRÍTICO",IF(K740&lt;0,"ATENÇÃO",IF(K740&lt;=5,"OPORTUNO","MUITO BOM")))</f>
        <v/>
      </c>
    </row>
    <row r="741" hidden="1">
      <c r="A741" s="11" t="n">
        <v>46167</v>
      </c>
      <c r="B741" t="inlineStr">
        <is>
          <t>Daniel Gomes da Silva</t>
        </is>
      </c>
      <c r="C741" t="inlineStr">
        <is>
          <t>Técnico I</t>
        </is>
      </c>
      <c r="D741" t="n">
        <v>28</v>
      </c>
      <c r="E741" t="n">
        <v>25</v>
      </c>
      <c r="F741" t="n">
        <v>13.29</v>
      </c>
      <c r="G741" t="n">
        <v>0</v>
      </c>
      <c r="H741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</row>
    <row r="742" hidden="1">
      <c r="A742" s="11" t="n">
        <v>46167</v>
      </c>
      <c r="B742" t="inlineStr">
        <is>
          <t>Davylla Rodrigues Freitas Silva</t>
        </is>
      </c>
      <c r="C742" t="inlineStr">
        <is>
          <t>Técnico III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s="3" t="n">
        <v>0</v>
      </c>
      <c r="J742" s="3" t="n">
        <v>0</v>
      </c>
      <c r="K742" s="3" t="n">
        <v>0</v>
      </c>
      <c r="L742" s="3">
        <f>IF(K742&lt;-5,"CRÍTICO",IF(K742&lt;0,"ATENÇÃO",IF(K742&lt;=5,"OPORTUNO","MUITO BOM")))</f>
        <v/>
      </c>
    </row>
    <row r="743" hidden="1">
      <c r="A743" s="11" t="n">
        <v>46167</v>
      </c>
      <c r="B743" t="inlineStr">
        <is>
          <t>Emilly Caylane Costa</t>
        </is>
      </c>
      <c r="C743" t="inlineStr">
        <is>
          <t>Estágio</t>
        </is>
      </c>
      <c r="D743" t="n">
        <v>1</v>
      </c>
      <c r="E743" t="n">
        <v>1</v>
      </c>
      <c r="F743" t="n">
        <v>72.06999999999999</v>
      </c>
      <c r="G743" t="n">
        <v>0</v>
      </c>
      <c r="H743" t="n">
        <v>0</v>
      </c>
      <c r="I743" s="3" t="n">
        <v>0</v>
      </c>
      <c r="J743" s="3" t="n">
        <v>0</v>
      </c>
      <c r="K743" s="3" t="n">
        <v>0</v>
      </c>
      <c r="L743" s="3">
        <f>IF(K743&lt;-5,"CRÍTICO",IF(K743&lt;0,"ATENÇÃO",IF(K743&lt;=5,"OPORTUNO","MUITO BOM")))</f>
        <v/>
      </c>
    </row>
    <row r="744" hidden="1">
      <c r="A744" s="11" t="n">
        <v>46167</v>
      </c>
      <c r="B744" t="inlineStr">
        <is>
          <t>Emilly Kamilly Medeiros Miranda</t>
        </is>
      </c>
      <c r="C744" t="inlineStr">
        <is>
          <t>Técnico II</t>
        </is>
      </c>
      <c r="D744" t="n">
        <v>23</v>
      </c>
      <c r="E744" t="n">
        <v>21</v>
      </c>
      <c r="F744" t="n">
        <v>13.4</v>
      </c>
      <c r="G744" t="n">
        <v>0</v>
      </c>
      <c r="H744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IF(K744&lt;-5,"CRÍTICO",IF(K744&lt;0,"ATENÇÃO",IF(K744&lt;=5,"OPORTUNO","MUITO BOM")))</f>
        <v/>
      </c>
    </row>
    <row r="745" hidden="1">
      <c r="A745" s="11" t="n">
        <v>46167</v>
      </c>
      <c r="B745" t="inlineStr">
        <is>
          <t>Francielson de Oliveira</t>
        </is>
      </c>
      <c r="C745" t="inlineStr">
        <is>
          <t>Técnico III</t>
        </is>
      </c>
      <c r="D745" t="n">
        <v>20</v>
      </c>
      <c r="E745" t="n">
        <v>19</v>
      </c>
      <c r="F745" t="n">
        <v>17.3</v>
      </c>
      <c r="G745" t="n">
        <v>0</v>
      </c>
      <c r="H745" t="n">
        <v>0</v>
      </c>
      <c r="I745" s="3" t="n">
        <v>0</v>
      </c>
      <c r="J745" s="3" t="n">
        <v>0</v>
      </c>
      <c r="K745" s="3" t="n">
        <v>0</v>
      </c>
      <c r="L745" s="3">
        <f>IF(K745&lt;-5,"CRÍTICO",IF(K745&lt;0,"ATENÇÃO",IF(K745&lt;=5,"OPORTUNO","MUITO BOM")))</f>
        <v/>
      </c>
    </row>
    <row r="746" hidden="1">
      <c r="A746" s="11" t="n">
        <v>46167</v>
      </c>
      <c r="B746" t="inlineStr">
        <is>
          <t>Francilene Ferreira de Jesus</t>
        </is>
      </c>
      <c r="C746" t="inlineStr">
        <is>
          <t>Técnico 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s="3" t="n">
        <v>0</v>
      </c>
      <c r="J746" s="3" t="n">
        <v>0</v>
      </c>
      <c r="K746" s="3" t="n">
        <v>0</v>
      </c>
      <c r="L746" s="3">
        <f>IF(K746&lt;-5,"CRÍTICO",IF(K746&lt;0,"ATENÇÃO",IF(K746&lt;=5,"OPORTUNO","MUITO BOM")))</f>
        <v/>
      </c>
    </row>
    <row r="747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11" t="n">
        <v>46167</v>
      </c>
      <c r="B749" t="inlineStr">
        <is>
          <t>Isabella Borges de Oliveira</t>
        </is>
      </c>
      <c r="C749" t="inlineStr">
        <is>
          <t>Técnico II</t>
        </is>
      </c>
      <c r="D749" t="n">
        <v>27</v>
      </c>
      <c r="E749" t="n">
        <v>23</v>
      </c>
      <c r="F749" t="n">
        <v>15.42</v>
      </c>
      <c r="G749" t="n">
        <v>0</v>
      </c>
      <c r="H749" t="n">
        <v>0</v>
      </c>
      <c r="I749" s="3" t="n">
        <v>0</v>
      </c>
      <c r="J749" s="3" t="n">
        <v>0</v>
      </c>
      <c r="K749" s="3" t="n">
        <v>0</v>
      </c>
      <c r="L749" s="3">
        <f>IF(K749&lt;-5,"CRÍTICO",IF(K749&lt;0,"ATENÇÃO",IF(K749&lt;=5,"OPORTUNO","MUITO BOM")))</f>
        <v/>
      </c>
    </row>
    <row r="750" hidden="1">
      <c r="A750" s="11" t="n">
        <v>46167</v>
      </c>
      <c r="B750" t="inlineStr">
        <is>
          <t>Janaina Lima dos Reis Urany</t>
        </is>
      </c>
      <c r="C750" t="inlineStr">
        <is>
          <t>Técnico III</t>
        </is>
      </c>
      <c r="D750" t="n">
        <v>22</v>
      </c>
      <c r="E750" t="n">
        <v>21</v>
      </c>
      <c r="F750" t="n">
        <v>17.1</v>
      </c>
      <c r="G750" t="n">
        <v>0</v>
      </c>
      <c r="H750" t="n">
        <v>0</v>
      </c>
      <c r="I750" s="3" t="n">
        <v>0</v>
      </c>
      <c r="J750" s="3" t="n">
        <v>0</v>
      </c>
      <c r="K750" s="3" t="n">
        <v>0</v>
      </c>
      <c r="L750" s="3">
        <f>IF(K750&lt;-5,"CRÍTICO",IF(K750&lt;0,"ATENÇÃO",IF(K750&lt;=5,"OPORTUNO","MUITO BOM")))</f>
        <v/>
      </c>
    </row>
    <row r="751" hidden="1">
      <c r="A751" s="11" t="n">
        <v>46167</v>
      </c>
      <c r="B751" t="inlineStr">
        <is>
          <t>Jaqueline Evangelista da Silva Martins</t>
        </is>
      </c>
      <c r="C751" t="inlineStr">
        <is>
          <t>Técnico III</t>
        </is>
      </c>
      <c r="D751" t="n">
        <v>17</v>
      </c>
      <c r="E751" t="n">
        <v>16</v>
      </c>
      <c r="F751" t="n">
        <v>18.3</v>
      </c>
      <c r="G751" t="n">
        <v>0</v>
      </c>
      <c r="H751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</row>
    <row r="752" hidden="1">
      <c r="A752" s="11" t="n">
        <v>46167</v>
      </c>
      <c r="B752" t="inlineStr">
        <is>
          <t>Jessica Faria da Silveira</t>
        </is>
      </c>
      <c r="C752" t="inlineStr">
        <is>
          <t>Técnico II</t>
        </is>
      </c>
      <c r="D752" t="n">
        <v>21</v>
      </c>
      <c r="E752" t="n">
        <v>17</v>
      </c>
      <c r="F752" t="n">
        <v>17.19</v>
      </c>
      <c r="G752" t="n">
        <v>0</v>
      </c>
      <c r="H752" t="n">
        <v>0</v>
      </c>
      <c r="I752" s="3" t="n">
        <v>0</v>
      </c>
      <c r="J752" s="3" t="n">
        <v>0</v>
      </c>
      <c r="K752" s="3" t="n">
        <v>0</v>
      </c>
      <c r="L752" s="3">
        <f>IF(K752&lt;-5,"CRÍTICO",IF(K752&lt;0,"ATENÇÃO",IF(K752&lt;=5,"OPORTUNO","MUITO BOM")))</f>
        <v/>
      </c>
    </row>
    <row r="753" hidden="1">
      <c r="A753" s="11" t="n">
        <v>46167</v>
      </c>
      <c r="B753" t="inlineStr">
        <is>
          <t>Jéssica Fé Moura</t>
        </is>
      </c>
      <c r="C753" t="inlineStr">
        <is>
          <t>Técnico III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</row>
    <row r="754" hidden="1">
      <c r="A754" s="11" t="n">
        <v>46167</v>
      </c>
      <c r="B754" t="inlineStr">
        <is>
          <t>Karina Gonçalves Martins</t>
        </is>
      </c>
      <c r="C754" t="inlineStr">
        <is>
          <t>JR</t>
        </is>
      </c>
      <c r="D754" t="n">
        <v>14</v>
      </c>
      <c r="E754" t="n">
        <v>13</v>
      </c>
      <c r="F754" t="n">
        <v>14.05</v>
      </c>
      <c r="G754" t="n">
        <v>0</v>
      </c>
      <c r="H754" t="n">
        <v>0</v>
      </c>
      <c r="I754" s="3" t="n">
        <v>0</v>
      </c>
      <c r="J754" s="3" t="n">
        <v>0</v>
      </c>
      <c r="K754" s="3" t="n">
        <v>0</v>
      </c>
      <c r="L754" s="3">
        <f>IF(K754&lt;-5,"CRÍTICO",IF(K754&lt;0,"ATENÇÃO",IF(K754&lt;=5,"OPORTUNO","MUITO BOM")))</f>
        <v/>
      </c>
    </row>
    <row r="755" hidden="1">
      <c r="A755" s="11" t="n">
        <v>46167</v>
      </c>
      <c r="B755" t="inlineStr">
        <is>
          <t>Kerollen Cristielly de Jesus Siqueira</t>
        </is>
      </c>
      <c r="C755" t="inlineStr">
        <is>
          <t>Técnico III</t>
        </is>
      </c>
      <c r="D755" t="n">
        <v>27</v>
      </c>
      <c r="E755" t="n">
        <v>27</v>
      </c>
      <c r="F755" t="n">
        <v>13.4</v>
      </c>
      <c r="G755" t="n">
        <v>0</v>
      </c>
      <c r="H755" t="n">
        <v>0</v>
      </c>
      <c r="I755" s="3" t="n">
        <v>0</v>
      </c>
      <c r="J755" s="3" t="n">
        <v>0</v>
      </c>
      <c r="K755" s="3" t="n">
        <v>0</v>
      </c>
      <c r="L755" s="3">
        <f>IF(K755&lt;-5,"CRÍTICO",IF(K755&lt;0,"ATENÇÃO",IF(K755&lt;=5,"OPORTUNO","MUITO BOM")))</f>
        <v/>
      </c>
    </row>
    <row r="756" hidden="1">
      <c r="A756" s="11" t="n">
        <v>46167</v>
      </c>
      <c r="B756" t="inlineStr">
        <is>
          <t>Leandro de Souza Silva</t>
        </is>
      </c>
      <c r="C756" t="inlineStr">
        <is>
          <t>JR</t>
        </is>
      </c>
      <c r="D756" t="n">
        <v>16</v>
      </c>
      <c r="E756" t="n">
        <v>16</v>
      </c>
      <c r="F756" t="n">
        <v>25.06</v>
      </c>
      <c r="G756" t="n">
        <v>0</v>
      </c>
      <c r="H756" t="n">
        <v>0</v>
      </c>
      <c r="I756" s="3" t="n">
        <v>0</v>
      </c>
      <c r="J756" s="3" t="n">
        <v>0</v>
      </c>
      <c r="K756" s="3" t="n">
        <v>0</v>
      </c>
      <c r="L756" s="3">
        <f>IF(K756&lt;-5,"CRÍTICO",IF(K756&lt;0,"ATENÇÃO",IF(K756&lt;=5,"OPORTUNO","MUITO BOM")))</f>
        <v/>
      </c>
    </row>
    <row r="757" hidden="1">
      <c r="A757" s="11" t="n">
        <v>46167</v>
      </c>
      <c r="B757" t="inlineStr">
        <is>
          <t>Leandro Oliveira de Sousa</t>
        </is>
      </c>
      <c r="C757" t="inlineStr">
        <is>
          <t>Técnico III</t>
        </is>
      </c>
      <c r="D757" t="n">
        <v>26</v>
      </c>
      <c r="E757" t="n">
        <v>24</v>
      </c>
      <c r="F757" t="n">
        <v>16.44</v>
      </c>
      <c r="G757" t="n">
        <v>0</v>
      </c>
      <c r="H757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</row>
    <row r="758" hidden="1">
      <c r="A758" s="11" t="n">
        <v>46167</v>
      </c>
      <c r="B758" t="inlineStr">
        <is>
          <t>Lizandra Gomes Duarte</t>
        </is>
      </c>
      <c r="C758" t="inlineStr">
        <is>
          <t>Técnico II</t>
        </is>
      </c>
      <c r="D758" t="n">
        <v>24</v>
      </c>
      <c r="E758" t="n">
        <v>24</v>
      </c>
      <c r="F758" t="n">
        <v>20.36</v>
      </c>
      <c r="G758" t="n">
        <v>0</v>
      </c>
      <c r="H758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</row>
    <row r="759" hidden="1">
      <c r="A759" s="11" t="n">
        <v>46167</v>
      </c>
      <c r="B759" t="inlineStr">
        <is>
          <t>Lorena Dias de Araujo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s="3" t="n">
        <v>0</v>
      </c>
      <c r="J759" s="3" t="n">
        <v>0</v>
      </c>
      <c r="K759" s="3" t="n">
        <v>0</v>
      </c>
      <c r="L759" s="3">
        <f>IF(K759&lt;-5,"CRÍTICO",IF(K759&lt;0,"ATENÇÃO",IF(K759&lt;=5,"OPORTUNO","MUITO BOM")))</f>
        <v/>
      </c>
    </row>
    <row r="760" hidden="1">
      <c r="A760" s="11" t="n">
        <v>46167</v>
      </c>
      <c r="B760" t="inlineStr">
        <is>
          <t>Lucas Luiz Romero</t>
        </is>
      </c>
      <c r="C760" t="inlineStr">
        <is>
          <t>Técnico III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s="3" t="n">
        <v>0</v>
      </c>
      <c r="J760" s="3" t="n">
        <v>0</v>
      </c>
      <c r="K760" s="3" t="n">
        <v>0</v>
      </c>
      <c r="L760" s="3">
        <f>IF(K760&lt;-5,"CRÍTICO",IF(K760&lt;0,"ATENÇÃO",IF(K760&lt;=5,"OPORTUNO","MUITO BOM")))</f>
        <v/>
      </c>
    </row>
    <row r="761" hidden="1">
      <c r="A761" s="11" t="n">
        <v>46167</v>
      </c>
      <c r="B761" t="inlineStr">
        <is>
          <t>Luiz Fernando de Carvalho Junior</t>
        </is>
      </c>
      <c r="C761" t="inlineStr">
        <is>
          <t>Técnico I</t>
        </is>
      </c>
      <c r="D761" t="n">
        <v>14</v>
      </c>
      <c r="E761" t="n">
        <v>14</v>
      </c>
      <c r="F761" t="n">
        <v>28.35</v>
      </c>
      <c r="G761" t="n">
        <v>0</v>
      </c>
      <c r="H761" t="n">
        <v>0</v>
      </c>
      <c r="I761" s="3" t="n">
        <v>0</v>
      </c>
      <c r="J761" s="3" t="n">
        <v>0</v>
      </c>
      <c r="K761" s="3" t="n">
        <v>0</v>
      </c>
      <c r="L761" s="3">
        <f>IF(K761&lt;-5,"CRÍTICO",IF(K761&lt;0,"ATENÇÃO",IF(K761&lt;=5,"OPORTUNO","MUITO BOM")))</f>
        <v/>
      </c>
    </row>
    <row r="762" hidden="1">
      <c r="A762" s="11" t="n">
        <v>46167</v>
      </c>
      <c r="B762" t="inlineStr">
        <is>
          <t>Maria Eduarda Sousa Costa</t>
        </is>
      </c>
      <c r="C762" t="inlineStr">
        <is>
          <t>Estágio</t>
        </is>
      </c>
      <c r="D762" t="n">
        <v>9</v>
      </c>
      <c r="E762" t="n">
        <v>9</v>
      </c>
      <c r="F762" t="n">
        <v>20.48</v>
      </c>
      <c r="G762" t="n">
        <v>0</v>
      </c>
      <c r="H762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</row>
    <row r="763" hidden="1">
      <c r="A763" s="11" t="n">
        <v>46167</v>
      </c>
      <c r="B763" t="inlineStr">
        <is>
          <t>Matheus Farias De Souza</t>
        </is>
      </c>
      <c r="C763" t="inlineStr">
        <is>
          <t>Técnico III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</row>
    <row r="764" hidden="1">
      <c r="A764" s="11" t="n">
        <v>46167</v>
      </c>
      <c r="B764" t="inlineStr">
        <is>
          <t>Maysa Victoria Dias Moura</t>
        </is>
      </c>
      <c r="C764" t="inlineStr">
        <is>
          <t>Técnico III</t>
        </is>
      </c>
      <c r="D764" t="n">
        <v>25</v>
      </c>
      <c r="E764" t="n">
        <v>24</v>
      </c>
      <c r="F764" t="n">
        <v>17.35</v>
      </c>
      <c r="G764" t="n">
        <v>0</v>
      </c>
      <c r="H764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</row>
    <row r="765" hidden="1">
      <c r="A765" s="11" t="n">
        <v>46167</v>
      </c>
      <c r="B765" t="inlineStr">
        <is>
          <t>Michelle G Santos</t>
        </is>
      </c>
      <c r="C765" t="inlineStr">
        <is>
          <t>Estágio</t>
        </is>
      </c>
      <c r="D765" t="n">
        <v>5</v>
      </c>
      <c r="E765" t="n">
        <v>5</v>
      </c>
      <c r="F765" t="n">
        <v>54.07</v>
      </c>
      <c r="G765" t="n">
        <v>0</v>
      </c>
      <c r="H765" t="n">
        <v>0</v>
      </c>
      <c r="I765" s="3" t="n">
        <v>0</v>
      </c>
      <c r="J765" s="3" t="n">
        <v>0</v>
      </c>
      <c r="K765" s="3" t="n">
        <v>0</v>
      </c>
      <c r="L765" s="3">
        <f>IF(K765&lt;-5,"CRÍTICO",IF(K765&lt;0,"ATENÇÃO",IF(K765&lt;=5,"OPORTUNO","MUITO BOM")))</f>
        <v/>
      </c>
    </row>
    <row r="766" hidden="1">
      <c r="A766" s="11" t="n">
        <v>46167</v>
      </c>
      <c r="B766" t="inlineStr">
        <is>
          <t>Milena Sales</t>
        </is>
      </c>
      <c r="C766" t="inlineStr">
        <is>
          <t>JR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s="3" t="n">
        <v>0</v>
      </c>
      <c r="J766" s="3" t="n">
        <v>0</v>
      </c>
      <c r="K766" s="3" t="n">
        <v>0</v>
      </c>
      <c r="L766" s="3">
        <f>IF(K766&lt;-5,"CRÍTICO",IF(K766&lt;0,"ATENÇÃO",IF(K766&lt;=5,"OPORTUNO","MUITO BOM")))</f>
        <v/>
      </c>
    </row>
    <row r="767" hidden="1">
      <c r="A767" s="11" t="n">
        <v>46167</v>
      </c>
      <c r="B767" t="inlineStr">
        <is>
          <t>Patrícia Karla de Sousa Araújo</t>
        </is>
      </c>
      <c r="C767" t="inlineStr">
        <is>
          <t>Técnico II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s="3" t="n">
        <v>0</v>
      </c>
      <c r="J767" s="3" t="n">
        <v>0</v>
      </c>
      <c r="K767" s="3" t="n">
        <v>0</v>
      </c>
      <c r="L767" s="3">
        <f>IF(K767&lt;-5,"CRÍTICO",IF(K767&lt;0,"ATENÇÃO",IF(K767&lt;=5,"OPORTUNO","MUITO BOM")))</f>
        <v/>
      </c>
    </row>
    <row r="768" hidden="1">
      <c r="A768" s="11" t="n">
        <v>46167</v>
      </c>
      <c r="B768" t="inlineStr">
        <is>
          <t>Paulo Ricardo Santos</t>
        </is>
      </c>
      <c r="C768" t="inlineStr">
        <is>
          <t>JR</t>
        </is>
      </c>
      <c r="D768" t="n">
        <v>16</v>
      </c>
      <c r="E768" t="n">
        <v>16</v>
      </c>
      <c r="F768" t="n">
        <v>21.46</v>
      </c>
      <c r="G768" t="n">
        <v>0</v>
      </c>
      <c r="H768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</row>
    <row r="769" hidden="1">
      <c r="A769" s="11" t="n">
        <v>46167</v>
      </c>
      <c r="B769" t="inlineStr">
        <is>
          <t>Pedro Luiz Mota Sousa</t>
        </is>
      </c>
      <c r="C769" t="inlineStr">
        <is>
          <t>JR</t>
        </is>
      </c>
      <c r="D769" t="n">
        <v>13</v>
      </c>
      <c r="E769" t="n">
        <v>12</v>
      </c>
      <c r="F769" t="n">
        <v>15.01</v>
      </c>
      <c r="G769" t="n">
        <v>0</v>
      </c>
      <c r="H769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</row>
    <row r="770" hidden="1">
      <c r="A770" s="11" t="n">
        <v>46167</v>
      </c>
      <c r="B770" t="inlineStr">
        <is>
          <t>Quirino Diogo Leite Torres</t>
        </is>
      </c>
      <c r="C770" t="inlineStr">
        <is>
          <t>Estágio</t>
        </is>
      </c>
      <c r="D770" t="n">
        <v>17</v>
      </c>
      <c r="E770" t="n">
        <v>17</v>
      </c>
      <c r="F770" t="n">
        <v>32.24</v>
      </c>
      <c r="G770" t="n">
        <v>0</v>
      </c>
      <c r="H770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</row>
    <row r="771" hidden="1">
      <c r="A771" s="11" t="n">
        <v>46167</v>
      </c>
      <c r="B771" t="inlineStr">
        <is>
          <t>Raane Batista Matos</t>
        </is>
      </c>
      <c r="C771" t="inlineStr">
        <is>
          <t>Técnico I</t>
        </is>
      </c>
      <c r="D771" t="n">
        <v>28</v>
      </c>
      <c r="E771" t="n">
        <v>26</v>
      </c>
      <c r="F771" t="n">
        <v>15.04</v>
      </c>
      <c r="G771" t="n">
        <v>0</v>
      </c>
      <c r="H771" t="n">
        <v>0</v>
      </c>
      <c r="I771" s="3" t="n">
        <v>0</v>
      </c>
      <c r="J771" s="3" t="n">
        <v>0</v>
      </c>
      <c r="K771" s="3" t="n">
        <v>0</v>
      </c>
      <c r="L771" s="3">
        <f>IF(K771&lt;-5,"CRÍTICO",IF(K771&lt;0,"ATENÇÃO",IF(K771&lt;=5,"OPORTUNO","MUITO BOM")))</f>
        <v/>
      </c>
    </row>
    <row r="772" hidden="1">
      <c r="A772" s="11" t="n">
        <v>46167</v>
      </c>
      <c r="B772" t="inlineStr">
        <is>
          <t>Rafael Gomes de Morais</t>
        </is>
      </c>
      <c r="C772" t="inlineStr">
        <is>
          <t>Técnico III</t>
        </is>
      </c>
      <c r="D772" t="n">
        <v>27</v>
      </c>
      <c r="E772" t="n">
        <v>24</v>
      </c>
      <c r="F772" t="n">
        <v>13.43</v>
      </c>
      <c r="G772" t="n">
        <v>0</v>
      </c>
      <c r="H772" t="n">
        <v>0</v>
      </c>
      <c r="I772" s="3" t="n">
        <v>0</v>
      </c>
      <c r="J772" s="3" t="n">
        <v>0</v>
      </c>
      <c r="K772" s="3" t="n">
        <v>0</v>
      </c>
      <c r="L772" s="3">
        <f>IF(K772&lt;-5,"CRÍTICO",IF(K772&lt;0,"ATENÇÃO",IF(K772&lt;=5,"OPORTUNO","MUITO BOM")))</f>
        <v/>
      </c>
    </row>
    <row r="773" hidden="1">
      <c r="A773" s="11" t="n">
        <v>46167</v>
      </c>
      <c r="B773" t="inlineStr">
        <is>
          <t>Sara Maria Monteiro Lopes</t>
        </is>
      </c>
      <c r="C773" t="inlineStr">
        <is>
          <t>Técnico I</t>
        </is>
      </c>
      <c r="D773" t="n">
        <v>17</v>
      </c>
      <c r="E773" t="n">
        <v>17</v>
      </c>
      <c r="F773" t="n">
        <v>25.3</v>
      </c>
      <c r="G773" t="n">
        <v>0</v>
      </c>
      <c r="H77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</row>
    <row r="774" hidden="1">
      <c r="A774" s="11" t="n">
        <v>46167</v>
      </c>
      <c r="B774" t="inlineStr">
        <is>
          <t>Sarah Steffanie de Lima Borges</t>
        </is>
      </c>
      <c r="C774" t="inlineStr">
        <is>
          <t>Técnico III</t>
        </is>
      </c>
      <c r="D774" t="n">
        <v>27</v>
      </c>
      <c r="E774" t="n">
        <v>25</v>
      </c>
      <c r="F774" t="n">
        <v>10.34</v>
      </c>
      <c r="G774" t="n">
        <v>0</v>
      </c>
      <c r="H774" t="n">
        <v>0</v>
      </c>
      <c r="I774" s="3" t="n">
        <v>0</v>
      </c>
      <c r="J774" s="3" t="n">
        <v>0</v>
      </c>
      <c r="K774" s="3" t="n">
        <v>0</v>
      </c>
      <c r="L774" s="3">
        <f>IF(K774&lt;-5,"CRÍTICO",IF(K774&lt;0,"ATENÇÃO",IF(K774&lt;=5,"OPORTUNO","MUITO BOM")))</f>
        <v/>
      </c>
    </row>
    <row r="775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0</v>
      </c>
      <c r="E803" t="n">
        <v>0</v>
      </c>
      <c r="F803" t="n">
        <v>0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N863" t="n">
        <v>96.81</v>
      </c>
      <c r="O863" t="n">
        <v>27.98053527980535</v>
      </c>
    </row>
    <row r="864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N864" t="n">
        <v>98.73</v>
      </c>
      <c r="O864" t="n">
        <v>35.75638506876228</v>
      </c>
    </row>
    <row r="865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N865" t="n">
        <v>98.31999999999999</v>
      </c>
      <c r="O865" t="n">
        <v>26.76348547717842</v>
      </c>
    </row>
    <row r="866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N866" t="n">
        <v>99.19</v>
      </c>
      <c r="O866" t="n">
        <v>27.63713080168776</v>
      </c>
    </row>
    <row r="867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N867" t="n">
        <v>100</v>
      </c>
      <c r="O867" t="n">
        <v>39.56834532374101</v>
      </c>
    </row>
    <row r="868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N868" t="n">
        <v>98.54000000000001</v>
      </c>
      <c r="O868" t="n">
        <v>28.54477611940299</v>
      </c>
    </row>
    <row r="869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N869" t="n">
        <v>100</v>
      </c>
      <c r="O869" t="n">
        <v>34.36692506459949</v>
      </c>
    </row>
    <row r="870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N870" t="n">
        <v>0</v>
      </c>
      <c r="O870" t="n">
        <v>0</v>
      </c>
    </row>
    <row r="87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N871" t="n">
        <v>100</v>
      </c>
      <c r="O871" t="n">
        <v>29.51807228915663</v>
      </c>
    </row>
    <row r="872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N872" t="n">
        <v>97.45</v>
      </c>
      <c r="O872" t="n">
        <v>41.421143847487</v>
      </c>
    </row>
    <row r="873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N873" t="n">
        <v>96.58</v>
      </c>
      <c r="O873" t="n">
        <v>30.39647577092511</v>
      </c>
    </row>
    <row r="874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N874" t="n">
        <v>100</v>
      </c>
      <c r="O874" t="n">
        <v>27.44282744282744</v>
      </c>
    </row>
    <row r="875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N875" t="n">
        <v>99.48999999999999</v>
      </c>
      <c r="O875" t="n">
        <v>40.2</v>
      </c>
    </row>
    <row r="876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N876" t="n">
        <v>100</v>
      </c>
      <c r="O876" t="n">
        <v>25</v>
      </c>
    </row>
    <row r="877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N877" t="n">
        <v>100</v>
      </c>
      <c r="O877" t="n">
        <v>34.15094339622641</v>
      </c>
    </row>
    <row r="878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N878" t="n">
        <v>100</v>
      </c>
      <c r="O878" t="n">
        <v>32.7313769751693</v>
      </c>
    </row>
    <row r="879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N879" t="n">
        <v>99.31</v>
      </c>
      <c r="O879" t="n">
        <v>30.96234309623431</v>
      </c>
    </row>
    <row r="880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N881" t="n">
        <v>100</v>
      </c>
      <c r="O881" t="n">
        <v>27.67676767676768</v>
      </c>
    </row>
    <row r="882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N882" t="n">
        <v>100</v>
      </c>
      <c r="O882" t="n">
        <v>31.17723156532988</v>
      </c>
    </row>
    <row r="883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N883" t="n">
        <v>100</v>
      </c>
      <c r="O883" t="n">
        <v>27.60942760942761</v>
      </c>
    </row>
    <row r="884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N884" t="n">
        <v>96.40000000000001</v>
      </c>
      <c r="O884" t="n">
        <v>28.76404494382023</v>
      </c>
    </row>
    <row r="885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N885" t="n">
        <v>100</v>
      </c>
      <c r="O885" t="n">
        <v>33.98058252427185</v>
      </c>
    </row>
    <row r="886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N886" t="n">
        <v>97.56</v>
      </c>
      <c r="O886" t="n">
        <v>32.51533742331289</v>
      </c>
    </row>
    <row r="887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N887" t="n">
        <v>97.11</v>
      </c>
      <c r="O887" t="n">
        <v>37.40831295843521</v>
      </c>
    </row>
    <row r="888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N888" t="n">
        <v>0</v>
      </c>
      <c r="O888" t="n">
        <v>0</v>
      </c>
    </row>
    <row r="889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N889" t="n">
        <v>100</v>
      </c>
      <c r="O889" t="n">
        <v>30.47034764826176</v>
      </c>
    </row>
    <row r="890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N890" t="n">
        <v>100</v>
      </c>
      <c r="O890" t="n">
        <v>32.37113402061856</v>
      </c>
    </row>
    <row r="89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0</v>
      </c>
      <c r="E891" t="n">
        <v>0</v>
      </c>
      <c r="F891" t="n">
        <v>0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N891" t="n">
        <v>98.31999999999999</v>
      </c>
      <c r="O891" t="n">
        <v>32.31850117096019</v>
      </c>
    </row>
    <row r="892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N892" t="n">
        <v>96.43000000000001</v>
      </c>
      <c r="O892" t="n">
        <v>27.01525054466231</v>
      </c>
    </row>
    <row r="893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N893" t="n">
        <v>98.89</v>
      </c>
      <c r="O893" t="n">
        <v>28.02197802197802</v>
      </c>
    </row>
    <row r="894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N894" t="n">
        <v>100</v>
      </c>
      <c r="O894" t="n">
        <v>33.33333333333333</v>
      </c>
    </row>
    <row r="895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N895" t="n">
        <v>100</v>
      </c>
      <c r="O895" t="n">
        <v>27.43362831858407</v>
      </c>
    </row>
    <row r="896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N896" t="n">
        <v>98.65000000000001</v>
      </c>
      <c r="O896" t="n">
        <v>30.97826086956522</v>
      </c>
    </row>
    <row r="897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N897" t="n">
        <v>100</v>
      </c>
      <c r="O897" t="n">
        <v>12</v>
      </c>
    </row>
    <row r="898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N898" t="n">
        <v>0</v>
      </c>
      <c r="O898" t="n">
        <v>0</v>
      </c>
    </row>
    <row r="899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N899" t="n">
        <v>97.56</v>
      </c>
      <c r="O899" t="n">
        <v>31.06796116504854</v>
      </c>
    </row>
    <row r="900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N900" t="n">
        <v>0</v>
      </c>
      <c r="O900" t="n">
        <v>0</v>
      </c>
    </row>
    <row r="90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N901" t="n">
        <v>0</v>
      </c>
      <c r="O901" t="n">
        <v>0</v>
      </c>
    </row>
    <row r="902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N902" t="n">
        <v>0</v>
      </c>
      <c r="O902" t="n">
        <v>0</v>
      </c>
    </row>
    <row r="903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N903" t="n">
        <v>100</v>
      </c>
      <c r="O903" t="n">
        <v>53.84615384615385</v>
      </c>
    </row>
    <row r="904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N904" t="n">
        <v>100</v>
      </c>
      <c r="O904" t="n">
        <v>44.05594405594406</v>
      </c>
    </row>
    <row r="905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N905" t="n">
        <v>100</v>
      </c>
      <c r="O905" t="n">
        <v>31.87250996015936</v>
      </c>
    </row>
    <row r="906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N906" t="n">
        <v>98.41</v>
      </c>
      <c r="O906" t="n">
        <v>29.22465208747515</v>
      </c>
    </row>
    <row r="907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N907" t="n">
        <v>96.81</v>
      </c>
      <c r="O907" t="n">
        <v>27.98053527980535</v>
      </c>
    </row>
    <row r="908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N908" t="n">
        <v>98.73</v>
      </c>
      <c r="O908" t="n">
        <v>35.75638506876228</v>
      </c>
    </row>
    <row r="909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N909" t="n">
        <v>98.31999999999999</v>
      </c>
      <c r="O909" t="n">
        <v>26.76348547717842</v>
      </c>
    </row>
    <row r="910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N910" t="n">
        <v>99.19</v>
      </c>
      <c r="O910" t="n">
        <v>27.63713080168776</v>
      </c>
    </row>
    <row r="91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N911" t="n">
        <v>100</v>
      </c>
      <c r="O911" t="n">
        <v>39.56834532374101</v>
      </c>
    </row>
    <row r="912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N912" t="n">
        <v>98.54000000000001</v>
      </c>
      <c r="O912" t="n">
        <v>28.54477611940299</v>
      </c>
    </row>
    <row r="913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N913" t="n">
        <v>100</v>
      </c>
      <c r="O913" t="n">
        <v>34.36692506459949</v>
      </c>
    </row>
    <row r="914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N914" t="n">
        <v>0</v>
      </c>
      <c r="O914" t="n">
        <v>0</v>
      </c>
    </row>
    <row r="915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N915" t="n">
        <v>100</v>
      </c>
      <c r="O915" t="n">
        <v>29.51807228915663</v>
      </c>
    </row>
    <row r="916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N916" t="n">
        <v>97.45</v>
      </c>
      <c r="O916" t="n">
        <v>41.421143847487</v>
      </c>
    </row>
    <row r="917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N917" t="n">
        <v>96.58</v>
      </c>
      <c r="O917" t="n">
        <v>30.39647577092511</v>
      </c>
    </row>
    <row r="918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N918" t="n">
        <v>100</v>
      </c>
      <c r="O918" t="n">
        <v>27.44282744282744</v>
      </c>
    </row>
    <row r="919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N919" t="n">
        <v>99.48999999999999</v>
      </c>
      <c r="O919" t="n">
        <v>40.2</v>
      </c>
    </row>
    <row r="920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N920" t="n">
        <v>100</v>
      </c>
      <c r="O920" t="n">
        <v>25</v>
      </c>
    </row>
    <row r="92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N921" t="n">
        <v>100</v>
      </c>
      <c r="O921" t="n">
        <v>34.15094339622641</v>
      </c>
    </row>
    <row r="922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N922" t="n">
        <v>100</v>
      </c>
      <c r="O922" t="n">
        <v>32.7313769751693</v>
      </c>
    </row>
    <row r="923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N923" t="n">
        <v>99.31</v>
      </c>
      <c r="O923" t="n">
        <v>30.96234309623431</v>
      </c>
    </row>
    <row r="924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N925" t="n">
        <v>100</v>
      </c>
      <c r="O925" t="n">
        <v>27.67676767676768</v>
      </c>
    </row>
    <row r="926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N926" t="n">
        <v>100</v>
      </c>
      <c r="O926" t="n">
        <v>31.17723156532988</v>
      </c>
    </row>
    <row r="927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N927" t="n">
        <v>100</v>
      </c>
      <c r="O927" t="n">
        <v>27.60942760942761</v>
      </c>
    </row>
    <row r="928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N928" t="n">
        <v>96.40000000000001</v>
      </c>
      <c r="O928" t="n">
        <v>28.76404494382023</v>
      </c>
    </row>
    <row r="929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N929" t="n">
        <v>100</v>
      </c>
      <c r="O929" t="n">
        <v>33.98058252427185</v>
      </c>
    </row>
    <row r="930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N930" t="n">
        <v>97.56</v>
      </c>
      <c r="O930" t="n">
        <v>32.51533742331289</v>
      </c>
    </row>
    <row r="93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N931" t="n">
        <v>97.11</v>
      </c>
      <c r="O931" t="n">
        <v>37.40831295843521</v>
      </c>
    </row>
    <row r="932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N932" t="n">
        <v>0</v>
      </c>
      <c r="O932" t="n">
        <v>0</v>
      </c>
    </row>
    <row r="933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N933" t="n">
        <v>100</v>
      </c>
      <c r="O933" t="n">
        <v>30.47034764826176</v>
      </c>
    </row>
    <row r="934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N934" t="n">
        <v>100</v>
      </c>
      <c r="O934" t="n">
        <v>32.37113402061856</v>
      </c>
    </row>
    <row r="935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N935" t="n">
        <v>98.31999999999999</v>
      </c>
      <c r="O935" t="n">
        <v>32.31850117096019</v>
      </c>
    </row>
    <row r="936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N936" t="n">
        <v>96.43000000000001</v>
      </c>
      <c r="O936" t="n">
        <v>27.01525054466231</v>
      </c>
    </row>
    <row r="937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N937" t="n">
        <v>98.89</v>
      </c>
      <c r="O937" t="n">
        <v>28.02197802197802</v>
      </c>
    </row>
    <row r="938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N938" t="n">
        <v>100</v>
      </c>
      <c r="O938" t="n">
        <v>33.33333333333333</v>
      </c>
    </row>
    <row r="939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N939" t="n">
        <v>100</v>
      </c>
      <c r="O939" t="n">
        <v>27.43362831858407</v>
      </c>
    </row>
    <row r="940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N940" t="n">
        <v>98.65000000000001</v>
      </c>
      <c r="O940" t="n">
        <v>30.97826086956522</v>
      </c>
    </row>
    <row r="94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N941" t="n">
        <v>100</v>
      </c>
      <c r="O941" t="n">
        <v>12</v>
      </c>
    </row>
    <row r="942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N942" t="n">
        <v>0</v>
      </c>
      <c r="O942" t="n">
        <v>0</v>
      </c>
    </row>
    <row r="943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N943" t="n">
        <v>97.56</v>
      </c>
      <c r="O943" t="n">
        <v>31.06796116504854</v>
      </c>
    </row>
    <row r="944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N944" t="n">
        <v>0</v>
      </c>
      <c r="O944" t="n">
        <v>0</v>
      </c>
    </row>
    <row r="945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N945" t="n">
        <v>0</v>
      </c>
      <c r="O945" t="n">
        <v>0</v>
      </c>
    </row>
    <row r="946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N946" t="n">
        <v>0</v>
      </c>
      <c r="O946" t="n">
        <v>0</v>
      </c>
    </row>
    <row r="947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N947" t="n">
        <v>100</v>
      </c>
      <c r="O947" t="n">
        <v>53.84615384615385</v>
      </c>
    </row>
    <row r="948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N948" t="n">
        <v>100</v>
      </c>
      <c r="O948" t="n">
        <v>44.05594405594406</v>
      </c>
    </row>
    <row r="949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N949" t="n">
        <v>100</v>
      </c>
      <c r="O949" t="n">
        <v>31.87250996015936</v>
      </c>
    </row>
    <row r="950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N950" t="n">
        <v>98.41</v>
      </c>
      <c r="O950" t="n">
        <v>29.22465208747515</v>
      </c>
    </row>
    <row r="95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N951" t="n">
        <v>96.81</v>
      </c>
      <c r="O951" t="n">
        <v>27.98053527980535</v>
      </c>
    </row>
    <row r="952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N952" t="n">
        <v>98.73</v>
      </c>
      <c r="O952" t="n">
        <v>35.75638506876228</v>
      </c>
    </row>
    <row r="953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N953" t="n">
        <v>98.31999999999999</v>
      </c>
      <c r="O953" t="n">
        <v>26.76348547717842</v>
      </c>
    </row>
    <row r="954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N954" t="n">
        <v>99.19</v>
      </c>
      <c r="O954" t="n">
        <v>27.63713080168776</v>
      </c>
    </row>
    <row r="955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N955" t="n">
        <v>100</v>
      </c>
      <c r="O955" t="n">
        <v>39.56834532374101</v>
      </c>
    </row>
    <row r="956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N956" t="n">
        <v>98.54000000000001</v>
      </c>
      <c r="O956" t="n">
        <v>28.54477611940299</v>
      </c>
    </row>
    <row r="957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N957" t="n">
        <v>100</v>
      </c>
      <c r="O957" t="n">
        <v>34.36692506459949</v>
      </c>
    </row>
    <row r="958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N958" t="n">
        <v>0</v>
      </c>
      <c r="O958" t="n">
        <v>0</v>
      </c>
    </row>
    <row r="959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N959" t="n">
        <v>100</v>
      </c>
      <c r="O959" t="n">
        <v>29.51807228915663</v>
      </c>
    </row>
    <row r="960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N960" t="n">
        <v>97.45</v>
      </c>
      <c r="O960" t="n">
        <v>41.421143847487</v>
      </c>
    </row>
    <row r="96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0</v>
      </c>
      <c r="E961" t="n">
        <v>0</v>
      </c>
      <c r="F961" t="n">
        <v>0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N961" t="n">
        <v>96.58</v>
      </c>
      <c r="O961" t="n">
        <v>30.39647577092511</v>
      </c>
    </row>
    <row r="962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N962" t="n">
        <v>100</v>
      </c>
      <c r="O962" t="n">
        <v>27.44282744282744</v>
      </c>
    </row>
    <row r="963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N963" t="n">
        <v>99.48999999999999</v>
      </c>
      <c r="O963" t="n">
        <v>40.2</v>
      </c>
    </row>
    <row r="964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N964" t="n">
        <v>100</v>
      </c>
      <c r="O964" t="n">
        <v>25</v>
      </c>
    </row>
    <row r="965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N965" t="n">
        <v>100</v>
      </c>
      <c r="O965" t="n">
        <v>34.15094339622641</v>
      </c>
    </row>
    <row r="966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N966" t="n">
        <v>100</v>
      </c>
      <c r="O966" t="n">
        <v>32.7313769751693</v>
      </c>
    </row>
    <row r="967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N967" t="n">
        <v>99.31</v>
      </c>
      <c r="O967" t="n">
        <v>30.96234309623431</v>
      </c>
    </row>
    <row r="968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N969" t="n">
        <v>100</v>
      </c>
      <c r="O969" t="n">
        <v>27.67676767676768</v>
      </c>
    </row>
    <row r="970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N970" t="n">
        <v>100</v>
      </c>
      <c r="O970" t="n">
        <v>31.17723156532988</v>
      </c>
    </row>
    <row r="97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N971" t="n">
        <v>100</v>
      </c>
      <c r="O971" t="n">
        <v>27.60942760942761</v>
      </c>
    </row>
    <row r="972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N972" t="n">
        <v>96.40000000000001</v>
      </c>
      <c r="O972" t="n">
        <v>28.76404494382023</v>
      </c>
    </row>
    <row r="973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N973" t="n">
        <v>100</v>
      </c>
      <c r="O973" t="n">
        <v>33.98058252427185</v>
      </c>
    </row>
    <row r="974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N974" t="n">
        <v>97.56</v>
      </c>
      <c r="O974" t="n">
        <v>32.51533742331289</v>
      </c>
    </row>
    <row r="975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N975" t="n">
        <v>97.11</v>
      </c>
      <c r="O975" t="n">
        <v>37.40831295843521</v>
      </c>
    </row>
    <row r="976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N976" t="n">
        <v>0</v>
      </c>
      <c r="O976" t="n">
        <v>0</v>
      </c>
    </row>
    <row r="977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N977" t="n">
        <v>100</v>
      </c>
      <c r="O977" t="n">
        <v>30.47034764826176</v>
      </c>
    </row>
    <row r="978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N978" t="n">
        <v>100</v>
      </c>
      <c r="O978" t="n">
        <v>32.37113402061856</v>
      </c>
    </row>
    <row r="979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N979" t="n">
        <v>98.31999999999999</v>
      </c>
      <c r="O979" t="n">
        <v>32.31850117096019</v>
      </c>
    </row>
    <row r="980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N980" t="n">
        <v>96.43000000000001</v>
      </c>
      <c r="O980" t="n">
        <v>27.01525054466231</v>
      </c>
    </row>
    <row r="98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N981" t="n">
        <v>98.89</v>
      </c>
      <c r="O981" t="n">
        <v>28.02197802197802</v>
      </c>
    </row>
    <row r="982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N982" t="n">
        <v>100</v>
      </c>
      <c r="O982" t="n">
        <v>33.33333333333333</v>
      </c>
    </row>
    <row r="983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N983" t="n">
        <v>100</v>
      </c>
      <c r="O983" t="n">
        <v>27.43362831858407</v>
      </c>
    </row>
    <row r="984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N984" t="n">
        <v>98.65000000000001</v>
      </c>
      <c r="O984" t="n">
        <v>30.97826086956522</v>
      </c>
    </row>
    <row r="985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N985" t="n">
        <v>100</v>
      </c>
      <c r="O985" t="n">
        <v>12</v>
      </c>
    </row>
    <row r="986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N986" t="n">
        <v>0</v>
      </c>
      <c r="O986" t="n">
        <v>0</v>
      </c>
    </row>
    <row r="987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N987" t="n">
        <v>97.56</v>
      </c>
      <c r="O987" t="n">
        <v>31.06796116504854</v>
      </c>
    </row>
    <row r="988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N988" t="n">
        <v>0</v>
      </c>
      <c r="O988" t="n">
        <v>0</v>
      </c>
    </row>
    <row r="989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N989" t="n">
        <v>0</v>
      </c>
      <c r="O989" t="n">
        <v>0</v>
      </c>
    </row>
    <row r="990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N990" t="n">
        <v>0</v>
      </c>
      <c r="O990" t="n">
        <v>0</v>
      </c>
    </row>
    <row r="99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N991" t="n">
        <v>100</v>
      </c>
      <c r="O991" t="n">
        <v>53.84615384615385</v>
      </c>
    </row>
    <row r="992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N992" t="n">
        <v>100</v>
      </c>
      <c r="O992" t="n">
        <v>44.05594405594406</v>
      </c>
    </row>
    <row r="993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N993" t="n">
        <v>100</v>
      </c>
      <c r="O993" t="n">
        <v>31.87250996015936</v>
      </c>
    </row>
    <row r="994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N994" t="n">
        <v>98.41</v>
      </c>
      <c r="O994" t="n">
        <v>29.22465208747515</v>
      </c>
    </row>
    <row r="995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N995" t="n">
        <v>96.81</v>
      </c>
      <c r="O995" t="n">
        <v>27.98053527980535</v>
      </c>
    </row>
    <row r="996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N996" t="n">
        <v>98.73</v>
      </c>
      <c r="O996" t="n">
        <v>35.75638506876228</v>
      </c>
    </row>
    <row r="997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N997" t="n">
        <v>98.31999999999999</v>
      </c>
      <c r="O997" t="n">
        <v>26.76348547717842</v>
      </c>
    </row>
    <row r="998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N998" t="n">
        <v>99.19</v>
      </c>
      <c r="O998" t="n">
        <v>27.63713080168776</v>
      </c>
    </row>
    <row r="999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N999" t="n">
        <v>100</v>
      </c>
      <c r="O999" t="n">
        <v>39.56834532374101</v>
      </c>
    </row>
    <row r="1000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N1000" t="n">
        <v>98.54000000000001</v>
      </c>
      <c r="O1000" t="n">
        <v>28.54477611940299</v>
      </c>
    </row>
    <row r="100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N1001" t="n">
        <v>100</v>
      </c>
      <c r="O1001" t="n">
        <v>34.36692506459949</v>
      </c>
    </row>
    <row r="1002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N1002" t="n">
        <v>0</v>
      </c>
      <c r="O1002" t="n">
        <v>0</v>
      </c>
    </row>
    <row r="1003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N1003" t="n">
        <v>100</v>
      </c>
      <c r="O1003" t="n">
        <v>29.51807228915663</v>
      </c>
    </row>
    <row r="1004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N1004" t="n">
        <v>97.45</v>
      </c>
      <c r="O1004" t="n">
        <v>41.421143847487</v>
      </c>
    </row>
    <row r="1005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N1005" t="n">
        <v>96.58</v>
      </c>
      <c r="O1005" t="n">
        <v>30.39647577092511</v>
      </c>
    </row>
    <row r="1006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N1006" t="n">
        <v>100</v>
      </c>
      <c r="O1006" t="n">
        <v>27.44282744282744</v>
      </c>
    </row>
    <row r="1007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N1007" t="n">
        <v>99.48999999999999</v>
      </c>
      <c r="O1007" t="n">
        <v>40.2</v>
      </c>
    </row>
    <row r="1008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N1008" t="n">
        <v>100</v>
      </c>
      <c r="O1008" t="n">
        <v>25</v>
      </c>
    </row>
    <row r="1009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N1009" t="n">
        <v>100</v>
      </c>
      <c r="O1009" t="n">
        <v>34.15094339622641</v>
      </c>
    </row>
    <row r="1010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N1010" t="n">
        <v>100</v>
      </c>
      <c r="O1010" t="n">
        <v>32.7313769751693</v>
      </c>
    </row>
    <row r="101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N1011" t="n">
        <v>99.31</v>
      </c>
      <c r="O1011" t="n">
        <v>30.96234309623431</v>
      </c>
    </row>
    <row r="1012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N1013" t="n">
        <v>100</v>
      </c>
      <c r="O1013" t="n">
        <v>27.67676767676768</v>
      </c>
    </row>
    <row r="1014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N1014" t="n">
        <v>100</v>
      </c>
      <c r="O1014" t="n">
        <v>31.17723156532988</v>
      </c>
    </row>
    <row r="1015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N1015" t="n">
        <v>100</v>
      </c>
      <c r="O1015" t="n">
        <v>27.60942760942761</v>
      </c>
    </row>
    <row r="1016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N1016" t="n">
        <v>96.40000000000001</v>
      </c>
      <c r="O1016" t="n">
        <v>28.76404494382023</v>
      </c>
    </row>
    <row r="1017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N1017" t="n">
        <v>100</v>
      </c>
      <c r="O1017" t="n">
        <v>33.98058252427185</v>
      </c>
    </row>
    <row r="1018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N1018" t="n">
        <v>97.56</v>
      </c>
      <c r="O1018" t="n">
        <v>32.51533742331289</v>
      </c>
    </row>
    <row r="1019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N1019" t="n">
        <v>97.11</v>
      </c>
      <c r="O1019" t="n">
        <v>37.40831295843521</v>
      </c>
    </row>
    <row r="1020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N1020" t="n">
        <v>0</v>
      </c>
      <c r="O1020" t="n">
        <v>0</v>
      </c>
    </row>
    <row r="102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N1021" t="n">
        <v>100</v>
      </c>
      <c r="O1021" t="n">
        <v>30.47034764826176</v>
      </c>
    </row>
    <row r="1022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N1022" t="n">
        <v>100</v>
      </c>
      <c r="O1022" t="n">
        <v>32.37113402061856</v>
      </c>
    </row>
    <row r="1023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N1023" t="n">
        <v>98.31999999999999</v>
      </c>
      <c r="O1023" t="n">
        <v>32.31850117096019</v>
      </c>
    </row>
    <row r="1024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N1024" t="n">
        <v>96.43000000000001</v>
      </c>
      <c r="O1024" t="n">
        <v>27.01525054466231</v>
      </c>
    </row>
    <row r="1025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N1025" t="n">
        <v>98.89</v>
      </c>
      <c r="O1025" t="n">
        <v>28.02197802197802</v>
      </c>
    </row>
    <row r="1026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N1026" t="n">
        <v>100</v>
      </c>
      <c r="O1026" t="n">
        <v>33.33333333333333</v>
      </c>
    </row>
    <row r="1027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N1027" t="n">
        <v>100</v>
      </c>
      <c r="O1027" t="n">
        <v>27.43362831858407</v>
      </c>
    </row>
    <row r="1028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N1028" t="n">
        <v>98.65000000000001</v>
      </c>
      <c r="O1028" t="n">
        <v>30.97826086956522</v>
      </c>
    </row>
    <row r="1029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N1029" t="n">
        <v>100</v>
      </c>
      <c r="O1029" t="n">
        <v>12</v>
      </c>
    </row>
    <row r="1030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N1030" t="n">
        <v>0</v>
      </c>
      <c r="O1030" t="n">
        <v>0</v>
      </c>
    </row>
    <row r="103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N1031" t="n">
        <v>97.56</v>
      </c>
      <c r="O1031" t="n">
        <v>31.06796116504854</v>
      </c>
    </row>
    <row r="1032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N1032" t="n">
        <v>0</v>
      </c>
      <c r="O1032" t="n">
        <v>0</v>
      </c>
    </row>
    <row r="1033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N1033" t="n">
        <v>0</v>
      </c>
      <c r="O1033" t="n">
        <v>0</v>
      </c>
    </row>
    <row r="1034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N1034" t="n">
        <v>0</v>
      </c>
      <c r="O1034" t="n">
        <v>0</v>
      </c>
    </row>
    <row r="1035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N1035" t="n">
        <v>100</v>
      </c>
      <c r="O1035" t="n">
        <v>53.84615384615385</v>
      </c>
    </row>
    <row r="1036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N1036" t="n">
        <v>100</v>
      </c>
      <c r="O1036" t="n">
        <v>44.05594405594406</v>
      </c>
    </row>
    <row r="1037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N1037" t="n">
        <v>100</v>
      </c>
      <c r="O1037" t="n">
        <v>31.87250996015936</v>
      </c>
    </row>
    <row r="1038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N1038" t="n">
        <v>98.41</v>
      </c>
      <c r="O1038" t="n">
        <v>29.22465208747515</v>
      </c>
    </row>
    <row r="1039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1" t="n">
        <v>46140</v>
      </c>
      <c r="B3300" t="inlineStr">
        <is>
          <t>Gabriel Gomes de Andrade</t>
        </is>
      </c>
      <c r="C3300" t="inlineStr">
        <is>
          <t>Técnico I</t>
        </is>
      </c>
      <c r="D3300" t="n">
        <v>9</v>
      </c>
      <c r="E3300" t="n">
        <v>5</v>
      </c>
      <c r="F3300" t="n">
        <v>10.29</v>
      </c>
      <c r="G3300" t="n">
        <v>0</v>
      </c>
      <c r="H3300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N3300" t="n">
        <v>99.28</v>
      </c>
      <c r="O3300" t="n">
        <v>27.68924302788844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1" t="n">
        <v>46141</v>
      </c>
      <c r="B3344" t="inlineStr">
        <is>
          <t>Gabriel Gomes de Andrade</t>
        </is>
      </c>
      <c r="C3344" t="inlineStr">
        <is>
          <t>Técnico 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s="3" t="n">
        <v>0</v>
      </c>
      <c r="J3344" s="3" t="n">
        <v>0</v>
      </c>
      <c r="K3344" s="3" t="n">
        <v>0</v>
      </c>
      <c r="L3344" s="3">
        <f>IF(K3344&lt;-5,"CRÍTICO",IF(K3344&lt;0,"ATENÇÃO",IF(K3344&lt;=5,"OPORTUNO","MUITO BOM")))</f>
        <v/>
      </c>
      <c r="N3344" t="n">
        <v>99.28</v>
      </c>
      <c r="O3344" t="n">
        <v>27.68924302788844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1" t="n">
        <v>46142</v>
      </c>
      <c r="B3388" t="inlineStr">
        <is>
          <t>Gabriel Gomes de Andrade</t>
        </is>
      </c>
      <c r="C3388" t="inlineStr">
        <is>
          <t>Técnico I</t>
        </is>
      </c>
      <c r="D3388" t="n">
        <v>3</v>
      </c>
      <c r="E3388" t="n">
        <v>3</v>
      </c>
      <c r="F3388" t="n">
        <v>15.05</v>
      </c>
      <c r="G3388" t="n">
        <v>0</v>
      </c>
      <c r="H3388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N3388" t="n">
        <v>99.28</v>
      </c>
      <c r="O3388" t="n">
        <v>27.68924302788844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5" t="n">
        <v>46146</v>
      </c>
      <c r="B3432" s="6" t="inlineStr">
        <is>
          <t>Gabriel Gomes de Andrade</t>
        </is>
      </c>
      <c r="C3432" s="3" t="inlineStr">
        <is>
          <t>Técnico I</t>
        </is>
      </c>
      <c r="D3432" s="3" t="n">
        <v>24</v>
      </c>
      <c r="E3432" s="3" t="n">
        <v>20</v>
      </c>
      <c r="F3432" s="3" t="n">
        <v>21.45</v>
      </c>
      <c r="G3432" s="3" t="n">
        <v>7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9" t="n">
        <v>22</v>
      </c>
      <c r="N3432" s="9" t="n">
        <v>98.8</v>
      </c>
      <c r="O3432" s="9" t="n">
        <v>15.41353383458646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5" t="n">
        <v>46147</v>
      </c>
      <c r="B3476" s="6" t="inlineStr">
        <is>
          <t>Gabriel Gomes de Andrade</t>
        </is>
      </c>
      <c r="C3476" s="3" t="inlineStr">
        <is>
          <t>Técnico I</t>
        </is>
      </c>
      <c r="D3476" s="3" t="n">
        <v>13</v>
      </c>
      <c r="E3476" s="3" t="n">
        <v>12</v>
      </c>
      <c r="F3476" s="3" t="n">
        <v>17.15</v>
      </c>
      <c r="G3476" s="3" t="n">
        <v>9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12</v>
      </c>
      <c r="N3476" s="3" t="n">
        <v>98.8</v>
      </c>
      <c r="O3476" s="3" t="n">
        <v>15.41353383458646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5" t="n">
        <v>46148</v>
      </c>
      <c r="B3520" s="6" t="inlineStr">
        <is>
          <t>Gabriel Gomes de Andrade</t>
        </is>
      </c>
      <c r="C3520" s="3" t="inlineStr">
        <is>
          <t>Técnico I</t>
        </is>
      </c>
      <c r="D3520" s="3" t="n">
        <v>23</v>
      </c>
      <c r="E3520" s="3" t="n">
        <v>22</v>
      </c>
      <c r="F3520" t="n">
        <v>20.21</v>
      </c>
      <c r="G3520" s="3" t="n">
        <v>9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24</v>
      </c>
      <c r="N3520" s="3" t="n">
        <v>98.8</v>
      </c>
      <c r="O3520" s="3" t="n">
        <v>15.41353383458646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5" t="n">
        <v>46149</v>
      </c>
      <c r="B3564" s="6" t="inlineStr">
        <is>
          <t>Gabriel Gomes de Andrade</t>
        </is>
      </c>
      <c r="C3564" s="3" t="inlineStr">
        <is>
          <t>Técnico I</t>
        </is>
      </c>
      <c r="D3564" s="3" t="n">
        <v>26</v>
      </c>
      <c r="E3564" s="3" t="n">
        <v>26</v>
      </c>
      <c r="F3564" t="n">
        <v>18.46</v>
      </c>
      <c r="G3564" s="3" t="n">
        <v>2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24</v>
      </c>
      <c r="N3564" s="3" t="n">
        <v>98.8</v>
      </c>
      <c r="O3564" s="3" t="n">
        <v>15.41353383458646</v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5" t="n">
        <v>46150</v>
      </c>
      <c r="B3608" s="6" t="inlineStr">
        <is>
          <t>Gabriel Alves</t>
        </is>
      </c>
      <c r="C3608" s="3" t="inlineStr">
        <is>
          <t>Estágio</t>
        </is>
      </c>
      <c r="D3608" s="3" t="n">
        <v>46</v>
      </c>
      <c r="E3608" s="3" t="n">
        <v>42</v>
      </c>
      <c r="F3608" t="n">
        <v>5.38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t="n">
        <v>0</v>
      </c>
      <c r="N3608" t="n">
        <v>100</v>
      </c>
      <c r="O3608" t="n">
        <v>14.28571428571428</v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5" t="n">
        <v>46150</v>
      </c>
      <c r="B3652" s="6" t="inlineStr">
        <is>
          <t>Gabriel Gomes de Andrade</t>
        </is>
      </c>
      <c r="C3652" s="3" t="inlineStr">
        <is>
          <t>Técnico 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9" t="n">
        <v>0</v>
      </c>
      <c r="N3652" s="9" t="n">
        <v>98.8</v>
      </c>
      <c r="O3652" s="9" t="n">
        <v>15.41353383458646</v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5" t="n">
        <v>46153</v>
      </c>
      <c r="B3696" s="6" t="inlineStr">
        <is>
          <t>Gabriel Gomes de Andrade</t>
        </is>
      </c>
      <c r="C3696" s="3" t="inlineStr">
        <is>
          <t>Técnico I</t>
        </is>
      </c>
      <c r="D3696" s="3" t="n">
        <v>25</v>
      </c>
      <c r="E3696" s="3" t="n">
        <v>22</v>
      </c>
      <c r="F3696" t="n">
        <v>17.3</v>
      </c>
      <c r="G3696" s="3" t="n">
        <v>5</v>
      </c>
      <c r="H3696" s="3" t="n">
        <v>0</v>
      </c>
      <c r="I3696" s="3">
        <f>E3696+G3696+H3696</f>
        <v/>
      </c>
      <c r="J3696" s="3">
        <f>ROUND(MIN(IF(C3696="Técnico III",35,IF(C3696="Técnico II",28,IF(C3696="Técnico I",23,IF(C3696="JR",20,IF(C3696="Estágio",10,0))))),IF(C3696="Técnico III",SUMIFS($D:$D,$A:$A,$A3696,$B:$B,"&lt;&gt;Patrícia Karla de Sousa Araújo",$B:$B,"&lt;&gt;Lorena Dias de Araujo",$B:$B,"&lt;&gt;Lucas Luiz Romero")*(35/1083),IF(C3696="Técnico II",SUMIFS($D:$D,$A:$A,$A3696,$B:$B,"&lt;&gt;Patrícia Karla de Sousa Araújo",$B:$B,"&lt;&gt;Lorena Dias de Araujo",$B:$B,"&lt;&gt;Lucas Luiz Romero")*(28/1083),IF(C3696="Técnico I",SUMIFS($D:$D,$A:$A,$A3696,$B:$B,"&lt;&gt;Patrícia Karla de Sousa Araújo",$B:$B,"&lt;&gt;Lorena Dias de Araujo",$B:$B,"&lt;&gt;Lucas Luiz Romero")*(23/1083),IF(C3696="JR",SUMIFS($D:$D,$A:$A,$A3696,$B:$B,"&lt;&gt;Patrícia Karla de Sousa Araújo",$B:$B,"&lt;&gt;Lorena Dias de Araujo",$B:$B,"&lt;&gt;Lucas Luiz Romero")*(20/1083),IF(C3696="Estágio",SUMIFS($D:$D,$A:$A,$A3696,$B:$B,"&lt;&gt;Patrícia Karla de Sousa Araújo",$B:$B,"&lt;&gt;Lorena Dias de Araujo",$B:$B,"&lt;&gt;Lucas Luiz Romero")*(10/1083),0)))))),0)</f>
        <v/>
      </c>
      <c r="K3696" s="3">
        <f>I3696-J3696</f>
        <v/>
      </c>
      <c r="L3696" s="3">
        <f>IF(K3696&lt;-5,"CRÍTICO",IF(K3696&lt;0,"ATENÇÃO",IF(K3696&lt;=5,"OPORTUNO","MUITO BOM")))</f>
        <v/>
      </c>
      <c r="M3696" t="n">
        <v>23</v>
      </c>
      <c r="N3696" t="n">
        <v>98.8</v>
      </c>
      <c r="O3696" t="n">
        <v>15.41353383458646</v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5" t="n">
        <v>46154</v>
      </c>
      <c r="B3740" s="6" t="inlineStr">
        <is>
          <t>Gabriel Gomes de Andrade</t>
        </is>
      </c>
      <c r="C3740" s="3" t="inlineStr">
        <is>
          <t>Técnico I</t>
        </is>
      </c>
      <c r="D3740" s="3" t="n">
        <v>17</v>
      </c>
      <c r="E3740" s="3" t="n">
        <v>17</v>
      </c>
      <c r="F3740" t="n">
        <v>17.17</v>
      </c>
      <c r="H3740" s="3" t="n">
        <v>7</v>
      </c>
      <c r="I3740" s="3">
        <f>E3740+G3740+H3740</f>
        <v/>
      </c>
      <c r="J3740" s="3">
        <f>ROUND(MIN(IF(C3740="Técnico III",35,IF(C3740="Técnico II",28,IF(C3740="Técnico I",23,IF(C3740="JR",20,IF(C3740="Estágio",10,0))))),IF(C3740="Técnico III",SUMIFS($D:$D,$A:$A,$A3740,$B:$B,"&lt;&gt;Patrícia Karla de Sousa Araújo",$B:$B,"&lt;&gt;Lorena Dias de Araujo",$B:$B,"&lt;&gt;Lucas Luiz Romero")*(35/1083),IF(C3740="Técnico II",SUMIFS($D:$D,$A:$A,$A3740,$B:$B,"&lt;&gt;Patrícia Karla de Sousa Araújo",$B:$B,"&lt;&gt;Lorena Dias de Araujo",$B:$B,"&lt;&gt;Lucas Luiz Romero")*(28/1083),IF(C3740="Técnico I",SUMIFS($D:$D,$A:$A,$A3740,$B:$B,"&lt;&gt;Patrícia Karla de Sousa Araújo",$B:$B,"&lt;&gt;Lorena Dias de Araujo",$B:$B,"&lt;&gt;Lucas Luiz Romero")*(23/1083),IF(C3740="JR",SUMIFS($D:$D,$A:$A,$A3740,$B:$B,"&lt;&gt;Patrícia Karla de Sousa Araújo",$B:$B,"&lt;&gt;Lorena Dias de Araujo",$B:$B,"&lt;&gt;Lucas Luiz Romero")*(20/1083),IF(C3740="Estágio",SUMIFS($D:$D,$A:$A,$A3740,$B:$B,"&lt;&gt;Patrícia Karla de Sousa Araújo",$B:$B,"&lt;&gt;Lorena Dias de Araujo",$B:$B,"&lt;&gt;Lucas Luiz Romero")*(10/1083),0)))))),0)</f>
        <v/>
      </c>
      <c r="K3740" s="3">
        <f>I3740-J3740</f>
        <v/>
      </c>
      <c r="L3740" s="3">
        <f>IF(K3740&lt;-5,"CRÍTICO",IF(K3740&lt;0,"ATENÇÃO",IF(K3740&lt;=5,"OPORTUNO","MUITO BOM")))</f>
        <v/>
      </c>
      <c r="M3740" t="n">
        <v>24</v>
      </c>
      <c r="N3740" t="n">
        <v>98.8</v>
      </c>
      <c r="O3740" t="n">
        <v>15.41353383458646</v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5" t="n">
        <v>46155</v>
      </c>
      <c r="B3784" s="6" t="inlineStr">
        <is>
          <t>Gabriel Gomes de Andrade</t>
        </is>
      </c>
      <c r="C3784" s="3" t="inlineStr">
        <is>
          <t>Técnico I</t>
        </is>
      </c>
      <c r="D3784" s="3" t="n">
        <v>20</v>
      </c>
      <c r="E3784" s="3" t="n">
        <v>16</v>
      </c>
      <c r="F3784" t="n">
        <v>23.26</v>
      </c>
      <c r="G3784" s="3" t="n">
        <v>11</v>
      </c>
      <c r="H3784" s="3" t="n">
        <v>7</v>
      </c>
      <c r="I3784" s="3">
        <f>E3784+G3784+H3784</f>
        <v/>
      </c>
      <c r="J3784" s="3">
        <f>ROUND(MIN(IF(C3784="Técnico III",35,IF(C3784="Técnico II",28,IF(C3784="Técnico I",23,IF(C3784="JR",20,IF(C3784="Estágio",10,0))))),IF(C3784="Técnico III",SUMIFS($D:$D,$A:$A,$A3784,$B:$B,"&lt;&gt;Patrícia Karla de Sousa Araújo",$B:$B,"&lt;&gt;Lorena Dias de Araujo",$B:$B,"&lt;&gt;Lucas Luiz Romero")*(35/1083),IF(C3784="Técnico II",SUMIFS($D:$D,$A:$A,$A3784,$B:$B,"&lt;&gt;Patrícia Karla de Sousa Araújo",$B:$B,"&lt;&gt;Lorena Dias de Araujo",$B:$B,"&lt;&gt;Lucas Luiz Romero")*(28/1083),IF(C3784="Técnico I",SUMIFS($D:$D,$A:$A,$A3784,$B:$B,"&lt;&gt;Patrícia Karla de Sousa Araújo",$B:$B,"&lt;&gt;Lorena Dias de Araujo",$B:$B,"&lt;&gt;Lucas Luiz Romero")*(23/1083),IF(C3784="JR",SUMIFS($D:$D,$A:$A,$A3784,$B:$B,"&lt;&gt;Patrícia Karla de Sousa Araújo",$B:$B,"&lt;&gt;Lorena Dias de Araujo",$B:$B,"&lt;&gt;Lucas Luiz Romero")*(20/1083),IF(C3784="Estágio",SUMIFS($D:$D,$A:$A,$A3784,$B:$B,"&lt;&gt;Patrícia Karla de Sousa Araújo",$B:$B,"&lt;&gt;Lorena Dias de Araujo",$B:$B,"&lt;&gt;Lucas Luiz Romero")*(10/1083),0)))))),0)</f>
        <v/>
      </c>
      <c r="K3784" s="3">
        <f>I3784-J3784</f>
        <v/>
      </c>
      <c r="L3784" s="3">
        <f>IF(K3784&lt;-5,"CRÍTICO",IF(K3784&lt;0,"ATENÇÃO",IF(K3784&lt;=5,"OPORTUNO","MUITO BOM")))</f>
        <v/>
      </c>
      <c r="M3784" t="n">
        <v>18</v>
      </c>
      <c r="N3784" t="n">
        <v>98.8</v>
      </c>
      <c r="O3784" t="n">
        <v>15.41353383458646</v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5" t="n">
        <v>46156</v>
      </c>
      <c r="B3828" s="6" t="inlineStr">
        <is>
          <t>Gabriel Gomes de Andrade</t>
        </is>
      </c>
      <c r="C3828" s="3" t="inlineStr">
        <is>
          <t>Técnico I</t>
        </is>
      </c>
      <c r="D3828" s="3" t="n">
        <v>19</v>
      </c>
      <c r="E3828" s="3" t="n">
        <v>18</v>
      </c>
      <c r="F3828" t="n">
        <v>22.29</v>
      </c>
      <c r="G3828" s="3" t="n">
        <v>0</v>
      </c>
      <c r="H3828" s="3" t="n">
        <v>5</v>
      </c>
      <c r="I3828" s="3">
        <f>E3828+G3828+H3828</f>
        <v/>
      </c>
      <c r="J3828" s="3">
        <f>ROUND(MIN(IF(C3828="Técnico III",35,IF(C3828="Técnico II",28,IF(C3828="Técnico I",23,IF(C3828="JR",20,IF(C3828="Estágio",10,0))))),IF(C3828="Técnico III",SUMIFS($D:$D,$A:$A,$A3828,$B:$B,"&lt;&gt;Patrícia Karla de Sousa Araújo",$B:$B,"&lt;&gt;Lorena Dias de Araujo",$B:$B,"&lt;&gt;Lucas Luiz Romero")*(35/1083),IF(C3828="Técnico II",SUMIFS($D:$D,$A:$A,$A3828,$B:$B,"&lt;&gt;Patrícia Karla de Sousa Araújo",$B:$B,"&lt;&gt;Lorena Dias de Araujo",$B:$B,"&lt;&gt;Lucas Luiz Romero")*(28/1083),IF(C3828="Técnico I",SUMIFS($D:$D,$A:$A,$A3828,$B:$B,"&lt;&gt;Patrícia Karla de Sousa Araújo",$B:$B,"&lt;&gt;Lorena Dias de Araujo",$B:$B,"&lt;&gt;Lucas Luiz Romero")*(23/1083),IF(C3828="JR",SUMIFS($D:$D,$A:$A,$A3828,$B:$B,"&lt;&gt;Patrícia Karla de Sousa Araújo",$B:$B,"&lt;&gt;Lorena Dias de Araujo",$B:$B,"&lt;&gt;Lucas Luiz Romero")*(20/1083),IF(C3828="Estágio",SUMIFS($D:$D,$A:$A,$A3828,$B:$B,"&lt;&gt;Patrícia Karla de Sousa Araújo",$B:$B,"&lt;&gt;Lorena Dias de Araujo",$B:$B,"&lt;&gt;Lucas Luiz Romero")*(10/1083),0)))))),0)</f>
        <v/>
      </c>
      <c r="K3828" s="3">
        <f>I3828-J3828</f>
        <v/>
      </c>
      <c r="L3828" s="3">
        <f>IF(K3828&lt;-5,"CRÍTICO",IF(K3828&lt;0,"ATENÇÃO",IF(K3828&lt;=5,"OPORTUNO","MUITO BOM")))</f>
        <v/>
      </c>
      <c r="M3828" t="n">
        <v>23</v>
      </c>
      <c r="N3828" t="n">
        <v>98.8</v>
      </c>
      <c r="O3828" t="n">
        <v>15.41353383458646</v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5" t="n">
        <v>46157</v>
      </c>
      <c r="B3872" s="6" t="inlineStr">
        <is>
          <t>Gabriel Gomes de Andrade</t>
        </is>
      </c>
      <c r="C3872" s="3" t="inlineStr">
        <is>
          <t>Técnico I</t>
        </is>
      </c>
      <c r="D3872" s="3" t="n">
        <v>19</v>
      </c>
      <c r="E3872" s="3" t="n">
        <v>16</v>
      </c>
      <c r="F3872" t="n">
        <v>16.56</v>
      </c>
      <c r="G3872" s="3" t="n">
        <v>6</v>
      </c>
      <c r="H3872" s="3" t="n">
        <v>1</v>
      </c>
      <c r="I3872" s="3">
        <f>E3872+G3872+H3872</f>
        <v/>
      </c>
      <c r="J3872" s="3">
        <f>ROUND(MIN(IF(C3872="Técnico III",35,IF(C3872="Técnico II",28,IF(C3872="Técnico I",23,IF(C3872="JR",20,IF(C3872="Estágio",10,0))))),IF(C3872="Técnico III",SUMIFS($D:$D,$A:$A,$A3872,$B:$B,"&lt;&gt;Patrícia Karla de Sousa Araújo",$B:$B,"&lt;&gt;Lorena Dias de Araujo",$B:$B,"&lt;&gt;Lucas Luiz Romero")*(35/1083),IF(C3872="Técnico II",SUMIFS($D:$D,$A:$A,$A3872,$B:$B,"&lt;&gt;Patrícia Karla de Sousa Araújo",$B:$B,"&lt;&gt;Lorena Dias de Araujo",$B:$B,"&lt;&gt;Lucas Luiz Romero")*(28/1083),IF(C3872="Técnico I",SUMIFS($D:$D,$A:$A,$A3872,$B:$B,"&lt;&gt;Patrícia Karla de Sousa Araújo",$B:$B,"&lt;&gt;Lorena Dias de Araujo",$B:$B,"&lt;&gt;Lucas Luiz Romero")*(23/1083),IF(C3872="JR",SUMIFS($D:$D,$A:$A,$A3872,$B:$B,"&lt;&gt;Patrícia Karla de Sousa Araújo",$B:$B,"&lt;&gt;Lorena Dias de Araujo",$B:$B,"&lt;&gt;Lucas Luiz Romero")*(20/1083),IF(C3872="Estágio",SUMIFS($D:$D,$A:$A,$A3872,$B:$B,"&lt;&gt;Patrícia Karla de Sousa Araújo",$B:$B,"&lt;&gt;Lorena Dias de Araujo",$B:$B,"&lt;&gt;Lucas Luiz Romero")*(10/1083),0)))))),0)</f>
        <v/>
      </c>
      <c r="K3872" s="3">
        <f>I3872-J3872</f>
        <v/>
      </c>
      <c r="L3872" s="3">
        <f>IF(K3872&lt;-5,"CRÍTICO",IF(K3872&lt;0,"ATENÇÃO",IF(K3872&lt;=5,"OPORTUNO","MUITO BOM")))</f>
        <v/>
      </c>
      <c r="M3872" t="n">
        <v>15</v>
      </c>
      <c r="N3872" t="n">
        <v>98.8</v>
      </c>
      <c r="O3872" t="n">
        <v>15.41353383458646</v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5" t="n">
        <v>46157</v>
      </c>
      <c r="B3916" s="6" t="inlineStr">
        <is>
          <t>Gabriel Alves</t>
        </is>
      </c>
      <c r="C3916" s="3" t="inlineStr">
        <is>
          <t>Estágio</t>
        </is>
      </c>
      <c r="D3916" s="3" t="n">
        <v>4</v>
      </c>
      <c r="E3916" s="3" t="n">
        <v>4</v>
      </c>
      <c r="F3916" t="n">
        <v>55.52</v>
      </c>
      <c r="G3916" s="3" t="n">
        <v>0</v>
      </c>
      <c r="H3916" s="3" t="n">
        <v>0</v>
      </c>
      <c r="I3916" s="3">
        <f>E3916+G3916+H3916</f>
        <v/>
      </c>
      <c r="J3916" s="3">
        <f>ROUND(MIN(IF(C3916="Técnico III",35,IF(C3916="Técnico II",28,IF(C3916="Técnico I",23,IF(C3916="JR",20,IF(C3916="Estágio",10,0))))),IF(C3916="Técnico III",SUMIFS($D:$D,$A:$A,$A3916,$B:$B,"&lt;&gt;Patrícia Karla de Sousa Araújo",$B:$B,"&lt;&gt;Lorena Dias de Araujo",$B:$B,"&lt;&gt;Lucas Luiz Romero")*(35/1083),IF(C3916="Técnico II",SUMIFS($D:$D,$A:$A,$A3916,$B:$B,"&lt;&gt;Patrícia Karla de Sousa Araújo",$B:$B,"&lt;&gt;Lorena Dias de Araujo",$B:$B,"&lt;&gt;Lucas Luiz Romero")*(28/1083),IF(C3916="Técnico I",SUMIFS($D:$D,$A:$A,$A3916,$B:$B,"&lt;&gt;Patrícia Karla de Sousa Araújo",$B:$B,"&lt;&gt;Lorena Dias de Araujo",$B:$B,"&lt;&gt;Lucas Luiz Romero")*(23/1083),IF(C3916="JR",SUMIFS($D:$D,$A:$A,$A3916,$B:$B,"&lt;&gt;Patrícia Karla de Sousa Araújo",$B:$B,"&lt;&gt;Lorena Dias de Araujo",$B:$B,"&lt;&gt;Lucas Luiz Romero")*(20/1083),IF(C3916="Estágio",SUMIFS($D:$D,$A:$A,$A3916,$B:$B,"&lt;&gt;Patrícia Karla de Sousa Araújo",$B:$B,"&lt;&gt;Lorena Dias de Araujo",$B:$B,"&lt;&gt;Lucas Luiz Romero")*(10/1083),0)))))),0)</f>
        <v/>
      </c>
      <c r="K3916" s="3">
        <f>I3916-J3916</f>
        <v/>
      </c>
      <c r="L3916" s="3">
        <f>IF(K3916&lt;-5,"CRÍTICO",IF(K3916&lt;0,"ATENÇÃO",IF(K3916&lt;=5,"OPORTUNO","MUITO BOM")))</f>
        <v/>
      </c>
      <c r="M3916" t="n">
        <v>3</v>
      </c>
      <c r="N3916" t="n">
        <v>100</v>
      </c>
      <c r="O3916" t="n">
        <v>14.28571428571428</v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5" t="n">
        <v>46160</v>
      </c>
      <c r="B3960" s="6" t="inlineStr">
        <is>
          <t>Gabriel Gomes de Andrade</t>
        </is>
      </c>
      <c r="C3960" s="3" t="inlineStr">
        <is>
          <t>Técnico I</t>
        </is>
      </c>
      <c r="D3960" s="3" t="n">
        <v>21</v>
      </c>
      <c r="E3960" s="3" t="n">
        <v>18</v>
      </c>
      <c r="F3960" t="n">
        <v>20.22</v>
      </c>
      <c r="G3960" s="3" t="n">
        <v>6</v>
      </c>
      <c r="H3960" s="3" t="n">
        <v>1</v>
      </c>
      <c r="I3960" s="3">
        <f>E3960+G3960+H3960</f>
        <v/>
      </c>
      <c r="J3960" s="3">
        <f>ROUND(MIN(IF(C3960="Técnico III",35,IF(C3960="Técnico II",28,IF(C3960="Técnico I",23,IF(C3960="JR",20,IF(C3960="Estágio",10,0))))),IF(C3960="Técnico III",SUMIFS($D:$D,$A:$A,$A3960,$B:$B,"&lt;&gt;Patrícia Karla de Sousa Araújo",$B:$B,"&lt;&gt;Lorena Dias de Araujo",$B:$B,"&lt;&gt;Lucas Luiz Romero")*(35/1083),IF(C3960="Técnico II",SUMIFS($D:$D,$A:$A,$A3960,$B:$B,"&lt;&gt;Patrícia Karla de Sousa Araújo",$B:$B,"&lt;&gt;Lorena Dias de Araujo",$B:$B,"&lt;&gt;Lucas Luiz Romero")*(28/1083),IF(C3960="Técnico I",SUMIFS($D:$D,$A:$A,$A3960,$B:$B,"&lt;&gt;Patrícia Karla de Sousa Araújo",$B:$B,"&lt;&gt;Lorena Dias de Araujo",$B:$B,"&lt;&gt;Lucas Luiz Romero")*(23/1083),IF(C3960="JR",SUMIFS($D:$D,$A:$A,$A3960,$B:$B,"&lt;&gt;Patrícia Karla de Sousa Araújo",$B:$B,"&lt;&gt;Lorena Dias de Araujo",$B:$B,"&lt;&gt;Lucas Luiz Romero")*(20/1083),IF(C3960="Estágio",SUMIFS($D:$D,$A:$A,$A3960,$B:$B,"&lt;&gt;Patrícia Karla de Sousa Araújo",$B:$B,"&lt;&gt;Lorena Dias de Araujo",$B:$B,"&lt;&gt;Lucas Luiz Romero")*(10/1083),0)))))),0)</f>
        <v/>
      </c>
      <c r="K3960" s="3">
        <f>I3960-J3960</f>
        <v/>
      </c>
      <c r="L3960" s="3">
        <f>IF(K3960&lt;-5,"CRÍTICO",IF(K3960&lt;0,"ATENÇÃO",IF(K3960&lt;=5,"OPORTUNO","MUITO BOM")))</f>
        <v/>
      </c>
      <c r="M3960" t="n">
        <v>18</v>
      </c>
      <c r="N3960" t="n">
        <v>98.8</v>
      </c>
      <c r="O3960" t="n">
        <v>15.41353383458646</v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5" t="n">
        <v>46160</v>
      </c>
      <c r="B4004" s="6" t="inlineStr">
        <is>
          <t>Gabriel Alves</t>
        </is>
      </c>
      <c r="C4004" s="3" t="inlineStr">
        <is>
          <t>Estágio</t>
        </is>
      </c>
      <c r="D4004" s="3" t="n">
        <v>2</v>
      </c>
      <c r="E4004" s="3" t="n">
        <v>2</v>
      </c>
      <c r="F4004" t="n">
        <v>170.55</v>
      </c>
      <c r="G4004" s="3" t="n">
        <v>0</v>
      </c>
      <c r="H4004" s="3" t="n">
        <v>0</v>
      </c>
      <c r="I4004" s="3">
        <f>E4004+G4004+H4004</f>
        <v/>
      </c>
      <c r="J4004" s="3">
        <f>ROUND(MIN(IF(C4004="Técnico III",35,IF(C4004="Técnico II",28,IF(C4004="Técnico I",23,IF(C4004="JR",20,IF(C4004="Estágio",10,0))))),IF(C4004="Técnico III",SUMIFS($D:$D,$A:$A,$A4004,$B:$B,"&lt;&gt;Patrícia Karla de Sousa Araújo",$B:$B,"&lt;&gt;Lorena Dias de Araujo",$B:$B,"&lt;&gt;Lucas Luiz Romero")*(35/1083),IF(C4004="Técnico II",SUMIFS($D:$D,$A:$A,$A4004,$B:$B,"&lt;&gt;Patrícia Karla de Sousa Araújo",$B:$B,"&lt;&gt;Lorena Dias de Araujo",$B:$B,"&lt;&gt;Lucas Luiz Romero")*(28/1083),IF(C4004="Técnico I",SUMIFS($D:$D,$A:$A,$A4004,$B:$B,"&lt;&gt;Patrícia Karla de Sousa Araújo",$B:$B,"&lt;&gt;Lorena Dias de Araujo",$B:$B,"&lt;&gt;Lucas Luiz Romero")*(23/1083),IF(C4004="JR",SUMIFS($D:$D,$A:$A,$A4004,$B:$B,"&lt;&gt;Patrícia Karla de Sousa Araújo",$B:$B,"&lt;&gt;Lorena Dias de Araujo",$B:$B,"&lt;&gt;Lucas Luiz Romero")*(20/1083),IF(C4004="Estágio",SUMIFS($D:$D,$A:$A,$A4004,$B:$B,"&lt;&gt;Patrícia Karla de Sousa Araújo",$B:$B,"&lt;&gt;Lorena Dias de Araujo",$B:$B,"&lt;&gt;Lucas Luiz Romero")*(10/1083),0)))))),0)</f>
        <v/>
      </c>
      <c r="K4004" s="3">
        <f>I4004-J4004</f>
        <v/>
      </c>
      <c r="L4004" s="3">
        <f>IF(K4004&lt;-5,"CRÍTICO",IF(K4004&lt;0,"ATENÇÃO",IF(K4004&lt;=5,"OPORTUNO","MUITO BOM")))</f>
        <v/>
      </c>
      <c r="M4004" t="n">
        <v>2</v>
      </c>
      <c r="N4004" t="n">
        <v>100</v>
      </c>
      <c r="O4004" t="n">
        <v>14.28571428571428</v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7" t="n">
        <v>46161</v>
      </c>
      <c r="B4048" s="8" t="inlineStr">
        <is>
          <t>Gabriel Alves</t>
        </is>
      </c>
      <c r="C4048" s="9" t="inlineStr">
        <is>
          <t>Estágio</t>
        </is>
      </c>
      <c r="D4048" s="3" t="n">
        <v>4</v>
      </c>
      <c r="E4048" s="3" t="n">
        <v>4</v>
      </c>
      <c r="F4048" t="n">
        <v>56.44</v>
      </c>
      <c r="G4048" s="3" t="n">
        <v>0</v>
      </c>
      <c r="H4048" s="3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M4048" t="n">
        <v>3</v>
      </c>
      <c r="N4048" t="n">
        <v>100</v>
      </c>
      <c r="O4048" t="n">
        <v>14.28571428571428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7" t="n">
        <v>46161</v>
      </c>
      <c r="B4092" s="8" t="inlineStr">
        <is>
          <t>Gabriel Gomes de Andrade</t>
        </is>
      </c>
      <c r="C4092" s="9" t="inlineStr">
        <is>
          <t>Técnico I</t>
        </is>
      </c>
      <c r="D4092" s="3" t="n">
        <v>19</v>
      </c>
      <c r="E4092" s="3" t="n">
        <v>18</v>
      </c>
      <c r="F4092" t="n">
        <v>21.58</v>
      </c>
      <c r="G4092" s="3" t="n">
        <v>3</v>
      </c>
      <c r="H4092" s="3" t="n">
        <v>3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M4092" t="n">
        <v>20</v>
      </c>
      <c r="N4092" t="n">
        <v>98.8</v>
      </c>
      <c r="O4092" t="n">
        <v>15.41353383458646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7" t="n">
        <v>46162</v>
      </c>
      <c r="B4136" s="8" t="inlineStr">
        <is>
          <t>Gabriel Alves</t>
        </is>
      </c>
      <c r="C4136" s="9" t="inlineStr">
        <is>
          <t>Estágio</t>
        </is>
      </c>
      <c r="D4136" s="3" t="n">
        <v>7</v>
      </c>
      <c r="E4136" s="3" t="n">
        <v>7</v>
      </c>
      <c r="F4136" s="3" t="n">
        <v>37.06</v>
      </c>
      <c r="G4136" s="3" t="n">
        <v>0</v>
      </c>
      <c r="H4136" s="3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M4136" s="9" t="n">
        <v>6</v>
      </c>
      <c r="N4136" s="9" t="n">
        <v>100</v>
      </c>
      <c r="O4136" s="9" t="n">
        <v>14.28571428571428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7" t="n">
        <v>46162</v>
      </c>
      <c r="B4180" s="8" t="inlineStr">
        <is>
          <t>Gabriel Gomes de Andrade</t>
        </is>
      </c>
      <c r="C4180" s="9" t="inlineStr">
        <is>
          <t>Técnico I</t>
        </is>
      </c>
      <c r="D4180" s="3" t="n">
        <v>26</v>
      </c>
      <c r="E4180" s="3" t="n">
        <v>20</v>
      </c>
      <c r="F4180" s="3" t="n">
        <v>15.09</v>
      </c>
      <c r="G4180" s="3" t="n">
        <v>5</v>
      </c>
      <c r="H4180" s="3" t="n">
        <v>2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s="9" t="n">
        <v>21</v>
      </c>
      <c r="N4180" s="9" t="n">
        <v>98.8</v>
      </c>
      <c r="O4180" s="9" t="n">
        <v>15.41353383458646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5" t="n">
        <v>46163</v>
      </c>
      <c r="B4224" s="6" t="inlineStr">
        <is>
          <t>Gabriel Alves</t>
        </is>
      </c>
      <c r="C4224" s="3" t="inlineStr">
        <is>
          <t>Estágio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100</v>
      </c>
      <c r="O4224" s="3" t="n">
        <v>14.28571428571428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5" t="n">
        <v>46163</v>
      </c>
      <c r="B4268" s="6" t="inlineStr">
        <is>
          <t>Gabriel Gomes de Andrade</t>
        </is>
      </c>
      <c r="C4268" s="3" t="inlineStr">
        <is>
          <t>Técnico I</t>
        </is>
      </c>
      <c r="D4268" s="3" t="n">
        <v>16</v>
      </c>
      <c r="E4268" s="3" t="n">
        <v>15</v>
      </c>
      <c r="F4268" s="3" t="n">
        <v>25.07</v>
      </c>
      <c r="G4268" s="3" t="n">
        <v>3</v>
      </c>
      <c r="H4268" s="3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s="3" t="n">
        <v>15</v>
      </c>
      <c r="N4268" s="3" t="n">
        <v>98.8</v>
      </c>
      <c r="O4268" s="3" t="n">
        <v>15.41353383458646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0" t="n">
        <v>46164</v>
      </c>
      <c r="B4312" s="6" t="inlineStr">
        <is>
          <t>Gabriel Alves</t>
        </is>
      </c>
      <c r="C4312" s="3" t="inlineStr">
        <is>
          <t>Estágio</t>
        </is>
      </c>
      <c r="D4312" s="3" t="n">
        <v>0</v>
      </c>
      <c r="E4312" s="3" t="n">
        <v>0</v>
      </c>
      <c r="F4312" s="3" t="n">
        <v>0</v>
      </c>
      <c r="G4312" s="3" t="n">
        <v>0</v>
      </c>
      <c r="H4312" s="3" t="n">
        <v>0</v>
      </c>
      <c r="I4312" s="3" t="n">
        <v>0</v>
      </c>
      <c r="J4312" s="3" t="n">
        <v>0</v>
      </c>
      <c r="K4312" s="3" t="n">
        <v>0</v>
      </c>
      <c r="L4312" s="3">
        <f>IF(K4312&lt;-5,"CRÍTICO",IF(K4312&lt;0,"ATENÇÃO",IF(K4312&lt;=5,"OPORTUNO","MUITO BOM")))</f>
        <v/>
      </c>
      <c r="M4312" s="3" t="n">
        <v>0</v>
      </c>
      <c r="N4312" s="3" t="n">
        <v>100</v>
      </c>
      <c r="O4312" s="3" t="n">
        <v>14.28571428571428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Alisson de Freitas Silva</t>
        </is>
      </c>
      <c r="C4339" t="inlineStr">
        <is>
          <t>Técnico II</t>
        </is>
      </c>
      <c r="D4339" t="n">
        <v>53</v>
      </c>
      <c r="E4339" t="n">
        <v>46</v>
      </c>
      <c r="F4339" t="n">
        <v>10.58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100</v>
      </c>
      <c r="O4339" t="n">
        <v>32.76450511945392</v>
      </c>
    </row>
    <row r="4340" hidden="1">
      <c r="A4340" s="11" t="n">
        <v>46140</v>
      </c>
      <c r="B4340" t="inlineStr">
        <is>
          <t>Amanda Moura Ferreira</t>
        </is>
      </c>
      <c r="C4340" t="inlineStr">
        <is>
          <t>Técnico III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s="3" t="n">
        <v>0</v>
      </c>
      <c r="J4340" s="3" t="n">
        <v>0</v>
      </c>
      <c r="K4340" s="3" t="n">
        <v>0</v>
      </c>
      <c r="L4340" s="3">
        <f>IF(K4340&lt;-5,"CRÍTICO",IF(K4340&lt;0,"ATENÇÃO",IF(K4340&lt;=5,"OPORTUNO","MUITO BOM")))</f>
        <v/>
      </c>
      <c r="N4340" t="n">
        <v>98.66</v>
      </c>
      <c r="O4340" t="n">
        <v>35.15625</v>
      </c>
    </row>
    <row r="4341" hidden="1">
      <c r="A4341" s="11" t="n">
        <v>46140</v>
      </c>
      <c r="B4341" t="inlineStr">
        <is>
          <t>Ana Karollyne Souza Faria</t>
        </is>
      </c>
      <c r="C4341" t="inlineStr">
        <is>
          <t>Técnico I</t>
        </is>
      </c>
      <c r="D4341" t="n">
        <v>26</v>
      </c>
      <c r="E4341" t="n">
        <v>24</v>
      </c>
      <c r="F4341" t="n">
        <v>19.19</v>
      </c>
      <c r="G4341" t="n">
        <v>0</v>
      </c>
      <c r="H4341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N4341" t="n">
        <v>99.31999999999999</v>
      </c>
      <c r="O4341" t="n">
        <v>30.45186640471513</v>
      </c>
    </row>
    <row r="4342" hidden="1">
      <c r="A4342" s="11" t="n">
        <v>46140</v>
      </c>
      <c r="B4342" t="inlineStr">
        <is>
          <t>Ana Paula Da Luz Silva Aleixo</t>
        </is>
      </c>
      <c r="C4342" t="inlineStr">
        <is>
          <t>Técnico III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100</v>
      </c>
      <c r="O4342" t="n">
        <v>27.80373831775701</v>
      </c>
    </row>
    <row r="4343" hidden="1">
      <c r="A4343" s="11" t="n">
        <v>46140</v>
      </c>
      <c r="B4343" t="inlineStr">
        <is>
          <t>Anna Luiza Rezende Tavares</t>
        </is>
      </c>
      <c r="C4343" t="inlineStr">
        <is>
          <t>Estágio</t>
        </is>
      </c>
      <c r="D4343" t="n">
        <v>27</v>
      </c>
      <c r="E4343" t="n">
        <v>27</v>
      </c>
      <c r="F4343" t="n">
        <v>20.5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96.73999999999999</v>
      </c>
      <c r="O4343" t="n">
        <v>28.43137254901961</v>
      </c>
    </row>
    <row r="4344" hidden="1">
      <c r="A4344" s="11" t="n">
        <v>46140</v>
      </c>
      <c r="B4344" t="inlineStr">
        <is>
          <t>Brenda de Menezes Silva</t>
        </is>
      </c>
      <c r="C4344" t="inlineStr">
        <is>
          <t>Técnico II</t>
        </is>
      </c>
      <c r="D4344" t="n">
        <v>34</v>
      </c>
      <c r="E4344" t="n">
        <v>34</v>
      </c>
      <c r="F4344" t="n">
        <v>13.45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46140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25.57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46140</v>
      </c>
      <c r="B4346" t="inlineStr">
        <is>
          <t>Claudio de Sousa Velasco Filho</t>
        </is>
      </c>
      <c r="C4346" t="inlineStr">
        <is>
          <t>Estágio</t>
        </is>
      </c>
      <c r="D4346" t="n">
        <v>10</v>
      </c>
      <c r="E4346" t="n">
        <v>9</v>
      </c>
      <c r="F4346" t="n">
        <v>13.36</v>
      </c>
      <c r="G4346" t="n">
        <v>0</v>
      </c>
      <c r="H4346" t="n">
        <v>0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N4346" t="n">
        <v>100</v>
      </c>
      <c r="O4346" t="n">
        <v>23.13432835820895</v>
      </c>
    </row>
    <row r="4347" hidden="1">
      <c r="A4347" s="11" t="n">
        <v>46140</v>
      </c>
      <c r="B4347" t="inlineStr">
        <is>
          <t>Clessiane Pereira dos Santos</t>
        </is>
      </c>
      <c r="C4347" t="inlineStr">
        <is>
          <t>Técnico I</t>
        </is>
      </c>
      <c r="D4347" t="n">
        <v>27</v>
      </c>
      <c r="E4347" t="n">
        <v>26</v>
      </c>
      <c r="F4347" t="n">
        <v>15.4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96.3</v>
      </c>
      <c r="O4347" t="n">
        <v>31.98090692124105</v>
      </c>
    </row>
    <row r="4348" hidden="1">
      <c r="A4348" s="11" t="n">
        <v>46140</v>
      </c>
      <c r="B4348" t="inlineStr">
        <is>
          <t>Cristiane Ramos da Silva Rocha</t>
        </is>
      </c>
      <c r="C4348" t="inlineStr">
        <is>
          <t>Técnico III</t>
        </is>
      </c>
      <c r="D4348" t="n">
        <v>28</v>
      </c>
      <c r="E4348" t="n">
        <v>24</v>
      </c>
      <c r="F4348" t="n">
        <v>15.03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93.75</v>
      </c>
      <c r="O4348" t="n">
        <v>26.62835249042146</v>
      </c>
    </row>
    <row r="4349" hidden="1">
      <c r="A4349" s="11" t="n">
        <v>46140</v>
      </c>
      <c r="B4349" t="inlineStr">
        <is>
          <t>Damyllis Lorraine de Oliveira Gonçalves</t>
        </is>
      </c>
      <c r="C4349" t="inlineStr">
        <is>
          <t>Técnico 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s="3" t="n">
        <v>0</v>
      </c>
      <c r="J4349" s="3" t="n">
        <v>0</v>
      </c>
      <c r="K4349" s="3" t="n">
        <v>0</v>
      </c>
      <c r="L4349" s="3">
        <f>IF(K4349&lt;-5,"CRÍTICO",IF(K4349&lt;0,"ATENÇÃO",IF(K4349&lt;=5,"OPORTUNO","MUITO BOM")))</f>
        <v/>
      </c>
      <c r="N4349" t="n">
        <v>97.86</v>
      </c>
      <c r="O4349" t="n">
        <v>31.01851851851852</v>
      </c>
    </row>
    <row r="4350" hidden="1">
      <c r="A4350" s="11" t="n">
        <v>46140</v>
      </c>
      <c r="B4350" t="inlineStr">
        <is>
          <t>Daniel Gomes da Silva</t>
        </is>
      </c>
      <c r="C4350" t="inlineStr">
        <is>
          <t>Técnico I</t>
        </is>
      </c>
      <c r="D4350" t="n">
        <v>17</v>
      </c>
      <c r="E4350" t="n">
        <v>17</v>
      </c>
      <c r="F4350" t="n">
        <v>17.23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100</v>
      </c>
      <c r="O4350" t="n">
        <v>36.23188405797102</v>
      </c>
    </row>
    <row r="4351" hidden="1">
      <c r="A4351" s="11" t="n">
        <v>46140</v>
      </c>
      <c r="B4351" t="inlineStr">
        <is>
          <t>Davylla Rodrigues Freitas Silva</t>
        </is>
      </c>
      <c r="C4351" t="inlineStr">
        <is>
          <t>Técnico III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N4351" t="n">
        <v>100</v>
      </c>
      <c r="O4351" t="n">
        <v>38.26923076923077</v>
      </c>
    </row>
    <row r="4352" hidden="1">
      <c r="A4352" s="11" t="n">
        <v>46140</v>
      </c>
      <c r="B4352" t="inlineStr">
        <is>
          <t>Emilly Caylane Costa</t>
        </is>
      </c>
      <c r="C4352" t="inlineStr">
        <is>
          <t>Estágio</t>
        </is>
      </c>
      <c r="D4352" t="n">
        <v>8</v>
      </c>
      <c r="E4352" t="n">
        <v>6</v>
      </c>
      <c r="F4352" t="n">
        <v>39.18</v>
      </c>
      <c r="G4352" t="n">
        <v>0</v>
      </c>
      <c r="H4352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N4352" t="n">
        <v>100</v>
      </c>
      <c r="O4352" t="n">
        <v>27.36842105263158</v>
      </c>
    </row>
    <row r="4353" hidden="1">
      <c r="A4353" s="11" t="n">
        <v>46140</v>
      </c>
      <c r="B4353" t="inlineStr">
        <is>
          <t>Emilly Kamilly Medeiros Miranda</t>
        </is>
      </c>
      <c r="C4353" t="inlineStr">
        <is>
          <t>Técnico II</t>
        </is>
      </c>
      <c r="D4353" t="n">
        <v>27</v>
      </c>
      <c r="E4353" t="n">
        <v>27</v>
      </c>
      <c r="F4353" t="n">
        <v>18.35</v>
      </c>
      <c r="G4353" t="n">
        <v>0</v>
      </c>
      <c r="H435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N4353" t="n">
        <v>97.83</v>
      </c>
      <c r="O4353" t="n">
        <v>28.13186813186813</v>
      </c>
    </row>
    <row r="4354" hidden="1">
      <c r="A4354" s="11" t="n">
        <v>46140</v>
      </c>
      <c r="B4354" t="inlineStr">
        <is>
          <t>Francielson de Oliveira</t>
        </is>
      </c>
      <c r="C4354" t="inlineStr">
        <is>
          <t>Técnico III</t>
        </is>
      </c>
      <c r="D4354" t="n">
        <v>32</v>
      </c>
      <c r="E4354" t="n">
        <v>31</v>
      </c>
      <c r="F4354" t="n">
        <v>18.49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99.26000000000001</v>
      </c>
      <c r="O4354" t="n">
        <v>29.57198443579767</v>
      </c>
    </row>
    <row r="4355" hidden="1">
      <c r="A4355" s="11" t="n">
        <v>46140</v>
      </c>
      <c r="B4355" t="inlineStr">
        <is>
          <t>Francilene Ferreira de Jesus</t>
        </is>
      </c>
      <c r="C4355" t="inlineStr">
        <is>
          <t>Técnico II</t>
        </is>
      </c>
      <c r="D4355" t="n">
        <v>29</v>
      </c>
      <c r="E4355" t="n">
        <v>25</v>
      </c>
      <c r="F4355" t="n">
        <v>20.23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99.19</v>
      </c>
      <c r="O4355" t="n">
        <v>29.46236559139785</v>
      </c>
    </row>
    <row r="4356" hidden="1">
      <c r="A4356" s="10" t="n">
        <v>46164</v>
      </c>
      <c r="B4356" s="6" t="inlineStr">
        <is>
          <t>Gabriel Gomes de Andrade</t>
        </is>
      </c>
      <c r="C4356" s="3" t="inlineStr">
        <is>
          <t>Técnico I</t>
        </is>
      </c>
      <c r="D4356" s="3" t="n">
        <v>8</v>
      </c>
      <c r="E4356" s="3" t="n">
        <v>7</v>
      </c>
      <c r="F4356" s="3" t="n">
        <v>18.34</v>
      </c>
      <c r="G4356" s="3" t="n">
        <v>0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7</v>
      </c>
      <c r="N4356" s="3" t="n">
        <v>98.8</v>
      </c>
      <c r="O4356" s="3" t="n">
        <v>15.41353383458646</v>
      </c>
    </row>
    <row r="4357" hidden="1">
      <c r="A4357" s="11" t="n">
        <v>46140</v>
      </c>
      <c r="B4357" t="inlineStr">
        <is>
          <t>Isabella Borges de Oliveira</t>
        </is>
      </c>
      <c r="C4357" t="inlineStr">
        <is>
          <t>Técnico II</t>
        </is>
      </c>
      <c r="D4357" t="n">
        <v>37</v>
      </c>
      <c r="E4357" t="n">
        <v>36</v>
      </c>
      <c r="F4357" t="n">
        <v>15.51</v>
      </c>
      <c r="G4357" t="n">
        <v>0</v>
      </c>
      <c r="H4357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N4357" t="n">
        <v>100</v>
      </c>
      <c r="O4357" t="n">
        <v>27.94117647058824</v>
      </c>
    </row>
    <row r="4358" hidden="1">
      <c r="A4358" s="11" t="n">
        <v>46140</v>
      </c>
      <c r="B4358" t="inlineStr">
        <is>
          <t>Janaina Lima dos Reis Urany</t>
        </is>
      </c>
      <c r="C4358" t="inlineStr">
        <is>
          <t>Técnico III</t>
        </is>
      </c>
      <c r="D4358" t="n">
        <v>38</v>
      </c>
      <c r="E4358" t="n">
        <v>35</v>
      </c>
      <c r="F4358" t="n">
        <v>16.57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99.56999999999999</v>
      </c>
      <c r="O4358" t="n">
        <v>29.91329479768786</v>
      </c>
    </row>
    <row r="4359" hidden="1">
      <c r="A4359" s="11" t="n">
        <v>46140</v>
      </c>
      <c r="B4359" t="inlineStr">
        <is>
          <t>Jaqueline Evangelista da Silva Martins</t>
        </is>
      </c>
      <c r="C4359" t="inlineStr">
        <is>
          <t>Técnico III</t>
        </is>
      </c>
      <c r="D4359" t="n">
        <v>28</v>
      </c>
      <c r="E4359" t="n">
        <v>28</v>
      </c>
      <c r="F4359" t="n">
        <v>14.08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95.65000000000001</v>
      </c>
      <c r="O4359" t="n">
        <v>31.08108108108108</v>
      </c>
    </row>
    <row r="4360" hidden="1">
      <c r="A4360" s="11" t="n">
        <v>46140</v>
      </c>
      <c r="B4360" t="inlineStr">
        <is>
          <t>Jessica Faria da Silveira</t>
        </is>
      </c>
      <c r="C4360" t="inlineStr">
        <is>
          <t>Técnico II</t>
        </is>
      </c>
      <c r="D4360" t="n">
        <v>29</v>
      </c>
      <c r="E4360" t="n">
        <v>25</v>
      </c>
      <c r="F4360" t="n">
        <v>17.3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98.81</v>
      </c>
      <c r="O4360" t="n">
        <v>26.25698324022346</v>
      </c>
    </row>
    <row r="4361" hidden="1">
      <c r="A4361" s="11" t="n">
        <v>46140</v>
      </c>
      <c r="B4361" t="inlineStr">
        <is>
          <t>Jéssica Fé Moura</t>
        </is>
      </c>
      <c r="C4361" t="inlineStr">
        <is>
          <t>Técnico III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s="3" t="n">
        <v>0</v>
      </c>
      <c r="J4361" s="3" t="n">
        <v>0</v>
      </c>
      <c r="K4361" s="3" t="n">
        <v>0</v>
      </c>
      <c r="L4361" s="3">
        <f>IF(K4361&lt;-5,"CRÍTICO",IF(K4361&lt;0,"ATENÇÃO",IF(K4361&lt;=5,"OPORTUNO","MUITO BOM")))</f>
        <v/>
      </c>
      <c r="N4361" t="n">
        <v>0</v>
      </c>
      <c r="O4361" t="n">
        <v>0</v>
      </c>
    </row>
    <row r="4362" hidden="1">
      <c r="A4362" s="11" t="n">
        <v>46140</v>
      </c>
      <c r="B4362" t="inlineStr">
        <is>
          <t>Karina Gonçalves Martins</t>
        </is>
      </c>
      <c r="C4362" t="inlineStr">
        <is>
          <t>JR</t>
        </is>
      </c>
      <c r="D4362" t="n">
        <v>27</v>
      </c>
      <c r="E4362" t="n">
        <v>25</v>
      </c>
      <c r="F4362" t="n">
        <v>16.48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97.17</v>
      </c>
      <c r="O4362" t="n">
        <v>28.81844380403458</v>
      </c>
    </row>
    <row r="4363" hidden="1">
      <c r="A4363" s="11" t="n">
        <v>46140</v>
      </c>
      <c r="B4363" t="inlineStr">
        <is>
          <t>Kerollen Cristielly de Jesus Siqueira</t>
        </is>
      </c>
      <c r="C4363" t="inlineStr">
        <is>
          <t>Técnico III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96.81</v>
      </c>
      <c r="O4363" t="n">
        <v>48.01864801864802</v>
      </c>
    </row>
    <row r="4364" hidden="1">
      <c r="A4364" s="11" t="n">
        <v>46140</v>
      </c>
      <c r="B4364" t="inlineStr">
        <is>
          <t>Leandro de Souza Silva</t>
        </is>
      </c>
      <c r="C4364" t="inlineStr">
        <is>
          <t>JR</t>
        </is>
      </c>
      <c r="D4364" t="n">
        <v>17</v>
      </c>
      <c r="E4364" t="n">
        <v>14</v>
      </c>
      <c r="F4364" t="n">
        <v>22.19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98.15000000000001</v>
      </c>
      <c r="O4364" t="n">
        <v>27.1551724137931</v>
      </c>
    </row>
    <row r="4365" hidden="1">
      <c r="A4365" s="11" t="n">
        <v>46140</v>
      </c>
      <c r="B4365" t="inlineStr">
        <is>
          <t>Leandro Oliveira de Sousa</t>
        </is>
      </c>
      <c r="C4365" t="inlineStr">
        <is>
          <t>Técnico III</t>
        </is>
      </c>
      <c r="D4365" t="n">
        <v>29</v>
      </c>
      <c r="E4365" t="n">
        <v>28</v>
      </c>
      <c r="F4365" t="n">
        <v>17.31</v>
      </c>
      <c r="G4365" t="n">
        <v>0</v>
      </c>
      <c r="H4365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N4365" t="n">
        <v>99.15000000000001</v>
      </c>
      <c r="O4365" t="n">
        <v>27.37068965517241</v>
      </c>
    </row>
    <row r="4366" hidden="1">
      <c r="A4366" s="11" t="n">
        <v>46140</v>
      </c>
      <c r="B4366" t="inlineStr">
        <is>
          <t>Lizandra Gomes Duarte</t>
        </is>
      </c>
      <c r="C4366" t="inlineStr">
        <is>
          <t>Técnico II</t>
        </is>
      </c>
      <c r="D4366" t="n">
        <v>20</v>
      </c>
      <c r="E4366" t="n">
        <v>19</v>
      </c>
      <c r="F4366" t="n">
        <v>21.45</v>
      </c>
      <c r="G4366" t="n">
        <v>0</v>
      </c>
      <c r="H4366" t="n">
        <v>0</v>
      </c>
      <c r="I4366" s="3">
        <f>E4366+G4366+H4366</f>
        <v/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/>
      </c>
      <c r="K4366" s="3">
        <f>I4366-J4366</f>
        <v/>
      </c>
      <c r="L4366" s="3">
        <f>IF(K4366&lt;-5,"CRÍTICO",IF(K4366&lt;0,"ATENÇÃO",IF(K4366&lt;=5,"OPORTUNO","MUITO BOM")))</f>
        <v/>
      </c>
      <c r="N4366" t="n">
        <v>99.17</v>
      </c>
      <c r="O4366" t="n">
        <v>29.75206611570248</v>
      </c>
    </row>
    <row r="4367" hidden="1">
      <c r="A4367" s="11" t="n">
        <v>46140</v>
      </c>
      <c r="B4367" t="inlineStr">
        <is>
          <t>Lorena Dias de Araujo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s="3" t="n">
        <v>0</v>
      </c>
      <c r="J4367" s="3" t="n">
        <v>0</v>
      </c>
      <c r="K4367" s="3" t="n">
        <v>0</v>
      </c>
      <c r="L4367" s="3">
        <f>IF(K4367&lt;-5,"CRÍTICO",IF(K4367&lt;0,"ATENÇÃO",IF(K4367&lt;=5,"OPORTUNO","MUITO BOM")))</f>
        <v/>
      </c>
      <c r="N4367" t="n">
        <v>98.73</v>
      </c>
      <c r="O4367" t="n">
        <v>28.96174863387978</v>
      </c>
    </row>
    <row r="4368" hidden="1">
      <c r="A4368" s="11" t="n">
        <v>46140</v>
      </c>
      <c r="B4368" t="inlineStr">
        <is>
          <t>Lucas Luiz Romero</t>
        </is>
      </c>
      <c r="C4368" t="inlineStr">
        <is>
          <t>Técnico III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s="3" t="n">
        <v>0</v>
      </c>
      <c r="J4368" s="3" t="n">
        <v>0</v>
      </c>
      <c r="K4368" s="3" t="n">
        <v>0</v>
      </c>
      <c r="L4368" s="3">
        <f>IF(K4368&lt;-5,"CRÍTICO",IF(K4368&lt;0,"ATENÇÃO",IF(K4368&lt;=5,"OPORTUNO","MUITO BOM")))</f>
        <v/>
      </c>
      <c r="N4368" t="n">
        <v>88.68000000000001</v>
      </c>
      <c r="O4368" t="n">
        <v>22.03389830508474</v>
      </c>
    </row>
    <row r="4369" hidden="1">
      <c r="A4369" s="11" t="n">
        <v>46140</v>
      </c>
      <c r="B4369" t="inlineStr">
        <is>
          <t>Luiz Fernando de Carvalho Junior</t>
        </is>
      </c>
      <c r="C4369" t="inlineStr">
        <is>
          <t>Técnico I</t>
        </is>
      </c>
      <c r="D4369" t="n">
        <v>20</v>
      </c>
      <c r="E4369" t="n">
        <v>19</v>
      </c>
      <c r="F4369" t="n">
        <v>20.09</v>
      </c>
      <c r="G4369" t="n">
        <v>0</v>
      </c>
      <c r="H4369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N4369" t="n">
        <v>97.37</v>
      </c>
      <c r="O4369" t="n">
        <v>25.76530612244898</v>
      </c>
    </row>
    <row r="4370" hidden="1">
      <c r="A4370" s="11" t="n">
        <v>46140</v>
      </c>
      <c r="B4370" t="inlineStr">
        <is>
          <t>Maria Eduarda Sousa Costa</t>
        </is>
      </c>
      <c r="C4370" t="inlineStr">
        <is>
          <t>Estágio</t>
        </is>
      </c>
      <c r="D4370" t="n">
        <v>78</v>
      </c>
      <c r="E4370" t="n">
        <v>47</v>
      </c>
      <c r="F4370" t="n">
        <v>5.47</v>
      </c>
      <c r="G4370" t="n">
        <v>0</v>
      </c>
      <c r="H4370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N4370" t="n">
        <v>100</v>
      </c>
      <c r="O4370" t="n">
        <v>25</v>
      </c>
    </row>
    <row r="4371" hidden="1">
      <c r="A4371" s="11" t="n">
        <v>46140</v>
      </c>
      <c r="B4371" t="inlineStr">
        <is>
          <t>Matheus Farias De Souza</t>
        </is>
      </c>
      <c r="C4371" t="inlineStr">
        <is>
          <t>Técnico III</t>
        </is>
      </c>
      <c r="D4371" t="n">
        <v>35</v>
      </c>
      <c r="E4371" t="n">
        <v>34</v>
      </c>
      <c r="F4371" t="n">
        <v>15.13</v>
      </c>
      <c r="G4371" t="n">
        <v>0</v>
      </c>
      <c r="H4371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N4371" t="n">
        <v>100</v>
      </c>
      <c r="O4371" t="n">
        <v>23.9870340356564</v>
      </c>
    </row>
    <row r="4372" hidden="1">
      <c r="A4372" s="11" t="n">
        <v>46140</v>
      </c>
      <c r="B4372" t="inlineStr">
        <is>
          <t>Maysa Victoria Dias Moura</t>
        </is>
      </c>
      <c r="C4372" t="inlineStr">
        <is>
          <t>Técnico III</t>
        </is>
      </c>
      <c r="D4372" t="n">
        <v>38</v>
      </c>
      <c r="E4372" t="n">
        <v>32</v>
      </c>
      <c r="F4372" t="n">
        <v>12.32</v>
      </c>
      <c r="G4372" t="n">
        <v>0</v>
      </c>
      <c r="H4372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N4372" t="n">
        <v>95.48999999999999</v>
      </c>
      <c r="O4372" t="n">
        <v>28.16901408450704</v>
      </c>
    </row>
    <row r="4373" hidden="1">
      <c r="A4373" s="11" t="n">
        <v>46140</v>
      </c>
      <c r="B4373" t="inlineStr">
        <is>
          <t>Michelle G Santos</t>
        </is>
      </c>
      <c r="C4373" t="inlineStr">
        <is>
          <t>Estágio</t>
        </is>
      </c>
      <c r="D4373" t="n">
        <v>13</v>
      </c>
      <c r="E4373" t="n">
        <v>13</v>
      </c>
      <c r="F4373" t="n">
        <v>25.28</v>
      </c>
      <c r="G4373" t="n">
        <v>0</v>
      </c>
      <c r="H437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N4373" t="n">
        <v>100</v>
      </c>
      <c r="O4373" t="n">
        <v>23.77622377622378</v>
      </c>
    </row>
    <row r="4374" hidden="1">
      <c r="A4374" s="11" t="n">
        <v>46140</v>
      </c>
      <c r="B4374" t="inlineStr">
        <is>
          <t>Milena Sales</t>
        </is>
      </c>
      <c r="C4374" t="inlineStr">
        <is>
          <t>JR</t>
        </is>
      </c>
      <c r="D4374" t="n">
        <v>28</v>
      </c>
      <c r="E4374" t="n">
        <v>18</v>
      </c>
      <c r="F4374" t="n">
        <v>15.03</v>
      </c>
      <c r="G4374" t="n">
        <v>0</v>
      </c>
      <c r="H4374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N4374" t="n">
        <v>96.15000000000001</v>
      </c>
      <c r="O4374" t="n">
        <v>24.04580152671756</v>
      </c>
    </row>
    <row r="4375" hidden="1">
      <c r="A4375" s="11" t="n">
        <v>46140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s="3" t="n">
        <v>0</v>
      </c>
      <c r="J4375" s="3" t="n">
        <v>0</v>
      </c>
      <c r="K4375" s="3" t="n">
        <v>0</v>
      </c>
      <c r="L4375" s="3">
        <f>IF(K4375&lt;-5,"CRÍTICO",IF(K4375&lt;0,"ATENÇÃO",IF(K4375&lt;=5,"OPORTUNO","MUITO BOM")))</f>
        <v/>
      </c>
      <c r="N4375" t="n">
        <v>99.02</v>
      </c>
      <c r="O4375" t="n">
        <v>34.7972972972973</v>
      </c>
    </row>
    <row r="4376" hidden="1">
      <c r="A4376" s="11" t="n">
        <v>46140</v>
      </c>
      <c r="B4376" t="inlineStr">
        <is>
          <t>Paulo Ricardo Santos</t>
        </is>
      </c>
      <c r="C4376" t="inlineStr">
        <is>
          <t>JR</t>
        </is>
      </c>
      <c r="D4376" t="n">
        <v>23</v>
      </c>
      <c r="E4376" t="n">
        <v>22</v>
      </c>
      <c r="F4376" t="n">
        <v>17.08</v>
      </c>
      <c r="G4376" t="n">
        <v>0</v>
      </c>
      <c r="H4376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IF(K4376&lt;-5,"CRÍTICO",IF(K4376&lt;0,"ATENÇÃO",IF(K4376&lt;=5,"OPORTUNO","MUITO BOM")))</f>
        <v/>
      </c>
      <c r="N4376" t="n">
        <v>98.84</v>
      </c>
      <c r="O4376" t="n">
        <v>31.5018315018315</v>
      </c>
    </row>
    <row r="4377" hidden="1">
      <c r="A4377" s="11" t="n">
        <v>46140</v>
      </c>
      <c r="B4377" t="inlineStr">
        <is>
          <t>Pedro Luiz Mota Sousa</t>
        </is>
      </c>
      <c r="C4377" t="inlineStr">
        <is>
          <t>JR</t>
        </is>
      </c>
      <c r="D4377" t="n">
        <v>19</v>
      </c>
      <c r="E4377" t="n">
        <v>19</v>
      </c>
      <c r="F4377" t="n">
        <v>17.21</v>
      </c>
      <c r="G4377" t="n">
        <v>0</v>
      </c>
      <c r="H4377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N4377" t="n">
        <v>100</v>
      </c>
      <c r="O4377" t="n">
        <v>34.66666666666667</v>
      </c>
    </row>
    <row r="4378" hidden="1">
      <c r="A4378" s="11" t="n">
        <v>46140</v>
      </c>
      <c r="B4378" t="inlineStr">
        <is>
          <t>Quirino Diogo Leite Torres</t>
        </is>
      </c>
      <c r="C4378" t="inlineStr">
        <is>
          <t>Estágio</t>
        </is>
      </c>
      <c r="D4378" t="n">
        <v>13</v>
      </c>
      <c r="E4378" t="n">
        <v>13</v>
      </c>
      <c r="F4378" t="n">
        <v>33.2</v>
      </c>
      <c r="G4378" t="n">
        <v>0</v>
      </c>
      <c r="H4378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IF(K4378&lt;-5,"CRÍTICO",IF(K4378&lt;0,"ATENÇÃO",IF(K4378&lt;=5,"OPORTUNO","MUITO BOM")))</f>
        <v/>
      </c>
      <c r="N4378" t="n">
        <v>94.12</v>
      </c>
      <c r="O4378" t="n">
        <v>32.8</v>
      </c>
    </row>
    <row r="4379" hidden="1">
      <c r="A4379" s="11" t="n">
        <v>46140</v>
      </c>
      <c r="B4379" t="inlineStr">
        <is>
          <t>Raane Batista Matos</t>
        </is>
      </c>
      <c r="C4379" t="inlineStr">
        <is>
          <t>Técnico I</t>
        </is>
      </c>
      <c r="D4379" t="n">
        <v>36</v>
      </c>
      <c r="E4379" t="n">
        <v>30</v>
      </c>
      <c r="F4379" t="n">
        <v>13.43</v>
      </c>
      <c r="G4379" t="n">
        <v>0</v>
      </c>
      <c r="H4379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N4379" t="n">
        <v>98.31999999999999</v>
      </c>
      <c r="O4379" t="n">
        <v>26.61870503597122</v>
      </c>
    </row>
    <row r="4380" hidden="1">
      <c r="A4380" s="11" t="n">
        <v>46140</v>
      </c>
      <c r="B4380" t="inlineStr">
        <is>
          <t>Rafael Gomes de Morais</t>
        </is>
      </c>
      <c r="C4380" t="inlineStr">
        <is>
          <t>Técnico III</t>
        </is>
      </c>
      <c r="D4380" t="n">
        <v>43</v>
      </c>
      <c r="E4380" t="n">
        <v>39</v>
      </c>
      <c r="F4380" t="n">
        <v>12.1</v>
      </c>
      <c r="G4380" t="n">
        <v>0</v>
      </c>
      <c r="H4380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N4380" t="n">
        <v>100</v>
      </c>
      <c r="O4380" t="n">
        <v>31.13553113553114</v>
      </c>
    </row>
    <row r="4381" hidden="1">
      <c r="A4381" s="11" t="n">
        <v>46140</v>
      </c>
      <c r="B4381" t="inlineStr">
        <is>
          <t>Sara Maria Monteiro Lopes</t>
        </is>
      </c>
      <c r="C4381" t="inlineStr">
        <is>
          <t>Técnico I</t>
        </is>
      </c>
      <c r="D4381" t="n">
        <v>25</v>
      </c>
      <c r="E4381" t="n">
        <v>25</v>
      </c>
      <c r="F4381" t="n">
        <v>20.47</v>
      </c>
      <c r="G4381" t="n">
        <v>0</v>
      </c>
      <c r="H4381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N4381" t="n">
        <v>100</v>
      </c>
      <c r="O4381" t="n">
        <v>26.02739726027397</v>
      </c>
    </row>
    <row r="4382" hidden="1">
      <c r="A4382" s="11" t="n">
        <v>46140</v>
      </c>
      <c r="B4382" t="inlineStr">
        <is>
          <t>Sarah Steffanie de Lima Borges</t>
        </is>
      </c>
      <c r="C4382" t="inlineStr">
        <is>
          <t>Técnico III</t>
        </is>
      </c>
      <c r="D4382" t="n">
        <v>30</v>
      </c>
      <c r="E4382" t="n">
        <v>28</v>
      </c>
      <c r="F4382" t="n">
        <v>17.33</v>
      </c>
      <c r="G4382" t="n">
        <v>0</v>
      </c>
      <c r="H4382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N4382" t="n">
        <v>99.20999999999999</v>
      </c>
      <c r="O4382" t="n">
        <v>24.93702770780856</v>
      </c>
    </row>
    <row r="4383" hidden="1">
      <c r="A4383" s="11" t="n">
        <v>46141</v>
      </c>
      <c r="B4383" t="inlineStr">
        <is>
          <t>Alisson de Freitas Silva</t>
        </is>
      </c>
      <c r="C4383" t="inlineStr">
        <is>
          <t>Técnico II</t>
        </is>
      </c>
      <c r="D4383" t="n">
        <v>43</v>
      </c>
      <c r="E4383" t="n">
        <v>35</v>
      </c>
      <c r="F4383" t="n">
        <v>10.15</v>
      </c>
      <c r="G4383" t="n">
        <v>0</v>
      </c>
      <c r="H438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N4383" t="n">
        <v>100</v>
      </c>
      <c r="O4383" t="n">
        <v>32.76450511945392</v>
      </c>
    </row>
    <row r="4384" hidden="1">
      <c r="A4384" s="11" t="n">
        <v>46141</v>
      </c>
      <c r="B4384" t="inlineStr">
        <is>
          <t>Amanda Moura Ferreira</t>
        </is>
      </c>
      <c r="C4384" t="inlineStr">
        <is>
          <t>Técnico III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s="3" t="n">
        <v>0</v>
      </c>
      <c r="J4384" s="3" t="n">
        <v>0</v>
      </c>
      <c r="K4384" s="3" t="n">
        <v>0</v>
      </c>
      <c r="L4384" s="3">
        <f>IF(K4384&lt;-5,"CRÍTICO",IF(K4384&lt;0,"ATENÇÃO",IF(K4384&lt;=5,"OPORTUNO","MUITO BOM")))</f>
        <v/>
      </c>
      <c r="N4384" t="n">
        <v>98.66</v>
      </c>
      <c r="O4384" t="n">
        <v>35.15625</v>
      </c>
    </row>
    <row r="4385" hidden="1">
      <c r="A4385" s="11" t="n">
        <v>46141</v>
      </c>
      <c r="B4385" t="inlineStr">
        <is>
          <t>Ana Karollyne Souza Faria</t>
        </is>
      </c>
      <c r="C4385" t="inlineStr">
        <is>
          <t>Técnico I</t>
        </is>
      </c>
      <c r="D4385" t="n">
        <v>33</v>
      </c>
      <c r="E4385" t="n">
        <v>29</v>
      </c>
      <c r="F4385" t="n">
        <v>20.25</v>
      </c>
      <c r="G4385" t="n">
        <v>0</v>
      </c>
      <c r="H4385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N4385" t="n">
        <v>99.31999999999999</v>
      </c>
      <c r="O4385" t="n">
        <v>30.45186640471513</v>
      </c>
    </row>
    <row r="4386" hidden="1">
      <c r="A4386" s="11" t="n">
        <v>46141</v>
      </c>
      <c r="B4386" t="inlineStr">
        <is>
          <t>Ana Paula Da Luz Silva Aleixo</t>
        </is>
      </c>
      <c r="C4386" t="inlineStr">
        <is>
          <t>Técnico III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s="3" t="n">
        <v>0</v>
      </c>
      <c r="J4386" s="3" t="n">
        <v>0</v>
      </c>
      <c r="K4386" s="3" t="n">
        <v>0</v>
      </c>
      <c r="L4386" s="3">
        <f>IF(K4386&lt;-5,"CRÍTICO",IF(K4386&lt;0,"ATENÇÃO",IF(K4386&lt;=5,"OPORTUNO","MUITO BOM")))</f>
        <v/>
      </c>
      <c r="N4386" t="n">
        <v>100</v>
      </c>
      <c r="O4386" t="n">
        <v>27.80373831775701</v>
      </c>
    </row>
    <row r="4387" hidden="1">
      <c r="A4387" s="11" t="n">
        <v>46141</v>
      </c>
      <c r="B4387" t="inlineStr">
        <is>
          <t>Anna Luiza Rezende Tavares</t>
        </is>
      </c>
      <c r="C4387" t="inlineStr">
        <is>
          <t>Estágio</t>
        </is>
      </c>
      <c r="D4387" t="n">
        <v>34</v>
      </c>
      <c r="E4387" t="n">
        <v>31</v>
      </c>
      <c r="F4387" t="n">
        <v>15.45</v>
      </c>
      <c r="G4387" t="n">
        <v>0</v>
      </c>
      <c r="H4387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N4387" t="n">
        <v>96.73999999999999</v>
      </c>
      <c r="O4387" t="n">
        <v>28.43137254901961</v>
      </c>
    </row>
    <row r="4388" hidden="1">
      <c r="A4388" s="11" t="n">
        <v>46141</v>
      </c>
      <c r="B4388" t="inlineStr">
        <is>
          <t>Brenda de Menezes Silva</t>
        </is>
      </c>
      <c r="C4388" t="inlineStr">
        <is>
          <t>Técnico II</t>
        </is>
      </c>
      <c r="D4388" t="n">
        <v>38</v>
      </c>
      <c r="E4388" t="n">
        <v>31</v>
      </c>
      <c r="F4388" t="n">
        <v>11.5</v>
      </c>
      <c r="G4388" t="n">
        <v>0</v>
      </c>
      <c r="H4388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N4388" t="n">
        <v>98.81999999999999</v>
      </c>
      <c r="O4388" t="n">
        <v>30.74141048824593</v>
      </c>
    </row>
    <row r="4389" hidden="1">
      <c r="A4389" s="11" t="n">
        <v>46141</v>
      </c>
      <c r="B4389" t="inlineStr">
        <is>
          <t>Carlos Mateus Cassimiro Nunes</t>
        </is>
      </c>
      <c r="C4389" t="inlineStr">
        <is>
          <t>Técnico II</t>
        </is>
      </c>
      <c r="D4389" t="n">
        <v>24</v>
      </c>
      <c r="E4389" t="n">
        <v>23</v>
      </c>
      <c r="F4389" t="n">
        <v>25.46</v>
      </c>
      <c r="G4389" t="n">
        <v>0</v>
      </c>
      <c r="H4389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N4389" t="n">
        <v>98.2</v>
      </c>
      <c r="O4389" t="n">
        <v>26.89075630252101</v>
      </c>
    </row>
    <row r="4390" hidden="1">
      <c r="A4390" s="11" t="n">
        <v>46141</v>
      </c>
      <c r="B4390" t="inlineStr">
        <is>
          <t>Claudio de Sousa Velasco Filho</t>
        </is>
      </c>
      <c r="C4390" t="inlineStr">
        <is>
          <t>Estágio</t>
        </is>
      </c>
      <c r="D4390" t="n">
        <v>22</v>
      </c>
      <c r="E4390" t="n">
        <v>17</v>
      </c>
      <c r="F4390" t="n">
        <v>10.53</v>
      </c>
      <c r="G4390" t="n">
        <v>0</v>
      </c>
      <c r="H4390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N4390" t="n">
        <v>100</v>
      </c>
      <c r="O4390" t="n">
        <v>23.13432835820895</v>
      </c>
    </row>
    <row r="4391" hidden="1">
      <c r="A4391" s="11" t="n">
        <v>46141</v>
      </c>
      <c r="B4391" t="inlineStr">
        <is>
          <t>Clessiane Pereira dos Santos</t>
        </is>
      </c>
      <c r="C4391" t="inlineStr">
        <is>
          <t>Técnico I</t>
        </is>
      </c>
      <c r="D4391" t="n">
        <v>51</v>
      </c>
      <c r="E4391" t="n">
        <v>13</v>
      </c>
      <c r="F4391" t="n">
        <v>3.26</v>
      </c>
      <c r="G4391" t="n">
        <v>0</v>
      </c>
      <c r="H4391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N4391" t="n">
        <v>96.3</v>
      </c>
      <c r="O4391" t="n">
        <v>31.98090692124105</v>
      </c>
    </row>
    <row r="4392" hidden="1">
      <c r="A4392" s="11" t="n">
        <v>46141</v>
      </c>
      <c r="B4392" t="inlineStr">
        <is>
          <t>Cristiane Ramos da Silva Rocha</t>
        </is>
      </c>
      <c r="C4392" t="inlineStr">
        <is>
          <t>Técnico III</t>
        </is>
      </c>
      <c r="D4392" t="n">
        <v>42</v>
      </c>
      <c r="E4392" t="n">
        <v>35</v>
      </c>
      <c r="F4392" t="n">
        <v>10.13</v>
      </c>
      <c r="G4392" t="n">
        <v>0</v>
      </c>
      <c r="H4392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N4392" t="n">
        <v>93.75</v>
      </c>
      <c r="O4392" t="n">
        <v>26.62835249042146</v>
      </c>
    </row>
    <row r="4393" hidden="1">
      <c r="A4393" s="11" t="n">
        <v>46141</v>
      </c>
      <c r="B4393" t="inlineStr">
        <is>
          <t>Damyllis Lorraine de Oliveira Gonçalves</t>
        </is>
      </c>
      <c r="C4393" t="inlineStr">
        <is>
          <t>Técnico 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s="3" t="n">
        <v>0</v>
      </c>
      <c r="J4393" s="3" t="n">
        <v>0</v>
      </c>
      <c r="K4393" s="3" t="n">
        <v>0</v>
      </c>
      <c r="L4393" s="3">
        <f>IF(K4393&lt;-5,"CRÍTICO",IF(K4393&lt;0,"ATENÇÃO",IF(K4393&lt;=5,"OPORTUNO","MUITO BOM")))</f>
        <v/>
      </c>
      <c r="N4393" t="n">
        <v>97.86</v>
      </c>
      <c r="O4393" t="n">
        <v>31.01851851851852</v>
      </c>
    </row>
    <row r="4394" hidden="1">
      <c r="A4394" s="11" t="n">
        <v>46141</v>
      </c>
      <c r="B4394" t="inlineStr">
        <is>
          <t>Daniel Gomes da Silva</t>
        </is>
      </c>
      <c r="C4394" t="inlineStr">
        <is>
          <t>Técnico I</t>
        </is>
      </c>
      <c r="D4394" t="n">
        <v>29</v>
      </c>
      <c r="E4394" t="n">
        <v>28</v>
      </c>
      <c r="F4394" t="n">
        <v>18.51</v>
      </c>
      <c r="G4394" t="n">
        <v>0</v>
      </c>
      <c r="H4394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N4394" t="n">
        <v>100</v>
      </c>
      <c r="O4394" t="n">
        <v>36.23188405797102</v>
      </c>
    </row>
    <row r="4395" hidden="1">
      <c r="A4395" s="11" t="n">
        <v>46141</v>
      </c>
      <c r="B4395" t="inlineStr">
        <is>
          <t>Davylla Rodrigues Freitas Silva</t>
        </is>
      </c>
      <c r="C4395" t="inlineStr">
        <is>
          <t>Técnico III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s="3" t="n">
        <v>0</v>
      </c>
      <c r="J4395" s="3" t="n">
        <v>0</v>
      </c>
      <c r="K4395" s="3" t="n">
        <v>0</v>
      </c>
      <c r="L4395" s="3">
        <f>IF(K4395&lt;-5,"CRÍTICO",IF(K4395&lt;0,"ATENÇÃO",IF(K4395&lt;=5,"OPORTUNO","MUITO BOM")))</f>
        <v/>
      </c>
      <c r="N4395" t="n">
        <v>100</v>
      </c>
      <c r="O4395" t="n">
        <v>38.26923076923077</v>
      </c>
    </row>
    <row r="4396" hidden="1">
      <c r="A4396" s="11" t="n">
        <v>46141</v>
      </c>
      <c r="B4396" t="inlineStr">
        <is>
          <t>Emilly Caylane Costa</t>
        </is>
      </c>
      <c r="C4396" t="inlineStr">
        <is>
          <t>Estágio</t>
        </is>
      </c>
      <c r="D4396" t="n">
        <v>8</v>
      </c>
      <c r="E4396" t="n">
        <v>8</v>
      </c>
      <c r="F4396" t="n">
        <v>43.36</v>
      </c>
      <c r="G4396" t="n">
        <v>0</v>
      </c>
      <c r="H4396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IF(K4396&lt;-5,"CRÍTICO",IF(K4396&lt;0,"ATENÇÃO",IF(K4396&lt;=5,"OPORTUNO","MUITO BOM")))</f>
        <v/>
      </c>
      <c r="N4396" t="n">
        <v>100</v>
      </c>
      <c r="O4396" t="n">
        <v>27.36842105263158</v>
      </c>
    </row>
    <row r="4397" hidden="1">
      <c r="A4397" s="11" t="n">
        <v>46141</v>
      </c>
      <c r="B4397" t="inlineStr">
        <is>
          <t>Emilly Kamilly Medeiros Miranda</t>
        </is>
      </c>
      <c r="C4397" t="inlineStr">
        <is>
          <t>Técnico II</t>
        </is>
      </c>
      <c r="D4397" t="n">
        <v>31</v>
      </c>
      <c r="E4397" t="n">
        <v>28</v>
      </c>
      <c r="F4397" t="n">
        <v>18.26</v>
      </c>
      <c r="G4397" t="n">
        <v>0</v>
      </c>
      <c r="H4397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N4397" t="n">
        <v>97.83</v>
      </c>
      <c r="O4397" t="n">
        <v>28.13186813186813</v>
      </c>
    </row>
    <row r="4398" hidden="1">
      <c r="A4398" s="11" t="n">
        <v>46141</v>
      </c>
      <c r="B4398" t="inlineStr">
        <is>
          <t>Francielson de Oliveira</t>
        </is>
      </c>
      <c r="C4398" t="inlineStr">
        <is>
          <t>Técnico III</t>
        </is>
      </c>
      <c r="D4398" t="n">
        <v>31</v>
      </c>
      <c r="E4398" t="n">
        <v>29</v>
      </c>
      <c r="F4398" t="n">
        <v>16.58</v>
      </c>
      <c r="G4398" t="n">
        <v>0</v>
      </c>
      <c r="H4398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N4398" t="n">
        <v>99.26000000000001</v>
      </c>
      <c r="O4398" t="n">
        <v>29.57198443579767</v>
      </c>
    </row>
    <row r="4399" hidden="1">
      <c r="A4399" s="11" t="n">
        <v>46141</v>
      </c>
      <c r="B4399" t="inlineStr">
        <is>
          <t>Francilene Ferreira de Jesus</t>
        </is>
      </c>
      <c r="C4399" t="inlineStr">
        <is>
          <t>Técnico II</t>
        </is>
      </c>
      <c r="D4399" t="n">
        <v>36</v>
      </c>
      <c r="E4399" t="n">
        <v>34</v>
      </c>
      <c r="F4399" t="n">
        <v>15.24</v>
      </c>
      <c r="G4399" t="n">
        <v>0</v>
      </c>
      <c r="H4399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N4399" t="n">
        <v>99.19</v>
      </c>
      <c r="O4399" t="n">
        <v>29.46236559139785</v>
      </c>
    </row>
    <row r="4400" hidden="1">
      <c r="A4400" s="11" t="n">
        <v>46167</v>
      </c>
      <c r="B4400" t="inlineStr">
        <is>
          <t>Gabriel Alves</t>
        </is>
      </c>
      <c r="C4400" t="inlineStr">
        <is>
          <t>Estágio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s="3" t="n">
        <v>0</v>
      </c>
      <c r="J4400" s="3" t="n">
        <v>0</v>
      </c>
      <c r="K4400" s="3" t="n">
        <v>0</v>
      </c>
      <c r="L4400" s="3">
        <f>IF(K4400&lt;-5,"CRÍTICO",IF(K4400&lt;0,"ATENÇÃO",IF(K4400&lt;=5,"OPORTUNO","MUITO BOM")))</f>
        <v/>
      </c>
    </row>
    <row r="4401" hidden="1">
      <c r="A4401" s="11" t="n">
        <v>46141</v>
      </c>
      <c r="B4401" t="inlineStr">
        <is>
          <t>Isabella Borges de Oliveira</t>
        </is>
      </c>
      <c r="C4401" t="inlineStr">
        <is>
          <t>Técnico II</t>
        </is>
      </c>
      <c r="D4401" t="n">
        <v>29</v>
      </c>
      <c r="E4401" t="n">
        <v>26</v>
      </c>
      <c r="F4401" t="n">
        <v>18.33</v>
      </c>
      <c r="G4401" t="n">
        <v>0</v>
      </c>
      <c r="H4401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N4401" t="n">
        <v>100</v>
      </c>
      <c r="O4401" t="n">
        <v>27.94117647058824</v>
      </c>
    </row>
    <row r="4402" hidden="1">
      <c r="A4402" s="11" t="n">
        <v>46141</v>
      </c>
      <c r="B4402" t="inlineStr">
        <is>
          <t>Janaina Lima dos Reis Urany</t>
        </is>
      </c>
      <c r="C4402" t="inlineStr">
        <is>
          <t>Técnico III</t>
        </is>
      </c>
      <c r="D4402" t="n">
        <v>44</v>
      </c>
      <c r="E4402" t="n">
        <v>40</v>
      </c>
      <c r="F4402" t="n">
        <v>12.14</v>
      </c>
      <c r="G4402" t="n">
        <v>0</v>
      </c>
      <c r="H4402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N4402" t="n">
        <v>99.56999999999999</v>
      </c>
      <c r="O4402" t="n">
        <v>29.91329479768786</v>
      </c>
    </row>
    <row r="4403" hidden="1">
      <c r="A4403" s="11" t="n">
        <v>46141</v>
      </c>
      <c r="B4403" t="inlineStr">
        <is>
          <t>Jaqueline Evangelista da Silva Martins</t>
        </is>
      </c>
      <c r="C4403" t="inlineStr">
        <is>
          <t>Técnico III</t>
        </is>
      </c>
      <c r="D4403" t="n">
        <v>22</v>
      </c>
      <c r="E4403" t="n">
        <v>20</v>
      </c>
      <c r="F4403" t="n">
        <v>15.05</v>
      </c>
      <c r="G4403" t="n">
        <v>0</v>
      </c>
      <c r="H440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IF(K4403&lt;-5,"CRÍTICO",IF(K4403&lt;0,"ATENÇÃO",IF(K4403&lt;=5,"OPORTUNO","MUITO BOM")))</f>
        <v/>
      </c>
      <c r="N4403" t="n">
        <v>95.65000000000001</v>
      </c>
      <c r="O4403" t="n">
        <v>31.08108108108108</v>
      </c>
    </row>
    <row r="4404" hidden="1">
      <c r="A4404" s="11" t="n">
        <v>46141</v>
      </c>
      <c r="B4404" t="inlineStr">
        <is>
          <t>Jessica Faria da Silveira</t>
        </is>
      </c>
      <c r="C4404" t="inlineStr">
        <is>
          <t>Técnico II</t>
        </is>
      </c>
      <c r="D4404" t="n">
        <v>39</v>
      </c>
      <c r="E4404" t="n">
        <v>28</v>
      </c>
      <c r="F4404" t="n">
        <v>10.24</v>
      </c>
      <c r="G4404" t="n">
        <v>0</v>
      </c>
      <c r="H4404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N4404" t="n">
        <v>98.81</v>
      </c>
      <c r="O4404" t="n">
        <v>26.25698324022346</v>
      </c>
    </row>
    <row r="4405" hidden="1">
      <c r="A4405" s="11" t="n">
        <v>46141</v>
      </c>
      <c r="B4405" t="inlineStr">
        <is>
          <t>Jéssica Fé Moura</t>
        </is>
      </c>
      <c r="C4405" t="inlineStr">
        <is>
          <t>Técnico III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IF(K4405&lt;-5,"CRÍTICO",IF(K4405&lt;0,"ATENÇÃO",IF(K4405&lt;=5,"OPORTUNO","MUITO BOM")))</f>
        <v/>
      </c>
      <c r="N4405" t="n">
        <v>0</v>
      </c>
      <c r="O4405" t="n">
        <v>0</v>
      </c>
    </row>
    <row r="4406" hidden="1">
      <c r="A4406" s="11" t="n">
        <v>46141</v>
      </c>
      <c r="B4406" t="inlineStr">
        <is>
          <t>Karina Gonçalves Martins</t>
        </is>
      </c>
      <c r="C4406" t="inlineStr">
        <is>
          <t>JR</t>
        </is>
      </c>
      <c r="D4406" t="n">
        <v>24</v>
      </c>
      <c r="E4406" t="n">
        <v>22</v>
      </c>
      <c r="F4406" t="n">
        <v>19.14</v>
      </c>
      <c r="G4406" t="n">
        <v>0</v>
      </c>
      <c r="H4406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IF(K4406&lt;-5,"CRÍTICO",IF(K4406&lt;0,"ATENÇÃO",IF(K4406&lt;=5,"OPORTUNO","MUITO BOM")))</f>
        <v/>
      </c>
      <c r="N4406" t="n">
        <v>97.17</v>
      </c>
      <c r="O4406" t="n">
        <v>28.81844380403458</v>
      </c>
    </row>
    <row r="4407" hidden="1">
      <c r="A4407" s="11" t="n">
        <v>46141</v>
      </c>
      <c r="B4407" t="inlineStr">
        <is>
          <t>Kerollen Cristielly de Jesus Siqueira</t>
        </is>
      </c>
      <c r="C4407" t="inlineStr">
        <is>
          <t>Técnico III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s="3" t="n">
        <v>0</v>
      </c>
      <c r="J4407" s="3" t="n">
        <v>0</v>
      </c>
      <c r="K4407" s="3" t="n">
        <v>0</v>
      </c>
      <c r="L4407" s="3">
        <f>IF(K4407&lt;-5,"CRÍTICO",IF(K4407&lt;0,"ATENÇÃO",IF(K4407&lt;=5,"OPORTUNO","MUITO BOM")))</f>
        <v/>
      </c>
      <c r="N4407" t="n">
        <v>96.81</v>
      </c>
      <c r="O4407" t="n">
        <v>48.01864801864802</v>
      </c>
    </row>
    <row r="4408" hidden="1">
      <c r="A4408" s="11" t="n">
        <v>46141</v>
      </c>
      <c r="B4408" t="inlineStr">
        <is>
          <t>Leandro de Souza Silva</t>
        </is>
      </c>
      <c r="C4408" t="inlineStr">
        <is>
          <t>JR</t>
        </is>
      </c>
      <c r="D4408" t="n">
        <v>16</v>
      </c>
      <c r="E4408" t="n">
        <v>14</v>
      </c>
      <c r="F4408" t="n">
        <v>20.46</v>
      </c>
      <c r="G4408" t="n">
        <v>0</v>
      </c>
      <c r="H4408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N4408" t="n">
        <v>98.15000000000001</v>
      </c>
      <c r="O4408" t="n">
        <v>27.1551724137931</v>
      </c>
    </row>
    <row r="4409" hidden="1">
      <c r="A4409" s="11" t="n">
        <v>46141</v>
      </c>
      <c r="B4409" t="inlineStr">
        <is>
          <t>Leandro Oliveira de Sousa</t>
        </is>
      </c>
      <c r="C4409" t="inlineStr">
        <is>
          <t>Técnico III</t>
        </is>
      </c>
      <c r="D4409" t="n">
        <v>32</v>
      </c>
      <c r="E4409" t="n">
        <v>26</v>
      </c>
      <c r="F4409" t="n">
        <v>12.16</v>
      </c>
      <c r="G4409" t="n">
        <v>0</v>
      </c>
      <c r="H4409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N4409" t="n">
        <v>99.15000000000001</v>
      </c>
      <c r="O4409" t="n">
        <v>27.37068965517241</v>
      </c>
    </row>
    <row r="4410" hidden="1">
      <c r="A4410" s="11" t="n">
        <v>46141</v>
      </c>
      <c r="B4410" t="inlineStr">
        <is>
          <t>Lizandra Gomes Duarte</t>
        </is>
      </c>
      <c r="C4410" t="inlineStr">
        <is>
          <t>Técnico II</t>
        </is>
      </c>
      <c r="D4410" t="n">
        <v>37</v>
      </c>
      <c r="E4410" t="n">
        <v>35</v>
      </c>
      <c r="F4410" t="n">
        <v>15.55</v>
      </c>
      <c r="G4410" t="n">
        <v>0</v>
      </c>
      <c r="H4410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IF(K4410&lt;-5,"CRÍTICO",IF(K4410&lt;0,"ATENÇÃO",IF(K4410&lt;=5,"OPORTUNO","MUITO BOM")))</f>
        <v/>
      </c>
      <c r="N4410" t="n">
        <v>99.17</v>
      </c>
      <c r="O4410" t="n">
        <v>29.75206611570248</v>
      </c>
    </row>
    <row r="4411" hidden="1">
      <c r="A4411" s="11" t="n">
        <v>46141</v>
      </c>
      <c r="B4411" t="inlineStr">
        <is>
          <t>Lorena Dias de Araujo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s="3" t="n">
        <v>0</v>
      </c>
      <c r="J4411" s="3" t="n">
        <v>0</v>
      </c>
      <c r="K4411" s="3" t="n">
        <v>0</v>
      </c>
      <c r="L4411" s="3">
        <f>IF(K4411&lt;-5,"CRÍTICO",IF(K4411&lt;0,"ATENÇÃO",IF(K4411&lt;=5,"OPORTUNO","MUITO BOM")))</f>
        <v/>
      </c>
      <c r="N4411" t="n">
        <v>98.73</v>
      </c>
      <c r="O4411" t="n">
        <v>28.96174863387978</v>
      </c>
    </row>
    <row r="4412" hidden="1">
      <c r="A4412" s="11" t="n">
        <v>46141</v>
      </c>
      <c r="B4412" t="inlineStr">
        <is>
          <t>Lucas Luiz Romero</t>
        </is>
      </c>
      <c r="C4412" t="inlineStr">
        <is>
          <t>Técnico III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s="3" t="n">
        <v>0</v>
      </c>
      <c r="J4412" s="3" t="n">
        <v>0</v>
      </c>
      <c r="K4412" s="3" t="n">
        <v>0</v>
      </c>
      <c r="L4412" s="3">
        <f>IF(K4412&lt;-5,"CRÍTICO",IF(K4412&lt;0,"ATENÇÃO",IF(K4412&lt;=5,"OPORTUNO","MUITO BOM")))</f>
        <v/>
      </c>
      <c r="N4412" t="n">
        <v>88.68000000000001</v>
      </c>
      <c r="O4412" t="n">
        <v>22.03389830508474</v>
      </c>
    </row>
    <row r="4413" hidden="1">
      <c r="A4413" s="11" t="n">
        <v>46141</v>
      </c>
      <c r="B4413" t="inlineStr">
        <is>
          <t>Luiz Fernando de Carvalho Junior</t>
        </is>
      </c>
      <c r="C4413" t="inlineStr">
        <is>
          <t>Técnico I</t>
        </is>
      </c>
      <c r="D4413" t="n">
        <v>20</v>
      </c>
      <c r="E4413" t="n">
        <v>18</v>
      </c>
      <c r="F4413" t="n">
        <v>20.37</v>
      </c>
      <c r="G4413" t="n">
        <v>0</v>
      </c>
      <c r="H441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N4413" t="n">
        <v>97.37</v>
      </c>
      <c r="O4413" t="n">
        <v>25.76530612244898</v>
      </c>
    </row>
    <row r="4414" hidden="1">
      <c r="A4414" s="11" t="n">
        <v>46141</v>
      </c>
      <c r="B4414" t="inlineStr">
        <is>
          <t>Maria Eduarda Sousa Costa</t>
        </is>
      </c>
      <c r="C4414" t="inlineStr">
        <is>
          <t>Estágio</t>
        </is>
      </c>
      <c r="D4414" t="n">
        <v>69</v>
      </c>
      <c r="E4414" t="n">
        <v>34</v>
      </c>
      <c r="F4414" t="n">
        <v>3.49</v>
      </c>
      <c r="G4414" t="n">
        <v>0</v>
      </c>
      <c r="H4414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N4414" t="n">
        <v>100</v>
      </c>
      <c r="O4414" t="n">
        <v>25</v>
      </c>
    </row>
    <row r="4415" hidden="1">
      <c r="A4415" s="11" t="n">
        <v>46141</v>
      </c>
      <c r="B4415" t="inlineStr">
        <is>
          <t>Matheus Farias De Souza</t>
        </is>
      </c>
      <c r="C4415" t="inlineStr">
        <is>
          <t>Técnico III</t>
        </is>
      </c>
      <c r="D4415" t="n">
        <v>26</v>
      </c>
      <c r="E4415" t="n">
        <v>23</v>
      </c>
      <c r="F4415" t="n">
        <v>11.5</v>
      </c>
      <c r="G4415" t="n">
        <v>0</v>
      </c>
      <c r="H4415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N4415" t="n">
        <v>100</v>
      </c>
      <c r="O4415" t="n">
        <v>23.9870340356564</v>
      </c>
    </row>
    <row r="4416" hidden="1">
      <c r="A4416" s="11" t="n">
        <v>46141</v>
      </c>
      <c r="B4416" t="inlineStr">
        <is>
          <t>Maysa Victoria Dias Moura</t>
        </is>
      </c>
      <c r="C4416" t="inlineStr">
        <is>
          <t>Técnico III</t>
        </is>
      </c>
      <c r="D4416" t="n">
        <v>32</v>
      </c>
      <c r="E4416" t="n">
        <v>29</v>
      </c>
      <c r="F4416" t="n">
        <v>12.35</v>
      </c>
      <c r="G4416" t="n">
        <v>0</v>
      </c>
      <c r="H4416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N4416" t="n">
        <v>95.48999999999999</v>
      </c>
      <c r="O4416" t="n">
        <v>28.16901408450704</v>
      </c>
    </row>
    <row r="4417" hidden="1">
      <c r="A4417" s="11" t="n">
        <v>46141</v>
      </c>
      <c r="B4417" t="inlineStr">
        <is>
          <t>Michelle G Santos</t>
        </is>
      </c>
      <c r="C4417" t="inlineStr">
        <is>
          <t>Estágio</t>
        </is>
      </c>
      <c r="D4417" t="n">
        <v>19</v>
      </c>
      <c r="E4417" t="n">
        <v>15</v>
      </c>
      <c r="F4417" t="n">
        <v>21.55</v>
      </c>
      <c r="G4417" t="n">
        <v>0</v>
      </c>
      <c r="H4417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N4417" t="n">
        <v>100</v>
      </c>
      <c r="O4417" t="n">
        <v>23.77622377622378</v>
      </c>
    </row>
    <row r="4418" hidden="1">
      <c r="A4418" s="11" t="n">
        <v>46141</v>
      </c>
      <c r="B4418" t="inlineStr">
        <is>
          <t>Milena Sales</t>
        </is>
      </c>
      <c r="C4418" t="inlineStr">
        <is>
          <t>JR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s="3" t="n">
        <v>0</v>
      </c>
      <c r="J4418" s="3" t="n">
        <v>0</v>
      </c>
      <c r="K4418" s="3" t="n">
        <v>0</v>
      </c>
      <c r="L4418" s="3">
        <f>IF(K4418&lt;-5,"CRÍTICO",IF(K4418&lt;0,"ATENÇÃO",IF(K4418&lt;=5,"OPORTUNO","MUITO BOM")))</f>
        <v/>
      </c>
      <c r="N4418" t="n">
        <v>96.15000000000001</v>
      </c>
      <c r="O4418" t="n">
        <v>24.04580152671756</v>
      </c>
    </row>
    <row r="4419" hidden="1">
      <c r="A4419" s="11" t="n">
        <v>46141</v>
      </c>
      <c r="B4419" t="inlineStr">
        <is>
          <t>Patrícia Karla de Sousa Araújo</t>
        </is>
      </c>
      <c r="C4419" t="inlineStr">
        <is>
          <t>Técnico II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s="3" t="n">
        <v>0</v>
      </c>
      <c r="J4419" s="3" t="n">
        <v>0</v>
      </c>
      <c r="K4419" s="3" t="n">
        <v>0</v>
      </c>
      <c r="L4419" s="3">
        <f>IF(K4419&lt;-5,"CRÍTICO",IF(K4419&lt;0,"ATENÇÃO",IF(K4419&lt;=5,"OPORTUNO","MUITO BOM")))</f>
        <v/>
      </c>
      <c r="N4419" t="n">
        <v>99.02</v>
      </c>
      <c r="O4419" t="n">
        <v>34.7972972972973</v>
      </c>
    </row>
    <row r="4420" hidden="1">
      <c r="A4420" s="11" t="n">
        <v>46141</v>
      </c>
      <c r="B4420" t="inlineStr">
        <is>
          <t>Paulo Ricardo Santos</t>
        </is>
      </c>
      <c r="C4420" t="inlineStr">
        <is>
          <t>JR</t>
        </is>
      </c>
      <c r="D4420" t="n">
        <v>23</v>
      </c>
      <c r="E4420" t="n">
        <v>22</v>
      </c>
      <c r="F4420" t="n">
        <v>17.07</v>
      </c>
      <c r="G4420" t="n">
        <v>0</v>
      </c>
      <c r="H4420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IF(K4420&lt;-5,"CRÍTICO",IF(K4420&lt;0,"ATENÇÃO",IF(K4420&lt;=5,"OPORTUNO","MUITO BOM")))</f>
        <v/>
      </c>
      <c r="N4420" t="n">
        <v>98.84</v>
      </c>
      <c r="O4420" t="n">
        <v>31.5018315018315</v>
      </c>
    </row>
    <row r="4421" hidden="1">
      <c r="A4421" s="11" t="n">
        <v>46141</v>
      </c>
      <c r="B4421" t="inlineStr">
        <is>
          <t>Pedro Luiz Mota Sousa</t>
        </is>
      </c>
      <c r="C4421" t="inlineStr">
        <is>
          <t>JR</t>
        </is>
      </c>
      <c r="D4421" t="n">
        <v>24</v>
      </c>
      <c r="E4421" t="n">
        <v>23</v>
      </c>
      <c r="F4421" t="n">
        <v>17.3</v>
      </c>
      <c r="G4421" t="n">
        <v>0</v>
      </c>
      <c r="H4421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N4421" t="n">
        <v>100</v>
      </c>
      <c r="O4421" t="n">
        <v>34.66666666666667</v>
      </c>
    </row>
    <row r="4422" hidden="1">
      <c r="A4422" s="11" t="n">
        <v>46141</v>
      </c>
      <c r="B4422" t="inlineStr">
        <is>
          <t>Quirino Diogo Leite Torres</t>
        </is>
      </c>
      <c r="C4422" t="inlineStr">
        <is>
          <t>Estágio</t>
        </is>
      </c>
      <c r="D4422" t="n">
        <v>19</v>
      </c>
      <c r="E4422" t="n">
        <v>17</v>
      </c>
      <c r="F4422" t="n">
        <v>18.46</v>
      </c>
      <c r="G4422" t="n">
        <v>0</v>
      </c>
      <c r="H4422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IF(K4422&lt;-5,"CRÍTICO",IF(K4422&lt;0,"ATENÇÃO",IF(K4422&lt;=5,"OPORTUNO","MUITO BOM")))</f>
        <v/>
      </c>
      <c r="N4422" t="n">
        <v>94.12</v>
      </c>
      <c r="O4422" t="n">
        <v>32.8</v>
      </c>
    </row>
    <row r="4423" hidden="1">
      <c r="A4423" s="11" t="n">
        <v>46141</v>
      </c>
      <c r="B4423" t="inlineStr">
        <is>
          <t>Raane Batista Matos</t>
        </is>
      </c>
      <c r="C4423" t="inlineStr">
        <is>
          <t>Técnico I</t>
        </is>
      </c>
      <c r="D4423" t="n">
        <v>32</v>
      </c>
      <c r="E4423" t="n">
        <v>28</v>
      </c>
      <c r="F4423" t="n">
        <v>13.21</v>
      </c>
      <c r="G4423" t="n">
        <v>0</v>
      </c>
      <c r="H442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N4423" t="n">
        <v>98.31999999999999</v>
      </c>
      <c r="O4423" t="n">
        <v>26.61870503597122</v>
      </c>
    </row>
    <row r="4424" hidden="1">
      <c r="A4424" s="11" t="n">
        <v>46141</v>
      </c>
      <c r="B4424" t="inlineStr">
        <is>
          <t>Rafael Gomes de Morais</t>
        </is>
      </c>
      <c r="C4424" t="inlineStr">
        <is>
          <t>Técnico III</t>
        </is>
      </c>
      <c r="D4424" t="n">
        <v>52</v>
      </c>
      <c r="E4424" t="n">
        <v>48</v>
      </c>
      <c r="F4424" t="n">
        <v>10.56</v>
      </c>
      <c r="G4424" t="n">
        <v>0</v>
      </c>
      <c r="H4424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N4424" t="n">
        <v>100</v>
      </c>
      <c r="O4424" t="n">
        <v>31.13553113553114</v>
      </c>
    </row>
    <row r="4425" hidden="1">
      <c r="A4425" s="11" t="n">
        <v>46141</v>
      </c>
      <c r="B4425" t="inlineStr">
        <is>
          <t>Sara Maria Monteiro Lopes</t>
        </is>
      </c>
      <c r="C4425" t="inlineStr">
        <is>
          <t>Técnico I</t>
        </is>
      </c>
      <c r="D4425" t="n">
        <v>15</v>
      </c>
      <c r="E4425" t="n">
        <v>14</v>
      </c>
      <c r="F4425" t="n">
        <v>23.58</v>
      </c>
      <c r="G4425" t="n">
        <v>0</v>
      </c>
      <c r="H4425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N4425" t="n">
        <v>100</v>
      </c>
      <c r="O4425" t="n">
        <v>26.02739726027397</v>
      </c>
    </row>
    <row r="4426" hidden="1">
      <c r="A4426" s="11" t="n">
        <v>46141</v>
      </c>
      <c r="B4426" t="inlineStr">
        <is>
          <t>Sarah Steffanie de Lima Borges</t>
        </is>
      </c>
      <c r="C4426" t="inlineStr">
        <is>
          <t>Técnico III</t>
        </is>
      </c>
      <c r="D4426" t="n">
        <v>30</v>
      </c>
      <c r="E4426" t="n">
        <v>30</v>
      </c>
      <c r="F4426" t="n">
        <v>15</v>
      </c>
      <c r="G4426" t="n">
        <v>0</v>
      </c>
      <c r="H4426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IF(K4426&lt;-5,"CRÍTICO",IF(K4426&lt;0,"ATENÇÃO",IF(K4426&lt;=5,"OPORTUNO","MUITO BOM")))</f>
        <v/>
      </c>
      <c r="N4426" t="n">
        <v>99.20999999999999</v>
      </c>
      <c r="O4426" t="n">
        <v>24.93702770780856</v>
      </c>
    </row>
    <row r="4427" hidden="1">
      <c r="A4427" s="11" t="n">
        <v>46142</v>
      </c>
      <c r="B4427" t="inlineStr">
        <is>
          <t>Alisson de Freitas Silva</t>
        </is>
      </c>
      <c r="C4427" t="inlineStr">
        <is>
          <t>Técnico II</t>
        </is>
      </c>
      <c r="D4427" t="n">
        <v>12</v>
      </c>
      <c r="E4427" t="n">
        <v>10</v>
      </c>
      <c r="F4427" t="n">
        <v>9.119999999999999</v>
      </c>
      <c r="G4427" t="n">
        <v>0</v>
      </c>
      <c r="H4427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N4427" t="n">
        <v>100</v>
      </c>
      <c r="O4427" t="n">
        <v>32.76450511945392</v>
      </c>
    </row>
    <row r="4428" hidden="1">
      <c r="A4428" s="11" t="n">
        <v>46142</v>
      </c>
      <c r="B4428" t="inlineStr">
        <is>
          <t>Amanda Moura Ferreira</t>
        </is>
      </c>
      <c r="C4428" t="inlineStr">
        <is>
          <t>Técnico III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s="3" t="n">
        <v>0</v>
      </c>
      <c r="J4428" s="3" t="n">
        <v>0</v>
      </c>
      <c r="K4428" s="3" t="n">
        <v>0</v>
      </c>
      <c r="L4428" s="3">
        <f>IF(K4428&lt;-5,"CRÍTICO",IF(K4428&lt;0,"ATENÇÃO",IF(K4428&lt;=5,"OPORTUNO","MUITO BOM")))</f>
        <v/>
      </c>
      <c r="N4428" t="n">
        <v>98.66</v>
      </c>
      <c r="O4428" t="n">
        <v>35.15625</v>
      </c>
    </row>
    <row r="4429" hidden="1">
      <c r="A4429" s="11" t="n">
        <v>46142</v>
      </c>
      <c r="B4429" t="inlineStr">
        <is>
          <t>Ana Karollyne Souza Faria</t>
        </is>
      </c>
      <c r="C4429" t="inlineStr">
        <is>
          <t>Técnico I</t>
        </is>
      </c>
      <c r="D4429" t="n">
        <v>26</v>
      </c>
      <c r="E4429" t="n">
        <v>24</v>
      </c>
      <c r="F4429" t="n">
        <v>18.24</v>
      </c>
      <c r="G4429" t="n">
        <v>0</v>
      </c>
      <c r="H4429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N4429" t="n">
        <v>99.31999999999999</v>
      </c>
      <c r="O4429" t="n">
        <v>30.45186640471513</v>
      </c>
    </row>
    <row r="4430" hidden="1">
      <c r="A4430" s="11" t="n">
        <v>46142</v>
      </c>
      <c r="B4430" t="inlineStr">
        <is>
          <t>Ana Paula Da Luz Silva Aleixo</t>
        </is>
      </c>
      <c r="C4430" t="inlineStr">
        <is>
          <t>Técnico III</t>
        </is>
      </c>
      <c r="D4430" t="n">
        <v>33</v>
      </c>
      <c r="E4430" t="n">
        <v>32</v>
      </c>
      <c r="F4430" t="n">
        <v>13.4</v>
      </c>
      <c r="G4430" t="n">
        <v>0</v>
      </c>
      <c r="H4430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N4430" t="n">
        <v>100</v>
      </c>
      <c r="O4430" t="n">
        <v>27.80373831775701</v>
      </c>
    </row>
    <row r="4431" hidden="1">
      <c r="A4431" s="11" t="n">
        <v>46142</v>
      </c>
      <c r="B4431" t="inlineStr">
        <is>
          <t>Anna Luiza Rezende Tavares</t>
        </is>
      </c>
      <c r="C4431" t="inlineStr">
        <is>
          <t>Estágio</t>
        </is>
      </c>
      <c r="D4431" t="n">
        <v>34</v>
      </c>
      <c r="E4431" t="n">
        <v>33</v>
      </c>
      <c r="F4431" t="n">
        <v>14.16</v>
      </c>
      <c r="G4431" t="n">
        <v>0</v>
      </c>
      <c r="H4431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N4431" t="n">
        <v>96.73999999999999</v>
      </c>
      <c r="O4431" t="n">
        <v>28.43137254901961</v>
      </c>
    </row>
    <row r="4432" hidden="1">
      <c r="A4432" s="11" t="n">
        <v>46142</v>
      </c>
      <c r="B4432" t="inlineStr">
        <is>
          <t>Brenda de Menezes Silva</t>
        </is>
      </c>
      <c r="C4432" t="inlineStr">
        <is>
          <t>Técnico II</t>
        </is>
      </c>
      <c r="D4432" t="n">
        <v>32</v>
      </c>
      <c r="E4432" t="n">
        <v>31</v>
      </c>
      <c r="F4432" t="n">
        <v>13.5</v>
      </c>
      <c r="G4432" t="n">
        <v>0</v>
      </c>
      <c r="H4432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N4432" t="n">
        <v>98.81999999999999</v>
      </c>
      <c r="O4432" t="n">
        <v>30.74141048824593</v>
      </c>
    </row>
    <row r="4433" hidden="1">
      <c r="A4433" s="11" t="n">
        <v>46142</v>
      </c>
      <c r="B4433" t="inlineStr">
        <is>
          <t>Carlos Mateus Cassimiro Nunes</t>
        </is>
      </c>
      <c r="C4433" t="inlineStr">
        <is>
          <t>Técnico II</t>
        </is>
      </c>
      <c r="D4433" t="n">
        <v>32</v>
      </c>
      <c r="E4433" t="n">
        <v>30</v>
      </c>
      <c r="F4433" t="n">
        <v>15.09</v>
      </c>
      <c r="G4433" t="n">
        <v>0</v>
      </c>
      <c r="H443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N4433" t="n">
        <v>98.2</v>
      </c>
      <c r="O4433" t="n">
        <v>26.89075630252101</v>
      </c>
    </row>
    <row r="4434" hidden="1">
      <c r="A4434" s="11" t="n">
        <v>46142</v>
      </c>
      <c r="B4434" t="inlineStr">
        <is>
          <t>Claudio de Sousa Velasco Filho</t>
        </is>
      </c>
      <c r="C4434" t="inlineStr">
        <is>
          <t>Estágio</t>
        </is>
      </c>
      <c r="D4434" t="n">
        <v>6</v>
      </c>
      <c r="E4434" t="n">
        <v>6</v>
      </c>
      <c r="F4434" t="n">
        <v>28.42</v>
      </c>
      <c r="G4434" t="n">
        <v>0</v>
      </c>
      <c r="H4434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N4434" t="n">
        <v>100</v>
      </c>
      <c r="O4434" t="n">
        <v>23.13432835820895</v>
      </c>
    </row>
    <row r="4435" hidden="1">
      <c r="A4435" s="11" t="n">
        <v>46142</v>
      </c>
      <c r="B4435" t="inlineStr">
        <is>
          <t>Clessiane Pereira dos Santos</t>
        </is>
      </c>
      <c r="C4435" t="inlineStr">
        <is>
          <t>Técnico I</t>
        </is>
      </c>
      <c r="D4435" t="n">
        <v>23</v>
      </c>
      <c r="E4435" t="n">
        <v>23</v>
      </c>
      <c r="F4435" t="n">
        <v>25.3</v>
      </c>
      <c r="G4435" t="n">
        <v>0</v>
      </c>
      <c r="H4435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N4435" t="n">
        <v>96.3</v>
      </c>
      <c r="O4435" t="n">
        <v>31.98090692124105</v>
      </c>
    </row>
    <row r="4436" hidden="1">
      <c r="A4436" s="11" t="n">
        <v>46142</v>
      </c>
      <c r="B4436" t="inlineStr">
        <is>
          <t>Cristiane Ramos da Silva Rocha</t>
        </is>
      </c>
      <c r="C4436" t="inlineStr">
        <is>
          <t>Técnico III</t>
        </is>
      </c>
      <c r="D4436" t="n">
        <v>39</v>
      </c>
      <c r="E4436" t="n">
        <v>37</v>
      </c>
      <c r="F4436" t="n">
        <v>11.54</v>
      </c>
      <c r="G4436" t="n">
        <v>0</v>
      </c>
      <c r="H4436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N4436" t="n">
        <v>93.75</v>
      </c>
      <c r="O4436" t="n">
        <v>26.62835249042146</v>
      </c>
    </row>
    <row r="4437" hidden="1">
      <c r="A4437" s="11" t="n">
        <v>46142</v>
      </c>
      <c r="B4437" t="inlineStr">
        <is>
          <t>Damyllis Lorraine de Oliveira Gonçalves</t>
        </is>
      </c>
      <c r="C4437" t="inlineStr">
        <is>
          <t>Técnico 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s="3" t="n">
        <v>0</v>
      </c>
      <c r="J4437" s="3" t="n">
        <v>0</v>
      </c>
      <c r="K4437" s="3" t="n">
        <v>0</v>
      </c>
      <c r="L4437" s="3">
        <f>IF(K4437&lt;-5,"CRÍTICO",IF(K4437&lt;0,"ATENÇÃO",IF(K4437&lt;=5,"OPORTUNO","MUITO BOM")))</f>
        <v/>
      </c>
      <c r="N4437" t="n">
        <v>97.86</v>
      </c>
      <c r="O4437" t="n">
        <v>31.01851851851852</v>
      </c>
    </row>
    <row r="4438" hidden="1">
      <c r="A4438" s="11" t="n">
        <v>46142</v>
      </c>
      <c r="B4438" t="inlineStr">
        <is>
          <t>Daniel Gomes da Silva</t>
        </is>
      </c>
      <c r="C4438" t="inlineStr">
        <is>
          <t>Técnico I</t>
        </is>
      </c>
      <c r="D4438" t="n">
        <v>23</v>
      </c>
      <c r="E4438" t="n">
        <v>23</v>
      </c>
      <c r="F4438" t="n">
        <v>20.21</v>
      </c>
      <c r="G4438" t="n">
        <v>0</v>
      </c>
      <c r="H4438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N4438" t="n">
        <v>100</v>
      </c>
      <c r="O4438" t="n">
        <v>36.23188405797102</v>
      </c>
    </row>
    <row r="4439" hidden="1">
      <c r="A4439" s="11" t="n">
        <v>46142</v>
      </c>
      <c r="B4439" t="inlineStr">
        <is>
          <t>Davylla Rodrigues Freitas Silva</t>
        </is>
      </c>
      <c r="C4439" t="inlineStr">
        <is>
          <t>Técnico III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s="3" t="n">
        <v>0</v>
      </c>
      <c r="J4439" s="3" t="n">
        <v>0</v>
      </c>
      <c r="K4439" s="3" t="n">
        <v>0</v>
      </c>
      <c r="L4439" s="3">
        <f>IF(K4439&lt;-5,"CRÍTICO",IF(K4439&lt;0,"ATENÇÃO",IF(K4439&lt;=5,"OPORTUNO","MUITO BOM")))</f>
        <v/>
      </c>
      <c r="N4439" t="n">
        <v>100</v>
      </c>
      <c r="O4439" t="n">
        <v>38.26923076923077</v>
      </c>
    </row>
    <row r="4440" hidden="1">
      <c r="A4440" s="11" t="n">
        <v>46142</v>
      </c>
      <c r="B4440" t="inlineStr">
        <is>
          <t>Emilly Caylane Costa</t>
        </is>
      </c>
      <c r="C4440" t="inlineStr">
        <is>
          <t>Estágio</t>
        </is>
      </c>
      <c r="D4440" t="n">
        <v>32</v>
      </c>
      <c r="E4440" t="n">
        <v>23</v>
      </c>
      <c r="F4440" t="n">
        <v>4.14</v>
      </c>
      <c r="G4440" t="n">
        <v>0</v>
      </c>
      <c r="H4440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N4440" t="n">
        <v>100</v>
      </c>
      <c r="O4440" t="n">
        <v>27.36842105263158</v>
      </c>
    </row>
    <row r="4441" hidden="1">
      <c r="A4441" s="11" t="n">
        <v>46142</v>
      </c>
      <c r="B4441" t="inlineStr">
        <is>
          <t>Emilly Kamilly Medeiros Miranda</t>
        </is>
      </c>
      <c r="C4441" t="inlineStr">
        <is>
          <t>Técnico II</t>
        </is>
      </c>
      <c r="D4441" t="n">
        <v>38</v>
      </c>
      <c r="E4441" t="n">
        <v>38</v>
      </c>
      <c r="F4441" t="n">
        <v>15.02</v>
      </c>
      <c r="G4441" t="n">
        <v>0</v>
      </c>
      <c r="H4441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N4441" t="n">
        <v>97.83</v>
      </c>
      <c r="O4441" t="n">
        <v>28.13186813186813</v>
      </c>
    </row>
    <row r="4442" hidden="1">
      <c r="A4442" s="11" t="n">
        <v>46142</v>
      </c>
      <c r="B4442" t="inlineStr">
        <is>
          <t>Francielson de Oliveira</t>
        </is>
      </c>
      <c r="C4442" t="inlineStr">
        <is>
          <t>Técnico III</t>
        </is>
      </c>
      <c r="D4442" t="n">
        <v>29</v>
      </c>
      <c r="E4442" t="n">
        <v>26</v>
      </c>
      <c r="F4442" t="n">
        <v>15.07</v>
      </c>
      <c r="G4442" t="n">
        <v>0</v>
      </c>
      <c r="H4442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N4442" t="n">
        <v>99.26000000000001</v>
      </c>
      <c r="O4442" t="n">
        <v>29.57198443579767</v>
      </c>
    </row>
    <row r="4443" hidden="1">
      <c r="A4443" s="11" t="n">
        <v>46142</v>
      </c>
      <c r="B4443" t="inlineStr">
        <is>
          <t>Francilene Ferreira de Jesus</t>
        </is>
      </c>
      <c r="C4443" t="inlineStr">
        <is>
          <t>Técnico II</t>
        </is>
      </c>
      <c r="D4443" t="n">
        <v>42</v>
      </c>
      <c r="E4443" t="n">
        <v>42</v>
      </c>
      <c r="F4443" t="n">
        <v>16.41</v>
      </c>
      <c r="G4443" t="n">
        <v>0</v>
      </c>
      <c r="H444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N4443" t="n">
        <v>99.19</v>
      </c>
      <c r="O4443" t="n">
        <v>29.46236559139785</v>
      </c>
    </row>
    <row r="4444" hidden="1">
      <c r="A4444" s="11" t="n">
        <v>46167</v>
      </c>
      <c r="B4444" t="inlineStr">
        <is>
          <t>Gabriel Gomes de Andrade</t>
        </is>
      </c>
      <c r="C4444" t="inlineStr">
        <is>
          <t>Técnico I</t>
        </is>
      </c>
      <c r="D4444" t="n">
        <v>25</v>
      </c>
      <c r="E4444" t="n">
        <v>25</v>
      </c>
      <c r="F4444" t="n">
        <v>12.33</v>
      </c>
      <c r="G4444" t="n">
        <v>0</v>
      </c>
      <c r="H4444" t="n">
        <v>0</v>
      </c>
      <c r="I4444" s="3" t="n">
        <v>0</v>
      </c>
      <c r="J4444" s="3" t="n">
        <v>0</v>
      </c>
      <c r="K4444" s="3" t="n">
        <v>0</v>
      </c>
      <c r="L4444" s="3">
        <f>IF(K4444&lt;-5,"CRÍTICO",IF(K4444&lt;0,"ATENÇÃO",IF(K4444&lt;=5,"OPORTUNO","MUITO BOM")))</f>
        <v/>
      </c>
    </row>
    <row r="4445" hidden="1">
      <c r="A4445" s="11" t="n">
        <v>46142</v>
      </c>
      <c r="B4445" t="inlineStr">
        <is>
          <t>Isabella Borges de Oliveira</t>
        </is>
      </c>
      <c r="C4445" t="inlineStr">
        <is>
          <t>Técnico II</t>
        </is>
      </c>
      <c r="D4445" t="n">
        <v>25</v>
      </c>
      <c r="E4445" t="n">
        <v>25</v>
      </c>
      <c r="F4445" t="n">
        <v>18.5</v>
      </c>
      <c r="G4445" t="n">
        <v>0</v>
      </c>
      <c r="H4445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N4445" t="n">
        <v>100</v>
      </c>
      <c r="O4445" t="n">
        <v>27.94117647058824</v>
      </c>
    </row>
    <row r="4446" hidden="1">
      <c r="A4446" s="11" t="n">
        <v>46142</v>
      </c>
      <c r="B4446" t="inlineStr">
        <is>
          <t>Janaina Lima dos Reis Urany</t>
        </is>
      </c>
      <c r="C4446" t="inlineStr">
        <is>
          <t>Técnico III</t>
        </is>
      </c>
      <c r="D4446" t="n">
        <v>47</v>
      </c>
      <c r="E4446" t="n">
        <v>42</v>
      </c>
      <c r="F4446" t="n">
        <v>12.14</v>
      </c>
      <c r="G4446" t="n">
        <v>0</v>
      </c>
      <c r="H4446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IF(K4446&lt;-5,"CRÍTICO",IF(K4446&lt;0,"ATENÇÃO",IF(K4446&lt;=5,"OPORTUNO","MUITO BOM")))</f>
        <v/>
      </c>
      <c r="N4446" t="n">
        <v>99.56999999999999</v>
      </c>
      <c r="O4446" t="n">
        <v>29.91329479768786</v>
      </c>
    </row>
    <row r="4447" hidden="1">
      <c r="A4447" s="11" t="n">
        <v>46142</v>
      </c>
      <c r="B4447" t="inlineStr">
        <is>
          <t>Jaqueline Evangelista da Silva Martins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s="3" t="n">
        <v>0</v>
      </c>
      <c r="J4447" s="3" t="n">
        <v>0</v>
      </c>
      <c r="K4447" s="3" t="n">
        <v>0</v>
      </c>
      <c r="L4447" s="3">
        <f>IF(K4447&lt;-5,"CRÍTICO",IF(K4447&lt;0,"ATENÇÃO",IF(K4447&lt;=5,"OPORTUNO","MUITO BOM")))</f>
        <v/>
      </c>
      <c r="N4447" t="n">
        <v>95.65000000000001</v>
      </c>
      <c r="O4447" t="n">
        <v>31.08108108108108</v>
      </c>
    </row>
    <row r="4448" hidden="1">
      <c r="A4448" s="11" t="n">
        <v>46142</v>
      </c>
      <c r="B4448" t="inlineStr">
        <is>
          <t>Jessica Faria da Silveira</t>
        </is>
      </c>
      <c r="C4448" t="inlineStr">
        <is>
          <t>Técnico II</t>
        </is>
      </c>
      <c r="D4448" t="n">
        <v>21</v>
      </c>
      <c r="E4448" t="n">
        <v>16</v>
      </c>
      <c r="F4448" t="n">
        <v>11.48</v>
      </c>
      <c r="G4448" t="n">
        <v>0</v>
      </c>
      <c r="H4448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N4448" t="n">
        <v>98.81</v>
      </c>
      <c r="O4448" t="n">
        <v>26.25698324022346</v>
      </c>
    </row>
    <row r="4449" hidden="1">
      <c r="A4449" s="11" t="n">
        <v>46142</v>
      </c>
      <c r="B4449" t="inlineStr">
        <is>
          <t>Jéssica Fé Moura</t>
        </is>
      </c>
      <c r="C4449" t="inlineStr">
        <is>
          <t>Técnico III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N4449" t="n">
        <v>0</v>
      </c>
      <c r="O4449" t="n">
        <v>0</v>
      </c>
    </row>
    <row r="4450" hidden="1">
      <c r="A4450" s="11" t="n">
        <v>46142</v>
      </c>
      <c r="B4450" t="inlineStr">
        <is>
          <t>Karina Gonçalves Martins</t>
        </is>
      </c>
      <c r="C4450" t="inlineStr">
        <is>
          <t>JR</t>
        </is>
      </c>
      <c r="D4450" t="n">
        <v>19</v>
      </c>
      <c r="E4450" t="n">
        <v>17</v>
      </c>
      <c r="F4450" t="n">
        <v>19.12</v>
      </c>
      <c r="G4450" t="n">
        <v>0</v>
      </c>
      <c r="H4450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N4450" t="n">
        <v>97.17</v>
      </c>
      <c r="O4450" t="n">
        <v>28.81844380403458</v>
      </c>
    </row>
    <row r="4451" hidden="1">
      <c r="A4451" s="11" t="n">
        <v>46142</v>
      </c>
      <c r="B4451" t="inlineStr">
        <is>
          <t>Kerollen Cristielly de Jesus Siqueira</t>
        </is>
      </c>
      <c r="C4451" t="inlineStr">
        <is>
          <t>Técnico III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s="3" t="n">
        <v>0</v>
      </c>
      <c r="J4451" s="3" t="n">
        <v>0</v>
      </c>
      <c r="K4451" s="3" t="n">
        <v>0</v>
      </c>
      <c r="L4451" s="3">
        <f>IF(K4451&lt;-5,"CRÍTICO",IF(K4451&lt;0,"ATENÇÃO",IF(K4451&lt;=5,"OPORTUNO","MUITO BOM")))</f>
        <v/>
      </c>
      <c r="N4451" t="n">
        <v>96.81</v>
      </c>
      <c r="O4451" t="n">
        <v>48.01864801864802</v>
      </c>
    </row>
    <row r="4452" hidden="1">
      <c r="A4452" s="11" t="n">
        <v>46142</v>
      </c>
      <c r="B4452" t="inlineStr">
        <is>
          <t>Leandro de Souza Silva</t>
        </is>
      </c>
      <c r="C4452" t="inlineStr">
        <is>
          <t>JR</t>
        </is>
      </c>
      <c r="D4452" t="n">
        <v>22</v>
      </c>
      <c r="E4452" t="n">
        <v>21</v>
      </c>
      <c r="F4452" t="n">
        <v>17.26</v>
      </c>
      <c r="G4452" t="n">
        <v>0</v>
      </c>
      <c r="H4452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N4452" t="n">
        <v>98.15000000000001</v>
      </c>
      <c r="O4452" t="n">
        <v>27.1551724137931</v>
      </c>
    </row>
    <row r="4453" hidden="1">
      <c r="A4453" s="11" t="n">
        <v>46142</v>
      </c>
      <c r="B4453" t="inlineStr">
        <is>
          <t>Leandro Oliveira de Sousa</t>
        </is>
      </c>
      <c r="C4453" t="inlineStr">
        <is>
          <t>Técnico III</t>
        </is>
      </c>
      <c r="D4453" t="n">
        <v>31</v>
      </c>
      <c r="E4453" t="n">
        <v>29</v>
      </c>
      <c r="F4453" t="n">
        <v>13.5</v>
      </c>
      <c r="G4453" t="n">
        <v>0</v>
      </c>
      <c r="H445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N4453" t="n">
        <v>99.15000000000001</v>
      </c>
      <c r="O4453" t="n">
        <v>27.37068965517241</v>
      </c>
    </row>
    <row r="4454" hidden="1">
      <c r="A4454" s="11" t="n">
        <v>46142</v>
      </c>
      <c r="B4454" t="inlineStr">
        <is>
          <t>Lizandra Gomes Duarte</t>
        </is>
      </c>
      <c r="C4454" t="inlineStr">
        <is>
          <t>Técnico II</t>
        </is>
      </c>
      <c r="D4454" t="n">
        <v>18</v>
      </c>
      <c r="E4454" t="n">
        <v>17</v>
      </c>
      <c r="F4454" t="n">
        <v>21.44</v>
      </c>
      <c r="G4454" t="n">
        <v>0</v>
      </c>
      <c r="H4454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N4454" t="n">
        <v>99.17</v>
      </c>
      <c r="O4454" t="n">
        <v>29.75206611570248</v>
      </c>
    </row>
    <row r="4455" hidden="1">
      <c r="A4455" s="11" t="n">
        <v>46142</v>
      </c>
      <c r="B4455" t="inlineStr">
        <is>
          <t>Lorena Dias de Araujo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s="3" t="n">
        <v>0</v>
      </c>
      <c r="J4455" s="3" t="n">
        <v>0</v>
      </c>
      <c r="K4455" s="3" t="n">
        <v>0</v>
      </c>
      <c r="L4455" s="3">
        <f>IF(K4455&lt;-5,"CRÍTICO",IF(K4455&lt;0,"ATENÇÃO",IF(K4455&lt;=5,"OPORTUNO","MUITO BOM")))</f>
        <v/>
      </c>
      <c r="N4455" t="n">
        <v>98.73</v>
      </c>
      <c r="O4455" t="n">
        <v>28.96174863387978</v>
      </c>
    </row>
    <row r="4456" hidden="1">
      <c r="A4456" s="11" t="n">
        <v>46142</v>
      </c>
      <c r="B4456" t="inlineStr">
        <is>
          <t>Lucas Luiz Romero</t>
        </is>
      </c>
      <c r="C4456" t="inlineStr">
        <is>
          <t>Técnico III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N4456" t="n">
        <v>88.68000000000001</v>
      </c>
      <c r="O4456" t="n">
        <v>22.03389830508474</v>
      </c>
    </row>
    <row r="4457" hidden="1">
      <c r="A4457" s="11" t="n">
        <v>46142</v>
      </c>
      <c r="B4457" t="inlineStr">
        <is>
          <t>Luiz Fernando de Carvalho Junior</t>
        </is>
      </c>
      <c r="C4457" t="inlineStr">
        <is>
          <t>Técnico I</t>
        </is>
      </c>
      <c r="D4457" t="n">
        <v>30</v>
      </c>
      <c r="E4457" t="n">
        <v>28</v>
      </c>
      <c r="F4457" t="n">
        <v>16.54</v>
      </c>
      <c r="G4457" t="n">
        <v>0</v>
      </c>
      <c r="H4457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N4457" t="n">
        <v>97.37</v>
      </c>
      <c r="O4457" t="n">
        <v>25.76530612244898</v>
      </c>
    </row>
    <row r="4458" hidden="1">
      <c r="A4458" s="11" t="n">
        <v>46142</v>
      </c>
      <c r="B4458" t="inlineStr">
        <is>
          <t>Maria Eduarda Sousa Costa</t>
        </is>
      </c>
      <c r="C4458" t="inlineStr">
        <is>
          <t>Estágio</t>
        </is>
      </c>
      <c r="D4458" t="n">
        <v>80</v>
      </c>
      <c r="E4458" t="n">
        <v>46</v>
      </c>
      <c r="F4458" t="n">
        <v>5.06</v>
      </c>
      <c r="G4458" t="n">
        <v>0</v>
      </c>
      <c r="H4458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N4458" t="n">
        <v>100</v>
      </c>
      <c r="O4458" t="n">
        <v>25</v>
      </c>
    </row>
    <row r="4459" hidden="1">
      <c r="A4459" s="11" t="n">
        <v>46142</v>
      </c>
      <c r="B4459" t="inlineStr">
        <is>
          <t>Matheus Farias De Souza</t>
        </is>
      </c>
      <c r="C4459" t="inlineStr">
        <is>
          <t>Técnico III</t>
        </is>
      </c>
      <c r="D4459" t="n">
        <v>15</v>
      </c>
      <c r="E4459" t="n">
        <v>13</v>
      </c>
      <c r="F4459" t="n">
        <v>11.57</v>
      </c>
      <c r="G4459" t="n">
        <v>0</v>
      </c>
      <c r="H4459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N4459" t="n">
        <v>100</v>
      </c>
      <c r="O4459" t="n">
        <v>23.9870340356564</v>
      </c>
    </row>
    <row r="4460" hidden="1">
      <c r="A4460" s="11" t="n">
        <v>46142</v>
      </c>
      <c r="B4460" t="inlineStr">
        <is>
          <t>Maysa Victoria Dias Moura</t>
        </is>
      </c>
      <c r="C4460" t="inlineStr">
        <is>
          <t>Técnico III</t>
        </is>
      </c>
      <c r="D4460" t="n">
        <v>35</v>
      </c>
      <c r="E4460" t="n">
        <v>34</v>
      </c>
      <c r="F4460" t="n">
        <v>14.14</v>
      </c>
      <c r="G4460" t="n">
        <v>0</v>
      </c>
      <c r="H4460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N4460" t="n">
        <v>95.48999999999999</v>
      </c>
      <c r="O4460" t="n">
        <v>28.16901408450704</v>
      </c>
    </row>
    <row r="4461" hidden="1">
      <c r="A4461" s="11" t="n">
        <v>46142</v>
      </c>
      <c r="B4461" t="inlineStr">
        <is>
          <t>Michelle G Santos</t>
        </is>
      </c>
      <c r="C4461" t="inlineStr">
        <is>
          <t>Estágio</t>
        </is>
      </c>
      <c r="D4461" t="n">
        <v>19</v>
      </c>
      <c r="E4461" t="n">
        <v>17</v>
      </c>
      <c r="F4461" t="n">
        <v>24.14</v>
      </c>
      <c r="G4461" t="n">
        <v>0</v>
      </c>
      <c r="H4461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N4461" t="n">
        <v>100</v>
      </c>
      <c r="O4461" t="n">
        <v>23.77622377622378</v>
      </c>
    </row>
    <row r="4462" hidden="1">
      <c r="A4462" s="11" t="n">
        <v>46142</v>
      </c>
      <c r="B4462" t="inlineStr">
        <is>
          <t>Milena Sales</t>
        </is>
      </c>
      <c r="C4462" t="inlineStr">
        <is>
          <t>JR</t>
        </is>
      </c>
      <c r="D4462" t="n">
        <v>36</v>
      </c>
      <c r="E4462" t="n">
        <v>20</v>
      </c>
      <c r="F4462" t="n">
        <v>9.19</v>
      </c>
      <c r="G4462" t="n">
        <v>0</v>
      </c>
      <c r="H4462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N4462" t="n">
        <v>96.15000000000001</v>
      </c>
      <c r="O4462" t="n">
        <v>24.04580152671756</v>
      </c>
    </row>
    <row r="4463" hidden="1">
      <c r="A4463" s="11" t="n">
        <v>46142</v>
      </c>
      <c r="B4463" t="inlineStr">
        <is>
          <t>Patrícia Karla de Sousa Araújo</t>
        </is>
      </c>
      <c r="C4463" t="inlineStr">
        <is>
          <t>Técnico II</t>
        </is>
      </c>
      <c r="D4463" t="n">
        <v>31</v>
      </c>
      <c r="E4463" t="n">
        <v>27</v>
      </c>
      <c r="F4463" t="n">
        <v>15.42</v>
      </c>
      <c r="G4463" t="n">
        <v>0</v>
      </c>
      <c r="H446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N4463" t="n">
        <v>99.02</v>
      </c>
      <c r="O4463" t="n">
        <v>34.7972972972973</v>
      </c>
    </row>
    <row r="4464" hidden="1">
      <c r="A4464" s="11" t="n">
        <v>46142</v>
      </c>
      <c r="B4464" t="inlineStr">
        <is>
          <t>Paulo Ricardo Santos</t>
        </is>
      </c>
      <c r="C4464" t="inlineStr">
        <is>
          <t>JR</t>
        </is>
      </c>
      <c r="D4464" t="n">
        <v>19</v>
      </c>
      <c r="E4464" t="n">
        <v>19</v>
      </c>
      <c r="F4464" t="n">
        <v>20.08</v>
      </c>
      <c r="G4464" t="n">
        <v>0</v>
      </c>
      <c r="H4464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N4464" t="n">
        <v>98.84</v>
      </c>
      <c r="O4464" t="n">
        <v>31.5018315018315</v>
      </c>
    </row>
    <row r="4465" hidden="1">
      <c r="A4465" s="11" t="n">
        <v>46142</v>
      </c>
      <c r="B4465" t="inlineStr">
        <is>
          <t>Pedro Luiz Mota Sousa</t>
        </is>
      </c>
      <c r="C4465" t="inlineStr">
        <is>
          <t>JR</t>
        </is>
      </c>
      <c r="D4465" t="n">
        <v>15</v>
      </c>
      <c r="E4465" t="n">
        <v>13</v>
      </c>
      <c r="F4465" t="n">
        <v>13.59</v>
      </c>
      <c r="G4465" t="n">
        <v>0</v>
      </c>
      <c r="H4465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N4465" t="n">
        <v>100</v>
      </c>
      <c r="O4465" t="n">
        <v>34.66666666666667</v>
      </c>
    </row>
    <row r="4466" hidden="1">
      <c r="A4466" s="11" t="n">
        <v>46142</v>
      </c>
      <c r="B4466" t="inlineStr">
        <is>
          <t>Quirino Diogo Leite Torres</t>
        </is>
      </c>
      <c r="C4466" t="inlineStr">
        <is>
          <t>Estágio</t>
        </is>
      </c>
      <c r="D4466" t="n">
        <v>18</v>
      </c>
      <c r="E4466" t="n">
        <v>17</v>
      </c>
      <c r="F4466" t="n">
        <v>28.41</v>
      </c>
      <c r="G4466" t="n">
        <v>0</v>
      </c>
      <c r="H4466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N4466" t="n">
        <v>94.12</v>
      </c>
      <c r="O4466" t="n">
        <v>32.8</v>
      </c>
    </row>
    <row r="4467" hidden="1">
      <c r="A4467" s="11" t="n">
        <v>46142</v>
      </c>
      <c r="B4467" t="inlineStr">
        <is>
          <t>Raane Batista Matos</t>
        </is>
      </c>
      <c r="C4467" t="inlineStr">
        <is>
          <t>Técnico I</t>
        </is>
      </c>
      <c r="D4467" t="n">
        <v>27</v>
      </c>
      <c r="E4467" t="n">
        <v>24</v>
      </c>
      <c r="F4467" t="n">
        <v>15.08</v>
      </c>
      <c r="G4467" t="n">
        <v>0</v>
      </c>
      <c r="H4467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N4467" t="n">
        <v>98.31999999999999</v>
      </c>
      <c r="O4467" t="n">
        <v>26.61870503597122</v>
      </c>
    </row>
    <row r="4468" hidden="1">
      <c r="A4468" s="11" t="n">
        <v>46142</v>
      </c>
      <c r="B4468" t="inlineStr">
        <is>
          <t>Rafael Gomes de Morais</t>
        </is>
      </c>
      <c r="C4468" t="inlineStr">
        <is>
          <t>Técnico III</t>
        </is>
      </c>
      <c r="D4468" t="n">
        <v>36</v>
      </c>
      <c r="E4468" t="n">
        <v>33</v>
      </c>
      <c r="F4468" t="n">
        <v>18.2</v>
      </c>
      <c r="G4468" t="n">
        <v>0</v>
      </c>
      <c r="H4468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N4468" t="n">
        <v>100</v>
      </c>
      <c r="O4468" t="n">
        <v>31.13553113553114</v>
      </c>
    </row>
    <row r="4469" hidden="1">
      <c r="A4469" s="11" t="n">
        <v>46142</v>
      </c>
      <c r="B4469" t="inlineStr">
        <is>
          <t>Sara Maria Monteiro Lopes</t>
        </is>
      </c>
      <c r="C4469" t="inlineStr">
        <is>
          <t>Técnico I</t>
        </is>
      </c>
      <c r="D4469" t="n">
        <v>10</v>
      </c>
      <c r="E4469" t="n">
        <v>10</v>
      </c>
      <c r="F4469" t="n">
        <v>23.27</v>
      </c>
      <c r="G4469" t="n">
        <v>0</v>
      </c>
      <c r="H4469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N4469" t="n">
        <v>100</v>
      </c>
      <c r="O4469" t="n">
        <v>26.02739726027397</v>
      </c>
    </row>
    <row r="4470" hidden="1">
      <c r="A4470" s="11" t="n">
        <v>46142</v>
      </c>
      <c r="B4470" t="inlineStr">
        <is>
          <t>Sarah Steffanie de Lima Borges</t>
        </is>
      </c>
      <c r="C4470" t="inlineStr">
        <is>
          <t>Técnico III</t>
        </is>
      </c>
      <c r="D4470" t="n">
        <v>10</v>
      </c>
      <c r="E4470" t="n">
        <v>10</v>
      </c>
      <c r="F4470" t="n">
        <v>20.23</v>
      </c>
      <c r="G4470" t="n">
        <v>0</v>
      </c>
      <c r="H4470" t="n">
        <v>0</v>
      </c>
      <c r="I4470" s="3">
        <f>E4470+G4470+H4470</f>
        <v/>
      </c>
      <c r="J4470" s="3">
        <f>ROUND(MIN(IF(C4470="Técnico III",35,IF(C4470="Técnico II",28,IF(C4470="Técnico I",23,IF(C4470="JR",20,IF(C4470="Estágio",10,0))))),IF(C4470="Técnico III",SUMIFS($D:$D,$A:$A,$A4470,$B:$B,"&lt;&gt;Patrícia Karla de Sousa Araújo",$B:$B,"&lt;&gt;Lorena Dias de Araujo",$B:$B,"&lt;&gt;Lucas Luiz Romero")*(35/1083),IF(C4470="Técnico II",SUMIFS($D:$D,$A:$A,$A4470,$B:$B,"&lt;&gt;Patrícia Karla de Sousa Araújo",$B:$B,"&lt;&gt;Lorena Dias de Araujo",$B:$B,"&lt;&gt;Lucas Luiz Romero")*(28/1083),IF(C4470="Técnico I",SUMIFS($D:$D,$A:$A,$A4470,$B:$B,"&lt;&gt;Patrícia Karla de Sousa Araújo",$B:$B,"&lt;&gt;Lorena Dias de Araujo",$B:$B,"&lt;&gt;Lucas Luiz Romero")*(23/1083),IF(C4470="JR",SUMIFS($D:$D,$A:$A,$A4470,$B:$B,"&lt;&gt;Patrícia Karla de Sousa Araújo",$B:$B,"&lt;&gt;Lorena Dias de Araujo",$B:$B,"&lt;&gt;Lucas Luiz Romero")*(20/1083),IF(C4470="Estágio",SUMIFS($D:$D,$A:$A,$A4470,$B:$B,"&lt;&gt;Patrícia Karla de Sousa Araújo",$B:$B,"&lt;&gt;Lorena Dias de Araujo",$B:$B,"&lt;&gt;Lucas Luiz Romero")*(10/1083),0)))))),0)</f>
        <v/>
      </c>
      <c r="K4470" s="3">
        <f>I4470-J4470</f>
        <v/>
      </c>
      <c r="L4470" s="3">
        <f>IF(K4470&lt;-5,"CRÍTICO",IF(K4470&lt;0,"ATENÇÃO",IF(K4470&lt;=5,"OPORTUNO","MUITO BOM")))</f>
        <v/>
      </c>
      <c r="N4470" t="n">
        <v>99.20999999999999</v>
      </c>
      <c r="O4470" t="n">
        <v>24.93702770780856</v>
      </c>
    </row>
  </sheetData>
  <autoFilter ref="A1:O4470">
    <filterColumn colId="0" hiddenButton="0" showButton="1">
      <filters>
        <dateGroupItem year="2026" month="1" dateTimeGrouping="month"/>
        <dateGroupItem year="2026" month="2" dateTimeGrouping="month"/>
      </filters>
    </filterColumn>
    <sortState ref="A19:O4444">
      <sortCondition ref="A1:A447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2026-05-26T18:32:37Z</dcterms:modified>
  <cp:lastModifiedBy>Esther Queiroz Supervisora Folha</cp:lastModifiedBy>
</cp:coreProperties>
</file>
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'Produtividade'!$A$1:$O$620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620"/>
  <sheetViews>
    <sheetView tabSelected="1" zoomScale="85" zoomScaleNormal="85" workbookViewId="0">
      <selection activeCell="E1" sqref="E1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I2" s="3">
        <f>E2+G2+H2</f>
        <v/>
      </c>
      <c r="J2" s="3">
        <f>IF(C2="Técnico III","35",IF(C2="Técnico II","28",IF(C2="Técnico I","23",IF(C2="JR","20",IF(C2="Estágio","10",)))))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100</v>
      </c>
      <c r="O2" s="9" t="n">
        <v>16.67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32</v>
      </c>
      <c r="N3" s="9" t="n">
        <v>100</v>
      </c>
      <c r="O3" s="9" t="n">
        <v>21.88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I4" s="3">
        <f>E4+G4+H4</f>
        <v/>
      </c>
      <c r="J4" s="3">
        <f>IF(C4="Técnico III","35",IF(C4="Técnico II","28",IF(C4="Técnico I","23",IF(C4="JR","20",IF(C4="Estágio","10",)))))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32</v>
      </c>
      <c r="N4" s="9" t="n">
        <v>100</v>
      </c>
      <c r="O4" s="9" t="n">
        <v>21.8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I5" s="3">
        <f>E5+G5+H5</f>
        <v/>
      </c>
      <c r="J5" s="3">
        <f>IF(C5="Técnico III","35",IF(C5="Técnico II","28",IF(C5="Técnico I","23",IF(C5="JR","20",IF(C5="Estágio","10",)))))</f>
        <v/>
      </c>
      <c r="K5" s="3">
        <f>I5-J5</f>
        <v/>
      </c>
      <c r="L5" s="3">
        <f>IF(K5&lt;-5,"CRÍTICO",IF(K5&lt;0,"ATENÇÃO",IF(K5&lt;=5,"BOM","EXCELENTE")))</f>
        <v/>
      </c>
      <c r="M5" s="9" t="n">
        <v>19</v>
      </c>
      <c r="N5" s="9" t="n">
        <v>100</v>
      </c>
      <c r="O5" s="9" t="n">
        <v>15.79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IF(C6="Técnico III","35",IF(C6="Técnico II","28",IF(C6="Técnico I","23",IF(C6="JR","20",IF(C6="Estágio","10",)))))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21</v>
      </c>
      <c r="N6" s="9" t="n">
        <v>100</v>
      </c>
      <c r="O6" s="9" t="n">
        <v>33.33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I7" s="3">
        <f>E7+G7+H7</f>
        <v/>
      </c>
      <c r="J7" s="3">
        <f>IF(C7="Técnico III","35",IF(C7="Técnico II","28",IF(C7="Técnico I","23",IF(C7="JR","20",IF(C7="Estágio","10",)))))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18</v>
      </c>
      <c r="N7" s="9" t="n">
        <v>100</v>
      </c>
      <c r="O7" s="9" t="n">
        <v>11.11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I8" s="3">
        <f>E8+G8+H8</f>
        <v/>
      </c>
      <c r="J8" s="3">
        <f>IF(C8="Técnico III","35",IF(C8="Técnico II","28",IF(C8="Técnico I","23",IF(C8="JR","20",IF(C8="Estágio","10",)))))</f>
        <v/>
      </c>
      <c r="K8" s="3">
        <f>I8-J8</f>
        <v/>
      </c>
      <c r="L8" s="3">
        <f>IF(K8&lt;-5,"CRÍTICO",IF(K8&lt;0,"ATENÇÃO",IF(K8&lt;=5,"BOM","EXCELENTE")))</f>
        <v/>
      </c>
      <c r="M8" s="9" t="n">
        <v>17</v>
      </c>
      <c r="N8" s="9" t="n">
        <v>100</v>
      </c>
      <c r="O8" s="9" t="n">
        <v>11.76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I9" s="3">
        <f>E9+G9+H9</f>
        <v/>
      </c>
      <c r="J9" s="3">
        <f>IF(C9="Técnico III","35",IF(C9="Técnico II","28",IF(C9="Técnico I","23",IF(C9="JR","20",IF(C9="Estágio","10",)))))</f>
        <v/>
      </c>
      <c r="K9" s="3">
        <f>I9-J9</f>
        <v/>
      </c>
      <c r="L9" s="3">
        <f>IF(K9&lt;-5,"CRÍTICO",IF(K9&lt;0,"ATENÇÃO",IF(K9&lt;=5,"BOM","EXCELENTE")))</f>
        <v/>
      </c>
      <c r="M9" s="9" t="n">
        <v>17</v>
      </c>
      <c r="N9" s="9" t="n">
        <v>100</v>
      </c>
      <c r="O9" s="9" t="n">
        <v>5.88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I10" s="3">
        <f>E10+G10+H10</f>
        <v/>
      </c>
      <c r="J10" s="3">
        <f>IF(C10="Técnico III","35",IF(C10="Técnico II","28",IF(C10="Técnico I","23",IF(C10="JR","20",IF(C10="Estágio","10",)))))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23</v>
      </c>
      <c r="N10" s="9" t="n">
        <v>100</v>
      </c>
      <c r="O10" s="9" t="n">
        <v>17.39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I11" s="3">
        <f>E11+G11+H11</f>
        <v/>
      </c>
      <c r="J11" s="3">
        <f>IF(C11="Técnico III","35",IF(C11="Técnico II","28",IF(C11="Técnico I","23",IF(C11="JR","20",IF(C11="Estágio","10",)))))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12</v>
      </c>
      <c r="N11" s="9" t="n">
        <v>100</v>
      </c>
      <c r="O11" s="9" t="n">
        <v>8.33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I12" s="3">
        <f>E12+G12+H12</f>
        <v/>
      </c>
      <c r="J12" s="3">
        <f>IF(C12="Técnico III","35",IF(C12="Técnico II","28",IF(C12="Técnico I","23",IF(C12="JR","20",IF(C12="Estágio","10",)))))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19</v>
      </c>
      <c r="N12" s="9" t="n">
        <v>100</v>
      </c>
      <c r="O12" s="9" t="n">
        <v>10.53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I13" s="3">
        <f>E13+G13+H13</f>
        <v/>
      </c>
      <c r="J13" s="3">
        <f>IF(C13="Técnico III","35",IF(C13="Técnico II","28",IF(C13="Técnico I","23",IF(C13="JR","20",IF(C13="Estágio","10",)))))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17</v>
      </c>
      <c r="N13" s="9" t="n">
        <v>91.67</v>
      </c>
      <c r="O13" s="9" t="n">
        <v>29.41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I14" s="3">
        <f>E14+G14+H14</f>
        <v/>
      </c>
      <c r="J14" s="3">
        <f>IF(C14="Técnico III","35",IF(C14="Técnico II","28",IF(C14="Técnico I","23",IF(C14="JR","20",IF(C14="Estágio","10",)))))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20</v>
      </c>
      <c r="N14" s="9" t="n">
        <v>100</v>
      </c>
      <c r="O14" s="9" t="n">
        <v>5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I15" s="3">
        <f>E15+G15+H15</f>
        <v/>
      </c>
      <c r="J15" s="3">
        <f>IF(C15="Técnico III","35",IF(C15="Técnico II","28",IF(C15="Técnico I","23",IF(C15="JR","20",IF(C15="Estágio","10",)))))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0</v>
      </c>
      <c r="N15" s="9" t="n">
        <v>0</v>
      </c>
      <c r="O15" s="9" t="n">
        <v>0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I16" s="3">
        <f>E16+G16+H16</f>
        <v/>
      </c>
      <c r="J16" s="3">
        <f>IF(C16="Técnico III","35",IF(C16="Técnico II","28",IF(C16="Técnico I","23",IF(C16="JR","20",IF(C16="Estágio","10",)))))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0</v>
      </c>
      <c r="N16" s="9" t="n">
        <v>0</v>
      </c>
      <c r="O16" s="9" t="n">
        <v>0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0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I18" s="3">
        <f>E18+G18+H18</f>
        <v/>
      </c>
      <c r="J18" s="3">
        <f>IF(C18="Técnico III","35",IF(C18="Técnico II","28",IF(C18="Técnico I","23",IF(C18="JR","20",IF(C18="Estágio","10",)))))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0</v>
      </c>
      <c r="N18" s="9" t="n">
        <v>0</v>
      </c>
      <c r="O18" s="9" t="n">
        <v>0</v>
      </c>
    </row>
    <row r="19" hidden="1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I19" s="3">
        <f>E19+G19+H19</f>
        <v/>
      </c>
      <c r="J19" s="3">
        <f>IF(C19="Técnico III","35",IF(C19="Técnico II","28",IF(C19="Técnico I","23",IF(C19="JR","20",IF(C19="Estágio","10",)))))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0</v>
      </c>
      <c r="N19" s="9" t="n">
        <v>0</v>
      </c>
      <c r="O19" s="9" t="n">
        <v>0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I20" s="3">
        <f>E20+G20+H20</f>
        <v/>
      </c>
      <c r="J20" s="3">
        <f>IF(C20="Técnico III","35",IF(C20="Técnico II","28",IF(C20="Técnico I","23",IF(C20="JR","20",IF(C20="Estágio","10",)))))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0</v>
      </c>
      <c r="N20" s="9" t="n">
        <v>0</v>
      </c>
      <c r="O20" s="9" t="n">
        <v>0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I21" s="3">
        <f>E21+G21+H21</f>
        <v/>
      </c>
      <c r="J21" s="3">
        <f>IF(C21="Técnico III","35",IF(C21="Técnico II","28",IF(C21="Técnico I","23",IF(C21="JR","20",IF(C21="Estágio","10",)))))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0</v>
      </c>
      <c r="N21" s="9" t="n">
        <v>100</v>
      </c>
      <c r="O21" s="9" t="n">
        <v>0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I22" s="3">
        <f>E22+G22+H22</f>
        <v/>
      </c>
      <c r="J22" s="3">
        <f>IF(C22="Técnico III","35",IF(C22="Técnico II","28",IF(C22="Técnico I","23",IF(C22="JR","20",IF(C22="Estágio","10",)))))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0</v>
      </c>
      <c r="N22" s="9" t="n">
        <v>100</v>
      </c>
      <c r="O22" s="9" t="n">
        <v>0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I23" s="3">
        <f>E23+G23+H23</f>
        <v/>
      </c>
      <c r="J23" s="3">
        <f>IF(C23="Técnico III","35",IF(C23="Técnico II","28",IF(C23="Técnico I","23",IF(C23="JR","20",IF(C23="Estágio","10",)))))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0</v>
      </c>
      <c r="N23" s="9" t="n">
        <v>100</v>
      </c>
      <c r="O23" s="9" t="n">
        <v>0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100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I25" s="3">
        <f>E25+G25+H25</f>
        <v/>
      </c>
      <c r="J25" s="3">
        <f>IF(C25="Técnico III","35",IF(C25="Técnico II","28",IF(C25="Técnico I","23",IF(C25="JR","20",IF(C25="Estágio","10",)))))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0</v>
      </c>
      <c r="N25" s="9" t="n">
        <v>100</v>
      </c>
      <c r="O25" s="9" t="n">
        <v>0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I26" s="3">
        <f>E26+G26+H26</f>
        <v/>
      </c>
      <c r="J26" s="3">
        <f>IF(C26="Técnico III","35",IF(C26="Técnico II","28",IF(C26="Técnico I","23",IF(C26="JR","20",IF(C26="Estágio","10",)))))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0</v>
      </c>
      <c r="N26" s="9" t="n">
        <v>100</v>
      </c>
      <c r="O26" s="9" t="n">
        <v>0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I27" s="3">
        <f>E27+G27+H27</f>
        <v/>
      </c>
      <c r="J27" s="3">
        <f>IF(C27="Técnico III","35",IF(C27="Técnico II","28",IF(C27="Técnico I","23",IF(C27="JR","20",IF(C27="Estágio","10",)))))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0</v>
      </c>
      <c r="N27" s="9" t="n">
        <v>100</v>
      </c>
      <c r="O27" s="9" t="n">
        <v>0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I28" s="3">
        <f>E28+G28+H28</f>
        <v/>
      </c>
      <c r="J28" s="3">
        <f>IF(C28="Técnico III","35",IF(C28="Técnico II","28",IF(C28="Técnico I","23",IF(C28="JR","20",IF(C28="Estágio","10",)))))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35</v>
      </c>
      <c r="N28" s="9" t="n">
        <v>100</v>
      </c>
      <c r="O28" s="9" t="n">
        <v>22.86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I29" s="3">
        <f>E29+G29+H29</f>
        <v/>
      </c>
      <c r="J29" s="3">
        <f>IF(C29="Técnico III","35",IF(C29="Técnico II","28",IF(C29="Técnico I","23",IF(C29="JR","20",IF(C29="Estágio","10",)))))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36</v>
      </c>
      <c r="N29" s="9" t="n">
        <v>100</v>
      </c>
      <c r="O29" s="9" t="n">
        <v>16.67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I30" s="3">
        <f>E30+G30+H30</f>
        <v/>
      </c>
      <c r="J30" s="3">
        <f>IF(C30="Técnico III","35",IF(C30="Técnico II","28",IF(C30="Técnico I","23",IF(C30="JR","20",IF(C30="Estágio","10",)))))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43</v>
      </c>
      <c r="N30" s="9" t="n">
        <v>100</v>
      </c>
      <c r="O30" s="9" t="n"/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36</v>
      </c>
      <c r="N31" s="9" t="n">
        <v>91.67</v>
      </c>
      <c r="O31" s="9" t="n">
        <v>33.33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I32" s="3">
        <f>E32+G32+H32</f>
        <v/>
      </c>
      <c r="J32" s="3">
        <f>IF(C32="Técnico III","35",IF(C32="Técnico II","28",IF(C32="Técnico I","23",IF(C32="JR","20",IF(C32="Estágio","10",)))))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24</v>
      </c>
      <c r="N32" s="9" t="n">
        <v>75</v>
      </c>
      <c r="O32" s="9" t="n">
        <v>16.67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IF(C33="Técnico III","35",IF(C33="Técnico II","28",IF(C33="Técnico I","23",IF(C33="JR","20",IF(C33="Estágio","10",)))))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38</v>
      </c>
      <c r="N33" s="9" t="n">
        <v>71.43000000000001</v>
      </c>
      <c r="O33" s="9" t="n">
        <v>21.05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IF(C34="Técnico III","35",IF(C34="Técnico II","28",IF(C34="Técnico I","23",IF(C34="JR","20",IF(C34="Estágio","10",)))))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27</v>
      </c>
      <c r="N34" s="9" t="n">
        <v>87.5</v>
      </c>
      <c r="O34" s="9" t="n">
        <v>11.11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I35" s="3">
        <f>E35+G35+H35</f>
        <v/>
      </c>
      <c r="J35" s="3">
        <f>IF(C35="Técnico III","35",IF(C35="Técnico II","28",IF(C35="Técnico I","23",IF(C35="JR","20",IF(C35="Estágio","10",)))))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26</v>
      </c>
      <c r="N35" s="9" t="n">
        <v>100</v>
      </c>
      <c r="O35" s="9" t="n">
        <v>30.77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I36" s="3">
        <f>E36+G36+H36</f>
        <v/>
      </c>
      <c r="J36" s="3">
        <f>IF(C36="Técnico III","35",IF(C36="Técnico II","28",IF(C36="Técnico I","23",IF(C36="JR","20",IF(C36="Estágio","10",)))))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23</v>
      </c>
      <c r="N36" s="9" t="n">
        <v>100</v>
      </c>
      <c r="O36" s="9" t="n">
        <v>13.04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I37" s="3">
        <f>E37+G37+H37</f>
        <v/>
      </c>
      <c r="J37" s="3">
        <f>IF(C37="Técnico III","35",IF(C37="Técnico II","28",IF(C37="Técnico I","23",IF(C37="JR","20",IF(C37="Estágio","10",)))))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36</v>
      </c>
      <c r="N37" s="9" t="n">
        <v>100</v>
      </c>
      <c r="O37" s="9" t="n">
        <v>11.11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I38" s="3">
        <f>E38+G38+H38</f>
        <v/>
      </c>
      <c r="J38" s="3">
        <f>IF(C38="Técnico III","35",IF(C38="Técnico II","28",IF(C38="Técnico I","23",IF(C38="JR","20",IF(C38="Estágio","10",)))))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18</v>
      </c>
      <c r="N38" s="9" t="n">
        <v>100</v>
      </c>
      <c r="O38" s="9" t="n">
        <v>27.78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I39" s="3">
        <f>E39+G39+H39</f>
        <v/>
      </c>
      <c r="J39" s="3">
        <f>IF(C39="Técnico III","35",IF(C39="Técnico II","28",IF(C39="Técnico I","23",IF(C39="JR","20",IF(C39="Estágio","10",)))))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29</v>
      </c>
      <c r="N39" s="9" t="n">
        <v>100</v>
      </c>
      <c r="O39" s="9" t="n">
        <v>17.24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I40" s="3">
        <f>E40+G40+H40</f>
        <v/>
      </c>
      <c r="J40" s="3">
        <f>IF(C40="Técnico III","35",IF(C40="Técnico II","28",IF(C40="Técnico I","23",IF(C40="JR","20",IF(C40="Estágio","10",)))))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26</v>
      </c>
      <c r="N40" s="9" t="n">
        <v>85.70999999999999</v>
      </c>
      <c r="O40" s="9" t="n">
        <v>3.85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IF(C41="Técnico III","35",IF(C41="Técnico II","28",IF(C41="Técnico I","23",IF(C41="JR","20",IF(C41="Estágio","10",)))))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31</v>
      </c>
      <c r="N41" s="9" t="n">
        <v>100</v>
      </c>
      <c r="O41" s="9" t="n">
        <v>19.35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I42" s="3">
        <f>E42+G42+H42</f>
        <v/>
      </c>
      <c r="J42" s="3">
        <f>IF(C42="Técnico III","35",IF(C42="Técnico II","28",IF(C42="Técnico I","23",IF(C42="JR","20",IF(C42="Estágio","10",)))))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26</v>
      </c>
      <c r="N42" s="9" t="n">
        <v>100</v>
      </c>
      <c r="O42" s="9" t="n">
        <v>19.23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I43" s="3">
        <f>E43+G43+H43</f>
        <v/>
      </c>
      <c r="J43" s="3">
        <f>IF(C43="Técnico III","35",IF(C43="Técnico II","28",IF(C43="Técnico I","23",IF(C43="JR","20",IF(C43="Estágio","10",)))))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30</v>
      </c>
      <c r="N43" s="9" t="n">
        <v>100</v>
      </c>
      <c r="O43" s="9" t="n">
        <v>23.33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I44" s="3">
        <f>E44+G44+H44</f>
        <v/>
      </c>
      <c r="J44" s="3">
        <f>IF(C44="Técnico III","35",IF(C44="Técnico II","28",IF(C44="Técnico I","23",IF(C44="JR","20",IF(C44="Estágio","10",)))))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33</v>
      </c>
      <c r="N44" s="9" t="n">
        <v>100</v>
      </c>
      <c r="O44" s="9" t="n">
        <v>6.06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IF(C45="Técnico III","35",IF(C45="Técnico II","28",IF(C45="Técnico I","23",IF(C45="JR","20",IF(C45="Estágio","10",)))))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20</v>
      </c>
      <c r="N45" s="9" t="n">
        <v>100</v>
      </c>
      <c r="O45" s="9" t="n">
        <v>35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I46" s="3">
        <f>E46+G46+H46</f>
        <v/>
      </c>
      <c r="J46" s="3">
        <f>IF(C46="Técnico III","35",IF(C46="Técnico II","28",IF(C46="Técnico I","23",IF(C46="JR","20",IF(C46="Estágio","10",)))))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13</v>
      </c>
      <c r="N46" s="3" t="n">
        <v>100</v>
      </c>
      <c r="O46" s="3" t="n">
        <v>7.69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25</v>
      </c>
      <c r="N47" s="9" t="n">
        <v>87.5</v>
      </c>
      <c r="O47" s="9" t="n">
        <v>16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I48" s="3">
        <f>E48+G48+H48</f>
        <v/>
      </c>
      <c r="J48" s="3">
        <f>IF(C48="Técnico III","35",IF(C48="Técnico II","28",IF(C48="Técnico I","23",IF(C48="JR","20",IF(C48="Estágio","10",)))))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21</v>
      </c>
      <c r="N48" s="3" t="n">
        <v>100</v>
      </c>
      <c r="O48" s="3" t="n">
        <v>4.76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I49" s="3">
        <f>E49+G49+H49</f>
        <v/>
      </c>
      <c r="J49" s="3">
        <f>IF(C49="Técnico III","35",IF(C49="Técnico II","28",IF(C49="Técnico I","23",IF(C49="JR","20",IF(C49="Estágio","10",)))))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27</v>
      </c>
      <c r="N49" s="3" t="n">
        <v>88.89</v>
      </c>
      <c r="O49" s="3" t="n">
        <v>18.52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IF(C50="Técnico III","35",IF(C50="Técnico II","28",IF(C50="Técnico I","23",IF(C50="JR","20",IF(C50="Estágio","10",)))))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25</v>
      </c>
      <c r="N50" s="3" t="n">
        <v>100</v>
      </c>
      <c r="O50" s="3" t="n">
        <v>16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I51" s="3">
        <f>E51+G51+H51</f>
        <v/>
      </c>
      <c r="J51" s="3">
        <f>IF(C51="Técnico III","35",IF(C51="Técnico II","28",IF(C51="Técnico I","23",IF(C51="JR","20",IF(C51="Estágio","10",)))))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0</v>
      </c>
      <c r="N51" s="3" t="n">
        <v>100</v>
      </c>
      <c r="O51" s="3" t="n">
        <v>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IF(C52="Técnico III","35",IF(C52="Técnico II","28",IF(C52="Técnico I","23",IF(C52="JR","20",IF(C52="Estágio","10",)))))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16</v>
      </c>
      <c r="N52" s="3" t="n">
        <v>100</v>
      </c>
      <c r="O52" s="3" t="n">
        <v>12.5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7.59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19</v>
      </c>
      <c r="N53" s="3" t="n">
        <v>100</v>
      </c>
      <c r="O53" s="3" t="n">
        <v>0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I54" s="3">
        <f>E54+G54+H54</f>
        <v/>
      </c>
      <c r="J54" s="3">
        <f>IF(C54="Técnico III","35",IF(C54="Técnico II","28",IF(C54="Técnico I","23",IF(C54="JR","20",IF(C54="Estágio","10",)))))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29</v>
      </c>
      <c r="N54" s="3" t="n">
        <v>100</v>
      </c>
      <c r="O54" s="3" t="n">
        <v>37.93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I55" s="3">
        <f>E55+G55+H55</f>
        <v/>
      </c>
      <c r="J55" s="3">
        <f>IF(C55="Técnico III","35",IF(C55="Técnico II","28",IF(C55="Técnico I","23",IF(C55="JR","20",IF(C55="Estágio","10",)))))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33</v>
      </c>
      <c r="N55" s="3" t="n">
        <v>100</v>
      </c>
      <c r="O55" s="3" t="n">
        <v>18.18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IF(C56="Técnico III","35",IF(C56="Técnico II","28",IF(C56="Técnico I","23",IF(C56="JR","20",IF(C56="Estágio","10",)))))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25</v>
      </c>
      <c r="N56" s="3" t="n">
        <v>100</v>
      </c>
      <c r="O56" s="3" t="n">
        <v>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IF(C57="Técnico III","35",IF(C57="Técnico II","28",IF(C57="Técnico I","23",IF(C57="JR","20",IF(C57="Estágio","10",)))))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30</v>
      </c>
      <c r="N57" s="3" t="n">
        <v>100</v>
      </c>
      <c r="O57" s="3" t="n">
        <v>33.33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I58" s="3">
        <f>E58+G58+H58</f>
        <v/>
      </c>
      <c r="J58" s="3">
        <f>IF(C58="Técnico III","35",IF(C58="Técnico II","28",IF(C58="Técnico I","23",IF(C58="JR","20",IF(C58="Estágio","10",)))))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29</v>
      </c>
      <c r="N58" s="3" t="n">
        <v>100</v>
      </c>
      <c r="O58" s="3" t="n">
        <v>13.79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I59" s="3">
        <f>E59+G59+H59</f>
        <v/>
      </c>
      <c r="J59" s="3">
        <f>IF(C59="Técnico III","35",IF(C59="Técnico II","28",IF(C59="Técnico I","23",IF(C59="JR","20",IF(C59="Estágio","10",)))))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29</v>
      </c>
      <c r="N59" s="3" t="n">
        <v>100</v>
      </c>
      <c r="O59" s="3" t="n">
        <v>24.14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I60" s="3">
        <f>E60+G60+H60</f>
        <v/>
      </c>
      <c r="J60" s="3">
        <f>IF(C60="Técnico III","35",IF(C60="Técnico II","28",IF(C60="Técnico I","23",IF(C60="JR","20",IF(C60="Estágio","10",)))))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18</v>
      </c>
      <c r="N60" s="3" t="n">
        <v>100</v>
      </c>
      <c r="O60" s="3" t="n">
        <v>16.67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I61" s="3">
        <f>E61+G61+H61</f>
        <v/>
      </c>
      <c r="J61" s="3">
        <f>IF(C61="Técnico III","35",IF(C61="Técnico II","28",IF(C61="Técnico I","23",IF(C61="JR","20",IF(C61="Estágio","10",)))))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22.22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I62" s="3">
        <f>E62+G62+H62</f>
        <v/>
      </c>
      <c r="J62" s="3">
        <f>IF(C62="Técnico III","35",IF(C62="Técnico II","28",IF(C62="Técnico I","23",IF(C62="JR","20",IF(C62="Estágio","10",)))))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26</v>
      </c>
      <c r="N62" s="3" t="n">
        <v>90</v>
      </c>
      <c r="O62" s="3" t="n">
        <v>3.85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I63" s="3">
        <f>E63+G63+H63</f>
        <v/>
      </c>
      <c r="J63" s="3">
        <f>IF(C63="Técnico III","35",IF(C63="Técnico II","28",IF(C63="Técnico I","23",IF(C63="JR","20",IF(C63="Estágio","10",)))))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34</v>
      </c>
      <c r="N63" s="3" t="n">
        <v>100</v>
      </c>
      <c r="O63" s="3" t="n">
        <v>5.88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12.01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28</v>
      </c>
      <c r="N64" s="3" t="n">
        <v>100</v>
      </c>
      <c r="O64" s="3" t="n">
        <v>3.57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9.42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28</v>
      </c>
      <c r="N65" s="3" t="n">
        <v>100</v>
      </c>
      <c r="O65" s="3" t="n">
        <v>14.29</v>
      </c>
    </row>
    <row r="66" hidden="1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I66" s="3">
        <f>E66+G66+H66</f>
        <v/>
      </c>
      <c r="J66" s="3">
        <f>IF(C66="Técnico III","35",IF(C66="Técnico II","28",IF(C66="Técnico I","23",IF(C66="JR","20",IF(C66="Estágio","10",)))))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32</v>
      </c>
      <c r="N66" s="3" t="n">
        <v>100</v>
      </c>
      <c r="O66" s="3" t="n">
        <v>0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I67" s="3">
        <f>E67+G67+H67</f>
        <v/>
      </c>
      <c r="J67" s="3">
        <f>IF(C67="Técnico III","35",IF(C67="Técnico II","28",IF(C67="Técnico I","23",IF(C67="JR","20",IF(C67="Estágio","10",)))))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43</v>
      </c>
      <c r="N67" s="3" t="n">
        <v>100</v>
      </c>
      <c r="O67" s="3" t="n">
        <v>20.93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I68" s="3">
        <f>E68+G68+H68</f>
        <v/>
      </c>
      <c r="J68" s="3">
        <f>IF(C68="Técnico III","35",IF(C68="Técnico II","28",IF(C68="Técnico I","23",IF(C68="JR","20",IF(C68="Estágio","10",)))))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43</v>
      </c>
      <c r="N68" s="3" t="n">
        <v>100</v>
      </c>
      <c r="O68" s="3" t="n">
        <v>18.6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I69" s="3">
        <f>E69+G69+H69</f>
        <v/>
      </c>
      <c r="J69" s="3">
        <f>IF(C69="Técnico III","35",IF(C69="Técnico II","28",IF(C69="Técnico I","23",IF(C69="JR","20",IF(C69="Estágio","10",)))))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35</v>
      </c>
      <c r="N69" s="3" t="n">
        <v>100</v>
      </c>
      <c r="O69" s="3" t="n">
        <v>17.14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I70" s="3">
        <f>E70+G70+H70</f>
        <v/>
      </c>
      <c r="J70" s="3">
        <f>IF(C70="Técnico III","35",IF(C70="Técnico II","28",IF(C70="Técnico I","23",IF(C70="JR","20",IF(C70="Estágio","10",)))))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31</v>
      </c>
      <c r="N70" s="3" t="n">
        <v>87.5</v>
      </c>
      <c r="O70" s="3" t="n">
        <v>19.35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13.55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35</v>
      </c>
      <c r="N71" s="3" t="n">
        <v>100</v>
      </c>
      <c r="O71" s="3" t="n">
        <v>11.43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I72" s="3">
        <f>E72+G72+H72</f>
        <v/>
      </c>
      <c r="J72" s="3">
        <f>IF(C72="Técnico III","35",IF(C72="Técnico II","28",IF(C72="Técnico I","23",IF(C72="JR","20",IF(C72="Estágio","10",)))))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30</v>
      </c>
      <c r="N72" s="3" t="n">
        <v>100</v>
      </c>
      <c r="O72" s="3" t="n">
        <v>6.67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I73" s="3">
        <f>E73+G73+H73</f>
        <v/>
      </c>
      <c r="J73" s="3">
        <f>IF(C73="Técnico III","35",IF(C73="Técnico II","28",IF(C73="Técnico I","23",IF(C73="JR","20",IF(C73="Estágio","10",)))))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34</v>
      </c>
      <c r="N73" s="3" t="n">
        <v>100</v>
      </c>
      <c r="O73" s="3" t="n">
        <v>23.53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I74" s="3">
        <f>E74+G74+H74</f>
        <v/>
      </c>
      <c r="J74" s="3">
        <f>IF(C74="Técnico III","35",IF(C74="Técnico II","28",IF(C74="Técnico I","23",IF(C74="JR","20",IF(C74="Estágio","10",)))))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30</v>
      </c>
      <c r="N74" s="3" t="n">
        <v>100</v>
      </c>
      <c r="O74" s="3" t="n">
        <v>3.33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I75" s="3">
        <f>E75+G75+H75</f>
        <v/>
      </c>
      <c r="J75" s="3">
        <f>IF(C75="Técnico III","35",IF(C75="Técnico II","28",IF(C75="Técnico I","23",IF(C75="JR","20",IF(C75="Estágio","10",)))))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33</v>
      </c>
      <c r="N75" s="3" t="n">
        <v>100</v>
      </c>
      <c r="O75" s="3" t="n">
        <v>9.09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I76" s="3">
        <f>E76+G76+H76</f>
        <v/>
      </c>
      <c r="J76" s="3">
        <f>IF(C76="Técnico III","35",IF(C76="Técnico II","28",IF(C76="Técnico I","23",IF(C76="JR","20",IF(C76="Estágio","10",)))))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21</v>
      </c>
      <c r="N76" s="3" t="n">
        <v>100</v>
      </c>
      <c r="O76" s="3" t="n">
        <v>9.52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I77" s="3">
        <f>E77+G77+H77</f>
        <v/>
      </c>
      <c r="J77" s="3">
        <f>IF(C77="Técnico III","35",IF(C77="Técnico II","28",IF(C77="Técnico I","23",IF(C77="JR","20",IF(C77="Estágio","10",)))))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42</v>
      </c>
      <c r="N77" s="3" t="n">
        <v>100</v>
      </c>
      <c r="O77" s="3" t="n">
        <v>9.52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9.35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33</v>
      </c>
      <c r="N78" s="3" t="n">
        <v>100</v>
      </c>
      <c r="O78" s="3" t="n">
        <v>6.06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I79" s="3">
        <f>E79+G79+H79</f>
        <v/>
      </c>
      <c r="J79" s="3">
        <f>IF(C79="Técnico III","35",IF(C79="Técnico II","28",IF(C79="Técnico I","23",IF(C79="JR","20",IF(C79="Estágio","10",)))))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29</v>
      </c>
      <c r="N79" s="3" t="n">
        <v>100</v>
      </c>
      <c r="O79" s="3" t="n">
        <v>3.45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IF(C80="Técnico III","35",IF(C80="Técnico II","28",IF(C80="Técnico I","23",IF(C80="JR","20",IF(C80="Estágio","10",)))))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100</v>
      </c>
      <c r="O80" s="3" t="n">
        <v>28.57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I81" s="3">
        <f>E81+G81+H81</f>
        <v/>
      </c>
      <c r="J81" s="3">
        <f>IF(C81="Técnico III","35",IF(C81="Técnico II","28",IF(C81="Técnico I","23",IF(C81="JR","20",IF(C81="Estágio","10",)))))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27</v>
      </c>
      <c r="N81" s="3" t="n">
        <v>100</v>
      </c>
      <c r="O81" s="3" t="n">
        <v>11.11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I82" s="3">
        <f>E82+G82+H82</f>
        <v/>
      </c>
      <c r="J82" s="3">
        <f>IF(C82="Técnico III","35",IF(C82="Técnico II","28",IF(C82="Técnico I","23",IF(C82="JR","20",IF(C82="Estágio","10",)))))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31</v>
      </c>
      <c r="N82" s="3" t="n">
        <v>100</v>
      </c>
      <c r="O82" s="3" t="n">
        <v>16.13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I83" s="3">
        <f>E83+G83+H83</f>
        <v/>
      </c>
      <c r="J83" s="3">
        <f>IF(C83="Técnico III","35",IF(C83="Técnico II","28",IF(C83="Técnico I","23",IF(C83="JR","20",IF(C83="Estágio","10",)))))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27</v>
      </c>
      <c r="N83" s="3" t="n">
        <v>100</v>
      </c>
      <c r="O83" s="3" t="n">
        <v>22.22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I84" s="3">
        <f>E84+G84+H84</f>
        <v/>
      </c>
      <c r="J84" s="3">
        <f>IF(C84="Técnico III","35",IF(C84="Técnico II","28",IF(C84="Técnico I","23",IF(C84="JR","20",IF(C84="Estágio","10",)))))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12</v>
      </c>
      <c r="N84" s="3" t="n">
        <v>100</v>
      </c>
      <c r="O84" s="3" t="n">
        <v>16.67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I85" s="3">
        <f>E85+G85+H85</f>
        <v/>
      </c>
      <c r="J85" s="3">
        <f>IF(C85="Técnico III","35",IF(C85="Técnico II","28",IF(C85="Técnico I","23",IF(C85="JR","20",IF(C85="Estágio","10",)))))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26</v>
      </c>
      <c r="N85" s="3" t="n">
        <v>100</v>
      </c>
      <c r="O85" s="3" t="n">
        <v>15.38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I86" s="3">
        <f>E86+G86+H86</f>
        <v/>
      </c>
      <c r="J86" s="3">
        <f>IF(C86="Técnico III","35",IF(C86="Técnico II","28",IF(C86="Técnico I","23",IF(C86="JR","20",IF(C86="Estágio","10",)))))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24</v>
      </c>
      <c r="N86" s="3" t="n">
        <v>100</v>
      </c>
      <c r="O86" s="3" t="n">
        <v>33.33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I87" s="3">
        <f>E87+G87+H87</f>
        <v/>
      </c>
      <c r="J87" s="3">
        <f>IF(C87="Técnico III","35",IF(C87="Técnico II","28",IF(C87="Técnico I","23",IF(C87="JR","20",IF(C87="Estágio","10",)))))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19</v>
      </c>
      <c r="N87" s="3" t="n">
        <v>100</v>
      </c>
      <c r="O87" s="3" t="n">
        <v>21.05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I88" s="3">
        <f>E88+G88+H88</f>
        <v/>
      </c>
      <c r="J88" s="3">
        <f>IF(C88="Técnico III","35",IF(C88="Técnico II","28",IF(C88="Técnico I","23",IF(C88="JR","20",IF(C88="Estágio","10",)))))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25</v>
      </c>
      <c r="N88" s="3" t="n">
        <v>100</v>
      </c>
      <c r="O88" s="3" t="n">
        <v>12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IF(C89="Técnico III","35",IF(C89="Técnico II","28",IF(C89="Técnico I","23",IF(C89="JR","20",IF(C89="Estágio","10",)))))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29</v>
      </c>
      <c r="N89" s="3" t="n">
        <v>100</v>
      </c>
      <c r="O89" s="3" t="n">
        <v>3.45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I90" s="3">
        <f>E90+G90+H90</f>
        <v/>
      </c>
      <c r="J90" s="3">
        <f>IF(C90="Técnico III","35",IF(C90="Técnico II","28",IF(C90="Técnico I","23",IF(C90="JR","20",IF(C90="Estágio","10",)))))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26</v>
      </c>
      <c r="N90" s="3" t="n">
        <v>100</v>
      </c>
      <c r="O90" s="3" t="n">
        <v>3.85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29</v>
      </c>
      <c r="N91" s="9" t="n">
        <v>50</v>
      </c>
      <c r="O91" s="9" t="n">
        <v>3.45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I92" s="3">
        <f>E92+G92+H92</f>
        <v/>
      </c>
      <c r="J92" s="3">
        <f>IF(C92="Técnico III","35",IF(C92="Técnico II","28",IF(C92="Técnico I","23",IF(C92="JR","20",IF(C92="Estágio","10",)))))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25</v>
      </c>
      <c r="N92" s="3" t="n">
        <v>100</v>
      </c>
      <c r="O92" s="3" t="n">
        <v>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I93" s="3">
        <f>E93+G93+H93</f>
        <v/>
      </c>
      <c r="J93" s="3">
        <f>IF(C93="Técnico III","35",IF(C93="Técnico II","28",IF(C93="Técnico I","23",IF(C93="JR","20",IF(C93="Estágio","10",)))))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7</v>
      </c>
      <c r="N93" s="3" t="n">
        <v>100</v>
      </c>
      <c r="O93" s="3" t="n">
        <v>42.86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I94" s="3">
        <f>E94+G94+H94</f>
        <v/>
      </c>
      <c r="J94" s="3">
        <f>IF(C94="Técnico III","35",IF(C94="Técnico II","28",IF(C94="Técnico I","23",IF(C94="JR","20",IF(C94="Estágio","10",)))))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9</v>
      </c>
      <c r="N94" s="3" t="n">
        <v>100</v>
      </c>
      <c r="O94" s="3" t="n">
        <v>22.22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I95" s="3">
        <f>E95+G95+H95</f>
        <v/>
      </c>
      <c r="J95" s="3">
        <f>IF(C95="Técnico III","35",IF(C95="Técnico II","28",IF(C95="Técnico I","23",IF(C95="JR","20",IF(C95="Estágio","10",)))))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9</v>
      </c>
      <c r="N95" s="3" t="n">
        <v>0</v>
      </c>
      <c r="O95" s="3" t="n">
        <v>33.33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IF(C96="Técnico III","35",IF(C96="Técnico II","28",IF(C96="Técnico I","23",IF(C96="JR","20",IF(C96="Estágio","10",)))))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9</v>
      </c>
      <c r="N96" s="3" t="n">
        <v>50</v>
      </c>
      <c r="O96" s="3" t="n">
        <v>11.11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I97" s="3">
        <f>E97+G97+H97</f>
        <v/>
      </c>
      <c r="J97" s="3">
        <f>IF(C97="Técnico III","35",IF(C97="Técnico II","28",IF(C97="Técnico I","23",IF(C97="JR","20",IF(C97="Estágio","10",)))))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7</v>
      </c>
      <c r="N97" s="3" t="n">
        <v>100</v>
      </c>
      <c r="O97" s="3" t="n">
        <v>42.86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IF(C98="Técnico III","35",IF(C98="Técnico II","28",IF(C98="Técnico I","23",IF(C98="JR","20",IF(C98="Estágio","10",)))))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1</v>
      </c>
      <c r="N98" s="3" t="n">
        <v>0</v>
      </c>
      <c r="O98" s="3" t="n">
        <v>0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I99" s="3">
        <f>E99+G99+H99</f>
        <v/>
      </c>
      <c r="J99" s="3">
        <f>IF(C99="Técnico III","35",IF(C99="Técnico II","28",IF(C99="Técnico I","23",IF(C99="JR","20",IF(C99="Estágio","10",)))))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6</v>
      </c>
      <c r="N99" s="3" t="n">
        <v>0</v>
      </c>
      <c r="O99" s="3" t="n">
        <v>0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I100" s="3">
        <f>E100+G100+H100</f>
        <v/>
      </c>
      <c r="J100" s="3">
        <f>IF(C100="Técnico III","35",IF(C100="Técnico II","28",IF(C100="Técnico I","23",IF(C100="JR","20",IF(C100="Estágio","10",)))))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5</v>
      </c>
      <c r="N100" s="3" t="n">
        <v>100</v>
      </c>
      <c r="O100" s="3" t="n">
        <v>0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I101" s="3">
        <f>E101+G101+H101</f>
        <v/>
      </c>
      <c r="J101" s="3">
        <f>IF(C101="Técnico III","35",IF(C101="Técnico II","28",IF(C101="Técnico I","23",IF(C101="JR","20",IF(C101="Estágio","10",)))))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6</v>
      </c>
      <c r="N101" s="3" t="n">
        <v>100</v>
      </c>
      <c r="O101" s="3" t="n">
        <v>33.33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I102" s="3">
        <f>E102+G102+H102</f>
        <v/>
      </c>
      <c r="J102" s="3">
        <f>IF(C102="Técnico III","35",IF(C102="Técnico II","28",IF(C102="Técnico I","23",IF(C102="JR","20",IF(C102="Estágio","10",)))))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8</v>
      </c>
      <c r="N102" s="3" t="n">
        <v>0</v>
      </c>
      <c r="O102" s="3" t="n">
        <v>12.5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I103" s="3">
        <f>E103+G103+H103</f>
        <v/>
      </c>
      <c r="J103" s="3">
        <f>IF(C103="Técnico III","35",IF(C103="Técnico II","28",IF(C103="Técnico I","23",IF(C103="JR","20",IF(C103="Estágio","10",)))))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6</v>
      </c>
      <c r="N103" s="3" t="n">
        <v>100</v>
      </c>
      <c r="O103" s="3" t="n">
        <v>0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I104" s="3">
        <f>E104+G104+H104</f>
        <v/>
      </c>
      <c r="J104" s="3">
        <f>IF(C104="Técnico III","35",IF(C104="Técnico II","28",IF(C104="Técnico I","23",IF(C104="JR","20",IF(C104="Estágio","10",)))))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7</v>
      </c>
      <c r="N104" s="3" t="n">
        <v>100</v>
      </c>
      <c r="O104" s="3" t="n">
        <v>14.29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I105" s="3">
        <f>E105+G105+H105</f>
        <v/>
      </c>
      <c r="J105" s="3">
        <f>IF(C105="Técnico III","35",IF(C105="Técnico II","28",IF(C105="Técnico I","23",IF(C105="JR","20",IF(C105="Estágio","10",)))))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8</v>
      </c>
      <c r="N105" s="3" t="n">
        <v>100</v>
      </c>
      <c r="O105" s="3" t="n">
        <v>0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I106" s="3">
        <f>E106+G106+H106</f>
        <v/>
      </c>
      <c r="J106" s="3">
        <f>IF(C106="Técnico III","35",IF(C106="Técnico II","28",IF(C106="Técnico I","23",IF(C106="JR","20",IF(C106="Estágio","10",)))))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29</v>
      </c>
      <c r="N106" s="3" t="n">
        <v>100</v>
      </c>
      <c r="O106" s="3" t="n">
        <v>13.79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I107" s="3">
        <f>E107+G107+H107</f>
        <v/>
      </c>
      <c r="J107" s="3">
        <f>IF(C107="Técnico III","35",IF(C107="Técnico II","28",IF(C107="Técnico I","23",IF(C107="JR","20",IF(C107="Estágio","10",)))))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16</v>
      </c>
      <c r="N107" s="3" t="n">
        <v>100</v>
      </c>
      <c r="O107" s="3" t="n">
        <v>18.75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30</v>
      </c>
      <c r="N108" s="3" t="n">
        <v>100</v>
      </c>
      <c r="O108" s="3" t="n">
        <v>13.33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23</v>
      </c>
      <c r="N109" s="3" t="n">
        <v>100</v>
      </c>
      <c r="O109" s="3" t="n">
        <v>17.39</v>
      </c>
    </row>
    <row r="110" hidden="1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I110" s="3">
        <f>E110+G110+H110</f>
        <v/>
      </c>
      <c r="J110" s="3">
        <f>IF(C110="Técnico III","35",IF(C110="Técnico II","28",IF(C110="Técnico I","23",IF(C110="JR","20",IF(C110="Estágio","10",)))))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27</v>
      </c>
      <c r="N110" s="3" t="n">
        <v>100</v>
      </c>
      <c r="O110" s="3" t="n">
        <v>33.33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I111" s="3">
        <f>E111+G111+H111</f>
        <v/>
      </c>
      <c r="J111" s="3">
        <f>IF(C111="Técnico III","35",IF(C111="Técnico II","28",IF(C111="Técnico I","23",IF(C111="JR","20",IF(C111="Estágio","10",)))))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21</v>
      </c>
      <c r="N111" s="3" t="n">
        <v>100</v>
      </c>
      <c r="O111" s="3" t="n">
        <v>4.76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I112" s="3">
        <f>E112+G112+H112</f>
        <v/>
      </c>
      <c r="J112" s="3">
        <f>IF(C112="Técnico III","35",IF(C112="Técnico II","28",IF(C112="Técnico I","23",IF(C112="JR","20",IF(C112="Estágio","10",)))))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25</v>
      </c>
      <c r="N112" s="3" t="n">
        <v>100</v>
      </c>
      <c r="O112" s="3" t="n">
        <v>24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I113" s="3">
        <f>E113+G113+H113</f>
        <v/>
      </c>
      <c r="J113" s="3">
        <f>IF(C113="Técnico III","35",IF(C113="Técnico II","28",IF(C113="Técnico I","23",IF(C113="JR","20",IF(C113="Estágio","10",)))))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85.70999999999999</v>
      </c>
      <c r="O113" s="3" t="n">
        <v>11.54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I114" s="3">
        <f>E114+G114+H114</f>
        <v/>
      </c>
      <c r="J114" s="3">
        <f>IF(C114="Técnico III","35",IF(C114="Técnico II","28",IF(C114="Técnico I","23",IF(C114="JR","20",IF(C114="Estágio","10",)))))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30</v>
      </c>
      <c r="N114" s="3" t="n">
        <v>100</v>
      </c>
      <c r="O114" s="3" t="n">
        <v>20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20</v>
      </c>
      <c r="N115" s="3" t="n">
        <v>87.5</v>
      </c>
      <c r="O115" s="3" t="n">
        <v>20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I116" s="3">
        <f>E116+G116+H116</f>
        <v/>
      </c>
      <c r="J116" s="3">
        <f>IF(C116="Técnico III","35",IF(C116="Técnico II","28",IF(C116="Técnico I","23",IF(C116="JR","20",IF(C116="Estágio","10",)))))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100</v>
      </c>
      <c r="O116" s="3" t="n">
        <v>9.09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I117" s="3">
        <f>E117+G117+H117</f>
        <v/>
      </c>
      <c r="J117" s="3">
        <f>IF(C117="Técnico III","35",IF(C117="Técnico II","28",IF(C117="Técnico I","23",IF(C117="JR","20",IF(C117="Estágio","10",)))))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19</v>
      </c>
      <c r="N117" s="3" t="n">
        <v>83.33</v>
      </c>
      <c r="O117" s="3" t="n">
        <v>10.53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I118" s="3">
        <f>E118+G118+H118</f>
        <v/>
      </c>
      <c r="J118" s="3">
        <f>IF(C118="Técnico III","35",IF(C118="Técnico II","28",IF(C118="Técnico I","23",IF(C118="JR","20",IF(C118="Estágio","10",)))))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22</v>
      </c>
      <c r="N118" s="3" t="n">
        <v>100</v>
      </c>
      <c r="O118" s="3" t="n">
        <v>13.64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I119" s="3">
        <f>E119+G119+H119</f>
        <v/>
      </c>
      <c r="J119" s="3">
        <f>IF(C119="Técnico III","35",IF(C119="Técnico II","28",IF(C119="Técnico I","23",IF(C119="JR","20",IF(C119="Estágio","10",)))))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32</v>
      </c>
      <c r="N119" s="3" t="n">
        <v>0</v>
      </c>
      <c r="O119" s="3" t="n">
        <v>18.75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I120" s="3">
        <f>E120+G120+H120</f>
        <v/>
      </c>
      <c r="J120" s="3">
        <f>IF(C120="Técnico III","35",IF(C120="Técnico II","28",IF(C120="Técnico I","23",IF(C120="JR","20",IF(C120="Estágio","10",)))))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46</v>
      </c>
      <c r="N120" s="3" t="n">
        <v>87.5</v>
      </c>
      <c r="O120" s="3" t="n">
        <v>30.43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I121" s="3">
        <f>E121+G121+H121</f>
        <v/>
      </c>
      <c r="J121" s="3">
        <f>IF(C121="Técnico III","35",IF(C121="Técnico II","28",IF(C121="Técnico I","23",IF(C121="JR","20",IF(C121="Estágio","10",)))))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41</v>
      </c>
      <c r="N121" s="3" t="n">
        <v>90</v>
      </c>
      <c r="O121" s="3" t="n">
        <v>24.39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38</v>
      </c>
      <c r="N122" s="3" t="n">
        <v>100</v>
      </c>
      <c r="O122" s="3" t="n">
        <v>21.05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I123" s="3">
        <f>E123+G123+H123</f>
        <v/>
      </c>
      <c r="J123" s="3">
        <f>IF(C123="Técnico III","35",IF(C123="Técnico II","28",IF(C123="Técnico I","23",IF(C123="JR","20",IF(C123="Estágio","10",)))))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25</v>
      </c>
      <c r="N123" s="3" t="n">
        <v>100</v>
      </c>
      <c r="O123" s="3" t="n">
        <v>28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IF(C124="Técnico III","35",IF(C124="Técnico II","28",IF(C124="Técnico I","23",IF(C124="JR","20",IF(C124="Estágio","10",)))))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90</v>
      </c>
      <c r="O124" s="3" t="n">
        <v>25.81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I125" s="3">
        <f>E125+G125+H125</f>
        <v/>
      </c>
      <c r="J125" s="3">
        <f>IF(C125="Técnico III","35",IF(C125="Técnico II","28",IF(C125="Técnico I","23",IF(C125="JR","20",IF(C125="Estágio","10",)))))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33</v>
      </c>
      <c r="N125" s="3" t="n">
        <v>100</v>
      </c>
      <c r="O125" s="3" t="n">
        <v>9.09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31</v>
      </c>
      <c r="N126" s="3" t="n">
        <v>75</v>
      </c>
      <c r="O126" s="3" t="n">
        <v>16.13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I127" s="3">
        <f>E127+G127+H127</f>
        <v/>
      </c>
      <c r="J127" s="3">
        <f>IF(C127="Técnico III","35",IF(C127="Técnico II","28",IF(C127="Técnico I","23",IF(C127="JR","20",IF(C127="Estágio","10",)))))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14</v>
      </c>
      <c r="N127" s="3" t="n">
        <v>100</v>
      </c>
      <c r="O127" s="3" t="n">
        <v>50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I128" s="3">
        <f>E128+G128+H128</f>
        <v/>
      </c>
      <c r="J128" s="3">
        <f>IF(C128="Técnico III","35",IF(C128="Técnico II","28",IF(C128="Técnico I","23",IF(C128="JR","20",IF(C128="Estágio","10",)))))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29</v>
      </c>
      <c r="N128" s="3" t="n">
        <v>100</v>
      </c>
      <c r="O128" s="3" t="n">
        <v>13.79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I129" s="3">
        <f>E129+G129+H129</f>
        <v/>
      </c>
      <c r="J129" s="3">
        <f>IF(C129="Técnico III","35",IF(C129="Técnico II","28",IF(C129="Técnico I","23",IF(C129="JR","20",IF(C129="Estágio","10",)))))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25</v>
      </c>
      <c r="N129" s="3" t="n">
        <v>75</v>
      </c>
      <c r="O129" s="3" t="n">
        <v>0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I130" s="3">
        <f>E130+G130+H130</f>
        <v/>
      </c>
      <c r="J130" s="3">
        <f>IF(C130="Técnico III","35",IF(C130="Técnico II","28",IF(C130="Técnico I","23",IF(C130="JR","20",IF(C130="Estágio","10",)))))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30</v>
      </c>
      <c r="N130" s="3" t="n">
        <v>91.67</v>
      </c>
      <c r="O130" s="3" t="n">
        <v>6.67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I131" s="3">
        <f>E131+G131+H131</f>
        <v/>
      </c>
      <c r="J131" s="3">
        <f>IF(C131="Técnico III","35",IF(C131="Técnico II","28",IF(C131="Técnico I","23",IF(C131="JR","20",IF(C131="Estágio","10",)))))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21</v>
      </c>
      <c r="N131" s="3" t="n">
        <v>100</v>
      </c>
      <c r="O131" s="3" t="n">
        <v>4.76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I132" s="3">
        <f>E132+G132+H132</f>
        <v/>
      </c>
      <c r="J132" s="3">
        <f>IF(C132="Técnico III","35",IF(C132="Técnico II","28",IF(C132="Técnico I","23",IF(C132="JR","20",IF(C132="Estágio","10",)))))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25</v>
      </c>
      <c r="N132" s="3" t="n">
        <v>100</v>
      </c>
      <c r="O132" s="3" t="n">
        <v>16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I133" s="3">
        <f>E133+G133+H133</f>
        <v/>
      </c>
      <c r="J133" s="3">
        <f>IF(C133="Técnico III","35",IF(C133="Técnico II","28",IF(C133="Técnico I","23",IF(C133="JR","20",IF(C133="Estágio","10",)))))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26</v>
      </c>
      <c r="N133" s="3" t="n">
        <v>100</v>
      </c>
      <c r="O133" s="3" t="n">
        <v>30.77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I134" s="3">
        <f>E134+G134+H134</f>
        <v/>
      </c>
      <c r="J134" s="3">
        <f>IF(C134="Técnico III","35",IF(C134="Técnico II","28",IF(C134="Técnico I","23",IF(C134="JR","20",IF(C134="Estágio","10",)))))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29</v>
      </c>
      <c r="N134" s="3" t="n">
        <v>66.67</v>
      </c>
      <c r="O134" s="3" t="n">
        <v>10.36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19</v>
      </c>
      <c r="N135" s="9" t="n">
        <v>100</v>
      </c>
      <c r="O135" s="9" t="n">
        <v>26.32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I136" s="3">
        <f>E136+G136+H136</f>
        <v/>
      </c>
      <c r="J136" s="3">
        <f>IF(C136="Técnico III","35",IF(C136="Técnico II","28",IF(C136="Técnico I","23",IF(C136="JR","20",IF(C136="Estágio","10",)))))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16</v>
      </c>
      <c r="N136" s="3" t="n">
        <v>100</v>
      </c>
      <c r="O136" s="3" t="n">
        <v>12.5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I137" s="3">
        <f>E137+G137+H137</f>
        <v/>
      </c>
      <c r="J137" s="3">
        <f>IF(C137="Técnico III","35",IF(C137="Técnico II","28",IF(C137="Técnico I","23",IF(C137="JR","20",IF(C137="Estágio","10",)))))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100</v>
      </c>
      <c r="O137" s="3" t="n">
        <v>13.64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I138" s="3">
        <f>E138+G138+H138</f>
        <v/>
      </c>
      <c r="J138" s="3">
        <f>IF(C138="Técnico III","35",IF(C138="Técnico II","28",IF(C138="Técnico I","23",IF(C138="JR","20",IF(C138="Estágio","10",)))))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27</v>
      </c>
      <c r="N138" s="3" t="n">
        <v>100</v>
      </c>
      <c r="O138" s="3" t="n">
        <v>22.22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I139" s="3">
        <f>E139+G139+H139</f>
        <v/>
      </c>
      <c r="J139" s="3">
        <f>IF(C139="Técnico III","35",IF(C139="Técnico II","28",IF(C139="Técnico I","23",IF(C139="JR","20",IF(C139="Estágio","10",)))))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13</v>
      </c>
      <c r="N139" s="3" t="n">
        <v>100</v>
      </c>
      <c r="O139" s="3" t="n">
        <v>7.69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IF(C140="Técnico III","35",IF(C140="Técnico II","28",IF(C140="Técnico I","23",IF(C140="JR","20",IF(C140="Estágio","10",)))))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17</v>
      </c>
      <c r="N140" s="3" t="n">
        <v>100</v>
      </c>
      <c r="O140" s="3" t="n">
        <v>5.88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I141" s="3">
        <f>E141+G141+H141</f>
        <v/>
      </c>
      <c r="J141" s="3">
        <f>IF(C141="Técnico III","35",IF(C141="Técnico II","28",IF(C141="Técnico I","23",IF(C141="JR","20",IF(C141="Estágio","10",)))))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30</v>
      </c>
      <c r="N141" s="3" t="n">
        <v>100</v>
      </c>
      <c r="O141" s="3" t="n">
        <v>6.67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I142" s="3">
        <f>E142+G142+H142</f>
        <v/>
      </c>
      <c r="J142" s="3">
        <f>IF(C142="Técnico III","35",IF(C142="Técnico II","28",IF(C142="Técnico I","23",IF(C142="JR","20",IF(C142="Estágio","10",)))))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0</v>
      </c>
      <c r="N142" s="3" t="n">
        <v>100</v>
      </c>
      <c r="O142" s="3" t="n">
        <v>0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IF(C143="Técnico III","35",IF(C143="Técnico II","28",IF(C143="Técnico I","23",IF(C143="JR","20",IF(C143="Estágio","10",)))))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0</v>
      </c>
      <c r="N143" s="3" t="n">
        <v>100</v>
      </c>
      <c r="O143" s="3" t="n">
        <v>0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I144" s="3">
        <f>E144+G144+H144</f>
        <v/>
      </c>
      <c r="J144" s="3">
        <f>IF(C144="Técnico III","35",IF(C144="Técnico II","28",IF(C144="Técnico I","23",IF(C144="JR","20",IF(C144="Estágio","10",)))))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0</v>
      </c>
      <c r="N144" s="3" t="n">
        <v>80</v>
      </c>
      <c r="O144" s="3" t="n">
        <v>0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I145" s="3">
        <f>E145+G145+H145</f>
        <v/>
      </c>
      <c r="J145" s="3">
        <f>IF(C145="Técnico III","35",IF(C145="Técnico II","28",IF(C145="Técnico I","23",IF(C145="JR","20",IF(C145="Estágio","10",)))))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16</v>
      </c>
      <c r="N145" s="3" t="n">
        <v>100</v>
      </c>
      <c r="O145" s="3" t="n">
        <v>18.75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I146" s="3">
        <f>E146+G146+H146</f>
        <v/>
      </c>
      <c r="J146" s="3">
        <f>IF(C146="Técnico III","35",IF(C146="Técnico II","28",IF(C146="Técnico I","23",IF(C146="JR","20",IF(C146="Estágio","10",)))))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18</v>
      </c>
      <c r="N146" s="3" t="n">
        <v>100</v>
      </c>
      <c r="O146" s="3" t="n">
        <v>27.78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I147" s="3">
        <f>E147+G147+H147</f>
        <v/>
      </c>
      <c r="J147" s="3">
        <f>IF(C147="Técnico III","35",IF(C147="Técnico II","28",IF(C147="Técnico I","23",IF(C147="JR","20",IF(C147="Estágio","10",)))))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13</v>
      </c>
      <c r="N147" s="3" t="n">
        <v>100</v>
      </c>
      <c r="O147" s="3" t="n">
        <v>15.38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I148" s="3">
        <f>E148+G148+H148</f>
        <v/>
      </c>
      <c r="J148" s="3">
        <f>IF(C148="Técnico III","35",IF(C148="Técnico II","28",IF(C148="Técnico I","23",IF(C148="JR","20",IF(C148="Estágio","10",)))))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19</v>
      </c>
      <c r="N148" s="3" t="n">
        <v>100</v>
      </c>
      <c r="O148" s="3" t="n">
        <v>26.32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I149" s="3">
        <f>E149+G149+H149</f>
        <v/>
      </c>
      <c r="J149" s="3">
        <f>IF(C149="Técnico III","35",IF(C149="Técnico II","28",IF(C149="Técnico I","23",IF(C149="JR","20",IF(C149="Estágio","10",)))))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11</v>
      </c>
      <c r="N149" s="3" t="n">
        <v>100</v>
      </c>
      <c r="O149" s="3" t="n">
        <v>18.18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IF(C150="Técnico III","35",IF(C150="Técnico II","28",IF(C150="Técnico I","23",IF(C150="JR","20",IF(C150="Estágio","10",)))))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19</v>
      </c>
      <c r="N150" s="3" t="n">
        <v>100</v>
      </c>
      <c r="O150" s="3" t="n">
        <v>15.79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I151" s="3">
        <f>E151+G151+H151</f>
        <v/>
      </c>
      <c r="J151" s="3">
        <f>IF(C151="Técnico III","35",IF(C151="Técnico II","28",IF(C151="Técnico I","23",IF(C151="JR","20",IF(C151="Estágio","10",)))))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17</v>
      </c>
      <c r="N151" s="3" t="n">
        <v>100</v>
      </c>
      <c r="O151" s="3" t="n">
        <v>29.41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19</v>
      </c>
      <c r="N152" s="3" t="n">
        <v>100</v>
      </c>
      <c r="O152" s="3" t="n">
        <v>26.32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20</v>
      </c>
      <c r="N153" s="3" t="n">
        <v>100</v>
      </c>
      <c r="O153" s="3" t="n">
        <v>15</v>
      </c>
    </row>
    <row r="154" hidden="1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I154" s="3">
        <f>E154+G154+H154</f>
        <v/>
      </c>
      <c r="J154" s="3">
        <f>IF(C154="Técnico III","35",IF(C154="Técnico II","28",IF(C154="Técnico I","23",IF(C154="JR","20",IF(C154="Estágio","10",)))))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19</v>
      </c>
      <c r="N154" s="3" t="n">
        <v>100</v>
      </c>
      <c r="O154" s="3" t="n">
        <v>15.79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I155" s="3">
        <f>E155+G155+H155</f>
        <v/>
      </c>
      <c r="J155" s="3">
        <f>IF(C155="Técnico III","35",IF(C155="Técnico II","28",IF(C155="Técnico I","23",IF(C155="JR","20",IF(C155="Estágio","10",)))))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18</v>
      </c>
      <c r="N155" s="3" t="n">
        <v>100</v>
      </c>
      <c r="O155" s="3" t="n">
        <v>11.11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I156" s="3">
        <f>E156+G156+H156</f>
        <v/>
      </c>
      <c r="J156" s="3">
        <f>IF(C156="Técnico III","35",IF(C156="Técnico II","28",IF(C156="Técnico I","23",IF(C156="JR","20",IF(C156="Estágio","10",)))))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15</v>
      </c>
      <c r="N156" s="3" t="n">
        <v>100</v>
      </c>
      <c r="O156" s="3" t="n">
        <v>6.67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I157" s="3">
        <f>E157+G157+H157</f>
        <v/>
      </c>
      <c r="J157" s="3">
        <f>IF(C157="Técnico III","35",IF(C157="Técnico II","28",IF(C157="Técnico I","23",IF(C157="JR","20",IF(C157="Estágio","10",)))))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13</v>
      </c>
      <c r="N157" s="3" t="n">
        <v>100</v>
      </c>
      <c r="O157" s="3" t="n">
        <v>0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I158" s="3">
        <f>E158+G158+H158</f>
        <v/>
      </c>
      <c r="J158" s="3">
        <f>IF(C158="Técnico III","35",IF(C158="Técnico II","28",IF(C158="Técnico I","23",IF(C158="JR","20",IF(C158="Estágio","10",)))))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25</v>
      </c>
      <c r="N158" s="3" t="n">
        <v>100</v>
      </c>
      <c r="O158" s="3" t="n">
        <v>4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28</v>
      </c>
      <c r="N159" s="3" t="n">
        <v>100</v>
      </c>
      <c r="O159" s="3" t="n">
        <v>28.57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I160" s="3">
        <f>E160+G160+H160</f>
        <v/>
      </c>
      <c r="J160" s="3">
        <f>IF(C160="Técnico III","35",IF(C160="Técnico II","28",IF(C160="Técnico I","23",IF(C160="JR","20",IF(C160="Estágio","10",)))))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32</v>
      </c>
      <c r="N160" s="3" t="n">
        <v>100</v>
      </c>
      <c r="O160" s="3" t="n">
        <v>28.12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I161" s="3">
        <f>E161+G161+H161</f>
        <v/>
      </c>
      <c r="J161" s="3">
        <f>IF(C161="Técnico III","35",IF(C161="Técnico II","28",IF(C161="Técnico I","23",IF(C161="JR","20",IF(C161="Estágio","10",)))))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29</v>
      </c>
      <c r="N161" s="3" t="n">
        <v>100</v>
      </c>
      <c r="O161" s="3" t="n">
        <v>6.9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I162" s="3">
        <f>E162+G162+H162</f>
        <v/>
      </c>
      <c r="J162" s="3">
        <f>IF(C162="Técnico III","35",IF(C162="Técnico II","28",IF(C162="Técnico I","23",IF(C162="JR","20",IF(C162="Estágio","10",)))))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22</v>
      </c>
      <c r="N162" s="3" t="n">
        <v>100</v>
      </c>
      <c r="O162" s="3" t="n">
        <v>27.27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I163" s="3">
        <f>E163+G163+H163</f>
        <v/>
      </c>
      <c r="J163" s="3">
        <f>IF(C163="Técnico III","35",IF(C163="Técnico II","28",IF(C163="Técnico I","23",IF(C163="JR","20",IF(C163="Estágio","10",)))))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16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I164" s="3">
        <f>E164+G164+H164</f>
        <v/>
      </c>
      <c r="J164" s="3">
        <f>IF(C164="Técnico III","35",IF(C164="Técnico II","28",IF(C164="Técnico I","23",IF(C164="JR","20",IF(C164="Estágio","10",)))))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27</v>
      </c>
      <c r="N164" s="3" t="n">
        <v>100</v>
      </c>
      <c r="O164" s="3" t="n">
        <v>18.52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I165" s="3">
        <f>E165+G165+H165</f>
        <v/>
      </c>
      <c r="J165" s="3">
        <f>IF(C165="Técnico III","35",IF(C165="Técnico II","28",IF(C165="Técnico I","23",IF(C165="JR","20",IF(C165="Estágio","10",)))))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21</v>
      </c>
      <c r="N165" s="3" t="n">
        <v>100</v>
      </c>
      <c r="O165" s="3" t="n">
        <v>23.81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26</v>
      </c>
      <c r="N166" s="3" t="n">
        <v>100</v>
      </c>
      <c r="O166" s="3" t="n">
        <v>7.69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I167" s="3">
        <f>E167+G167+H167</f>
        <v/>
      </c>
      <c r="J167" s="3">
        <f>IF(C167="Técnico III","35",IF(C167="Técnico II","28",IF(C167="Técnico I","23",IF(C167="JR","20",IF(C167="Estágio","10",)))))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23</v>
      </c>
      <c r="N167" s="3" t="n">
        <v>100</v>
      </c>
      <c r="O167" s="3" t="n">
        <v>26.09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IF(C168="Técnico III","35",IF(C168="Técnico II","28",IF(C168="Técnico I","23",IF(C168="JR","20",IF(C168="Estágio","10",)))))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0</v>
      </c>
      <c r="N168" s="3" t="n">
        <v>100</v>
      </c>
      <c r="O168" s="3" t="n">
        <v>0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I169" s="3">
        <f>E169+G169+H169</f>
        <v/>
      </c>
      <c r="J169" s="3">
        <f>IF(C169="Técnico III","35",IF(C169="Técnico II","28",IF(C169="Técnico I","23",IF(C169="JR","20",IF(C169="Estágio","10",)))))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0</v>
      </c>
      <c r="N169" s="3" t="n">
        <v>85.70999999999999</v>
      </c>
      <c r="O169" s="3" t="n">
        <v>0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100</v>
      </c>
      <c r="O170" s="3" t="n">
        <v>0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I171" s="3">
        <f>E171+G171+H171</f>
        <v/>
      </c>
      <c r="J171" s="3">
        <f>IF(C171="Técnico III","35",IF(C171="Técnico II","28",IF(C171="Técnico I","23",IF(C171="JR","20",IF(C171="Estágio","10",)))))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8</v>
      </c>
      <c r="N171" s="3" t="n">
        <v>100</v>
      </c>
      <c r="O171" s="3" t="n">
        <v>25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I172" s="3">
        <f>E172+G172+H172</f>
        <v/>
      </c>
      <c r="J172" s="3">
        <f>IF(C172="Técnico III","35",IF(C172="Técnico II","28",IF(C172="Técnico I","23",IF(C172="JR","20",IF(C172="Estágio","10",)))))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0</v>
      </c>
      <c r="N172" s="3" t="n">
        <v>0</v>
      </c>
      <c r="O172" s="3" t="n">
        <v>0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I173" s="3">
        <f>E173+G173+H173</f>
        <v/>
      </c>
      <c r="J173" s="3">
        <f>IF(C173="Técnico III","35",IF(C173="Técnico II","28",IF(C173="Técnico I","23",IF(C173="JR","20",IF(C173="Estágio","10",)))))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0</v>
      </c>
      <c r="N173" s="3" t="n">
        <v>0</v>
      </c>
      <c r="O173" s="3" t="n">
        <v>0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I174" s="3">
        <f>E174+G174+H174</f>
        <v/>
      </c>
      <c r="J174" s="3">
        <f>IF(C174="Técnico III","35",IF(C174="Técnico II","28",IF(C174="Técnico I","23",IF(C174="JR","20",IF(C174="Estágio","10",)))))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0</v>
      </c>
      <c r="N174" s="3" t="n">
        <v>100</v>
      </c>
      <c r="O174" s="3" t="n">
        <v>0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I175" s="3">
        <f>E175+G175+H175</f>
        <v/>
      </c>
      <c r="J175" s="3">
        <f>IF(C175="Técnico III","35",IF(C175="Técnico II","28",IF(C175="Técnico I","23",IF(C175="JR","20",IF(C175="Estágio","10",)))))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66.67</v>
      </c>
      <c r="N175" s="3" t="n">
        <v>100</v>
      </c>
      <c r="O175" s="3" t="n">
        <v>50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I176" s="3">
        <f>E176+G176+H176</f>
        <v/>
      </c>
      <c r="J176" s="3">
        <f>IF(C176="Técnico III","35",IF(C176="Técnico II","28",IF(C176="Técnico I","23",IF(C176="JR","20",IF(C176="Estágio","10",)))))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</v>
      </c>
      <c r="N176" s="3" t="n">
        <v>100</v>
      </c>
      <c r="O176" s="3" t="n">
        <v>20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IF(C177="Técnico III","35",IF(C177="Técnico II","28",IF(C177="Técnico I","23",IF(C177="JR","20",IF(C177="Estágio","10",)))))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0</v>
      </c>
      <c r="N177" s="3" t="n">
        <v>100</v>
      </c>
      <c r="O177" s="3" t="n">
        <v>0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IF(C178="Técnico III","35",IF(C178="Técnico II","28",IF(C178="Técnico I","23",IF(C178="JR","20",IF(C178="Estágio","10",)))))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100</v>
      </c>
      <c r="O178" s="3" t="n">
        <v>33.33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IF(C180="Técnico III","35",IF(C180="Técnico II","28",IF(C180="Técnico I","23",IF(C180="JR","20",IF(C180="Estágio","10",)))))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38</v>
      </c>
      <c r="N180" s="3" t="n">
        <v>71.43000000000001</v>
      </c>
      <c r="O180" s="3" t="n">
        <v>21.05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IF(C181="Técnico III","35",IF(C181="Técnico II","28",IF(C181="Técnico I","23",IF(C181="JR","20",IF(C181="Estágio","10",)))))</f>
        <v/>
      </c>
      <c r="K181" s="3">
        <f>I181-J181</f>
        <v/>
      </c>
      <c r="L181" s="3">
        <f>IF(K181&lt;-5,"CRÍTICO",IF(K181&lt;0,"ATENÇÃO",IF(K181&lt;=5,"BOM","EXCELENTE")))</f>
        <v/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IF(C182="Técnico III","35",IF(C182="Técnico II","28",IF(C182="Técnico I","23",IF(C182="JR","20",IF(C182="Estágio","10",)))))</f>
        <v/>
      </c>
      <c r="K182" s="3">
        <f>I182-J182</f>
        <v/>
      </c>
      <c r="L182" s="3">
        <f>IF(K182&lt;-5,"CRÍTICO",IF(K182&lt;0,"ATENÇÃO",IF(K182&lt;=5,"BOM","EXCELENTE")))</f>
        <v/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IF(C183="Técnico III","35",IF(C183="Técnico II","28",IF(C183="Técnico I","23",IF(C183="JR","20",IF(C183="Estágio","10",)))))</f>
        <v/>
      </c>
      <c r="K183" s="3">
        <f>I183-J183</f>
        <v/>
      </c>
      <c r="L183" s="3">
        <f>IF(K183&lt;-5,"CRÍTICO",IF(K183&lt;0,"ATENÇÃO",IF(K183&lt;=5,"BOM","EXCELENTE")))</f>
        <v/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IF(C184="Técnico III","35",IF(C184="Técnico II","28",IF(C184="Técnico I","23",IF(C184="JR","20",IF(C184="Estágio","10",)))))</f>
        <v/>
      </c>
      <c r="K184" s="3">
        <f>I184-J184</f>
        <v/>
      </c>
      <c r="L184" s="3">
        <f>IF(K184&lt;-5,"CRÍTICO",IF(K184&lt;0,"ATENÇÃO",IF(K184&lt;=5,"BOM","EXCELENTE")))</f>
        <v/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IF(C185="Técnico III","35",IF(C185="Técnico II","28",IF(C185="Técnico I","23",IF(C185="JR","20",IF(C185="Estágio","10",)))))</f>
        <v/>
      </c>
      <c r="K185" s="3">
        <f>I185-J185</f>
        <v/>
      </c>
      <c r="L185" s="3">
        <f>IF(K185&lt;-5,"CRÍTICO",IF(K185&lt;0,"ATENÇÃO",IF(K185&lt;=5,"BOM","EXCELENTE")))</f>
        <v/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IF(C186="Técnico III","35",IF(C186="Técnico II","28",IF(C186="Técnico I","23",IF(C186="JR","20",IF(C186="Estágio","10",)))))</f>
        <v/>
      </c>
      <c r="K186" s="3">
        <f>I186-J186</f>
        <v/>
      </c>
      <c r="L186" s="3">
        <f>IF(K186&lt;-5,"CRÍTICO",IF(K186&lt;0,"ATENÇÃO",IF(K186&lt;=5,"BOM","EXCELENTE")))</f>
        <v/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IF(C187="Técnico III","35",IF(C187="Técnico II","28",IF(C187="Técnico I","23",IF(C187="JR","20",IF(C187="Estágio","10",)))))</f>
        <v/>
      </c>
      <c r="K187" s="3">
        <f>I187-J187</f>
        <v/>
      </c>
      <c r="L187" s="3">
        <f>IF(K187&lt;-5,"CRÍTICO",IF(K187&lt;0,"ATENÇÃO",IF(K187&lt;=5,"BOM","EXCELENTE")))</f>
        <v/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IF(C188="Técnico III","35",IF(C188="Técnico II","28",IF(C188="Técnico I","23",IF(C188="JR","20",IF(C188="Estágio","10",)))))</f>
        <v/>
      </c>
      <c r="K188" s="3">
        <f>I188-J188</f>
        <v/>
      </c>
      <c r="L188" s="3">
        <f>IF(K188&lt;-5,"CRÍTICO",IF(K188&lt;0,"ATENÇÃO",IF(K188&lt;=5,"BOM","EXCELENTE")))</f>
        <v/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IF(C189="Técnico III","35",IF(C189="Técnico II","28",IF(C189="Técnico I","23",IF(C189="JR","20",IF(C189="Estágio","10",)))))</f>
        <v/>
      </c>
      <c r="K189" s="3">
        <f>I189-J189</f>
        <v/>
      </c>
      <c r="L189" s="3">
        <f>IF(K189&lt;-5,"CRÍTICO",IF(K189&lt;0,"ATENÇÃO",IF(K189&lt;=5,"BOM","EXCELENTE")))</f>
        <v/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IF(C190="Técnico III","35",IF(C190="Técnico II","28",IF(C190="Técnico I","23",IF(C190="JR","20",IF(C190="Estágio","10",)))))</f>
        <v/>
      </c>
      <c r="K190" s="3">
        <f>I190-J190</f>
        <v/>
      </c>
      <c r="L190" s="3">
        <f>IF(K190&lt;-5,"CRÍTICO",IF(K190&lt;0,"ATENÇÃO",IF(K190&lt;=5,"BOM","EXCELENTE")))</f>
        <v/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IF(C191="Técnico III","35",IF(C191="Técnico II","28",IF(C191="Técnico I","23",IF(C191="JR","20",IF(C191="Estágio","10",)))))</f>
        <v/>
      </c>
      <c r="K191" s="3">
        <f>I191-J191</f>
        <v/>
      </c>
      <c r="L191" s="3">
        <f>IF(K191&lt;-5,"CRÍTICO",IF(K191&lt;0,"ATENÇÃO",IF(K191&lt;=5,"BOM","EXCELENTE")))</f>
        <v/>
      </c>
    </row>
    <row r="192" hidden="1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IF(C192="Técnico III","35",IF(C192="Técnico II","28",IF(C192="Técnico I","23",IF(C192="JR","20",IF(C192="Estágio","10",)))))</f>
        <v/>
      </c>
      <c r="K192" s="3">
        <f>I192-J192</f>
        <v/>
      </c>
      <c r="L192" s="3">
        <f>IF(K192&lt;-5,"CRÍTICO",IF(K192&lt;0,"ATENÇÃO",IF(K192&lt;=5,"BOM","EXCELENTE")))</f>
        <v/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IF(C193="Técnico III","35",IF(C193="Técnico II","28",IF(C193="Técnico I","23",IF(C193="JR","20",IF(C193="Estágio","10",)))))</f>
        <v/>
      </c>
      <c r="K193" s="3">
        <f>I193-J193</f>
        <v/>
      </c>
      <c r="L193" s="3">
        <f>IF(K193&lt;-5,"CRÍTICO",IF(K193&lt;0,"ATENÇÃO",IF(K193&lt;=5,"BOM","EXCELENTE")))</f>
        <v/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IF(C194="Técnico III","35",IF(C194="Técnico II","28",IF(C194="Técnico I","23",IF(C194="JR","20",IF(C194="Estágio","10",)))))</f>
        <v/>
      </c>
      <c r="K194" s="3">
        <f>I194-J194</f>
        <v/>
      </c>
      <c r="L194" s="3">
        <f>IF(K194&lt;-5,"CRÍTICO",IF(K194&lt;0,"ATENÇÃO",IF(K194&lt;=5,"BOM","EXCELENTE")))</f>
        <v/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IF(C195="Técnico III","35",IF(C195="Técnico II","28",IF(C195="Técnico I","23",IF(C195="JR","20",IF(C195="Estágio","10",)))))</f>
        <v/>
      </c>
      <c r="K195" s="3">
        <f>I195-J195</f>
        <v/>
      </c>
      <c r="L195" s="3">
        <f>IF(K195&lt;-5,"CRÍTICO",IF(K195&lt;0,"ATENÇÃO",IF(K195&lt;=5,"BOM","EXCELENTE")))</f>
        <v/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IF(C196="Técnico III","35",IF(C196="Técnico II","28",IF(C196="Técnico I","23",IF(C196="JR","20",IF(C196="Estágio","10",)))))</f>
        <v/>
      </c>
      <c r="K196" s="3">
        <f>I196-J196</f>
        <v/>
      </c>
      <c r="L196" s="3">
        <f>IF(K196&lt;-5,"CRÍTICO",IF(K196&lt;0,"ATENÇÃO",IF(K196&lt;=5,"BOM","EXCELENTE")))</f>
        <v/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</row>
    <row r="199" hidden="1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IF(C200="Técnico III","35",IF(C200="Técnico II","28",IF(C200="Técnico I","23",IF(C200="JR","20",IF(C200="Estágio","10",)))))</f>
        <v/>
      </c>
      <c r="K200" s="3">
        <f>I200-J200</f>
        <v/>
      </c>
      <c r="L200" s="3">
        <f>IF(K200&lt;-5,"CRÍTICO",IF(K200&lt;0,"ATENÇÃO",IF(K200&lt;=5,"BOM","EXCELENTE")))</f>
        <v/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IF(C201="Técnico III","35",IF(C201="Técnico II","28",IF(C201="Técnico I","23",IF(C201="JR","20",IF(C201="Estágio","10",)))))</f>
        <v/>
      </c>
      <c r="K201" s="3">
        <f>I201-J201</f>
        <v/>
      </c>
      <c r="L201" s="3">
        <f>IF(K201&lt;-5,"CRÍTICO",IF(K201&lt;0,"ATENÇÃO",IF(K201&lt;=5,"BOM","EXCELENTE")))</f>
        <v/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IF(C202="Técnico III","35",IF(C202="Técnico II","28",IF(C202="Técnico I","23",IF(C202="JR","20",IF(C202="Estágio","10",)))))</f>
        <v/>
      </c>
      <c r="K202" s="3">
        <f>I202-J202</f>
        <v/>
      </c>
      <c r="L202" s="3">
        <f>IF(K202&lt;-5,"CRÍTICO",IF(K202&lt;0,"ATENÇÃO",IF(K202&lt;=5,"BOM","EXCELENTE")))</f>
        <v/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IF(C203="Técnico III","35",IF(C203="Técnico II","28",IF(C203="Técnico I","23",IF(C203="JR","20",IF(C203="Estágio","10",)))))</f>
        <v/>
      </c>
      <c r="K203" s="3">
        <f>I203-J203</f>
        <v/>
      </c>
      <c r="L203" s="3">
        <f>IF(K203&lt;-5,"CRÍTICO",IF(K203&lt;0,"ATENÇÃO",IF(K203&lt;=5,"BOM","EXCELENTE")))</f>
        <v/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IF(C205="Técnico III","35",IF(C205="Técnico II","28",IF(C205="Técnico I","23",IF(C205="JR","20",IF(C205="Estágio","10",)))))</f>
        <v/>
      </c>
      <c r="K205" s="3">
        <f>I205-J205</f>
        <v/>
      </c>
      <c r="L205" s="3">
        <f>IF(K205&lt;-5,"CRÍTICO",IF(K205&lt;0,"ATENÇÃO",IF(K205&lt;=5,"BOM","EXCELENTE")))</f>
        <v/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IF(C206="Técnico III","35",IF(C206="Técnico II","28",IF(C206="Técnico I","23",IF(C206="JR","20",IF(C206="Estágio","10",)))))</f>
        <v/>
      </c>
      <c r="K206" s="3">
        <f>I206-J206</f>
        <v/>
      </c>
      <c r="L206" s="3">
        <f>IF(K206&lt;-5,"CRÍTICO",IF(K206&lt;0,"ATENÇÃO",IF(K206&lt;=5,"BOM","EXCELENTE")))</f>
        <v/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IF(C207="Técnico III","35",IF(C207="Técnico II","28",IF(C207="Técnico I","23",IF(C207="JR","20",IF(C207="Estágio","10",)))))</f>
        <v/>
      </c>
      <c r="K207" s="3">
        <f>I207-J207</f>
        <v/>
      </c>
      <c r="L207" s="3">
        <f>IF(K207&lt;-5,"CRÍTICO",IF(K207&lt;0,"ATENÇÃO",IF(K207&lt;=5,"BOM","EXCELENTE")))</f>
        <v/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IF(C208="Técnico III","35",IF(C208="Técnico II","28",IF(C208="Técnico I","23",IF(C208="JR","20",IF(C208="Estágio","10",)))))</f>
        <v/>
      </c>
      <c r="K208" s="3">
        <f>I208-J208</f>
        <v/>
      </c>
      <c r="L208" s="3">
        <f>IF(K208&lt;-5,"CRÍTICO",IF(K208&lt;0,"ATENÇÃO",IF(K208&lt;=5,"BOM","EXCELENTE")))</f>
        <v/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IF(C209="Técnico III","35",IF(C209="Técnico II","28",IF(C209="Técnico I","23",IF(C209="JR","20",IF(C209="Estágio","10",)))))</f>
        <v/>
      </c>
      <c r="K209" s="3">
        <f>I209-J209</f>
        <v/>
      </c>
      <c r="L209" s="3">
        <f>IF(K209&lt;-5,"CRÍTICO",IF(K209&lt;0,"ATENÇÃO",IF(K209&lt;=5,"BOM","EXCELENTE")))</f>
        <v/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IF(C210="Técnico III","35",IF(C210="Técnico II","28",IF(C210="Técnico I","23",IF(C210="JR","20",IF(C210="Estágio","10",)))))</f>
        <v/>
      </c>
      <c r="K210" s="3">
        <f>I210-J210</f>
        <v/>
      </c>
      <c r="L210" s="3">
        <f>IF(K210&lt;-5,"CRÍTICO",IF(K210&lt;0,"ATENÇÃO",IF(K210&lt;=5,"BOM","EXCELENTE")))</f>
        <v/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IF(C212="Técnico III","35",IF(C212="Técnico II","28",IF(C212="Técnico I","23",IF(C212="JR","20",IF(C212="Estágio","10",)))))</f>
        <v/>
      </c>
      <c r="K212" s="3">
        <f>I212-J212</f>
        <v/>
      </c>
      <c r="L212" s="3">
        <f>IF(K212&lt;-5,"CRÍTICO",IF(K212&lt;0,"ATENÇÃO",IF(K212&lt;=5,"BOM","EXCELENTE")))</f>
        <v/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IF(C213="Técnico III","35",IF(C213="Técnico II","28",IF(C213="Técnico I","23",IF(C213="JR","20",IF(C213="Estágio","10",)))))</f>
        <v/>
      </c>
      <c r="K213" s="3">
        <f>I213-J213</f>
        <v/>
      </c>
      <c r="L213" s="3">
        <f>IF(K213&lt;-5,"CRÍTICO",IF(K213&lt;0,"ATENÇÃO",IF(K213&lt;=5,"BOM","EXCELENTE")))</f>
        <v/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IF(C214="Técnico III","35",IF(C214="Técnico II","28",IF(C214="Técnico I","23",IF(C214="JR","20",IF(C214="Estágio","10",)))))</f>
        <v/>
      </c>
      <c r="K214" s="3">
        <f>I214-J214</f>
        <v/>
      </c>
      <c r="L214" s="3">
        <f>IF(K214&lt;-5,"CRÍTICO",IF(K214&lt;0,"ATENÇÃO",IF(K214&lt;=5,"BOM","EXCELENTE")))</f>
        <v/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IF(C215="Técnico III","35",IF(C215="Técnico II","28",IF(C215="Técnico I","23",IF(C215="JR","20",IF(C215="Estágio","10",)))))</f>
        <v/>
      </c>
      <c r="K215" s="3">
        <f>I215-J215</f>
        <v/>
      </c>
      <c r="L215" s="3">
        <f>IF(K215&lt;-5,"CRÍTICO",IF(K215&lt;0,"ATENÇÃO",IF(K215&lt;=5,"BOM","EXCELENTE")))</f>
        <v/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IF(C216="Técnico III","35",IF(C216="Técnico II","28",IF(C216="Técnico I","23",IF(C216="JR","20",IF(C216="Estágio","10",)))))</f>
        <v/>
      </c>
      <c r="K216" s="3">
        <f>I216-J216</f>
        <v/>
      </c>
      <c r="L216" s="3">
        <f>IF(K216&lt;-5,"CRÍTICO",IF(K216&lt;0,"ATENÇÃO",IF(K216&lt;=5,"BOM","EXCELENTE")))</f>
        <v/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IF(C217="Técnico III","35",IF(C217="Técnico II","28",IF(C217="Técnico I","23",IF(C217="JR","20",IF(C217="Estágio","10",)))))</f>
        <v/>
      </c>
      <c r="K217" s="3">
        <f>I217-J217</f>
        <v/>
      </c>
      <c r="L217" s="3">
        <f>IF(K217&lt;-5,"CRÍTICO",IF(K217&lt;0,"ATENÇÃO",IF(K217&lt;=5,"BOM","EXCELENTE")))</f>
        <v/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IF(C218="Técnico III","35",IF(C218="Técnico II","28",IF(C218="Técnico I","23",IF(C218="JR","20",IF(C218="Estágio","10",)))))</f>
        <v/>
      </c>
      <c r="K218" s="3">
        <f>I218-J218</f>
        <v/>
      </c>
      <c r="L218" s="3">
        <f>IF(K218&lt;-5,"CRÍTICO",IF(K218&lt;0,"ATENÇÃO",IF(K218&lt;=5,"BOM","EXCELENTE")))</f>
        <v/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IF(C219="Técnico III","35",IF(C219="Técnico II","28",IF(C219="Técnico I","23",IF(C219="JR","20",IF(C219="Estágio","10",)))))</f>
        <v/>
      </c>
      <c r="K219" s="3">
        <f>I219-J219</f>
        <v/>
      </c>
      <c r="L219" s="3">
        <f>IF(K219&lt;-5,"CRÍTICO",IF(K219&lt;0,"ATENÇÃO",IF(K219&lt;=5,"BOM","EXCELENTE")))</f>
        <v/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IF(C220="Técnico III","35",IF(C220="Técnico II","28",IF(C220="Técnico I","23",IF(C220="JR","20",IF(C220="Estágio","10",)))))</f>
        <v/>
      </c>
      <c r="K220" s="3">
        <f>I220-J220</f>
        <v/>
      </c>
      <c r="L220" s="3">
        <f>IF(K220&lt;-5,"CRÍTICO",IF(K220&lt;0,"ATENÇÃO",IF(K220&lt;=5,"BOM","EXCELENTE")))</f>
        <v/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IF(C222="Técnico III","35",IF(C222="Técnico II","28",IF(C222="Técnico I","23",IF(C222="JR","20",IF(C222="Estágio","10",)))))</f>
        <v/>
      </c>
      <c r="K222" s="3">
        <f>I222-J222</f>
        <v/>
      </c>
      <c r="L222" s="3">
        <f>IF(K222&lt;-5,"CRÍTICO",IF(K222&lt;0,"ATENÇÃO",IF(K222&lt;=5,"BOM","EXCELENTE")))</f>
        <v/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I223" s="3">
        <f>E223+G223+H223</f>
        <v/>
      </c>
      <c r="J223" s="3">
        <f>IF(C223="Técnico III","35",IF(C223="Técnico II","28",IF(C223="Técnico I","23",IF(C223="JR","20",IF(C223="Estágio","10",)))))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100</v>
      </c>
      <c r="O223" s="3" t="n">
        <v>11.11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I225" s="3">
        <f>E225+G225+H225</f>
        <v/>
      </c>
      <c r="J225" s="3">
        <f>IF(C225="Técnico III","35",IF(C225="Técnico II","28",IF(C225="Técnico I","23",IF(C225="JR","20",IF(C225="Estágio","10",)))))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27</v>
      </c>
      <c r="N225" s="3" t="n">
        <v>87.5</v>
      </c>
      <c r="O225" s="3" t="n">
        <v>11.11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I226" s="3">
        <f>E226+G226+H226</f>
        <v/>
      </c>
      <c r="J226" s="3">
        <f>IF(C226="Técnico III","35",IF(C226="Técnico II","28",IF(C226="Técnico I","23",IF(C226="JR","20",IF(C226="Estágio","10",)))))</f>
        <v/>
      </c>
      <c r="K226" s="3">
        <f>I226-J226</f>
        <v/>
      </c>
      <c r="L226" s="3">
        <f>IF(K226&lt;-5,"CRÍTICO",IF(K226&lt;0,"ATENÇÃO",IF(K226&lt;=5,"BOM","EXCELENTE")))</f>
        <v/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I227" s="3">
        <f>E227+G227+H227</f>
        <v/>
      </c>
      <c r="J227" s="3">
        <f>IF(C227="Técnico III","35",IF(C227="Técnico II","28",IF(C227="Técnico I","23",IF(C227="JR","20",IF(C227="Estágio","10",)))))</f>
        <v/>
      </c>
      <c r="K227" s="3">
        <f>I227-J227</f>
        <v/>
      </c>
      <c r="L227" s="3">
        <f>IF(K227&lt;-5,"CRÍTICO",IF(K227&lt;0,"ATENÇÃO",IF(K227&lt;=5,"BOM","EXCELENTE")))</f>
        <v/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I228" s="3">
        <f>E228+G228+H228</f>
        <v/>
      </c>
      <c r="J228" s="3">
        <f>IF(C228="Técnico III","35",IF(C228="Técnico II","28",IF(C228="Técnico I","23",IF(C228="JR","20",IF(C228="Estágio","10",)))))</f>
        <v/>
      </c>
      <c r="K228" s="3">
        <f>I228-J228</f>
        <v/>
      </c>
      <c r="L228" s="3">
        <f>IF(K228&lt;-5,"CRÍTICO",IF(K228&lt;0,"ATENÇÃO",IF(K228&lt;=5,"BOM","EXCELENTE")))</f>
        <v/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I229" s="3">
        <f>E229+G229+H229</f>
        <v/>
      </c>
      <c r="J229" s="3">
        <f>IF(C229="Técnico III","35",IF(C229="Técnico II","28",IF(C229="Técnico I","23",IF(C229="JR","20",IF(C229="Estágio","10",)))))</f>
        <v/>
      </c>
      <c r="K229" s="3">
        <f>I229-J229</f>
        <v/>
      </c>
      <c r="L229" s="3">
        <f>IF(K229&lt;-5,"CRÍTICO",IF(K229&lt;0,"ATENÇÃO",IF(K229&lt;=5,"BOM","EXCELENTE")))</f>
        <v/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I230" s="3">
        <f>E230+G230+H230</f>
        <v/>
      </c>
      <c r="J230" s="3">
        <f>IF(C230="Técnico III","35",IF(C230="Técnico II","28",IF(C230="Técnico I","23",IF(C230="JR","20",IF(C230="Estágio","10",)))))</f>
        <v/>
      </c>
      <c r="K230" s="3">
        <f>I230-J230</f>
        <v/>
      </c>
      <c r="L230" s="3">
        <f>IF(K230&lt;-5,"CRÍTICO",IF(K230&lt;0,"ATENÇÃO",IF(K230&lt;=5,"BOM","EXCELENTE")))</f>
        <v/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I231" s="3">
        <f>E231+G231+H231</f>
        <v/>
      </c>
      <c r="J231" s="3">
        <f>IF(C231="Técnico III","35",IF(C231="Técnico II","28",IF(C231="Técnico I","23",IF(C231="JR","20",IF(C231="Estágio","10",)))))</f>
        <v/>
      </c>
      <c r="K231" s="3">
        <f>I231-J231</f>
        <v/>
      </c>
      <c r="L231" s="3">
        <f>IF(K231&lt;-5,"CRÍTICO",IF(K231&lt;0,"ATENÇÃO",IF(K231&lt;=5,"BOM","EXCELENTE")))</f>
        <v/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I232" s="3">
        <f>E232+G232+H232</f>
        <v/>
      </c>
      <c r="J232" s="3">
        <f>IF(C232="Técnico III","35",IF(C232="Técnico II","28",IF(C232="Técnico I","23",IF(C232="JR","20",IF(C232="Estágio","10",)))))</f>
        <v/>
      </c>
      <c r="K232" s="3">
        <f>I232-J232</f>
        <v/>
      </c>
      <c r="L232" s="3">
        <f>IF(K232&lt;-5,"CRÍTICO",IF(K232&lt;0,"ATENÇÃO",IF(K232&lt;=5,"BOM","EXCELENTE")))</f>
        <v/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I233" s="3">
        <f>E233+G233+H233</f>
        <v/>
      </c>
      <c r="J233" s="3">
        <f>IF(C233="Técnico III","35",IF(C233="Técnico II","28",IF(C233="Técnico I","23",IF(C233="JR","20",IF(C233="Estágio","10",)))))</f>
        <v/>
      </c>
      <c r="K233" s="3">
        <f>I233-J233</f>
        <v/>
      </c>
      <c r="L233" s="3">
        <f>IF(K233&lt;-5,"CRÍTICO",IF(K233&lt;0,"ATENÇÃO",IF(K233&lt;=5,"BOM","EXCELENTE")))</f>
        <v/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IF(C234="Técnico III","35",IF(C234="Técnico II","28",IF(C234="Técnico I","23",IF(C234="JR","20",IF(C234="Estágio","10",)))))</f>
        <v/>
      </c>
      <c r="K234" s="3">
        <f>I234-J234</f>
        <v/>
      </c>
      <c r="L234" s="3">
        <f>IF(K234&lt;-5,"CRÍTICO",IF(K234&lt;0,"ATENÇÃO",IF(K234&lt;=5,"BOM","EXCELENTE")))</f>
        <v/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I235" s="3">
        <f>E235+G235+H235</f>
        <v/>
      </c>
      <c r="J235" s="3">
        <f>IF(C235="Técnico III","35",IF(C235="Técnico II","28",IF(C235="Técnico I","23",IF(C235="JR","20",IF(C235="Estágio","10",)))))</f>
        <v/>
      </c>
      <c r="K235" s="3">
        <f>I235-J235</f>
        <v/>
      </c>
      <c r="L235" s="3">
        <f>IF(K235&lt;-5,"CRÍTICO",IF(K235&lt;0,"ATENÇÃO",IF(K235&lt;=5,"BOM","EXCELENTE")))</f>
        <v/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I236" s="3">
        <f>E236+G236+H236</f>
        <v/>
      </c>
      <c r="J236" s="3">
        <f>IF(C236="Técnico III","35",IF(C236="Técnico II","28",IF(C236="Técnico I","23",IF(C236="JR","20",IF(C236="Estágio","10",)))))</f>
        <v/>
      </c>
      <c r="K236" s="3">
        <f>I236-J236</f>
        <v/>
      </c>
      <c r="L236" s="3">
        <f>IF(K236&lt;-5,"CRÍTICO",IF(K236&lt;0,"ATENÇÃO",IF(K236&lt;=5,"BOM","EXCELENTE")))</f>
        <v/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I237" s="3">
        <f>E237+G237+H237</f>
        <v/>
      </c>
      <c r="J237" s="3">
        <f>IF(C237="Técnico III","35",IF(C237="Técnico II","28",IF(C237="Técnico I","23",IF(C237="JR","20",IF(C237="Estágio","10",)))))</f>
        <v/>
      </c>
      <c r="K237" s="3">
        <f>I237-J237</f>
        <v/>
      </c>
      <c r="L237" s="3">
        <f>IF(K237&lt;-5,"CRÍTICO",IF(K237&lt;0,"ATENÇÃO",IF(K237&lt;=5,"BOM","EXCELENTE")))</f>
        <v/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IF(C240="Técnico III","35",IF(C240="Técnico II","28",IF(C240="Técnico I","23",IF(C240="JR","20",IF(C240="Estágio","10",)))))</f>
        <v/>
      </c>
      <c r="K240" s="3">
        <f>I240-J240</f>
        <v/>
      </c>
      <c r="L240" s="3">
        <f>IF(K240&lt;-5,"CRÍTICO",IF(K240&lt;0,"ATENÇÃO",IF(K240&lt;=5,"BOM","EXCELENTE")))</f>
        <v/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I241" s="3">
        <f>E241+G241+H241</f>
        <v/>
      </c>
      <c r="J241" s="3">
        <f>IF(C241="Técnico III","35",IF(C241="Técnico II","28",IF(C241="Técnico I","23",IF(C241="JR","20",IF(C241="Estágio","10",)))))</f>
        <v/>
      </c>
      <c r="K241" s="3">
        <f>I241-J241</f>
        <v/>
      </c>
      <c r="L241" s="3">
        <f>IF(K241&lt;-5,"CRÍTICO",IF(K241&lt;0,"ATENÇÃO",IF(K241&lt;=5,"BOM","EXCELENTE")))</f>
        <v/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I242" s="3">
        <f>E242+G242+H242</f>
        <v/>
      </c>
      <c r="J242" s="3">
        <f>IF(C242="Técnico III","35",IF(C242="Técnico II","28",IF(C242="Técnico I","23",IF(C242="JR","20",IF(C242="Estágio","10",)))))</f>
        <v/>
      </c>
      <c r="K242" s="3">
        <f>I242-J242</f>
        <v/>
      </c>
      <c r="L242" s="3">
        <f>IF(K242&lt;-5,"CRÍTICO",IF(K242&lt;0,"ATENÇÃO",IF(K242&lt;=5,"BOM","EXCELENTE")))</f>
        <v/>
      </c>
    </row>
    <row r="243" hidden="1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I243" s="3">
        <f>E243+G243+H243</f>
        <v/>
      </c>
      <c r="J243" s="3">
        <f>IF(C243="Técnico III","35",IF(C243="Técnico II","28",IF(C243="Técnico I","23",IF(C243="JR","20",IF(C243="Estágio","10",)))))</f>
        <v/>
      </c>
      <c r="K243" s="3">
        <f>I243-J243</f>
        <v/>
      </c>
      <c r="L243" s="3">
        <f>IF(K243&lt;-5,"CRÍTICO",IF(K243&lt;0,"ATENÇÃO",IF(K243&lt;=5,"BOM","EXCELENTE")))</f>
        <v/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I244" s="3">
        <f>E244+G244+H244</f>
        <v/>
      </c>
      <c r="J244" s="3">
        <f>IF(C244="Técnico III","35",IF(C244="Técnico II","28",IF(C244="Técnico I","23",IF(C244="JR","20",IF(C244="Estágio","10",)))))</f>
        <v/>
      </c>
      <c r="K244" s="3">
        <f>I244-J244</f>
        <v/>
      </c>
      <c r="L244" s="3">
        <f>IF(K244&lt;-5,"CRÍTICO",IF(K244&lt;0,"ATENÇÃO",IF(K244&lt;=5,"BOM","EXCELENTE")))</f>
        <v/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I245" s="3">
        <f>E245+G245+H245</f>
        <v/>
      </c>
      <c r="J245" s="3">
        <f>IF(C245="Técnico III","35",IF(C245="Técnico II","28",IF(C245="Técnico I","23",IF(C245="JR","20",IF(C245="Estágio","10",)))))</f>
        <v/>
      </c>
      <c r="K245" s="3">
        <f>I245-J245</f>
        <v/>
      </c>
      <c r="L245" s="3">
        <f>IF(K245&lt;-5,"CRÍTICO",IF(K245&lt;0,"ATENÇÃO",IF(K245&lt;=5,"BOM","EXCELENTE")))</f>
        <v/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I246" s="3">
        <f>E246+G246+H246</f>
        <v/>
      </c>
      <c r="J246" s="3">
        <f>IF(C246="Técnico III","35",IF(C246="Técnico II","28",IF(C246="Técnico I","23",IF(C246="JR","20",IF(C246="Estágio","10",)))))</f>
        <v/>
      </c>
      <c r="K246" s="3">
        <f>I246-J246</f>
        <v/>
      </c>
      <c r="L246" s="3">
        <f>IF(K246&lt;-5,"CRÍTICO",IF(K246&lt;0,"ATENÇÃO",IF(K246&lt;=5,"BOM","EXCELENTE")))</f>
        <v/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I247" s="3">
        <f>E247+G247+H247</f>
        <v/>
      </c>
      <c r="J247" s="3">
        <f>IF(C247="Técnico III","35",IF(C247="Técnico II","28",IF(C247="Técnico I","23",IF(C247="JR","20",IF(C247="Estágio","10",)))))</f>
        <v/>
      </c>
      <c r="K247" s="3">
        <f>I247-J247</f>
        <v/>
      </c>
      <c r="L247" s="3">
        <f>IF(K247&lt;-5,"CRÍTICO",IF(K247&lt;0,"ATENÇÃO",IF(K247&lt;=5,"BOM","EXCELENTE")))</f>
        <v/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I249" s="3">
        <f>E249+G249+H249</f>
        <v/>
      </c>
      <c r="J249" s="3">
        <f>IF(C249="Técnico III","35",IF(C249="Técnico II","28",IF(C249="Técnico I","23",IF(C249="JR","20",IF(C249="Estágio","10",)))))</f>
        <v/>
      </c>
      <c r="K249" s="3">
        <f>I249-J249</f>
        <v/>
      </c>
      <c r="L249" s="3">
        <f>IF(K249&lt;-5,"CRÍTICO",IF(K249&lt;0,"ATENÇÃO",IF(K249&lt;=5,"BOM","EXCELENTE")))</f>
        <v/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I250" s="3">
        <f>E250+G250+H250</f>
        <v/>
      </c>
      <c r="J250" s="3">
        <f>IF(C250="Técnico III","35",IF(C250="Técnico II","28",IF(C250="Técnico I","23",IF(C250="JR","20",IF(C250="Estágio","10",)))))</f>
        <v/>
      </c>
      <c r="K250" s="3">
        <f>I250-J250</f>
        <v/>
      </c>
      <c r="L250" s="3">
        <f>IF(K250&lt;-5,"CRÍTICO",IF(K250&lt;0,"ATENÇÃO",IF(K250&lt;=5,"BOM","EXCELENTE")))</f>
        <v/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I251" s="3">
        <f>E251+G251+H251</f>
        <v/>
      </c>
      <c r="J251" s="3">
        <f>IF(C251="Técnico III","35",IF(C251="Técnico II","28",IF(C251="Técnico I","23",IF(C251="JR","20",IF(C251="Estágio","10",)))))</f>
        <v/>
      </c>
      <c r="K251" s="3">
        <f>I251-J251</f>
        <v/>
      </c>
      <c r="L251" s="3">
        <f>IF(K251&lt;-5,"CRÍTICO",IF(K251&lt;0,"ATENÇÃO",IF(K251&lt;=5,"BOM","EXCELENTE")))</f>
        <v/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I252" s="3">
        <f>E252+G252+H252</f>
        <v/>
      </c>
      <c r="J252" s="3">
        <f>IF(C252="Técnico III","35",IF(C252="Técnico II","28",IF(C252="Técnico I","23",IF(C252="JR","20",IF(C252="Estágio","10",)))))</f>
        <v/>
      </c>
      <c r="K252" s="3">
        <f>I252-J252</f>
        <v/>
      </c>
      <c r="L252" s="3">
        <f>IF(K252&lt;-5,"CRÍTICO",IF(K252&lt;0,"ATENÇÃO",IF(K252&lt;=5,"BOM","EXCELENTE")))</f>
        <v/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I253" s="3">
        <f>E253+G253+H253</f>
        <v/>
      </c>
      <c r="J253" s="3">
        <f>IF(C253="Técnico III","35",IF(C253="Técnico II","28",IF(C253="Técnico I","23",IF(C253="JR","20",IF(C253="Estágio","10",)))))</f>
        <v/>
      </c>
      <c r="K253" s="3">
        <f>I253-J253</f>
        <v/>
      </c>
      <c r="L253" s="3">
        <f>IF(K253&lt;-5,"CRÍTICO",IF(K253&lt;0,"ATENÇÃO",IF(K253&lt;=5,"BOM","EXCELENTE")))</f>
        <v/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I254" s="3">
        <f>E254+G254+H254</f>
        <v/>
      </c>
      <c r="J254" s="3">
        <f>IF(C254="Técnico III","35",IF(C254="Técnico II","28",IF(C254="Técnico I","23",IF(C254="JR","20",IF(C254="Estágio","10",)))))</f>
        <v/>
      </c>
      <c r="K254" s="3">
        <f>I254-J254</f>
        <v/>
      </c>
      <c r="L254" s="3">
        <f>IF(K254&lt;-5,"CRÍTICO",IF(K254&lt;0,"ATENÇÃO",IF(K254&lt;=5,"BOM","EXCELENTE")))</f>
        <v/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I256" s="3">
        <f>E256+G256+H256</f>
        <v/>
      </c>
      <c r="J256" s="3">
        <f>IF(C256="Técnico III","35",IF(C256="Técnico II","28",IF(C256="Técnico I","23",IF(C256="JR","20",IF(C256="Estágio","10",)))))</f>
        <v/>
      </c>
      <c r="K256" s="3">
        <f>I256-J256</f>
        <v/>
      </c>
      <c r="L256" s="3">
        <f>IF(K256&lt;-5,"CRÍTICO",IF(K256&lt;0,"ATENÇÃO",IF(K256&lt;=5,"BOM","EXCELENTE")))</f>
        <v/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IF(C257="Técnico III","35",IF(C257="Técnico II","28",IF(C257="Técnico I","23",IF(C257="JR","20",IF(C257="Estágio","10",)))))</f>
        <v/>
      </c>
      <c r="K257" s="3">
        <f>I257-J257</f>
        <v/>
      </c>
      <c r="L257" s="3">
        <f>IF(K257&lt;-5,"CRÍTICO",IF(K257&lt;0,"ATENÇÃO",IF(K257&lt;=5,"BOM","EXCELENTE")))</f>
        <v/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I258" s="3">
        <f>E258+G258+H258</f>
        <v/>
      </c>
      <c r="J258" s="3">
        <f>IF(C258="Técnico III","35",IF(C258="Técnico II","28",IF(C258="Técnico I","23",IF(C258="JR","20",IF(C258="Estágio","10",)))))</f>
        <v/>
      </c>
      <c r="K258" s="3">
        <f>I258-J258</f>
        <v/>
      </c>
      <c r="L258" s="3">
        <f>IF(K258&lt;-5,"CRÍTICO",IF(K258&lt;0,"ATENÇÃO",IF(K258&lt;=5,"BOM","EXCELENTE")))</f>
        <v/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I259" s="3">
        <f>E259+G259+H259</f>
        <v/>
      </c>
      <c r="J259" s="3">
        <f>IF(C259="Técnico III","35",IF(C259="Técnico II","28",IF(C259="Técnico I","23",IF(C259="JR","20",IF(C259="Estágio","10",)))))</f>
        <v/>
      </c>
      <c r="K259" s="3">
        <f>I259-J259</f>
        <v/>
      </c>
      <c r="L259" s="3">
        <f>IF(K259&lt;-5,"CRÍTICO",IF(K259&lt;0,"ATENÇÃO",IF(K259&lt;=5,"BOM","EXCELENTE")))</f>
        <v/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I260" s="3">
        <f>E260+G260+H260</f>
        <v/>
      </c>
      <c r="J260" s="3">
        <f>IF(C260="Técnico III","35",IF(C260="Técnico II","28",IF(C260="Técnico I","23",IF(C260="JR","20",IF(C260="Estágio","10",)))))</f>
        <v/>
      </c>
      <c r="K260" s="3">
        <f>I260-J260</f>
        <v/>
      </c>
      <c r="L260" s="3">
        <f>IF(K260&lt;-5,"CRÍTICO",IF(K260&lt;0,"ATENÇÃO",IF(K260&lt;=5,"BOM","EXCELENTE")))</f>
        <v/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I261" s="3">
        <f>E261+G261+H261</f>
        <v/>
      </c>
      <c r="J261" s="3">
        <f>IF(C261="Técnico III","35",IF(C261="Técnico II","28",IF(C261="Técnico I","23",IF(C261="JR","20",IF(C261="Estágio","10",)))))</f>
        <v/>
      </c>
      <c r="K261" s="3">
        <f>I261-J261</f>
        <v/>
      </c>
      <c r="L261" s="3">
        <f>IF(K261&lt;-5,"CRÍTICO",IF(K261&lt;0,"ATENÇÃO",IF(K261&lt;=5,"BOM","EXCELENTE")))</f>
        <v/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I262" s="3">
        <f>E262+G262+H262</f>
        <v/>
      </c>
      <c r="J262" s="3">
        <f>IF(C262="Técnico III","35",IF(C262="Técnico II","28",IF(C262="Técnico I","23",IF(C262="JR","20",IF(C262="Estágio","10",)))))</f>
        <v/>
      </c>
      <c r="K262" s="3">
        <f>I262-J262</f>
        <v/>
      </c>
      <c r="L262" s="3">
        <f>IF(K262&lt;-5,"CRÍTICO",IF(K262&lt;0,"ATENÇÃO",IF(K262&lt;=5,"BOM","EXCELENTE")))</f>
        <v/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I263" s="3">
        <f>E263+G263+H263</f>
        <v/>
      </c>
      <c r="J263" s="3">
        <f>IF(C263="Técnico III","35",IF(C263="Técnico II","28",IF(C263="Técnico I","23",IF(C263="JR","20",IF(C263="Estágio","10",)))))</f>
        <v/>
      </c>
      <c r="K263" s="3">
        <f>I263-J263</f>
        <v/>
      </c>
      <c r="L263" s="3">
        <f>IF(K263&lt;-5,"CRÍTICO",IF(K263&lt;0,"ATENÇÃO",IF(K263&lt;=5,"BOM","EXCELENTE")))</f>
        <v/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I264" s="3">
        <f>E264+G264+H264</f>
        <v/>
      </c>
      <c r="J264" s="3">
        <f>IF(C264="Técnico III","35",IF(C264="Técnico II","28",IF(C264="Técnico I","23",IF(C264="JR","20",IF(C264="Estágio","10",)))))</f>
        <v/>
      </c>
      <c r="K264" s="3">
        <f>I264-J264</f>
        <v/>
      </c>
      <c r="L264" s="3">
        <f>IF(K264&lt;-5,"CRÍTICO",IF(K264&lt;0,"ATENÇÃO",IF(K264&lt;=5,"BOM","EXCELENTE")))</f>
        <v/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I265" s="3">
        <f>E265+G265+H265</f>
        <v/>
      </c>
      <c r="J265" s="3">
        <f>IF(C265="Técnico III","35",IF(C265="Técnico II","28",IF(C265="Técnico I","23",IF(C265="JR","20",IF(C265="Estágio","10",)))))</f>
        <v/>
      </c>
      <c r="K265" s="3">
        <f>I265-J265</f>
        <v/>
      </c>
      <c r="L265" s="3">
        <f>IF(K265&lt;-5,"CRÍTICO",IF(K265&lt;0,"ATENÇÃO",IF(K265&lt;=5,"BOM","EXCELENTE")))</f>
        <v/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I266" s="3">
        <f>E266+G266+H266</f>
        <v/>
      </c>
      <c r="J266" s="3">
        <f>IF(C266="Técnico III","35",IF(C266="Técnico II","28",IF(C266="Técnico I","23",IF(C266="JR","20",IF(C266="Estágio","10",)))))</f>
        <v/>
      </c>
      <c r="K266" s="3">
        <f>I266-J266</f>
        <v/>
      </c>
      <c r="L266" s="3">
        <f>IF(K266&lt;-5,"CRÍTICO",IF(K266&lt;0,"ATENÇÃO",IF(K266&lt;=5,"BOM","EXCELENTE")))</f>
        <v/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I267" s="3">
        <f>E267+G267+H267</f>
        <v/>
      </c>
      <c r="J267" s="3">
        <f>IF(C267="Técnico III","35",IF(C267="Técnico II","28",IF(C267="Técnico I","23",IF(C267="JR","20",IF(C267="Estágio","10",)))))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100</v>
      </c>
      <c r="O267" s="3" t="n">
        <v>11.76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I269" s="3">
        <f>E269+G269+H269</f>
        <v/>
      </c>
      <c r="J269" s="3">
        <f>IF(C269="Técnico III","35",IF(C269="Técnico II","28",IF(C269="Técnico I","23",IF(C269="JR","20",IF(C269="Estágio","10",)))))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26</v>
      </c>
      <c r="N269" s="3" t="n">
        <v>100</v>
      </c>
      <c r="O269" s="3" t="n">
        <v>30.77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I270" s="3">
        <f>E270+G270+H270</f>
        <v/>
      </c>
      <c r="J270" s="3">
        <f>IF(C270="Técnico III","35",IF(C270="Técnico II","28",IF(C270="Técnico I","23",IF(C270="JR","20",IF(C270="Estágio","10",)))))</f>
        <v/>
      </c>
      <c r="K270" s="3">
        <f>I270-J270</f>
        <v/>
      </c>
      <c r="L270" s="3">
        <f>IF(K270&lt;-5,"CRÍTICO",IF(K270&lt;0,"ATENÇÃO",IF(K270&lt;=5,"BOM","EXCELENTE")))</f>
        <v/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I271" s="3">
        <f>E271+G271+H271</f>
        <v/>
      </c>
      <c r="J271" s="3">
        <f>IF(C271="Técnico III","35",IF(C271="Técnico II","28",IF(C271="Técnico I","23",IF(C271="JR","20",IF(C271="Estágio","10",)))))</f>
        <v/>
      </c>
      <c r="K271" s="3">
        <f>I271-J271</f>
        <v/>
      </c>
      <c r="L271" s="3">
        <f>IF(K271&lt;-5,"CRÍTICO",IF(K271&lt;0,"ATENÇÃO",IF(K271&lt;=5,"BOM","EXCELENTE")))</f>
        <v/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I272" s="3">
        <f>E272+G272+H272</f>
        <v/>
      </c>
      <c r="J272" s="3">
        <f>IF(C272="Técnico III","35",IF(C272="Técnico II","28",IF(C272="Técnico I","23",IF(C272="JR","20",IF(C272="Estágio","10",)))))</f>
        <v/>
      </c>
      <c r="K272" s="3">
        <f>I272-J272</f>
        <v/>
      </c>
      <c r="L272" s="3">
        <f>IF(K272&lt;-5,"CRÍTICO",IF(K272&lt;0,"ATENÇÃO",IF(K272&lt;=5,"BOM","EXCELENTE")))</f>
        <v/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I273" s="3">
        <f>E273+G273+H273</f>
        <v/>
      </c>
      <c r="J273" s="3">
        <f>IF(C273="Técnico III","35",IF(C273="Técnico II","28",IF(C273="Técnico I","23",IF(C273="JR","20",IF(C273="Estágio","10",)))))</f>
        <v/>
      </c>
      <c r="K273" s="3">
        <f>I273-J273</f>
        <v/>
      </c>
      <c r="L273" s="3">
        <f>IF(K273&lt;-5,"CRÍTICO",IF(K273&lt;0,"ATENÇÃO",IF(K273&lt;=5,"BOM","EXCELENTE")))</f>
        <v/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I274" s="3">
        <f>E274+G274+H274</f>
        <v/>
      </c>
      <c r="J274" s="3">
        <f>IF(C274="Técnico III","35",IF(C274="Técnico II","28",IF(C274="Técnico I","23",IF(C274="JR","20",IF(C274="Estágio","10",)))))</f>
        <v/>
      </c>
      <c r="K274" s="3">
        <f>I274-J274</f>
        <v/>
      </c>
      <c r="L274" s="3">
        <f>IF(K274&lt;-5,"CRÍTICO",IF(K274&lt;0,"ATENÇÃO",IF(K274&lt;=5,"BOM","EXCELENTE")))</f>
        <v/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I275" s="3">
        <f>E275+G275+H275</f>
        <v/>
      </c>
      <c r="J275" s="3">
        <f>IF(C275="Técnico III","35",IF(C275="Técnico II","28",IF(C275="Técnico I","23",IF(C275="JR","20",IF(C275="Estágio","10",)))))</f>
        <v/>
      </c>
      <c r="K275" s="3">
        <f>I275-J275</f>
        <v/>
      </c>
      <c r="L275" s="3">
        <f>IF(K275&lt;-5,"CRÍTICO",IF(K275&lt;0,"ATENÇÃO",IF(K275&lt;=5,"BOM","EXCELENTE")))</f>
        <v/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I276" s="3">
        <f>E276+G276+H276</f>
        <v/>
      </c>
      <c r="J276" s="3">
        <f>IF(C276="Técnico III","35",IF(C276="Técnico II","28",IF(C276="Técnico I","23",IF(C276="JR","20",IF(C276="Estágio","10",)))))</f>
        <v/>
      </c>
      <c r="K276" s="3">
        <f>I276-J276</f>
        <v/>
      </c>
      <c r="L276" s="3">
        <f>IF(K276&lt;-5,"CRÍTICO",IF(K276&lt;0,"ATENÇÃO",IF(K276&lt;=5,"BOM","EXCELENTE")))</f>
        <v/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I277" s="3">
        <f>E277+G277+H277</f>
        <v/>
      </c>
      <c r="J277" s="3">
        <f>IF(C277="Técnico III","35",IF(C277="Técnico II","28",IF(C277="Técnico I","23",IF(C277="JR","20",IF(C277="Estágio","10",)))))</f>
        <v/>
      </c>
      <c r="K277" s="3">
        <f>I277-J277</f>
        <v/>
      </c>
      <c r="L277" s="3">
        <f>IF(K277&lt;-5,"CRÍTICO",IF(K277&lt;0,"ATENÇÃO",IF(K277&lt;=5,"BOM","EXCELENTE")))</f>
        <v/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I278" s="3">
        <f>E278+G278+H278</f>
        <v/>
      </c>
      <c r="J278" s="3">
        <f>IF(C278="Técnico III","35",IF(C278="Técnico II","28",IF(C278="Técnico I","23",IF(C278="JR","20",IF(C278="Estágio","10",)))))</f>
        <v/>
      </c>
      <c r="K278" s="3">
        <f>I278-J278</f>
        <v/>
      </c>
      <c r="L278" s="3">
        <f>IF(K278&lt;-5,"CRÍTICO",IF(K278&lt;0,"ATENÇÃO",IF(K278&lt;=5,"BOM","EXCELENTE")))</f>
        <v/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I281" s="3">
        <f>E281+G281+H281</f>
        <v/>
      </c>
      <c r="J281" s="3">
        <f>IF(C281="Técnico III","35",IF(C281="Técnico II","28",IF(C281="Técnico I","23",IF(C281="JR","20",IF(C281="Estágio","10",)))))</f>
        <v/>
      </c>
      <c r="K281" s="3">
        <f>I281-J281</f>
        <v/>
      </c>
      <c r="L281" s="3">
        <f>IF(K281&lt;-5,"CRÍTICO",IF(K281&lt;0,"ATENÇÃO",IF(K281&lt;=5,"BOM","EXCELENTE")))</f>
        <v/>
      </c>
    </row>
    <row r="282" hidden="1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IF(C282="Técnico III","35",IF(C282="Técnico II","28",IF(C282="Técnico I","23",IF(C282="JR","20",IF(C282="Estágio","10",)))))</f>
        <v/>
      </c>
      <c r="K282" s="3">
        <f>I282-J282</f>
        <v/>
      </c>
      <c r="L282" s="3">
        <f>IF(K282&lt;-5,"CRÍTICO",IF(K282&lt;0,"ATENÇÃO",IF(K282&lt;=5,"BOM","EXCELENTE")))</f>
        <v/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I283" s="3">
        <f>E283+G283+H283</f>
        <v/>
      </c>
      <c r="J283" s="3">
        <f>IF(C283="Técnico III","35",IF(C283="Técnico II","28",IF(C283="Técnico I","23",IF(C283="JR","20",IF(C283="Estágio","10",)))))</f>
        <v/>
      </c>
      <c r="K283" s="3">
        <f>I283-J283</f>
        <v/>
      </c>
      <c r="L283" s="3">
        <f>IF(K283&lt;-5,"CRÍTICO",IF(K283&lt;0,"ATENÇÃO",IF(K283&lt;=5,"BOM","EXCELENTE")))</f>
        <v/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I284" s="3">
        <f>E284+G284+H284</f>
        <v/>
      </c>
      <c r="J284" s="3">
        <f>IF(C284="Técnico III","35",IF(C284="Técnico II","28",IF(C284="Técnico I","23",IF(C284="JR","20",IF(C284="Estágio","10",)))))</f>
        <v/>
      </c>
      <c r="K284" s="3">
        <f>I284-J284</f>
        <v/>
      </c>
      <c r="L284" s="3">
        <f>IF(K284&lt;-5,"CRÍTICO",IF(K284&lt;0,"ATENÇÃO",IF(K284&lt;=5,"BOM","EXCELENTE")))</f>
        <v/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I285" s="3">
        <f>E285+G285+H285</f>
        <v/>
      </c>
      <c r="J285" s="3">
        <f>IF(C285="Técnico III","35",IF(C285="Técnico II","28",IF(C285="Técnico I","23",IF(C285="JR","20",IF(C285="Estágio","10",)))))</f>
        <v/>
      </c>
      <c r="K285" s="3">
        <f>I285-J285</f>
        <v/>
      </c>
      <c r="L285" s="3">
        <f>IF(K285&lt;-5,"CRÍTICO",IF(K285&lt;0,"ATENÇÃO",IF(K285&lt;=5,"BOM","EXCELENTE")))</f>
        <v/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I286" s="3">
        <f>E286+G286+H286</f>
        <v/>
      </c>
      <c r="J286" s="3">
        <f>IF(C286="Técnico III","35",IF(C286="Técnico II","28",IF(C286="Técnico I","23",IF(C286="JR","20",IF(C286="Estágio","10",)))))</f>
        <v/>
      </c>
      <c r="K286" s="3">
        <f>I286-J286</f>
        <v/>
      </c>
      <c r="L286" s="3">
        <f>IF(K286&lt;-5,"CRÍTICO",IF(K286&lt;0,"ATENÇÃO",IF(K286&lt;=5,"BOM","EXCELENTE")))</f>
        <v/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I288" s="3">
        <f>E288+G288+H288</f>
        <v/>
      </c>
      <c r="J288" s="3">
        <f>IF(C288="Técnico III","35",IF(C288="Técnico II","28",IF(C288="Técnico I","23",IF(C288="JR","20",IF(C288="Estágio","10",)))))</f>
        <v/>
      </c>
      <c r="K288" s="3">
        <f>I288-J288</f>
        <v/>
      </c>
      <c r="L288" s="3">
        <f>IF(K288&lt;-5,"CRÍTICO",IF(K288&lt;0,"ATENÇÃO",IF(K288&lt;=5,"BOM","EXCELENTE")))</f>
        <v/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I289" s="3">
        <f>E289+G289+H289</f>
        <v/>
      </c>
      <c r="J289" s="3">
        <f>IF(C289="Técnico III","35",IF(C289="Técnico II","28",IF(C289="Técnico I","23",IF(C289="JR","20",IF(C289="Estágio","10",)))))</f>
        <v/>
      </c>
      <c r="K289" s="3">
        <f>I289-J289</f>
        <v/>
      </c>
      <c r="L289" s="3">
        <f>IF(K289&lt;-5,"CRÍTICO",IF(K289&lt;0,"ATENÇÃO",IF(K289&lt;=5,"BOM","EXCELENTE")))</f>
        <v/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I290" s="3">
        <f>E290+G290+H290</f>
        <v/>
      </c>
      <c r="J290" s="3">
        <f>IF(C290="Técnico III","35",IF(C290="Técnico II","28",IF(C290="Técnico I","23",IF(C290="JR","20",IF(C290="Estágio","10",)))))</f>
        <v/>
      </c>
      <c r="K290" s="3">
        <f>I290-J290</f>
        <v/>
      </c>
      <c r="L290" s="3">
        <f>IF(K290&lt;-5,"CRÍTICO",IF(K290&lt;0,"ATENÇÃO",IF(K290&lt;=5,"BOM","EXCELENTE")))</f>
        <v/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I291" s="3">
        <f>E291+G291+H291</f>
        <v/>
      </c>
      <c r="J291" s="3">
        <f>IF(C291="Técnico III","35",IF(C291="Técnico II","28",IF(C291="Técnico I","23",IF(C291="JR","20",IF(C291="Estágio","10",)))))</f>
        <v/>
      </c>
      <c r="K291" s="3">
        <f>I291-J291</f>
        <v/>
      </c>
      <c r="L291" s="3">
        <f>IF(K291&lt;-5,"CRÍTICO",IF(K291&lt;0,"ATENÇÃO",IF(K291&lt;=5,"BOM","EXCELENTE")))</f>
        <v/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I292" s="3">
        <f>E292+G292+H292</f>
        <v/>
      </c>
      <c r="J292" s="3">
        <f>IF(C292="Técnico III","35",IF(C292="Técnico II","28",IF(C292="Técnico I","23",IF(C292="JR","20",IF(C292="Estágio","10",)))))</f>
        <v/>
      </c>
      <c r="K292" s="3">
        <f>I292-J292</f>
        <v/>
      </c>
      <c r="L292" s="3">
        <f>IF(K292&lt;-5,"CRÍTICO",IF(K292&lt;0,"ATENÇÃO",IF(K292&lt;=5,"BOM","EXCELENTE")))</f>
        <v/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I293" s="3">
        <f>E293+G293+H293</f>
        <v/>
      </c>
      <c r="J293" s="3">
        <f>IF(C293="Técnico III","35",IF(C293="Técnico II","28",IF(C293="Técnico I","23",IF(C293="JR","20",IF(C293="Estágio","10",)))))</f>
        <v/>
      </c>
      <c r="K293" s="3">
        <f>I293-J293</f>
        <v/>
      </c>
      <c r="L293" s="3">
        <f>IF(K293&lt;-5,"CRÍTICO",IF(K293&lt;0,"ATENÇÃO",IF(K293&lt;=5,"BOM","EXCELENTE")))</f>
        <v/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I295" s="3">
        <f>E295+G295+H295</f>
        <v/>
      </c>
      <c r="J295" s="3">
        <f>IF(C295="Técnico III","35",IF(C295="Técnico II","28",IF(C295="Técnico I","23",IF(C295="JR","20",IF(C295="Estágio","10",)))))</f>
        <v/>
      </c>
      <c r="K295" s="3">
        <f>I295-J295</f>
        <v/>
      </c>
      <c r="L295" s="3">
        <f>IF(K295&lt;-5,"CRÍTICO",IF(K295&lt;0,"ATENÇÃO",IF(K295&lt;=5,"BOM","EXCELENTE")))</f>
        <v/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I296" s="3">
        <f>E296+G296+H296</f>
        <v/>
      </c>
      <c r="J296" s="3">
        <f>IF(C296="Técnico III","35",IF(C296="Técnico II","28",IF(C296="Técnico I","23",IF(C296="JR","20",IF(C296="Estágio","10",)))))</f>
        <v/>
      </c>
      <c r="K296" s="3">
        <f>I296-J296</f>
        <v/>
      </c>
      <c r="L296" s="3">
        <f>IF(K296&lt;-5,"CRÍTICO",IF(K296&lt;0,"ATENÇÃO",IF(K296&lt;=5,"BOM","EXCELENTE")))</f>
        <v/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I297" s="3">
        <f>E297+G297+H297</f>
        <v/>
      </c>
      <c r="J297" s="3">
        <f>IF(C297="Técnico III","35",IF(C297="Técnico II","28",IF(C297="Técnico I","23",IF(C297="JR","20",IF(C297="Estágio","10",)))))</f>
        <v/>
      </c>
      <c r="K297" s="3">
        <f>I297-J297</f>
        <v/>
      </c>
      <c r="L297" s="3">
        <f>IF(K297&lt;-5,"CRÍTICO",IF(K297&lt;0,"ATENÇÃO",IF(K297&lt;=5,"BOM","EXCELENTE")))</f>
        <v/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I298" s="3">
        <f>E298+G298+H298</f>
        <v/>
      </c>
      <c r="J298" s="3">
        <f>IF(C298="Técnico III","35",IF(C298="Técnico II","28",IF(C298="Técnico I","23",IF(C298="JR","20",IF(C298="Estágio","10",)))))</f>
        <v/>
      </c>
      <c r="K298" s="3">
        <f>I298-J298</f>
        <v/>
      </c>
      <c r="L298" s="3">
        <f>IF(K298&lt;-5,"CRÍTICO",IF(K298&lt;0,"ATENÇÃO",IF(K298&lt;=5,"BOM","EXCELENTE")))</f>
        <v/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I299" s="3">
        <f>E299+G299+H299</f>
        <v/>
      </c>
      <c r="J299" s="3">
        <f>IF(C299="Técnico III","35",IF(C299="Técnico II","28",IF(C299="Técnico I","23",IF(C299="JR","20",IF(C299="Estágio","10",)))))</f>
        <v/>
      </c>
      <c r="K299" s="3">
        <f>I299-J299</f>
        <v/>
      </c>
      <c r="L299" s="3">
        <f>IF(K299&lt;-5,"CRÍTICO",IF(K299&lt;0,"ATENÇÃO",IF(K299&lt;=5,"BOM","EXCELENTE")))</f>
        <v/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IF(C300="Técnico III","35",IF(C300="Técnico II","28",IF(C300="Técnico I","23",IF(C300="JR","20",IF(C300="Estágio","10",)))))</f>
        <v/>
      </c>
      <c r="K300" s="3">
        <f>I300-J300</f>
        <v/>
      </c>
      <c r="L300" s="3">
        <f>IF(K300&lt;-5,"CRÍTICO",IF(K300&lt;0,"ATENÇÃO",IF(K300&lt;=5,"BOM","EXCELENTE")))</f>
        <v/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IF(C301="Técnico III","35",IF(C301="Técnico II","28",IF(C301="Técnico I","23",IF(C301="JR","20",IF(C301="Estágio","10",)))))</f>
        <v/>
      </c>
      <c r="K301" s="3">
        <f>I301-J301</f>
        <v/>
      </c>
      <c r="L301" s="3">
        <f>IF(K301&lt;-5,"CRÍTICO",IF(K301&lt;0,"ATENÇÃO",IF(K301&lt;=5,"BOM","EXCELENTE")))</f>
        <v/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I302" s="3">
        <f>E302+G302+H302</f>
        <v/>
      </c>
      <c r="J302" s="3">
        <f>IF(C302="Técnico III","35",IF(C302="Técnico II","28",IF(C302="Técnico I","23",IF(C302="JR","20",IF(C302="Estágio","10",)))))</f>
        <v/>
      </c>
      <c r="K302" s="3">
        <f>I302-J302</f>
        <v/>
      </c>
      <c r="L302" s="3">
        <f>IF(K302&lt;-5,"CRÍTICO",IF(K302&lt;0,"ATENÇÃO",IF(K302&lt;=5,"BOM","EXCELENTE")))</f>
        <v/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I303" s="3">
        <f>E303+G303+H303</f>
        <v/>
      </c>
      <c r="J303" s="3">
        <f>IF(C303="Técnico III","35",IF(C303="Técnico II","28",IF(C303="Técnico I","23",IF(C303="JR","20",IF(C303="Estágio","10",)))))</f>
        <v/>
      </c>
      <c r="K303" s="3">
        <f>I303-J303</f>
        <v/>
      </c>
      <c r="L303" s="3">
        <f>IF(K303&lt;-5,"CRÍTICO",IF(K303&lt;0,"ATENÇÃO",IF(K303&lt;=5,"BOM","EXCELENTE")))</f>
        <v/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I304" s="3">
        <f>E304+G304+H304</f>
        <v/>
      </c>
      <c r="J304" s="3">
        <f>IF(C304="Técnico III","35",IF(C304="Técnico II","28",IF(C304="Técnico I","23",IF(C304="JR","20",IF(C304="Estágio","10",)))))</f>
        <v/>
      </c>
      <c r="K304" s="3">
        <f>I304-J304</f>
        <v/>
      </c>
      <c r="L304" s="3">
        <f>IF(K304&lt;-5,"CRÍTICO",IF(K304&lt;0,"ATENÇÃO",IF(K304&lt;=5,"BOM","EXCELENTE")))</f>
        <v/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I305" s="3">
        <f>E305+G305+H305</f>
        <v/>
      </c>
      <c r="J305" s="3">
        <f>IF(C305="Técnico III","35",IF(C305="Técnico II","28",IF(C305="Técnico I","23",IF(C305="JR","20",IF(C305="Estágio","10",)))))</f>
        <v/>
      </c>
      <c r="K305" s="3">
        <f>I305-J305</f>
        <v/>
      </c>
      <c r="L305" s="3">
        <f>IF(K305&lt;-5,"CRÍTICO",IF(K305&lt;0,"ATENÇÃO",IF(K305&lt;=5,"BOM","EXCELENTE")))</f>
        <v/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I306" s="3">
        <f>E306+G306+H306</f>
        <v/>
      </c>
      <c r="J306" s="3">
        <f>IF(C306="Técnico III","35",IF(C306="Técnico II","28",IF(C306="Técnico I","23",IF(C306="JR","20",IF(C306="Estágio","10",)))))</f>
        <v/>
      </c>
      <c r="K306" s="3">
        <f>I306-J306</f>
        <v/>
      </c>
      <c r="L306" s="3">
        <f>IF(K306&lt;-5,"CRÍTICO",IF(K306&lt;0,"ATENÇÃO",IF(K306&lt;=5,"BOM","EXCELENTE")))</f>
        <v/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I307" s="3">
        <f>E307+G307+H307</f>
        <v/>
      </c>
      <c r="J307" s="3">
        <f>IF(C307="Técnico III","35",IF(C307="Técnico II","28",IF(C307="Técnico I","23",IF(C307="JR","20",IF(C307="Estágio","10",)))))</f>
        <v/>
      </c>
      <c r="K307" s="3">
        <f>I307-J307</f>
        <v/>
      </c>
      <c r="L307" s="3">
        <f>IF(K307&lt;-5,"CRÍTICO",IF(K307&lt;0,"ATENÇÃO",IF(K307&lt;=5,"BOM","EXCELENTE")))</f>
        <v/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I308" s="3">
        <f>E308+G308+H308</f>
        <v/>
      </c>
      <c r="J308" s="3">
        <f>IF(C308="Técnico III","35",IF(C308="Técnico II","28",IF(C308="Técnico I","23",IF(C308="JR","20",IF(C308="Estágio","10",)))))</f>
        <v/>
      </c>
      <c r="K308" s="3">
        <f>I308-J308</f>
        <v/>
      </c>
      <c r="L308" s="3">
        <f>IF(K308&lt;-5,"CRÍTICO",IF(K308&lt;0,"ATENÇÃO",IF(K308&lt;=5,"BOM","EXCELENTE")))</f>
        <v/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I309" s="3">
        <f>E309+G309+H309</f>
        <v/>
      </c>
      <c r="J309" s="3">
        <f>IF(C309="Técnico III","35",IF(C309="Técnico II","28",IF(C309="Técnico I","23",IF(C309="JR","20",IF(C309="Estágio","10",)))))</f>
        <v/>
      </c>
      <c r="K309" s="3">
        <f>I309-J309</f>
        <v/>
      </c>
      <c r="L309" s="3">
        <f>IF(K309&lt;-5,"CRÍTICO",IF(K309&lt;0,"ATENÇÃO",IF(K309&lt;=5,"BOM","EXCELENTE")))</f>
        <v/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I310" s="3">
        <f>E310+G310+H310</f>
        <v/>
      </c>
      <c r="J310" s="3">
        <f>IF(C310="Técnico III","35",IF(C310="Técnico II","28",IF(C310="Técnico I","23",IF(C310="JR","20",IF(C310="Estágio","10",)))))</f>
        <v/>
      </c>
      <c r="K310" s="3">
        <f>I310-J310</f>
        <v/>
      </c>
      <c r="L310" s="3">
        <f>IF(K310&lt;-5,"CRÍTICO",IF(K310&lt;0,"ATENÇÃO",IF(K310&lt;=5,"BOM","EXCELENTE")))</f>
        <v/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I311" s="3">
        <f>E311+G311+H311</f>
        <v/>
      </c>
      <c r="J311" s="3">
        <f>IF(C311="Técnico III","35",IF(C311="Técnico II","28",IF(C311="Técnico I","23",IF(C311="JR","20",IF(C311="Estágio","10",)))))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100</v>
      </c>
      <c r="O311" s="3" t="n">
        <v>5.88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I313" s="3">
        <f>E313+G313+H313</f>
        <v/>
      </c>
      <c r="J313" s="3">
        <f>IF(C313="Técnico III","35",IF(C313="Técnico II","28",IF(C313="Técnico I","23",IF(C313="JR","20",IF(C313="Estágio","10",)))))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23</v>
      </c>
      <c r="N313" s="3" t="n">
        <v>100</v>
      </c>
      <c r="O313" s="3" t="n">
        <v>13.04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I314" s="3">
        <f>E314+G314+H314</f>
        <v/>
      </c>
      <c r="J314" s="3">
        <f>IF(C314="Técnico III","35",IF(C314="Técnico II","28",IF(C314="Técnico I","23",IF(C314="JR","20",IF(C314="Estágio","10",)))))</f>
        <v/>
      </c>
      <c r="K314" s="3">
        <f>I314-J314</f>
        <v/>
      </c>
      <c r="L314" s="3">
        <f>IF(K314&lt;-5,"CRÍTICO",IF(K314&lt;0,"ATENÇÃO",IF(K314&lt;=5,"BOM","EXCELENTE")))</f>
        <v/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I315" s="3">
        <f>E315+G315+H315</f>
        <v/>
      </c>
      <c r="J315" s="3">
        <f>IF(C315="Técnico III","35",IF(C315="Técnico II","28",IF(C315="Técnico I","23",IF(C315="JR","20",IF(C315="Estágio","10",)))))</f>
        <v/>
      </c>
      <c r="K315" s="3">
        <f>I315-J315</f>
        <v/>
      </c>
      <c r="L315" s="3">
        <f>IF(K315&lt;-5,"CRÍTICO",IF(K315&lt;0,"ATENÇÃO",IF(K315&lt;=5,"BOM","EXCELENTE")))</f>
        <v/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I316" s="3">
        <f>E316+G316+H316</f>
        <v/>
      </c>
      <c r="J316" s="3">
        <f>IF(C316="Técnico III","35",IF(C316="Técnico II","28",IF(C316="Técnico I","23",IF(C316="JR","20",IF(C316="Estágio","10",)))))</f>
        <v/>
      </c>
      <c r="K316" s="3">
        <f>I316-J316</f>
        <v/>
      </c>
      <c r="L316" s="3">
        <f>IF(K316&lt;-5,"CRÍTICO",IF(K316&lt;0,"ATENÇÃO",IF(K316&lt;=5,"BOM","EXCELENTE")))</f>
        <v/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I317" s="3">
        <f>E317+G317+H317</f>
        <v/>
      </c>
      <c r="J317" s="3">
        <f>IF(C317="Técnico III","35",IF(C317="Técnico II","28",IF(C317="Técnico I","23",IF(C317="JR","20",IF(C317="Estágio","10",)))))</f>
        <v/>
      </c>
      <c r="K317" s="3">
        <f>I317-J317</f>
        <v/>
      </c>
      <c r="L317" s="3">
        <f>IF(K317&lt;-5,"CRÍTICO",IF(K317&lt;0,"ATENÇÃO",IF(K317&lt;=5,"BOM","EXCELENTE")))</f>
        <v/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I318" s="3">
        <f>E318+G318+H318</f>
        <v/>
      </c>
      <c r="J318" s="3">
        <f>IF(C318="Técnico III","35",IF(C318="Técnico II","28",IF(C318="Técnico I","23",IF(C318="JR","20",IF(C318="Estágio","10",)))))</f>
        <v/>
      </c>
      <c r="K318" s="3">
        <f>I318-J318</f>
        <v/>
      </c>
      <c r="L318" s="3">
        <f>IF(K318&lt;-5,"CRÍTICO",IF(K318&lt;0,"ATENÇÃO",IF(K318&lt;=5,"BOM","EXCELENTE")))</f>
        <v/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I319" s="3">
        <f>E319+G319+H319</f>
        <v/>
      </c>
      <c r="J319" s="3">
        <f>IF(C319="Técnico III","35",IF(C319="Técnico II","28",IF(C319="Técnico I","23",IF(C319="JR","20",IF(C319="Estágio","10",)))))</f>
        <v/>
      </c>
      <c r="K319" s="3">
        <f>I319-J319</f>
        <v/>
      </c>
      <c r="L319" s="3">
        <f>IF(K319&lt;-5,"CRÍTICO",IF(K319&lt;0,"ATENÇÃO",IF(K319&lt;=5,"BOM","EXCELENTE")))</f>
        <v/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I320" s="3">
        <f>E320+G320+H320</f>
        <v/>
      </c>
      <c r="J320" s="3">
        <f>IF(C320="Técnico III","35",IF(C320="Técnico II","28",IF(C320="Técnico I","23",IF(C320="JR","20",IF(C320="Estágio","10",)))))</f>
        <v/>
      </c>
      <c r="K320" s="3">
        <f>I320-J320</f>
        <v/>
      </c>
      <c r="L320" s="3">
        <f>IF(K320&lt;-5,"CRÍTICO",IF(K320&lt;0,"ATENÇÃO",IF(K320&lt;=5,"BOM","EXCELENTE")))</f>
        <v/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I321" s="3">
        <f>E321+G321+H321</f>
        <v/>
      </c>
      <c r="J321" s="3">
        <f>IF(C321="Técnico III","35",IF(C321="Técnico II","28",IF(C321="Técnico I","23",IF(C321="JR","20",IF(C321="Estágio","10",)))))</f>
        <v/>
      </c>
      <c r="K321" s="3">
        <f>I321-J321</f>
        <v/>
      </c>
      <c r="L321" s="3">
        <f>IF(K321&lt;-5,"CRÍTICO",IF(K321&lt;0,"ATENÇÃO",IF(K321&lt;=5,"BOM","EXCELENTE")))</f>
        <v/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I322" s="3">
        <f>E322+G322+H322</f>
        <v/>
      </c>
      <c r="J322" s="3">
        <f>IF(C322="Técnico III","35",IF(C322="Técnico II","28",IF(C322="Técnico I","23",IF(C322="JR","20",IF(C322="Estágio","10",)))))</f>
        <v/>
      </c>
      <c r="K322" s="3">
        <f>I322-J322</f>
        <v/>
      </c>
      <c r="L322" s="3">
        <f>IF(K322&lt;-5,"CRÍTICO",IF(K322&lt;0,"ATENÇÃO",IF(K322&lt;=5,"BOM","EXCELENTE")))</f>
        <v/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</row>
    <row r="325" hidden="1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IF(C325="Técnico III","35",IF(C325="Técnico II","28",IF(C325="Técnico I","23",IF(C325="JR","20",IF(C325="Estágio","10",)))))</f>
        <v/>
      </c>
      <c r="K325" s="3">
        <f>I325-J325</f>
        <v/>
      </c>
      <c r="L325" s="3">
        <f>IF(K325&lt;-5,"CRÍTICO",IF(K325&lt;0,"ATENÇÃO",IF(K325&lt;=5,"BOM","EXCELENTE")))</f>
        <v/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I326" s="3">
        <f>E326+G326+H326</f>
        <v/>
      </c>
      <c r="J326" s="3">
        <f>IF(C326="Técnico III","35",IF(C326="Técnico II","28",IF(C326="Técnico I","23",IF(C326="JR","20",IF(C326="Estágio","10",)))))</f>
        <v/>
      </c>
      <c r="K326" s="3">
        <f>I326-J326</f>
        <v/>
      </c>
      <c r="L326" s="3">
        <f>IF(K326&lt;-5,"CRÍTICO",IF(K326&lt;0,"ATENÇÃO",IF(K326&lt;=5,"BOM","EXCELENTE")))</f>
        <v/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I327" s="3">
        <f>E327+G327+H327</f>
        <v/>
      </c>
      <c r="J327" s="3">
        <f>IF(C327="Técnico III","35",IF(C327="Técnico II","28",IF(C327="Técnico I","23",IF(C327="JR","20",IF(C327="Estágio","10",)))))</f>
        <v/>
      </c>
      <c r="K327" s="3">
        <f>I327-J327</f>
        <v/>
      </c>
      <c r="L327" s="3">
        <f>IF(K327&lt;-5,"CRÍTICO",IF(K327&lt;0,"ATENÇÃO",IF(K327&lt;=5,"BOM","EXCELENTE")))</f>
        <v/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I328" s="3">
        <f>E328+G328+H328</f>
        <v/>
      </c>
      <c r="J328" s="3">
        <f>IF(C328="Técnico III","35",IF(C328="Técnico II","28",IF(C328="Técnico I","23",IF(C328="JR","20",IF(C328="Estágio","10",)))))</f>
        <v/>
      </c>
      <c r="K328" s="3">
        <f>I328-J328</f>
        <v/>
      </c>
      <c r="L328" s="3">
        <f>IF(K328&lt;-5,"CRÍTICO",IF(K328&lt;0,"ATENÇÃO",IF(K328&lt;=5,"BOM","EXCELENTE")))</f>
        <v/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I329" s="3">
        <f>E329+G329+H329</f>
        <v/>
      </c>
      <c r="J329" s="3">
        <f>IF(C329="Técnico III","35",IF(C329="Técnico II","28",IF(C329="Técnico I","23",IF(C329="JR","20",IF(C329="Estágio","10",)))))</f>
        <v/>
      </c>
      <c r="K329" s="3">
        <f>I329-J329</f>
        <v/>
      </c>
      <c r="L329" s="3">
        <f>IF(K329&lt;-5,"CRÍTICO",IF(K329&lt;0,"ATENÇÃO",IF(K329&lt;=5,"BOM","EXCELENTE")))</f>
        <v/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I331" s="3">
        <f>E331+G331+H331</f>
        <v/>
      </c>
      <c r="J331" s="3">
        <f>IF(C331="Técnico III","35",IF(C331="Técnico II","28",IF(C331="Técnico I","23",IF(C331="JR","20",IF(C331="Estágio","10",)))))</f>
        <v/>
      </c>
      <c r="K331" s="3">
        <f>I331-J331</f>
        <v/>
      </c>
      <c r="L331" s="3">
        <f>IF(K331&lt;-5,"CRÍTICO",IF(K331&lt;0,"ATENÇÃO",IF(K331&lt;=5,"BOM","EXCELENTE")))</f>
        <v/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I332" s="3">
        <f>E332+G332+H332</f>
        <v/>
      </c>
      <c r="J332" s="3">
        <f>IF(C332="Técnico III","35",IF(C332="Técnico II","28",IF(C332="Técnico I","23",IF(C332="JR","20",IF(C332="Estágio","10",)))))</f>
        <v/>
      </c>
      <c r="K332" s="3">
        <f>I332-J332</f>
        <v/>
      </c>
      <c r="L332" s="3">
        <f>IF(K332&lt;-5,"CRÍTICO",IF(K332&lt;0,"ATENÇÃO",IF(K332&lt;=5,"BOM","EXCELENTE")))</f>
        <v/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I334" s="3">
        <f>E334+G334+H334</f>
        <v/>
      </c>
      <c r="J334" s="3">
        <f>IF(C334="Técnico III","35",IF(C334="Técnico II","28",IF(C334="Técnico I","23",IF(C334="JR","20",IF(C334="Estágio","10",)))))</f>
        <v/>
      </c>
      <c r="K334" s="3">
        <f>I334-J334</f>
        <v/>
      </c>
      <c r="L334" s="3">
        <f>IF(K334&lt;-5,"CRÍTICO",IF(K334&lt;0,"ATENÇÃO",IF(K334&lt;=5,"BOM","EXCELENTE")))</f>
        <v/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I335" s="3">
        <f>E335+G335+H335</f>
        <v/>
      </c>
      <c r="J335" s="3">
        <f>IF(C335="Técnico III","35",IF(C335="Técnico II","28",IF(C335="Técnico I","23",IF(C335="JR","20",IF(C335="Estágio","10",)))))</f>
        <v/>
      </c>
      <c r="K335" s="3">
        <f>I335-J335</f>
        <v/>
      </c>
      <c r="L335" s="3">
        <f>IF(K335&lt;-5,"CRÍTICO",IF(K335&lt;0,"ATENÇÃO",IF(K335&lt;=5,"BOM","EXCELENTE")))</f>
        <v/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I336" s="3">
        <f>E336+G336+H336</f>
        <v/>
      </c>
      <c r="J336" s="3">
        <f>IF(C336="Técnico III","35",IF(C336="Técnico II","28",IF(C336="Técnico I","23",IF(C336="JR","20",IF(C336="Estágio","10",)))))</f>
        <v/>
      </c>
      <c r="K336" s="3">
        <f>I336-J336</f>
        <v/>
      </c>
      <c r="L336" s="3">
        <f>IF(K336&lt;-5,"CRÍTICO",IF(K336&lt;0,"ATENÇÃO",IF(K336&lt;=5,"BOM","EXCELENTE")))</f>
        <v/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I338" s="3">
        <f>E338+G338+H338</f>
        <v/>
      </c>
      <c r="J338" s="3">
        <f>IF(C338="Técnico III","35",IF(C338="Técnico II","28",IF(C338="Técnico I","23",IF(C338="JR","20",IF(C338="Estágio","10",)))))</f>
        <v/>
      </c>
      <c r="K338" s="3">
        <f>I338-J338</f>
        <v/>
      </c>
      <c r="L338" s="3">
        <f>IF(K338&lt;-5,"CRÍTICO",IF(K338&lt;0,"ATENÇÃO",IF(K338&lt;=5,"BOM","EXCELENTE")))</f>
        <v/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IF(C339="Técnico III","35",IF(C339="Técnico II","28",IF(C339="Técnico I","23",IF(C339="JR","20",IF(C339="Estágio","10",)))))</f>
        <v/>
      </c>
      <c r="K339" s="3">
        <f>I339-J339</f>
        <v/>
      </c>
      <c r="L339" s="3">
        <f>IF(K339&lt;-5,"CRÍTICO",IF(K339&lt;0,"ATENÇÃO",IF(K339&lt;=5,"BOM","EXCELENTE")))</f>
        <v/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I340" s="3">
        <f>E340+G340+H340</f>
        <v/>
      </c>
      <c r="J340" s="3">
        <f>IF(C340="Técnico III","35",IF(C340="Técnico II","28",IF(C340="Técnico I","23",IF(C340="JR","20",IF(C340="Estágio","10",)))))</f>
        <v/>
      </c>
      <c r="K340" s="3">
        <f>I340-J340</f>
        <v/>
      </c>
      <c r="L340" s="3">
        <f>IF(K340&lt;-5,"CRÍTICO",IF(K340&lt;0,"ATENÇÃO",IF(K340&lt;=5,"BOM","EXCELENTE")))</f>
        <v/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I341" s="3">
        <f>E341+G341+H341</f>
        <v/>
      </c>
      <c r="J341" s="3">
        <f>IF(C341="Técnico III","35",IF(C341="Técnico II","28",IF(C341="Técnico I","23",IF(C341="JR","20",IF(C341="Estágio","10",)))))</f>
        <v/>
      </c>
      <c r="K341" s="3">
        <f>I341-J341</f>
        <v/>
      </c>
      <c r="L341" s="3">
        <f>IF(K341&lt;-5,"CRÍTICO",IF(K341&lt;0,"ATENÇÃO",IF(K341&lt;=5,"BOM","EXCELENTE")))</f>
        <v/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IF(C342="Técnico III","35",IF(C342="Técnico II","28",IF(C342="Técnico I","23",IF(C342="JR","20",IF(C342="Estágio","10",)))))</f>
        <v/>
      </c>
      <c r="K342" s="3">
        <f>I342-J342</f>
        <v/>
      </c>
      <c r="L342" s="3">
        <f>IF(K342&lt;-5,"CRÍTICO",IF(K342&lt;0,"ATENÇÃO",IF(K342&lt;=5,"BOM","EXCELENTE")))</f>
        <v/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I343" s="3">
        <f>E343+G343+H343</f>
        <v/>
      </c>
      <c r="J343" s="3">
        <f>IF(C343="Técnico III","35",IF(C343="Técnico II","28",IF(C343="Técnico I","23",IF(C343="JR","20",IF(C343="Estágio","10",)))))</f>
        <v/>
      </c>
      <c r="K343" s="3">
        <f>I343-J343</f>
        <v/>
      </c>
      <c r="L343" s="3">
        <f>IF(K343&lt;-5,"CRÍTICO",IF(K343&lt;0,"ATENÇÃO",IF(K343&lt;=5,"BOM","EXCELENTE")))</f>
        <v/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I344" s="3">
        <f>E344+G344+H344</f>
        <v/>
      </c>
      <c r="J344" s="3">
        <f>IF(C344="Técnico III","35",IF(C344="Técnico II","28",IF(C344="Técnico I","23",IF(C344="JR","20",IF(C344="Estágio","10",)))))</f>
        <v/>
      </c>
      <c r="K344" s="3">
        <f>I344-J344</f>
        <v/>
      </c>
      <c r="L344" s="3">
        <f>IF(K344&lt;-5,"CRÍTICO",IF(K344&lt;0,"ATENÇÃO",IF(K344&lt;=5,"BOM","EXCELENTE")))</f>
        <v/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IF(C345="Técnico III","35",IF(C345="Técnico II","28",IF(C345="Técnico I","23",IF(C345="JR","20",IF(C345="Estágio","10",)))))</f>
        <v/>
      </c>
      <c r="K345" s="3">
        <f>I345-J345</f>
        <v/>
      </c>
      <c r="L345" s="3">
        <f>IF(K345&lt;-5,"CRÍTICO",IF(K345&lt;0,"ATENÇÃO",IF(K345&lt;=5,"BOM","EXCELENTE")))</f>
        <v/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I346" s="3">
        <f>E346+G346+H346</f>
        <v/>
      </c>
      <c r="J346" s="3">
        <f>IF(C346="Técnico III","35",IF(C346="Técnico II","28",IF(C346="Técnico I","23",IF(C346="JR","20",IF(C346="Estágio","10",)))))</f>
        <v/>
      </c>
      <c r="K346" s="3">
        <f>I346-J346</f>
        <v/>
      </c>
      <c r="L346" s="3">
        <f>IF(K346&lt;-5,"CRÍTICO",IF(K346&lt;0,"ATENÇÃO",IF(K346&lt;=5,"BOM","EXCELENTE")))</f>
        <v/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I347" s="3">
        <f>E347+G347+H347</f>
        <v/>
      </c>
      <c r="J347" s="3">
        <f>IF(C347="Técnico III","35",IF(C347="Técnico II","28",IF(C347="Técnico I","23",IF(C347="JR","20",IF(C347="Estágio","10",)))))</f>
        <v/>
      </c>
      <c r="K347" s="3">
        <f>I347-J347</f>
        <v/>
      </c>
      <c r="L347" s="3">
        <f>IF(K347&lt;-5,"CRÍTICO",IF(K347&lt;0,"ATENÇÃO",IF(K347&lt;=5,"BOM","EXCELENTE")))</f>
        <v/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I348" s="3">
        <f>E348+G348+H348</f>
        <v/>
      </c>
      <c r="J348" s="3">
        <f>IF(C348="Técnico III","35",IF(C348="Técnico II","28",IF(C348="Técnico I","23",IF(C348="JR","20",IF(C348="Estágio","10",)))))</f>
        <v/>
      </c>
      <c r="K348" s="3">
        <f>I348-J348</f>
        <v/>
      </c>
      <c r="L348" s="3">
        <f>IF(K348&lt;-5,"CRÍTICO",IF(K348&lt;0,"ATENÇÃO",IF(K348&lt;=5,"BOM","EXCELENTE")))</f>
        <v/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I349" s="3">
        <f>E349+G349+H349</f>
        <v/>
      </c>
      <c r="J349" s="3">
        <f>IF(C349="Técnico III","35",IF(C349="Técnico II","28",IF(C349="Técnico I","23",IF(C349="JR","20",IF(C349="Estágio","10",)))))</f>
        <v/>
      </c>
      <c r="K349" s="3">
        <f>I349-J349</f>
        <v/>
      </c>
      <c r="L349" s="3">
        <f>IF(K349&lt;-5,"CRÍTICO",IF(K349&lt;0,"ATENÇÃO",IF(K349&lt;=5,"BOM","EXCELENTE")))</f>
        <v/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I350" s="3">
        <f>E350+G350+H350</f>
        <v/>
      </c>
      <c r="J350" s="3">
        <f>IF(C350="Técnico III","35",IF(C350="Técnico II","28",IF(C350="Técnico I","23",IF(C350="JR","20",IF(C350="Estágio","10",)))))</f>
        <v/>
      </c>
      <c r="K350" s="3">
        <f>I350-J350</f>
        <v/>
      </c>
      <c r="L350" s="3">
        <f>IF(K350&lt;-5,"CRÍTICO",IF(K350&lt;0,"ATENÇÃO",IF(K350&lt;=5,"BOM","EXCELENTE")))</f>
        <v/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I351" s="3">
        <f>E351+G351+H351</f>
        <v/>
      </c>
      <c r="J351" s="3">
        <f>IF(C351="Técnico III","35",IF(C351="Técnico II","28",IF(C351="Técnico I","23",IF(C351="JR","20",IF(C351="Estágio","10",)))))</f>
        <v/>
      </c>
      <c r="K351" s="3">
        <f>I351-J351</f>
        <v/>
      </c>
      <c r="L351" s="3">
        <f>IF(K351&lt;-5,"CRÍTICO",IF(K351&lt;0,"ATENÇÃO",IF(K351&lt;=5,"BOM","EXCELENTE")))</f>
        <v/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I352" s="3">
        <f>E352+G352+H352</f>
        <v/>
      </c>
      <c r="J352" s="3">
        <f>IF(C352="Técnico III","35",IF(C352="Técnico II","28",IF(C352="Técnico I","23",IF(C352="JR","20",IF(C352="Estágio","10",)))))</f>
        <v/>
      </c>
      <c r="K352" s="3">
        <f>I352-J352</f>
        <v/>
      </c>
      <c r="L352" s="3">
        <f>IF(K352&lt;-5,"CRÍTICO",IF(K352&lt;0,"ATENÇÃO",IF(K352&lt;=5,"BOM","EXCELENTE")))</f>
        <v/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I353" s="3">
        <f>E353+G353+H353</f>
        <v/>
      </c>
      <c r="J353" s="3">
        <f>IF(C353="Técnico III","35",IF(C353="Técnico II","28",IF(C353="Técnico I","23",IF(C353="JR","20",IF(C353="Estágio","10",)))))</f>
        <v/>
      </c>
      <c r="K353" s="3">
        <f>I353-J353</f>
        <v/>
      </c>
      <c r="L353" s="3">
        <f>IF(K353&lt;-5,"CRÍTICO",IF(K353&lt;0,"ATENÇÃO",IF(K353&lt;=5,"BOM","EXCELENTE")))</f>
        <v/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I354" s="3">
        <f>E354+G354+H354</f>
        <v/>
      </c>
      <c r="J354" s="3">
        <f>IF(C354="Técnico III","35",IF(C354="Técnico II","28",IF(C354="Técnico I","23",IF(C354="JR","20",IF(C354="Estágio","10",)))))</f>
        <v/>
      </c>
      <c r="K354" s="3">
        <f>I354-J354</f>
        <v/>
      </c>
      <c r="L354" s="3">
        <f>IF(K354&lt;-5,"CRÍTICO",IF(K354&lt;0,"ATENÇÃO",IF(K354&lt;=5,"BOM","EXCELENTE")))</f>
        <v/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IF(C355="Técnico III","35",IF(C355="Técnico II","28",IF(C355="Técnico I","23",IF(C355="JR","20",IF(C355="Estágio","10",)))))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100</v>
      </c>
      <c r="O355" s="3" t="n">
        <v>17.39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IF(C357="Técnico III","35",IF(C357="Técnico II","28",IF(C357="Técnico I","23",IF(C357="JR","20",IF(C357="Estágio","10",)))))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36</v>
      </c>
      <c r="N357" s="3" t="n">
        <v>100</v>
      </c>
      <c r="O357" s="3" t="n">
        <v>11.11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IF(C358="Técnico III","35",IF(C358="Técnico II","28",IF(C358="Técnico I","23",IF(C358="JR","20",IF(C358="Estágio","10",)))))</f>
        <v/>
      </c>
      <c r="K358" s="3">
        <f>I358-J358</f>
        <v/>
      </c>
      <c r="L358" s="3">
        <f>IF(K358&lt;-5,"CRÍTICO",IF(K358&lt;0,"ATENÇÃO",IF(K358&lt;=5,"BOM","EXCELENTE")))</f>
        <v/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IF(C359="Técnico III","35",IF(C359="Técnico II","28",IF(C359="Técnico I","23",IF(C359="JR","20",IF(C359="Estágio","10",)))))</f>
        <v/>
      </c>
      <c r="K359" s="3">
        <f>I359-J359</f>
        <v/>
      </c>
      <c r="L359" s="3">
        <f>IF(K359&lt;-5,"CRÍTICO",IF(K359&lt;0,"ATENÇÃO",IF(K359&lt;=5,"BOM","EXCELENTE")))</f>
        <v/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IF(C360="Técnico III","35",IF(C360="Técnico II","28",IF(C360="Técnico I","23",IF(C360="JR","20",IF(C360="Estágio","10",)))))</f>
        <v/>
      </c>
      <c r="K360" s="3">
        <f>I360-J360</f>
        <v/>
      </c>
      <c r="L360" s="3">
        <f>IF(K360&lt;-5,"CRÍTICO",IF(K360&lt;0,"ATENÇÃO",IF(K360&lt;=5,"BOM","EXCELENTE")))</f>
        <v/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IF(C361="Técnico III","35",IF(C361="Técnico II","28",IF(C361="Técnico I","23",IF(C361="JR","20",IF(C361="Estágio","10",)))))</f>
        <v/>
      </c>
      <c r="K361" s="3">
        <f>I361-J361</f>
        <v/>
      </c>
      <c r="L361" s="3">
        <f>IF(K361&lt;-5,"CRÍTICO",IF(K361&lt;0,"ATENÇÃO",IF(K361&lt;=5,"BOM","EXCELENTE")))</f>
        <v/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IF(C362="Técnico III","35",IF(C362="Técnico II","28",IF(C362="Técnico I","23",IF(C362="JR","20",IF(C362="Estágio","10",)))))</f>
        <v/>
      </c>
      <c r="K362" s="3">
        <f>I362-J362</f>
        <v/>
      </c>
      <c r="L362" s="3">
        <f>IF(K362&lt;-5,"CRÍTICO",IF(K362&lt;0,"ATENÇÃO",IF(K362&lt;=5,"BOM","EXCELENTE")))</f>
        <v/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IF(C363="Técnico III","35",IF(C363="Técnico II","28",IF(C363="Técnico I","23",IF(C363="JR","20",IF(C363="Estágio","10",)))))</f>
        <v/>
      </c>
      <c r="K363" s="3">
        <f>I363-J363</f>
        <v/>
      </c>
      <c r="L363" s="3">
        <f>IF(K363&lt;-5,"CRÍTICO",IF(K363&lt;0,"ATENÇÃO",IF(K363&lt;=5,"BOM","EXCELENTE")))</f>
        <v/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IF(C364="Técnico III","35",IF(C364="Técnico II","28",IF(C364="Técnico I","23",IF(C364="JR","20",IF(C364="Estágio","10",)))))</f>
        <v/>
      </c>
      <c r="K364" s="3">
        <f>I364-J364</f>
        <v/>
      </c>
      <c r="L364" s="3">
        <f>IF(K364&lt;-5,"CRÍTICO",IF(K364&lt;0,"ATENÇÃO",IF(K364&lt;=5,"BOM","EXCELENTE")))</f>
        <v/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IF(C365="Técnico III","35",IF(C365="Técnico II","28",IF(C365="Técnico I","23",IF(C365="JR","20",IF(C365="Estágio","10",)))))</f>
        <v/>
      </c>
      <c r="K365" s="3">
        <f>I365-J365</f>
        <v/>
      </c>
      <c r="L365" s="3">
        <f>IF(K365&lt;-5,"CRÍTICO",IF(K365&lt;0,"ATENÇÃO",IF(K365&lt;=5,"BOM","EXCELENTE")))</f>
        <v/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IF(C366="Técnico III","35",IF(C366="Técnico II","28",IF(C366="Técnico I","23",IF(C366="JR","20",IF(C366="Estágio","10",)))))</f>
        <v/>
      </c>
      <c r="K366" s="3">
        <f>I366-J366</f>
        <v/>
      </c>
      <c r="L366" s="3">
        <f>IF(K366&lt;-5,"CRÍTICO",IF(K366&lt;0,"ATENÇÃO",IF(K366&lt;=5,"BOM","EXCELENTE")))</f>
        <v/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</row>
    <row r="369" hidden="1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IF(C369="Técnico III","35",IF(C369="Técnico II","28",IF(C369="Técnico I","23",IF(C369="JR","20",IF(C369="Estágio","10",)))))</f>
        <v/>
      </c>
      <c r="K369" s="3">
        <f>I369-J369</f>
        <v/>
      </c>
      <c r="L369" s="3">
        <f>IF(K369&lt;-5,"CRÍTICO",IF(K369&lt;0,"ATENÇÃO",IF(K369&lt;=5,"BOM","EXCELENTE")))</f>
        <v/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IF(C370="Técnico III","35",IF(C370="Técnico II","28",IF(C370="Técnico I","23",IF(C370="JR","20",IF(C370="Estágio","10",)))))</f>
        <v/>
      </c>
      <c r="K370" s="3">
        <f>I370-J370</f>
        <v/>
      </c>
      <c r="L370" s="3">
        <f>IF(K370&lt;-5,"CRÍTICO",IF(K370&lt;0,"ATENÇÃO",IF(K370&lt;=5,"BOM","EXCELENTE")))</f>
        <v/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IF(C371="Técnico III","35",IF(C371="Técnico II","28",IF(C371="Técnico I","23",IF(C371="JR","20",IF(C371="Estágio","10",)))))</f>
        <v/>
      </c>
      <c r="K371" s="3">
        <f>I371-J371</f>
        <v/>
      </c>
      <c r="L371" s="3">
        <f>IF(K371&lt;-5,"CRÍTICO",IF(K371&lt;0,"ATENÇÃO",IF(K371&lt;=5,"BOM","EXCELENTE")))</f>
        <v/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IF(C372="Técnico III","35",IF(C372="Técnico II","28",IF(C372="Técnico I","23",IF(C372="JR","20",IF(C372="Estágio","10",)))))</f>
        <v/>
      </c>
      <c r="K372" s="3">
        <f>I372-J372</f>
        <v/>
      </c>
      <c r="L372" s="3">
        <f>IF(K372&lt;-5,"CRÍTICO",IF(K372&lt;0,"ATENÇÃO",IF(K372&lt;=5,"BOM","EXCELENTE")))</f>
        <v/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IF(C373="Técnico III","35",IF(C373="Técnico II","28",IF(C373="Técnico I","23",IF(C373="JR","20",IF(C373="Estágio","10",)))))</f>
        <v/>
      </c>
      <c r="K373" s="3">
        <f>I373-J373</f>
        <v/>
      </c>
      <c r="L373" s="3">
        <f>IF(K373&lt;-5,"CRÍTICO",IF(K373&lt;0,"ATENÇÃO",IF(K373&lt;=5,"BOM","EXCELENTE")))</f>
        <v/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IF(C375="Técnico III","35",IF(C375="Técnico II","28",IF(C375="Técnico I","23",IF(C375="JR","20",IF(C375="Estágio","10",)))))</f>
        <v/>
      </c>
      <c r="K375" s="3">
        <f>I375-J375</f>
        <v/>
      </c>
      <c r="L375" s="3">
        <f>IF(K375&lt;-5,"CRÍTICO",IF(K375&lt;0,"ATENÇÃO",IF(K375&lt;=5,"BOM","EXCELENTE")))</f>
        <v/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IF(C376="Técnico III","35",IF(C376="Técnico II","28",IF(C376="Técnico I","23",IF(C376="JR","20",IF(C376="Estágio","10",)))))</f>
        <v/>
      </c>
      <c r="K376" s="3">
        <f>I376-J376</f>
        <v/>
      </c>
      <c r="L376" s="3">
        <f>IF(K376&lt;-5,"CRÍTICO",IF(K376&lt;0,"ATENÇÃO",IF(K376&lt;=5,"BOM","EXCELENTE")))</f>
        <v/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IF(C377="Técnico III","35",IF(C377="Técnico II","28",IF(C377="Técnico I","23",IF(C377="JR","20",IF(C377="Estágio","10",)))))</f>
        <v/>
      </c>
      <c r="K377" s="3">
        <f>I377-J377</f>
        <v/>
      </c>
      <c r="L377" s="3">
        <f>IF(K377&lt;-5,"CRÍTICO",IF(K377&lt;0,"ATENÇÃO",IF(K377&lt;=5,"BOM","EXCELENTE")))</f>
        <v/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IF(C378="Técnico III","35",IF(C378="Técnico II","28",IF(C378="Técnico I","23",IF(C378="JR","20",IF(C378="Estágio","10",)))))</f>
        <v/>
      </c>
      <c r="K378" s="3">
        <f>I378-J378</f>
        <v/>
      </c>
      <c r="L378" s="3">
        <f>IF(K378&lt;-5,"CRÍTICO",IF(K378&lt;0,"ATENÇÃO",IF(K378&lt;=5,"BOM","EXCELENTE")))</f>
        <v/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IF(C379="Técnico III","35",IF(C379="Técnico II","28",IF(C379="Técnico I","23",IF(C379="JR","20",IF(C379="Estágio","10",)))))</f>
        <v/>
      </c>
      <c r="K379" s="3">
        <f>I379-J379</f>
        <v/>
      </c>
      <c r="L379" s="3">
        <f>IF(K379&lt;-5,"CRÍTICO",IF(K379&lt;0,"ATENÇÃO",IF(K379&lt;=5,"BOM","EXCELENTE")))</f>
        <v/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IF(C380="Técnico III","35",IF(C380="Técnico II","28",IF(C380="Técnico I","23",IF(C380="JR","20",IF(C380="Estágio","10",)))))</f>
        <v/>
      </c>
      <c r="K380" s="3">
        <f>I380-J380</f>
        <v/>
      </c>
      <c r="L380" s="3">
        <f>IF(K380&lt;-5,"CRÍTICO",IF(K380&lt;0,"ATENÇÃO",IF(K380&lt;=5,"BOM","EXCELENTE")))</f>
        <v/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IF(C382="Técnico III","35",IF(C382="Técnico II","28",IF(C382="Técnico I","23",IF(C382="JR","20",IF(C382="Estágio","10",)))))</f>
        <v/>
      </c>
      <c r="K382" s="3">
        <f>I382-J382</f>
        <v/>
      </c>
      <c r="L382" s="3">
        <f>IF(K382&lt;-5,"CRÍTICO",IF(K382&lt;0,"ATENÇÃO",IF(K382&lt;=5,"BOM","EXCELENTE")))</f>
        <v/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IF(C383="Técnico III","35",IF(C383="Técnico II","28",IF(C383="Técnico I","23",IF(C383="JR","20",IF(C383="Estágio","10",)))))</f>
        <v/>
      </c>
      <c r="K383" s="3">
        <f>I383-J383</f>
        <v/>
      </c>
      <c r="L383" s="3">
        <f>IF(K383&lt;-5,"CRÍTICO",IF(K383&lt;0,"ATENÇÃO",IF(K383&lt;=5,"BOM","EXCELENTE")))</f>
        <v/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IF(C384="Técnico III","35",IF(C384="Técnico II","28",IF(C384="Técnico I","23",IF(C384="JR","20",IF(C384="Estágio","10",)))))</f>
        <v/>
      </c>
      <c r="K384" s="3">
        <f>I384-J384</f>
        <v/>
      </c>
      <c r="L384" s="3">
        <f>IF(K384&lt;-5,"CRÍTICO",IF(K384&lt;0,"ATENÇÃO",IF(K384&lt;=5,"BOM","EXCELENTE")))</f>
        <v/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IF(C385="Técnico III","35",IF(C385="Técnico II","28",IF(C385="Técnico I","23",IF(C385="JR","20",IF(C385="Estágio","10",)))))</f>
        <v/>
      </c>
      <c r="K385" s="3">
        <f>I385-J385</f>
        <v/>
      </c>
      <c r="L385" s="3">
        <f>IF(K385&lt;-5,"CRÍTICO",IF(K385&lt;0,"ATENÇÃO",IF(K385&lt;=5,"BOM","EXCELENTE")))</f>
        <v/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IF(C386="Técnico III","35",IF(C386="Técnico II","28",IF(C386="Técnico I","23",IF(C386="JR","20",IF(C386="Estágio","10",)))))</f>
        <v/>
      </c>
      <c r="K386" s="3">
        <f>I386-J386</f>
        <v/>
      </c>
      <c r="L386" s="3">
        <f>IF(K386&lt;-5,"CRÍTICO",IF(K386&lt;0,"ATENÇÃO",IF(K386&lt;=5,"BOM","EXCELENTE")))</f>
        <v/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IF(C387="Técnico III","35",IF(C387="Técnico II","28",IF(C387="Técnico I","23",IF(C387="JR","20",IF(C387="Estágio","10",)))))</f>
        <v/>
      </c>
      <c r="K387" s="3">
        <f>I387-J387</f>
        <v/>
      </c>
      <c r="L387" s="3">
        <f>IF(K387&lt;-5,"CRÍTICO",IF(K387&lt;0,"ATENÇÃO",IF(K387&lt;=5,"BOM","EXCELENTE")))</f>
        <v/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IF(C388="Técnico III","35",IF(C388="Técnico II","28",IF(C388="Técnico I","23",IF(C388="JR","20",IF(C388="Estágio","10",)))))</f>
        <v/>
      </c>
      <c r="K388" s="3">
        <f>I388-J388</f>
        <v/>
      </c>
      <c r="L388" s="3">
        <f>IF(K388&lt;-5,"CRÍTICO",IF(K388&lt;0,"ATENÇÃO",IF(K388&lt;=5,"BOM","EXCELENTE")))</f>
        <v/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IF(C389="Técnico III","35",IF(C389="Técnico II","28",IF(C389="Técnico I","23",IF(C389="JR","20",IF(C389="Estágio","10",)))))</f>
        <v/>
      </c>
      <c r="K389" s="3">
        <f>I389-J389</f>
        <v/>
      </c>
      <c r="L389" s="3">
        <f>IF(K389&lt;-5,"CRÍTICO",IF(K389&lt;0,"ATENÇÃO",IF(K389&lt;=5,"BOM","EXCELENTE")))</f>
        <v/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IF(C390="Técnico III","35",IF(C390="Técnico II","28",IF(C390="Técnico I","23",IF(C390="JR","20",IF(C390="Estágio","10",)))))</f>
        <v/>
      </c>
      <c r="K390" s="3">
        <f>I390-J390</f>
        <v/>
      </c>
      <c r="L390" s="3">
        <f>IF(K390&lt;-5,"CRÍTICO",IF(K390&lt;0,"ATENÇÃO",IF(K390&lt;=5,"BOM","EXCELENTE")))</f>
        <v/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IF(C391="Técnico III","35",IF(C391="Técnico II","28",IF(C391="Técnico I","23",IF(C391="JR","20",IF(C391="Estágio","10",)))))</f>
        <v/>
      </c>
      <c r="K391" s="3">
        <f>I391-J391</f>
        <v/>
      </c>
      <c r="L391" s="3">
        <f>IF(K391&lt;-5,"CRÍTICO",IF(K391&lt;0,"ATENÇÃO",IF(K391&lt;=5,"BOM","EXCELENTE")))</f>
        <v/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IF(C392="Técnico III","35",IF(C392="Técnico II","28",IF(C392="Técnico I","23",IF(C392="JR","20",IF(C392="Estágio","10",)))))</f>
        <v/>
      </c>
      <c r="K392" s="3">
        <f>I392-J392</f>
        <v/>
      </c>
      <c r="L392" s="3">
        <f>IF(K392&lt;-5,"CRÍTICO",IF(K392&lt;0,"ATENÇÃO",IF(K392&lt;=5,"BOM","EXCELENTE")))</f>
        <v/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IF(C393="Técnico III","35",IF(C393="Técnico II","28",IF(C393="Técnico I","23",IF(C393="JR","20",IF(C393="Estágio","10",)))))</f>
        <v/>
      </c>
      <c r="K393" s="3">
        <f>I393-J393</f>
        <v/>
      </c>
      <c r="L393" s="3">
        <f>IF(K393&lt;-5,"CRÍTICO",IF(K393&lt;0,"ATENÇÃO",IF(K393&lt;=5,"BOM","EXCELENTE")))</f>
        <v/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IF(C394="Técnico III","35",IF(C394="Técnico II","28",IF(C394="Técnico I","23",IF(C394="JR","20",IF(C394="Estágio","10",)))))</f>
        <v/>
      </c>
      <c r="K394" s="3">
        <f>I394-J394</f>
        <v/>
      </c>
      <c r="L394" s="3">
        <f>IF(K394&lt;-5,"CRÍTICO",IF(K394&lt;0,"ATENÇÃO",IF(K394&lt;=5,"BOM","EXCELENTE")))</f>
        <v/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IF(C395="Técnico III","35",IF(C395="Técnico II","28",IF(C395="Técnico I","23",IF(C395="JR","20",IF(C395="Estágio","10",)))))</f>
        <v/>
      </c>
      <c r="K395" s="3">
        <f>I395-J395</f>
        <v/>
      </c>
      <c r="L395" s="3">
        <f>IF(K395&lt;-5,"CRÍTICO",IF(K395&lt;0,"ATENÇÃO",IF(K395&lt;=5,"BOM","EXCELENTE")))</f>
        <v/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IF(C396="Técnico III","35",IF(C396="Técnico II","28",IF(C396="Técnico I","23",IF(C396="JR","20",IF(C396="Estágio","10",)))))</f>
        <v/>
      </c>
      <c r="K396" s="3">
        <f>I396-J396</f>
        <v/>
      </c>
      <c r="L396" s="3">
        <f>IF(K396&lt;-5,"CRÍTICO",IF(K396&lt;0,"ATENÇÃO",IF(K396&lt;=5,"BOM","EXCELENTE")))</f>
        <v/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IF(C397="Técnico III","35",IF(C397="Técnico II","28",IF(C397="Técnico I","23",IF(C397="JR","20",IF(C397="Estágio","10",)))))</f>
        <v/>
      </c>
      <c r="K397" s="3">
        <f>I397-J397</f>
        <v/>
      </c>
      <c r="L397" s="3">
        <f>IF(K397&lt;-5,"CRÍTICO",IF(K397&lt;0,"ATENÇÃO",IF(K397&lt;=5,"BOM","EXCELENTE")))</f>
        <v/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IF(C398="Técnico III","35",IF(C398="Técnico II","28",IF(C398="Técnico I","23",IF(C398="JR","20",IF(C398="Estágio","10",)))))</f>
        <v/>
      </c>
      <c r="K398" s="3">
        <f>I398-J398</f>
        <v/>
      </c>
      <c r="L398" s="3">
        <f>IF(K398&lt;-5,"CRÍTICO",IF(K398&lt;0,"ATENÇÃO",IF(K398&lt;=5,"BOM","EXCELENTE")))</f>
        <v/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IF(C399="Técnico III","35",IF(C399="Técnico II","28",IF(C399="Técnico I","23",IF(C399="JR","20",IF(C399="Estágio","10",)))))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100</v>
      </c>
      <c r="O399" s="3" t="n">
        <v>8.33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IF(C401="Técnico III","35",IF(C401="Técnico II","28",IF(C401="Técnico I","23",IF(C401="JR","20",IF(C401="Estágio","10",)))))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18</v>
      </c>
      <c r="N401" s="3" t="n">
        <v>100</v>
      </c>
      <c r="O401" s="3" t="n">
        <v>27.78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IF(C402="Técnico III","35",IF(C402="Técnico II","28",IF(C402="Técnico I","23",IF(C402="JR","20",IF(C402="Estágio","10",)))))</f>
        <v/>
      </c>
      <c r="K402" s="3">
        <f>I402-J402</f>
        <v/>
      </c>
      <c r="L402" s="3">
        <f>IF(K402&lt;-5,"CRÍTICO",IF(K402&lt;0,"ATENÇÃO",IF(K402&lt;=5,"BOM","EXCELENTE")))</f>
        <v/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IF(C403="Técnico III","35",IF(C403="Técnico II","28",IF(C403="Técnico I","23",IF(C403="JR","20",IF(C403="Estágio","10",)))))</f>
        <v/>
      </c>
      <c r="K403" s="3">
        <f>I403-J403</f>
        <v/>
      </c>
      <c r="L403" s="3">
        <f>IF(K403&lt;-5,"CRÍTICO",IF(K403&lt;0,"ATENÇÃO",IF(K403&lt;=5,"BOM","EXCELENTE")))</f>
        <v/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IF(C404="Técnico III","35",IF(C404="Técnico II","28",IF(C404="Técnico I","23",IF(C404="JR","20",IF(C404="Estágio","10",)))))</f>
        <v/>
      </c>
      <c r="K404" s="3">
        <f>I404-J404</f>
        <v/>
      </c>
      <c r="L404" s="3">
        <f>IF(K404&lt;-5,"CRÍTICO",IF(K404&lt;0,"ATENÇÃO",IF(K404&lt;=5,"BOM","EXCELENTE")))</f>
        <v/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IF(C405="Técnico III","35",IF(C405="Técnico II","28",IF(C405="Técnico I","23",IF(C405="JR","20",IF(C405="Estágio","10",)))))</f>
        <v/>
      </c>
      <c r="K405" s="3">
        <f>I405-J405</f>
        <v/>
      </c>
      <c r="L405" s="3">
        <f>IF(K405&lt;-5,"CRÍTICO",IF(K405&lt;0,"ATENÇÃO",IF(K405&lt;=5,"BOM","EXCELENTE")))</f>
        <v/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IF(C406="Técnico III","35",IF(C406="Técnico II","28",IF(C406="Técnico I","23",IF(C406="JR","20",IF(C406="Estágio","10",)))))</f>
        <v/>
      </c>
      <c r="K406" s="3">
        <f>I406-J406</f>
        <v/>
      </c>
      <c r="L406" s="3">
        <f>IF(K406&lt;-5,"CRÍTICO",IF(K406&lt;0,"ATENÇÃO",IF(K406&lt;=5,"BOM","EXCELENTE")))</f>
        <v/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IF(C407="Técnico III","35",IF(C407="Técnico II","28",IF(C407="Técnico I","23",IF(C407="JR","20",IF(C407="Estágio","10",)))))</f>
        <v/>
      </c>
      <c r="K407" s="3">
        <f>I407-J407</f>
        <v/>
      </c>
      <c r="L407" s="3">
        <f>IF(K407&lt;-5,"CRÍTICO",IF(K407&lt;0,"ATENÇÃO",IF(K407&lt;=5,"BOM","EXCELENTE")))</f>
        <v/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IF(C408="Técnico III","35",IF(C408="Técnico II","28",IF(C408="Técnico I","23",IF(C408="JR","20",IF(C408="Estágio","10",)))))</f>
        <v/>
      </c>
      <c r="K408" s="3">
        <f>I408-J408</f>
        <v/>
      </c>
      <c r="L408" s="3">
        <f>IF(K408&lt;-5,"CRÍTICO",IF(K408&lt;0,"ATENÇÃO",IF(K408&lt;=5,"BOM","EXCELENTE")))</f>
        <v/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IF(C409="Técnico III","35",IF(C409="Técnico II","28",IF(C409="Técnico I","23",IF(C409="JR","20",IF(C409="Estágio","10",)))))</f>
        <v/>
      </c>
      <c r="K409" s="3">
        <f>I409-J409</f>
        <v/>
      </c>
      <c r="L409" s="3">
        <f>IF(K409&lt;-5,"CRÍTICO",IF(K409&lt;0,"ATENÇÃO",IF(K409&lt;=5,"BOM","EXCELENTE")))</f>
        <v/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IF(C410="Técnico III","35",IF(C410="Técnico II","28",IF(C410="Técnico I","23",IF(C410="JR","20",IF(C410="Estágio","10",)))))</f>
        <v/>
      </c>
      <c r="K410" s="3">
        <f>I410-J410</f>
        <v/>
      </c>
      <c r="L410" s="3">
        <f>IF(K410&lt;-5,"CRÍTICO",IF(K410&lt;0,"ATENÇÃO",IF(K410&lt;=5,"BOM","EXCELENTE")))</f>
        <v/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</row>
    <row r="412" hidden="1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IF(C412="Técnico III","35",IF(C412="Técnico II","28",IF(C412="Técnico I","23",IF(C412="JR","20",IF(C412="Estágio","10",)))))</f>
        <v/>
      </c>
      <c r="K412" s="3">
        <f>I412-J412</f>
        <v/>
      </c>
      <c r="L412" s="3">
        <f>IF(K412&lt;-5,"CRÍTICO",IF(K412&lt;0,"ATENÇÃO",IF(K412&lt;=5,"BOM","EXCELENTE")))</f>
        <v/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IF(C413="Técnico III","35",IF(C413="Técnico II","28",IF(C413="Técnico I","23",IF(C413="JR","20",IF(C413="Estágio","10",)))))</f>
        <v/>
      </c>
      <c r="K413" s="3">
        <f>I413-J413</f>
        <v/>
      </c>
      <c r="L413" s="3">
        <f>IF(K413&lt;-5,"CRÍTICO",IF(K413&lt;0,"ATENÇÃO",IF(K413&lt;=5,"BOM","EXCELENTE")))</f>
        <v/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IF(C414="Técnico III","35",IF(C414="Técnico II","28",IF(C414="Técnico I","23",IF(C414="JR","20",IF(C414="Estágio","10",)))))</f>
        <v/>
      </c>
      <c r="K414" s="3">
        <f>I414-J414</f>
        <v/>
      </c>
      <c r="L414" s="3">
        <f>IF(K414&lt;-5,"CRÍTICO",IF(K414&lt;0,"ATENÇÃO",IF(K414&lt;=5,"BOM","EXCELENTE")))</f>
        <v/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IF(C415="Técnico III","35",IF(C415="Técnico II","28",IF(C415="Técnico I","23",IF(C415="JR","20",IF(C415="Estágio","10",)))))</f>
        <v/>
      </c>
      <c r="K415" s="3">
        <f>I415-J415</f>
        <v/>
      </c>
      <c r="L415" s="3">
        <f>IF(K415&lt;-5,"CRÍTICO",IF(K415&lt;0,"ATENÇÃO",IF(K415&lt;=5,"BOM","EXCELENTE")))</f>
        <v/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IF(C416="Técnico III","35",IF(C416="Técnico II","28",IF(C416="Técnico I","23",IF(C416="JR","20",IF(C416="Estágio","10",)))))</f>
        <v/>
      </c>
      <c r="K416" s="3">
        <f>I416-J416</f>
        <v/>
      </c>
      <c r="L416" s="3">
        <f>IF(K416&lt;-5,"CRÍTICO",IF(K416&lt;0,"ATENÇÃO",IF(K416&lt;=5,"BOM","EXCELENTE")))</f>
        <v/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IF(C418="Técnico III","35",IF(C418="Técnico II","28",IF(C418="Técnico I","23",IF(C418="JR","20",IF(C418="Estágio","10",)))))</f>
        <v/>
      </c>
      <c r="K418" s="3">
        <f>I418-J418</f>
        <v/>
      </c>
      <c r="L418" s="3">
        <f>IF(K418&lt;-5,"CRÍTICO",IF(K418&lt;0,"ATENÇÃO",IF(K418&lt;=5,"BOM","EXCELENTE")))</f>
        <v/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IF(C419="Técnico III","35",IF(C419="Técnico II","28",IF(C419="Técnico I","23",IF(C419="JR","20",IF(C419="Estágio","10",)))))</f>
        <v/>
      </c>
      <c r="K419" s="3">
        <f>I419-J419</f>
        <v/>
      </c>
      <c r="L419" s="3">
        <f>IF(K419&lt;-5,"CRÍTICO",IF(K419&lt;0,"ATENÇÃO",IF(K419&lt;=5,"BOM","EXCELENTE")))</f>
        <v/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IF(C420="Técnico III","35",IF(C420="Técnico II","28",IF(C420="Técnico I","23",IF(C420="JR","20",IF(C420="Estágio","10",)))))</f>
        <v/>
      </c>
      <c r="K420" s="3">
        <f>I420-J420</f>
        <v/>
      </c>
      <c r="L420" s="3">
        <f>IF(K420&lt;-5,"CRÍTICO",IF(K420&lt;0,"ATENÇÃO",IF(K420&lt;=5,"BOM","EXCELENTE")))</f>
        <v/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IF(C421="Técnico III","35",IF(C421="Técnico II","28",IF(C421="Técnico I","23",IF(C421="JR","20",IF(C421="Estágio","10",)))))</f>
        <v/>
      </c>
      <c r="K421" s="3">
        <f>I421-J421</f>
        <v/>
      </c>
      <c r="L421" s="3">
        <f>IF(K421&lt;-5,"CRÍTICO",IF(K421&lt;0,"ATENÇÃO",IF(K421&lt;=5,"BOM","EXCELENTE")))</f>
        <v/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IF(C422="Técnico III","35",IF(C422="Técnico II","28",IF(C422="Técnico I","23",IF(C422="JR","20",IF(C422="Estágio","10",)))))</f>
        <v/>
      </c>
      <c r="K422" s="3">
        <f>I422-J422</f>
        <v/>
      </c>
      <c r="L422" s="3">
        <f>IF(K422&lt;-5,"CRÍTICO",IF(K422&lt;0,"ATENÇÃO",IF(K422&lt;=5,"BOM","EXCELENTE")))</f>
        <v/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IF(C424="Técnico III","35",IF(C424="Técnico II","28",IF(C424="Técnico I","23",IF(C424="JR","20",IF(C424="Estágio","10",)))))</f>
        <v/>
      </c>
      <c r="K424" s="3">
        <f>I424-J424</f>
        <v/>
      </c>
      <c r="L424" s="3">
        <f>IF(K424&lt;-5,"CRÍTICO",IF(K424&lt;0,"ATENÇÃO",IF(K424&lt;=5,"BOM","EXCELENTE")))</f>
        <v/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IF(C425="Técnico III","35",IF(C425="Técnico II","28",IF(C425="Técnico I","23",IF(C425="JR","20",IF(C425="Estágio","10",)))))</f>
        <v/>
      </c>
      <c r="K425" s="3">
        <f>I425-J425</f>
        <v/>
      </c>
      <c r="L425" s="3">
        <f>IF(K425&lt;-5,"CRÍTICO",IF(K425&lt;0,"ATENÇÃO",IF(K425&lt;=5,"BOM","EXCELENTE")))</f>
        <v/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IF(C426="Técnico III","35",IF(C426="Técnico II","28",IF(C426="Técnico I","23",IF(C426="JR","20",IF(C426="Estágio","10",)))))</f>
        <v/>
      </c>
      <c r="K426" s="3">
        <f>I426-J426</f>
        <v/>
      </c>
      <c r="L426" s="3">
        <f>IF(K426&lt;-5,"CRÍTICO",IF(K426&lt;0,"ATENÇÃO",IF(K426&lt;=5,"BOM","EXCELENTE")))</f>
        <v/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IF(C427="Técnico III","35",IF(C427="Técnico II","28",IF(C427="Técnico I","23",IF(C427="JR","20",IF(C427="Estágio","10",)))))</f>
        <v/>
      </c>
      <c r="K427" s="3">
        <f>I427-J427</f>
        <v/>
      </c>
      <c r="L427" s="3">
        <f>IF(K427&lt;-5,"CRÍTICO",IF(K427&lt;0,"ATENÇÃO",IF(K427&lt;=5,"BOM","EXCELENTE")))</f>
        <v/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IF(C428="Técnico III","35",IF(C428="Técnico II","28",IF(C428="Técnico I","23",IF(C428="JR","20",IF(C428="Estágio","10",)))))</f>
        <v/>
      </c>
      <c r="K428" s="3">
        <f>I428-J428</f>
        <v/>
      </c>
      <c r="L428" s="3">
        <f>IF(K428&lt;-5,"CRÍTICO",IF(K428&lt;0,"ATENÇÃO",IF(K428&lt;=5,"BOM","EXCELENTE")))</f>
        <v/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IF(C429="Técnico III","35",IF(C429="Técnico II","28",IF(C429="Técnico I","23",IF(C429="JR","20",IF(C429="Estágio","10",)))))</f>
        <v/>
      </c>
      <c r="K429" s="3">
        <f>I429-J429</f>
        <v/>
      </c>
      <c r="L429" s="3">
        <f>IF(K429&lt;-5,"CRÍTICO",IF(K429&lt;0,"ATENÇÃO",IF(K429&lt;=5,"BOM","EXCELENTE")))</f>
        <v/>
      </c>
    </row>
    <row r="430" hidden="1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IF(C430="Técnico III","35",IF(C430="Técnico II","28",IF(C430="Técnico I","23",IF(C430="JR","20",IF(C430="Estágio","10",)))))</f>
        <v/>
      </c>
      <c r="K430" s="3">
        <f>I430-J430</f>
        <v/>
      </c>
      <c r="L430" s="3">
        <f>IF(K430&lt;-5,"CRÍTICO",IF(K430&lt;0,"ATENÇÃO",IF(K430&lt;=5,"BOM","EXCELENTE")))</f>
        <v/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IF(C431="Técnico III","35",IF(C431="Técnico II","28",IF(C431="Técnico I","23",IF(C431="JR","20",IF(C431="Estágio","10",)))))</f>
        <v/>
      </c>
      <c r="K431" s="3">
        <f>I431-J431</f>
        <v/>
      </c>
      <c r="L431" s="3">
        <f>IF(K431&lt;-5,"CRÍTICO",IF(K431&lt;0,"ATENÇÃO",IF(K431&lt;=5,"BOM","EXCELENTE")))</f>
        <v/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IF(C432="Técnico III","35",IF(C432="Técnico II","28",IF(C432="Técnico I","23",IF(C432="JR","20",IF(C432="Estágio","10",)))))</f>
        <v/>
      </c>
      <c r="K432" s="3">
        <f>I432-J432</f>
        <v/>
      </c>
      <c r="L432" s="3">
        <f>IF(K432&lt;-5,"CRÍTICO",IF(K432&lt;0,"ATENÇÃO",IF(K432&lt;=5,"BOM","EXCELENTE")))</f>
        <v/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IF(C433="Técnico III","35",IF(C433="Técnico II","28",IF(C433="Técnico I","23",IF(C433="JR","20",IF(C433="Estágio","10",)))))</f>
        <v/>
      </c>
      <c r="K433" s="3">
        <f>I433-J433</f>
        <v/>
      </c>
      <c r="L433" s="3">
        <f>IF(K433&lt;-5,"CRÍTICO",IF(K433&lt;0,"ATENÇÃO",IF(K433&lt;=5,"BOM","EXCELENTE")))</f>
        <v/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IF(C434="Técnico III","35",IF(C434="Técnico II","28",IF(C434="Técnico I","23",IF(C434="JR","20",IF(C434="Estágio","10",)))))</f>
        <v/>
      </c>
      <c r="K434" s="3">
        <f>I434-J434</f>
        <v/>
      </c>
      <c r="L434" s="3">
        <f>IF(K434&lt;-5,"CRÍTICO",IF(K434&lt;0,"ATENÇÃO",IF(K434&lt;=5,"BOM","EXCELENTE")))</f>
        <v/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IF(C435="Técnico III","35",IF(C435="Técnico II","28",IF(C435="Técnico I","23",IF(C435="JR","20",IF(C435="Estágio","10",)))))</f>
        <v/>
      </c>
      <c r="K435" s="3">
        <f>I435-J435</f>
        <v/>
      </c>
      <c r="L435" s="3">
        <f>IF(K435&lt;-5,"CRÍTICO",IF(K435&lt;0,"ATENÇÃO",IF(K435&lt;=5,"BOM","EXCELENTE")))</f>
        <v/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IF(C436="Técnico III","35",IF(C436="Técnico II","28",IF(C436="Técnico I","23",IF(C436="JR","20",IF(C436="Estágio","10",)))))</f>
        <v/>
      </c>
      <c r="K436" s="3">
        <f>I436-J436</f>
        <v/>
      </c>
      <c r="L436" s="3">
        <f>IF(K436&lt;-5,"CRÍTICO",IF(K436&lt;0,"ATENÇÃO",IF(K436&lt;=5,"BOM","EXCELENTE")))</f>
        <v/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IF(C437="Técnico III","35",IF(C437="Técnico II","28",IF(C437="Técnico I","23",IF(C437="JR","20",IF(C437="Estágio","10",)))))</f>
        <v/>
      </c>
      <c r="K437" s="3">
        <f>I437-J437</f>
        <v/>
      </c>
      <c r="L437" s="3">
        <f>IF(K437&lt;-5,"CRÍTICO",IF(K437&lt;0,"ATENÇÃO",IF(K437&lt;=5,"BOM","EXCELENTE")))</f>
        <v/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IF(C438="Técnico III","35",IF(C438="Técnico II","28",IF(C438="Técnico I","23",IF(C438="JR","20",IF(C438="Estágio","10",)))))</f>
        <v/>
      </c>
      <c r="K438" s="3">
        <f>I438-J438</f>
        <v/>
      </c>
      <c r="L438" s="3">
        <f>IF(K438&lt;-5,"CRÍTICO",IF(K438&lt;0,"ATENÇÃO",IF(K438&lt;=5,"BOM","EXCELENTE")))</f>
        <v/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IF(C439="Técnico III","35",IF(C439="Técnico II","28",IF(C439="Técnico I","23",IF(C439="JR","20",IF(C439="Estágio","10",)))))</f>
        <v/>
      </c>
      <c r="K439" s="3">
        <f>I439-J439</f>
        <v/>
      </c>
      <c r="L439" s="3">
        <f>IF(K439&lt;-5,"CRÍTICO",IF(K439&lt;0,"ATENÇÃO",IF(K439&lt;=5,"BOM","EXCELENTE")))</f>
        <v/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IF(C440="Técnico III","35",IF(C440="Técnico II","28",IF(C440="Técnico I","23",IF(C440="JR","20",IF(C440="Estágio","10",)))))</f>
        <v/>
      </c>
      <c r="K440" s="3">
        <f>I440-J440</f>
        <v/>
      </c>
      <c r="L440" s="3">
        <f>IF(K440&lt;-5,"CRÍTICO",IF(K440&lt;0,"ATENÇÃO",IF(K440&lt;=5,"BOM","EXCELENTE")))</f>
        <v/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IF(C441="Técnico III","35",IF(C441="Técnico II","28",IF(C441="Técnico I","23",IF(C441="JR","20",IF(C441="Estágio","10",)))))</f>
        <v/>
      </c>
      <c r="K441" s="3">
        <f>I441-J441</f>
        <v/>
      </c>
      <c r="L441" s="3">
        <f>IF(K441&lt;-5,"CRÍTICO",IF(K441&lt;0,"ATENÇÃO",IF(K441&lt;=5,"BOM","EXCELENTE")))</f>
        <v/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IF(C442="Técnico III","35",IF(C442="Técnico II","28",IF(C442="Técnico I","23",IF(C442="JR","20",IF(C442="Estágio","10",)))))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100</v>
      </c>
      <c r="O442" s="3" t="n">
        <v>10.53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IF(C444="Técnico III","35",IF(C444="Técnico II","28",IF(C444="Técnico I","23",IF(C444="JR","20",IF(C444="Estágio","10",)))))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29</v>
      </c>
      <c r="N444" s="3" t="n">
        <v>100</v>
      </c>
      <c r="O444" s="3" t="n">
        <v>17.24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IF(C446="Técnico III","35",IF(C446="Técnico II","28",IF(C446="Técnico I","23",IF(C446="JR","20",IF(C446="Estágio","10",)))))</f>
        <v/>
      </c>
      <c r="K446" s="3">
        <f>I446-J446</f>
        <v/>
      </c>
      <c r="L446" s="3">
        <f>IF(K446&lt;-5,"CRÍTICO",IF(K446&lt;0,"ATENÇÃO",IF(K446&lt;=5,"BOM","EXCELENTE")))</f>
        <v/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IF(C447="Técnico III","35",IF(C447="Técnico II","28",IF(C447="Técnico I","23",IF(C447="JR","20",IF(C447="Estágio","10",)))))</f>
        <v/>
      </c>
      <c r="K447" s="3">
        <f>I447-J447</f>
        <v/>
      </c>
      <c r="L447" s="3">
        <f>IF(K447&lt;-5,"CRÍTICO",IF(K447&lt;0,"ATENÇÃO",IF(K447&lt;=5,"BOM","EXCELENTE")))</f>
        <v/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IF(C448="Técnico III","35",IF(C448="Técnico II","28",IF(C448="Técnico I","23",IF(C448="JR","20",IF(C448="Estágio","10",)))))</f>
        <v/>
      </c>
      <c r="K448" s="3">
        <f>I448-J448</f>
        <v/>
      </c>
      <c r="L448" s="3">
        <f>IF(K448&lt;-5,"CRÍTICO",IF(K448&lt;0,"ATENÇÃO",IF(K448&lt;=5,"BOM","EXCELENTE")))</f>
        <v/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IF(C449="Técnico III","35",IF(C449="Técnico II","28",IF(C449="Técnico I","23",IF(C449="JR","20",IF(C449="Estágio","10",)))))</f>
        <v/>
      </c>
      <c r="K449" s="3">
        <f>I449-J449</f>
        <v/>
      </c>
      <c r="L449" s="3">
        <f>IF(K449&lt;-5,"CRÍTICO",IF(K449&lt;0,"ATENÇÃO",IF(K449&lt;=5,"BOM","EXCELENTE")))</f>
        <v/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IF(C450="Técnico III","35",IF(C450="Técnico II","28",IF(C450="Técnico I","23",IF(C450="JR","20",IF(C450="Estágio","10",)))))</f>
        <v/>
      </c>
      <c r="K450" s="3">
        <f>I450-J450</f>
        <v/>
      </c>
      <c r="L450" s="3">
        <f>IF(K450&lt;-5,"CRÍTICO",IF(K450&lt;0,"ATENÇÃO",IF(K450&lt;=5,"BOM","EXCELENTE")))</f>
        <v/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IF(C452="Técnico III","35",IF(C452="Técnico II","28",IF(C452="Técnico I","23",IF(C452="JR","20",IF(C452="Estágio","10",)))))</f>
        <v/>
      </c>
      <c r="K452" s="3">
        <f>I452-J452</f>
        <v/>
      </c>
      <c r="L452" s="3">
        <f>IF(K452&lt;-5,"CRÍTICO",IF(K452&lt;0,"ATENÇÃO",IF(K452&lt;=5,"BOM","EXCELENTE")))</f>
        <v/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IF(C454="Técnico III","35",IF(C454="Técnico II","28",IF(C454="Técnico I","23",IF(C454="JR","20",IF(C454="Estágio","10",)))))</f>
        <v/>
      </c>
      <c r="K454" s="3">
        <f>I454-J454</f>
        <v/>
      </c>
      <c r="L454" s="3">
        <f>IF(K454&lt;-5,"CRÍTICO",IF(K454&lt;0,"ATENÇÃO",IF(K454&lt;=5,"BOM","EXCELENTE")))</f>
        <v/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</row>
    <row r="456" hidden="1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IF(C456="Técnico III","35",IF(C456="Técnico II","28",IF(C456="Técnico I","23",IF(C456="JR","20",IF(C456="Estágio","10",)))))</f>
        <v/>
      </c>
      <c r="K456" s="3">
        <f>I456-J456</f>
        <v/>
      </c>
      <c r="L456" s="3">
        <f>IF(K456&lt;-5,"CRÍTICO",IF(K456&lt;0,"ATENÇÃO",IF(K456&lt;=5,"BOM","EXCELENTE")))</f>
        <v/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IF(C457="Técnico III","35",IF(C457="Técnico II","28",IF(C457="Técnico I","23",IF(C457="JR","20",IF(C457="Estágio","10",)))))</f>
        <v/>
      </c>
      <c r="K457" s="3">
        <f>I457-J457</f>
        <v/>
      </c>
      <c r="L457" s="3">
        <f>IF(K457&lt;-5,"CRÍTICO",IF(K457&lt;0,"ATENÇÃO",IF(K457&lt;=5,"BOM","EXCELENTE")))</f>
        <v/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IF(C458="Técnico III","35",IF(C458="Técnico II","28",IF(C458="Técnico I","23",IF(C458="JR","20",IF(C458="Estágio","10",)))))</f>
        <v/>
      </c>
      <c r="K458" s="3">
        <f>I458-J458</f>
        <v/>
      </c>
      <c r="L458" s="3">
        <f>IF(K458&lt;-5,"CRÍTICO",IF(K458&lt;0,"ATENÇÃO",IF(K458&lt;=5,"BOM","EXCELENTE")))</f>
        <v/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IF(C459="Técnico III","35",IF(C459="Técnico II","28",IF(C459="Técnico I","23",IF(C459="JR","20",IF(C459="Estágio","10",)))))</f>
        <v/>
      </c>
      <c r="K459" s="3">
        <f>I459-J459</f>
        <v/>
      </c>
      <c r="L459" s="3">
        <f>IF(K459&lt;-5,"CRÍTICO",IF(K459&lt;0,"ATENÇÃO",IF(K459&lt;=5,"BOM","EXCELENTE")))</f>
        <v/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IF(C460="Técnico III","35",IF(C460="Técnico II","28",IF(C460="Técnico I","23",IF(C460="JR","20",IF(C460="Estágio","10",)))))</f>
        <v/>
      </c>
      <c r="K460" s="3">
        <f>I460-J460</f>
        <v/>
      </c>
      <c r="L460" s="3">
        <f>IF(K460&lt;-5,"CRÍTICO",IF(K460&lt;0,"ATENÇÃO",IF(K460&lt;=5,"BOM","EXCELENTE")))</f>
        <v/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IF(C462="Técnico III","35",IF(C462="Técnico II","28",IF(C462="Técnico I","23",IF(C462="JR","20",IF(C462="Estágio","10",)))))</f>
        <v/>
      </c>
      <c r="K462" s="3">
        <f>I462-J462</f>
        <v/>
      </c>
      <c r="L462" s="3">
        <f>IF(K462&lt;-5,"CRÍTICO",IF(K462&lt;0,"ATENÇÃO",IF(K462&lt;=5,"BOM","EXCELENTE")))</f>
        <v/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IF(C463="Técnico III","35",IF(C463="Técnico II","28",IF(C463="Técnico I","23",IF(C463="JR","20",IF(C463="Estágio","10",)))))</f>
        <v/>
      </c>
      <c r="K463" s="3">
        <f>I463-J463</f>
        <v/>
      </c>
      <c r="L463" s="3">
        <f>IF(K463&lt;-5,"CRÍTICO",IF(K463&lt;0,"ATENÇÃO",IF(K463&lt;=5,"BOM","EXCELENTE")))</f>
        <v/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IF(C464="Técnico III","35",IF(C464="Técnico II","28",IF(C464="Técnico I","23",IF(C464="JR","20",IF(C464="Estágio","10",)))))</f>
        <v/>
      </c>
      <c r="K464" s="3">
        <f>I464-J464</f>
        <v/>
      </c>
      <c r="L464" s="3">
        <f>IF(K464&lt;-5,"CRÍTICO",IF(K464&lt;0,"ATENÇÃO",IF(K464&lt;=5,"BOM","EXCELENTE")))</f>
        <v/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IF(C465="Técnico III","35",IF(C465="Técnico II","28",IF(C465="Técnico I","23",IF(C465="JR","20",IF(C465="Estágio","10",)))))</f>
        <v/>
      </c>
      <c r="K465" s="3">
        <f>I465-J465</f>
        <v/>
      </c>
      <c r="L465" s="3">
        <f>IF(K465&lt;-5,"CRÍTICO",IF(K465&lt;0,"ATENÇÃO",IF(K465&lt;=5,"BOM","EXCELENTE")))</f>
        <v/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IF(C466="Técnico III","35",IF(C466="Técnico II","28",IF(C466="Técnico I","23",IF(C466="JR","20",IF(C466="Estágio","10",)))))</f>
        <v/>
      </c>
      <c r="K466" s="3">
        <f>I466-J466</f>
        <v/>
      </c>
      <c r="L466" s="3">
        <f>IF(K466&lt;-5,"CRÍTICO",IF(K466&lt;0,"ATENÇÃO",IF(K466&lt;=5,"BOM","EXCELENTE")))</f>
        <v/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IF(C467="Técnico III","35",IF(C467="Técnico II","28",IF(C467="Técnico I","23",IF(C467="JR","20",IF(C467="Estágio","10",)))))</f>
        <v/>
      </c>
      <c r="K467" s="3">
        <f>I467-J467</f>
        <v/>
      </c>
      <c r="L467" s="3">
        <f>IF(K467&lt;-5,"CRÍTICO",IF(K467&lt;0,"ATENÇÃO",IF(K467&lt;=5,"BOM","EXCELENTE")))</f>
        <v/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IF(C469="Técnico III","35",IF(C469="Técnico II","28",IF(C469="Técnico I","23",IF(C469="JR","20",IF(C469="Estágio","10",)))))</f>
        <v/>
      </c>
      <c r="K469" s="3">
        <f>I469-J469</f>
        <v/>
      </c>
      <c r="L469" s="3">
        <f>IF(K469&lt;-5,"CRÍTICO",IF(K469&lt;0,"ATENÇÃO",IF(K469&lt;=5,"BOM","EXCELENTE")))</f>
        <v/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IF(C470="Técnico III","35",IF(C470="Técnico II","28",IF(C470="Técnico I","23",IF(C470="JR","20",IF(C470="Estágio","10",)))))</f>
        <v/>
      </c>
      <c r="K470" s="3">
        <f>I470-J470</f>
        <v/>
      </c>
      <c r="L470" s="3">
        <f>IF(K470&lt;-5,"CRÍTICO",IF(K470&lt;0,"ATENÇÃO",IF(K470&lt;=5,"BOM","EXCELENTE")))</f>
        <v/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IF(C471="Técnico III","35",IF(C471="Técnico II","28",IF(C471="Técnico I","23",IF(C471="JR","20",IF(C471="Estágio","10",)))))</f>
        <v/>
      </c>
      <c r="K471" s="3">
        <f>I471-J471</f>
        <v/>
      </c>
      <c r="L471" s="3">
        <f>IF(K471&lt;-5,"CRÍTICO",IF(K471&lt;0,"ATENÇÃO",IF(K471&lt;=5,"BOM","EXCELENTE")))</f>
        <v/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IF(C472="Técnico III","35",IF(C472="Técnico II","28",IF(C472="Técnico I","23",IF(C472="JR","20",IF(C472="Estágio","10",)))))</f>
        <v/>
      </c>
      <c r="K472" s="3">
        <f>I472-J472</f>
        <v/>
      </c>
      <c r="L472" s="3">
        <f>IF(K472&lt;-5,"CRÍTICO",IF(K472&lt;0,"ATENÇÃO",IF(K472&lt;=5,"BOM","EXCELENTE")))</f>
        <v/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IF(C473="Técnico III","35",IF(C473="Técnico II","28",IF(C473="Técnico I","23",IF(C473="JR","20",IF(C473="Estágio","10",)))))</f>
        <v/>
      </c>
      <c r="K473" s="3">
        <f>I473-J473</f>
        <v/>
      </c>
      <c r="L473" s="3">
        <f>IF(K473&lt;-5,"CRÍTICO",IF(K473&lt;0,"ATENÇÃO",IF(K473&lt;=5,"BOM","EXCELENTE")))</f>
        <v/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IF(C474="Técnico III","35",IF(C474="Técnico II","28",IF(C474="Técnico I","23",IF(C474="JR","20",IF(C474="Estágio","10",)))))</f>
        <v/>
      </c>
      <c r="K474" s="3">
        <f>I474-J474</f>
        <v/>
      </c>
      <c r="L474" s="3">
        <f>IF(K474&lt;-5,"CRÍTICO",IF(K474&lt;0,"ATENÇÃO",IF(K474&lt;=5,"BOM","EXCELENTE")))</f>
        <v/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IF(C475="Técnico III","35",IF(C475="Técnico II","28",IF(C475="Técnico I","23",IF(C475="JR","20",IF(C475="Estágio","10",)))))</f>
        <v/>
      </c>
      <c r="K475" s="3">
        <f>I475-J475</f>
        <v/>
      </c>
      <c r="L475" s="3">
        <f>IF(K475&lt;-5,"CRÍTICO",IF(K475&lt;0,"ATENÇÃO",IF(K475&lt;=5,"BOM","EXCELENTE")))</f>
        <v/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IF(C476="Técnico III","35",IF(C476="Técnico II","28",IF(C476="Técnico I","23",IF(C476="JR","20",IF(C476="Estágio","10",)))))</f>
        <v/>
      </c>
      <c r="K476" s="3">
        <f>I476-J476</f>
        <v/>
      </c>
      <c r="L476" s="3">
        <f>IF(K476&lt;-5,"CRÍTICO",IF(K476&lt;0,"ATENÇÃO",IF(K476&lt;=5,"BOM","EXCELENTE")))</f>
        <v/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IF(C477="Técnico III","35",IF(C477="Técnico II","28",IF(C477="Técnico I","23",IF(C477="JR","20",IF(C477="Estágio","10",)))))</f>
        <v/>
      </c>
      <c r="K477" s="3">
        <f>I477-J477</f>
        <v/>
      </c>
      <c r="L477" s="3">
        <f>IF(K477&lt;-5,"CRÍTICO",IF(K477&lt;0,"ATENÇÃO",IF(K477&lt;=5,"BOM","EXCELENTE")))</f>
        <v/>
      </c>
    </row>
    <row r="478" hidden="1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IF(C478="Técnico III","35",IF(C478="Técnico II","28",IF(C478="Técnico I","23",IF(C478="JR","20",IF(C478="Estágio","10",)))))</f>
        <v/>
      </c>
      <c r="K478" s="3">
        <f>I478-J478</f>
        <v/>
      </c>
      <c r="L478" s="3">
        <f>IF(K478&lt;-5,"CRÍTICO",IF(K478&lt;0,"ATENÇÃO",IF(K478&lt;=5,"BOM","EXCELENTE")))</f>
        <v/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IF(C479="Técnico III","35",IF(C479="Técnico II","28",IF(C479="Técnico I","23",IF(C479="JR","20",IF(C479="Estágio","10",)))))</f>
        <v/>
      </c>
      <c r="K479" s="3">
        <f>I479-J479</f>
        <v/>
      </c>
      <c r="L479" s="3">
        <f>IF(K479&lt;-5,"CRÍTICO",IF(K479&lt;0,"ATENÇÃO",IF(K479&lt;=5,"BOM","EXCELENTE")))</f>
        <v/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IF(C480="Técnico III","35",IF(C480="Técnico II","28",IF(C480="Técnico I","23",IF(C480="JR","20",IF(C480="Estágio","10",)))))</f>
        <v/>
      </c>
      <c r="K480" s="3">
        <f>I480-J480</f>
        <v/>
      </c>
      <c r="L480" s="3">
        <f>IF(K480&lt;-5,"CRÍTICO",IF(K480&lt;0,"ATENÇÃO",IF(K480&lt;=5,"BOM","EXCELENTE")))</f>
        <v/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IF(C481="Técnico III","35",IF(C481="Técnico II","28",IF(C481="Técnico I","23",IF(C481="JR","20",IF(C481="Estágio","10",)))))</f>
        <v/>
      </c>
      <c r="K481" s="3">
        <f>I481-J481</f>
        <v/>
      </c>
      <c r="L481" s="3">
        <f>IF(K481&lt;-5,"CRÍTICO",IF(K481&lt;0,"ATENÇÃO",IF(K481&lt;=5,"BOM","EXCELENTE")))</f>
        <v/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IF(C482="Técnico III","35",IF(C482="Técnico II","28",IF(C482="Técnico I","23",IF(C482="JR","20",IF(C482="Estágio","10",)))))</f>
        <v/>
      </c>
      <c r="K482" s="3">
        <f>I482-J482</f>
        <v/>
      </c>
      <c r="L482" s="3">
        <f>IF(K482&lt;-5,"CRÍTICO",IF(K482&lt;0,"ATENÇÃO",IF(K482&lt;=5,"BOM","EXCELENTE")))</f>
        <v/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IF(C483="Técnico III","35",IF(C483="Técnico II","28",IF(C483="Técnico I","23",IF(C483="JR","20",IF(C483="Estágio","10",)))))</f>
        <v/>
      </c>
      <c r="K483" s="3">
        <f>I483-J483</f>
        <v/>
      </c>
      <c r="L483" s="3">
        <f>IF(K483&lt;-5,"CRÍTICO",IF(K483&lt;0,"ATENÇÃO",IF(K483&lt;=5,"BOM","EXCELENTE")))</f>
        <v/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IF(C484="Técnico III","35",IF(C484="Técnico II","28",IF(C484="Técnico I","23",IF(C484="JR","20",IF(C484="Estágio","10",)))))</f>
        <v/>
      </c>
      <c r="K484" s="3">
        <f>I484-J484</f>
        <v/>
      </c>
      <c r="L484" s="3">
        <f>IF(K484&lt;-5,"CRÍTICO",IF(K484&lt;0,"ATENÇÃO",IF(K484&lt;=5,"BOM","EXCELENTE")))</f>
        <v/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IF(C485="Técnico III","35",IF(C485="Técnico II","28",IF(C485="Técnico I","23",IF(C485="JR","20",IF(C485="Estágio","10",)))))</f>
        <v/>
      </c>
      <c r="K485" s="3">
        <f>I485-J485</f>
        <v/>
      </c>
      <c r="L485" s="3">
        <f>IF(K485&lt;-5,"CRÍTICO",IF(K485&lt;0,"ATENÇÃO",IF(K485&lt;=5,"BOM","EXCELENTE")))</f>
        <v/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IF(C486="Técnico III","35",IF(C486="Técnico II","28",IF(C486="Técnico I","23",IF(C486="JR","20",IF(C486="Estágio","10",)))))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91.67</v>
      </c>
      <c r="O486" s="3" t="n">
        <v>29.41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IF(C488="Técnico III","35",IF(C488="Técnico II","28",IF(C488="Técnico I","23",IF(C488="JR","20",IF(C488="Estágio","10",)))))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35</v>
      </c>
      <c r="N488" s="3" t="n">
        <v>100</v>
      </c>
      <c r="O488" s="3" t="n">
        <v>22.86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IF(C489="Técnico III","35",IF(C489="Técnico II","28",IF(C489="Técnico I","23",IF(C489="JR","20",IF(C489="Estágio","10",)))))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26</v>
      </c>
      <c r="N489" s="3" t="n">
        <v>85.70999999999999</v>
      </c>
      <c r="O489" s="3" t="n">
        <v>3.85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IF(C490="Técnico III","35",IF(C490="Técnico II","28",IF(C490="Técnico I","23",IF(C490="JR","20",IF(C490="Estágio","10",)))))</f>
        <v/>
      </c>
      <c r="K490" s="3">
        <f>I490-J490</f>
        <v/>
      </c>
      <c r="L490" s="3">
        <f>IF(K490&lt;-5,"CRÍTICO",IF(K490&lt;0,"ATENÇÃO",IF(K490&lt;=5,"BOM","EXCELENTE")))</f>
        <v/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IF(C491="Técnico III","35",IF(C491="Técnico II","28",IF(C491="Técnico I","23",IF(C491="JR","20",IF(C491="Estágio","10",)))))</f>
        <v/>
      </c>
      <c r="K491" s="3">
        <f>I491-J491</f>
        <v/>
      </c>
      <c r="L491" s="3">
        <f>IF(K491&lt;-5,"CRÍTICO",IF(K491&lt;0,"ATENÇÃO",IF(K491&lt;=5,"BOM","EXCELENTE")))</f>
        <v/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IF(C492="Técnico III","35",IF(C492="Técnico II","28",IF(C492="Técnico I","23",IF(C492="JR","20",IF(C492="Estágio","10",)))))</f>
        <v/>
      </c>
      <c r="K492" s="3">
        <f>I492-J492</f>
        <v/>
      </c>
      <c r="L492" s="3">
        <f>IF(K492&lt;-5,"CRÍTICO",IF(K492&lt;0,"ATENÇÃO",IF(K492&lt;=5,"BOM","EXCELENTE")))</f>
        <v/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IF(C493="Técnico III","35",IF(C493="Técnico II","28",IF(C493="Técnico I","23",IF(C493="JR","20",IF(C493="Estágio","10",)))))</f>
        <v/>
      </c>
      <c r="K493" s="3">
        <f>I493-J493</f>
        <v/>
      </c>
      <c r="L493" s="3">
        <f>IF(K493&lt;-5,"CRÍTICO",IF(K493&lt;0,"ATENÇÃO",IF(K493&lt;=5,"BOM","EXCELENTE")))</f>
        <v/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IF(C494="Técnico III","35",IF(C494="Técnico II","28",IF(C494="Técnico I","23",IF(C494="JR","20",IF(C494="Estágio","10",)))))</f>
        <v/>
      </c>
      <c r="K494" s="3">
        <f>I494-J494</f>
        <v/>
      </c>
      <c r="L494" s="3">
        <f>IF(K494&lt;-5,"CRÍTICO",IF(K494&lt;0,"ATENÇÃO",IF(K494&lt;=5,"BOM","EXCELENTE")))</f>
        <v/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IF(C495="Técnico III","35",IF(C495="Técnico II","28",IF(C495="Técnico I","23",IF(C495="JR","20",IF(C495="Estágio","10",)))))</f>
        <v/>
      </c>
      <c r="K495" s="3">
        <f>I495-J495</f>
        <v/>
      </c>
      <c r="L495" s="3">
        <f>IF(K495&lt;-5,"CRÍTICO",IF(K495&lt;0,"ATENÇÃO",IF(K495&lt;=5,"BOM","EXCELENTE")))</f>
        <v/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IF(C497="Técnico III","35",IF(C497="Técnico II","28",IF(C497="Técnico I","23",IF(C497="JR","20",IF(C497="Estágio","10",)))))</f>
        <v/>
      </c>
      <c r="K497" s="3">
        <f>I497-J497</f>
        <v/>
      </c>
      <c r="L497" s="3">
        <f>IF(K497&lt;-5,"CRÍTICO",IF(K497&lt;0,"ATENÇÃO",IF(K497&lt;=5,"BOM","EXCELENTE")))</f>
        <v/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IF(C499="Técnico III","35",IF(C499="Técnico II","28",IF(C499="Técnico I","23",IF(C499="JR","20",IF(C499="Estágio","10",)))))</f>
        <v/>
      </c>
      <c r="K499" s="3">
        <f>I499-J499</f>
        <v/>
      </c>
      <c r="L499" s="3">
        <f>IF(K499&lt;-5,"CRÍTICO",IF(K499&lt;0,"ATENÇÃO",IF(K499&lt;=5,"BOM","EXCELENTE")))</f>
        <v/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IF(C500="Técnico III","35",IF(C500="Técnico II","28",IF(C500="Técnico I","23",IF(C500="JR","20",IF(C500="Estágio","10",)))))</f>
        <v/>
      </c>
      <c r="K500" s="3">
        <f>I500-J500</f>
        <v/>
      </c>
      <c r="L500" s="3">
        <f>IF(K500&lt;-5,"CRÍTICO",IF(K500&lt;0,"ATENÇÃO",IF(K500&lt;=5,"BOM","EXCELENTE")))</f>
        <v/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G501" s="3" t="n">
        <v>0</v>
      </c>
      <c r="H501" s="3" t="n">
        <v>0</v>
      </c>
      <c r="I501" s="3">
        <f>E501+G501+H501</f>
        <v/>
      </c>
      <c r="J501" s="3">
        <f>IF(C501="Técnico III","35",IF(C501="Técnico II","28",IF(C501="Técnico I","23",IF(C501="JR","20",IF(C501="Estágio","10",)))))</f>
        <v/>
      </c>
      <c r="K501" s="3">
        <f>I501-J501</f>
        <v/>
      </c>
      <c r="L501" s="3">
        <f>IF(K501&lt;-5,"CRÍTICO",IF(K501&lt;0,"ATENÇÃO",IF(K501&lt;=5,"BOM","EXCELENTE")))</f>
        <v/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</row>
    <row r="503" hidden="1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IF(C503="Técnico III","35",IF(C503="Técnico II","28",IF(C503="Técnico I","23",IF(C503="JR","20",IF(C503="Estágio","10",)))))</f>
        <v/>
      </c>
      <c r="K503" s="3">
        <f>I503-J503</f>
        <v/>
      </c>
      <c r="L503" s="3">
        <f>IF(K503&lt;-5,"CRÍTICO",IF(K503&lt;0,"ATENÇÃO",IF(K503&lt;=5,"BOM","EXCELENTE")))</f>
        <v/>
      </c>
    </row>
    <row r="504" hidden="1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IF(C504="Técnico III","35",IF(C504="Técnico II","28",IF(C504="Técnico I","23",IF(C504="JR","20",IF(C504="Estágio","10",)))))</f>
        <v/>
      </c>
      <c r="K504" s="3">
        <f>I504-J504</f>
        <v/>
      </c>
      <c r="L504" s="3">
        <f>IF(K504&lt;-5,"CRÍTICO",IF(K504&lt;0,"ATENÇÃO",IF(K504&lt;=5,"BOM","EXCELENTE")))</f>
        <v/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IF(C505="Técnico III","35",IF(C505="Técnico II","28",IF(C505="Técnico I","23",IF(C505="JR","20",IF(C505="Estágio","10",)))))</f>
        <v/>
      </c>
      <c r="K505" s="3">
        <f>I505-J505</f>
        <v/>
      </c>
      <c r="L505" s="3">
        <f>IF(K505&lt;-5,"CRÍTICO",IF(K505&lt;0,"ATENÇÃO",IF(K505&lt;=5,"BOM","EXCELENTE")))</f>
        <v/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IF(C506="Técnico III","35",IF(C506="Técnico II","28",IF(C506="Técnico I","23",IF(C506="JR","20",IF(C506="Estágio","10",)))))</f>
        <v/>
      </c>
      <c r="K506" s="3">
        <f>I506-J506</f>
        <v/>
      </c>
      <c r="L506" s="3">
        <f>IF(K506&lt;-5,"CRÍTICO",IF(K506&lt;0,"ATENÇÃO",IF(K506&lt;=5,"BOM","EXCELENTE")))</f>
        <v/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IF(C507="Técnico III","35",IF(C507="Técnico II","28",IF(C507="Técnico I","23",IF(C507="JR","20",IF(C507="Estágio","10",)))))</f>
        <v/>
      </c>
      <c r="K507" s="3">
        <f>I507-J507</f>
        <v/>
      </c>
      <c r="L507" s="3">
        <f>IF(K507&lt;-5,"CRÍTICO",IF(K507&lt;0,"ATENÇÃO",IF(K507&lt;=5,"BOM","EXCELENTE")))</f>
        <v/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IF(C508="Técnico III","35",IF(C508="Técnico II","28",IF(C508="Técnico I","23",IF(C508="JR","20",IF(C508="Estágio","10",)))))</f>
        <v/>
      </c>
      <c r="K508" s="3">
        <f>I508-J508</f>
        <v/>
      </c>
      <c r="L508" s="3">
        <f>IF(K508&lt;-5,"CRÍTICO",IF(K508&lt;0,"ATENÇÃO",IF(K508&lt;=5,"BOM","EXCELENTE")))</f>
        <v/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IF(C510="Técnico III","35",IF(C510="Técnico II","28",IF(C510="Técnico I","23",IF(C510="JR","20",IF(C510="Estágio","10",)))))</f>
        <v/>
      </c>
      <c r="K510" s="3">
        <f>I510-J510</f>
        <v/>
      </c>
      <c r="L510" s="3">
        <f>IF(K510&lt;-5,"CRÍTICO",IF(K510&lt;0,"ATENÇÃO",IF(K510&lt;=5,"BOM","EXCELENTE")))</f>
        <v/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IF(C511="Técnico III","35",IF(C511="Técnico II","28",IF(C511="Técnico I","23",IF(C511="JR","20",IF(C511="Estágio","10",)))))</f>
        <v/>
      </c>
      <c r="K511" s="3">
        <f>I511-J511</f>
        <v/>
      </c>
      <c r="L511" s="3">
        <f>IF(K511&lt;-5,"CRÍTICO",IF(K511&lt;0,"ATENÇÃO",IF(K511&lt;=5,"BOM","EXCELENTE")))</f>
        <v/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IF(C512="Técnico III","35",IF(C512="Técnico II","28",IF(C512="Técnico I","23",IF(C512="JR","20",IF(C512="Estágio","10",)))))</f>
        <v/>
      </c>
      <c r="K512" s="3">
        <f>I512-J512</f>
        <v/>
      </c>
      <c r="L512" s="3">
        <f>IF(K512&lt;-5,"CRÍTICO",IF(K512&lt;0,"ATENÇÃO",IF(K512&lt;=5,"BOM","EXCELENTE")))</f>
        <v/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IF(C513="Técnico III","35",IF(C513="Técnico II","28",IF(C513="Técnico I","23",IF(C513="JR","20",IF(C513="Estágio","10",)))))</f>
        <v/>
      </c>
      <c r="K513" s="3">
        <f>I513-J513</f>
        <v/>
      </c>
      <c r="L513" s="3">
        <f>IF(K513&lt;-5,"CRÍTICO",IF(K513&lt;0,"ATENÇÃO",IF(K513&lt;=5,"BOM","EXCELENTE")))</f>
        <v/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IF(C514="Técnico III","35",IF(C514="Técnico II","28",IF(C514="Técnico I","23",IF(C514="JR","20",IF(C514="Estágio","10",)))))</f>
        <v/>
      </c>
      <c r="K514" s="3">
        <f>I514-J514</f>
        <v/>
      </c>
      <c r="L514" s="3">
        <f>IF(K514&lt;-5,"CRÍTICO",IF(K514&lt;0,"ATENÇÃO",IF(K514&lt;=5,"BOM","EXCELENTE")))</f>
        <v/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IF(C515="Técnico III","35",IF(C515="Técnico II","28",IF(C515="Técnico I","23",IF(C515="JR","20",IF(C515="Estágio","10",)))))</f>
        <v/>
      </c>
      <c r="K515" s="3">
        <f>I515-J515</f>
        <v/>
      </c>
      <c r="L515" s="3">
        <f>IF(K515&lt;-5,"CRÍTICO",IF(K515&lt;0,"ATENÇÃO",IF(K515&lt;=5,"BOM","EXCELENTE")))</f>
        <v/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IF(C516="Técnico III","35",IF(C516="Técnico II","28",IF(C516="Técnico I","23",IF(C516="JR","20",IF(C516="Estágio","10",)))))</f>
        <v/>
      </c>
      <c r="K516" s="3">
        <f>I516-J516</f>
        <v/>
      </c>
      <c r="L516" s="3">
        <f>IF(K516&lt;-5,"CRÍTICO",IF(K516&lt;0,"ATENÇÃO",IF(K516&lt;=5,"BOM","EXCELENTE")))</f>
        <v/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IF(C517="Técnico III","35",IF(C517="Técnico II","28",IF(C517="Técnico I","23",IF(C517="JR","20",IF(C517="Estágio","10",)))))</f>
        <v/>
      </c>
      <c r="K517" s="3">
        <f>I517-J517</f>
        <v/>
      </c>
      <c r="L517" s="3">
        <f>IF(K517&lt;-5,"CRÍTICO",IF(K517&lt;0,"ATENÇÃO",IF(K517&lt;=5,"BOM","EXCELENTE")))</f>
        <v/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IF(C518="Técnico III","35",IF(C518="Técnico II","28",IF(C518="Técnico I","23",IF(C518="JR","20",IF(C518="Estágio","10",)))))</f>
        <v/>
      </c>
      <c r="K518" s="3">
        <f>I518-J518</f>
        <v/>
      </c>
      <c r="L518" s="3">
        <f>IF(K518&lt;-5,"CRÍTICO",IF(K518&lt;0,"ATENÇÃO",IF(K518&lt;=5,"BOM","EXCELENTE")))</f>
        <v/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IF(C519="Técnico III","35",IF(C519="Técnico II","28",IF(C519="Técnico I","23",IF(C519="JR","20",IF(C519="Estágio","10",)))))</f>
        <v/>
      </c>
      <c r="K519" s="3">
        <f>I519-J519</f>
        <v/>
      </c>
      <c r="L519" s="3">
        <f>IF(K519&lt;-5,"CRÍTICO",IF(K519&lt;0,"ATENÇÃO",IF(K519&lt;=5,"BOM","EXCELENTE")))</f>
        <v/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IF(C520="Técnico III","35",IF(C520="Técnico II","28",IF(C520="Técnico I","23",IF(C520="JR","20",IF(C520="Estágio","10",)))))</f>
        <v/>
      </c>
      <c r="K520" s="3">
        <f>I520-J520</f>
        <v/>
      </c>
      <c r="L520" s="3">
        <f>IF(K520&lt;-5,"CRÍTICO",IF(K520&lt;0,"ATENÇÃO",IF(K520&lt;=5,"BOM","EXCELENTE")))</f>
        <v/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IF(C521="Técnico III","35",IF(C521="Técnico II","28",IF(C521="Técnico I","23",IF(C521="JR","20",IF(C521="Estágio","10",)))))</f>
        <v/>
      </c>
      <c r="K521" s="3">
        <f>I521-J521</f>
        <v/>
      </c>
      <c r="L521" s="3">
        <f>IF(K521&lt;-5,"CRÍTICO",IF(K521&lt;0,"ATENÇÃO",IF(K521&lt;=5,"BOM","EXCELENTE")))</f>
        <v/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IF(C522="Técnico III","35",IF(C522="Técnico II","28",IF(C522="Técnico I","23",IF(C522="JR","20",IF(C522="Estágio","10",)))))</f>
        <v/>
      </c>
      <c r="K522" s="3">
        <f>I522-J522</f>
        <v/>
      </c>
      <c r="L522" s="3">
        <f>IF(K522&lt;-5,"CRÍTICO",IF(K522&lt;0,"ATENÇÃO",IF(K522&lt;=5,"BOM","EXCELENTE")))</f>
        <v/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IF(C523="Técnico III","35",IF(C523="Técnico II","28",IF(C523="Técnico I","23",IF(C523="JR","20",IF(C523="Estágio","10",)))))</f>
        <v/>
      </c>
      <c r="K523" s="3">
        <f>I523-J523</f>
        <v/>
      </c>
      <c r="L523" s="3">
        <f>IF(K523&lt;-5,"CRÍTICO",IF(K523&lt;0,"ATENÇÃO",IF(K523&lt;=5,"BOM","EXCELENTE")))</f>
        <v/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IF(C524="Técnico III","35",IF(C524="Técnico II","28",IF(C524="Técnico I","23",IF(C524="JR","20",IF(C524="Estágio","10",)))))</f>
        <v/>
      </c>
      <c r="K524" s="3">
        <f>I524-J524</f>
        <v/>
      </c>
      <c r="L524" s="3">
        <f>IF(K524&lt;-5,"CRÍTICO",IF(K524&lt;0,"ATENÇÃO",IF(K524&lt;=5,"BOM","EXCELENTE")))</f>
        <v/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IF(C525="Técnico III","35",IF(C525="Técnico II","28",IF(C525="Técnico I","23",IF(C525="JR","20",IF(C525="Estágio","10",)))))</f>
        <v/>
      </c>
      <c r="K525" s="3">
        <f>I525-J525</f>
        <v/>
      </c>
      <c r="L525" s="3">
        <f>IF(K525&lt;-5,"CRÍTICO",IF(K525&lt;0,"ATENÇÃO",IF(K525&lt;=5,"BOM","EXCELENTE")))</f>
        <v/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IF(C526="Técnico III","35",IF(C526="Técnico II","28",IF(C526="Técnico I","23",IF(C526="JR","20",IF(C526="Estágio","10",)))))</f>
        <v/>
      </c>
      <c r="K526" s="3">
        <f>I526-J526</f>
        <v/>
      </c>
      <c r="L526" s="3">
        <f>IF(K526&lt;-5,"CRÍTICO",IF(K526&lt;0,"ATENÇÃO",IF(K526&lt;=5,"BOM","EXCELENTE")))</f>
        <v/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IF(C527="Técnico III","35",IF(C527="Técnico II","28",IF(C527="Técnico I","23",IF(C527="JR","20",IF(C527="Estágio","10",)))))</f>
        <v/>
      </c>
      <c r="K527" s="3">
        <f>I527-J527</f>
        <v/>
      </c>
      <c r="L527" s="3">
        <f>IF(K527&lt;-5,"CRÍTICO",IF(K527&lt;0,"ATENÇÃO",IF(K527&lt;=5,"BOM","EXCELENTE")))</f>
        <v/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IF(C528="Técnico III","35",IF(C528="Técnico II","28",IF(C528="Técnico I","23",IF(C528="JR","20",IF(C528="Estágio","10",)))))</f>
        <v/>
      </c>
      <c r="K528" s="3">
        <f>I528-J528</f>
        <v/>
      </c>
      <c r="L528" s="3">
        <f>IF(K528&lt;-5,"CRÍTICO",IF(K528&lt;0,"ATENÇÃO",IF(K528&lt;=5,"BOM","EXCELENTE")))</f>
        <v/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IF(C529="Técnico III","35",IF(C529="Técnico II","28",IF(C529="Técnico I","23",IF(C529="JR","20",IF(C529="Estágio","10",)))))</f>
        <v/>
      </c>
      <c r="K529" s="3">
        <f>I529-J529</f>
        <v/>
      </c>
      <c r="L529" s="3">
        <f>IF(K529&lt;-5,"CRÍTICO",IF(K529&lt;0,"ATENÇÃO",IF(K529&lt;=5,"BOM","EXCELENTE")))</f>
        <v/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IF(C530="Técnico III","35",IF(C530="Técnico II","28",IF(C530="Técnico I","23",IF(C530="JR","20",IF(C530="Estágio","10",)))))</f>
        <v/>
      </c>
      <c r="K530" s="3">
        <f>I530-J530</f>
        <v/>
      </c>
      <c r="L530" s="3">
        <f>IF(K530&lt;-5,"CRÍTICO",IF(K530&lt;0,"ATENÇÃO",IF(K530&lt;=5,"BOM","EXCELENTE")))</f>
        <v/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9">
        <f>IF(C531="Técnico III","35",IF(C531="Técnico II","28",IF(C531="Técnico I","23",IF(C531="JR","20",IF(C531="Estágio","10")))))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100</v>
      </c>
      <c r="O531" s="3" t="n">
        <v>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>
        <f>E532+G532+H532</f>
        <v/>
      </c>
      <c r="J532" s="9" t="n">
        <v>0</v>
      </c>
      <c r="K532" s="3">
        <f>I532-J532</f>
        <v/>
      </c>
      <c r="L532" s="3">
        <f>IF(K532&lt;-5,"CRÍTICO",IF(K532&lt;0,"ATENÇÃO",IF(K532&lt;=5,"OPORTUNO","MUITO BOM")))</f>
        <v/>
      </c>
      <c r="M532" s="9" t="n">
        <v>0</v>
      </c>
      <c r="N532" s="9" t="n">
        <v>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9">
        <f>IF(C533="Técnico III","35",IF(C533="Técnico II","28",IF(C533="Técnico I","23",IF(C533="JR","20",IF(C533="Estágio","10")))))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88.70999999999999</v>
      </c>
      <c r="O533" s="9" t="n">
        <v>3.85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9">
        <f>IF(C534="Técnico III","35",IF(C534="Técnico II","28",IF(C534="Técnico I","23",IF(C534="JR","20",IF(C534="Estágio","10")))))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19</v>
      </c>
      <c r="N534" s="9" t="n">
        <v>97.14</v>
      </c>
      <c r="O534" s="9" t="n">
        <v>15.38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9">
        <f>IF(C535="Técnico III","35",IF(C535="Técnico II","28",IF(C535="Técnico I","23",IF(C535="JR","20",IF(C535="Estágio","10")))))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98.91</v>
      </c>
      <c r="O535" s="9" t="n">
        <v>15.04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9">
        <f>IF(C536="Técnico III","35",IF(C536="Técnico II","28",IF(C536="Técnico I","23",IF(C536="JR","20",IF(C536="Estágio","10")))))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98.97</v>
      </c>
      <c r="O536" s="9" t="n">
        <v>12.81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9">
        <f>IF(C537="Técnico III","35",IF(C537="Técnico II","28",IF(C537="Técnico I","23",IF(C537="JR","20",IF(C537="Estágio","10")))))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98.53</v>
      </c>
      <c r="O537" s="9" t="n">
        <v>14.33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9">
        <f>IF(C538="Técnico III","35",IF(C538="Técnico II","28",IF(C538="Técnico I","23",IF(C538="JR","20",IF(C538="Estágio","10")))))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</v>
      </c>
      <c r="O538" s="9" t="n">
        <v>18.18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9">
        <f>IF(C539="Técnico III","35",IF(C539="Técnico II","28",IF(C539="Técnico I","23",IF(C539="JR","20",IF(C539="Estágio","10")))))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96.25</v>
      </c>
      <c r="O539" s="9" t="n">
        <v>16.45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9">
        <f>IF(C540="Técnico III","35",IF(C540="Técnico II","28",IF(C540="Técnico I","23",IF(C540="JR","20",IF(C540="Estágio","10")))))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92.23999999999999</v>
      </c>
      <c r="O540" s="9" t="n">
        <v>18.99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>
        <f>E541+G541+H541</f>
        <v/>
      </c>
      <c r="J541" s="9">
        <f>IF(C541="Técnico III","35",IF(C541="Técnico II","28",IF(C541="Técnico I","23",IF(C541="JR","20",IF(C541="Estágio","10")))))</f>
        <v/>
      </c>
      <c r="K541" s="3">
        <f>I541-J541</f>
        <v/>
      </c>
      <c r="L541" s="3">
        <f>IF(K541&lt;-5,"CRÍTICO",IF(K541&lt;0,"ATENÇÃO",IF(K541&lt;=5,"OPORTUNO","MUITO BOM")))</f>
        <v/>
      </c>
      <c r="M541" s="9" t="n">
        <v>0</v>
      </c>
      <c r="N541" s="9" t="n">
        <v>0</v>
      </c>
      <c r="O541" s="9" t="n">
        <v>0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9">
        <f>IF(C542="Técnico III","35",IF(C542="Técnico II","28",IF(C542="Técnico I","23",IF(C542="JR","20",IF(C542="Estágio","10")))))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18.06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>
        <f>E543+G543+H543</f>
        <v/>
      </c>
      <c r="J543" s="9">
        <f>IF(C543="Técnico III","35",IF(C543="Técnico II","28",IF(C543="Técnico I","23",IF(C543="JR","20",IF(C543="Estágio","10")))))</f>
        <v/>
      </c>
      <c r="K543" s="3">
        <f>I543-J543</f>
        <v/>
      </c>
      <c r="L543" s="3">
        <f>IF(K543&lt;-5,"CRÍTICO",IF(K543&lt;0,"ATENÇÃO",IF(K543&lt;=5,"OPORTUNO","MUITO BOM")))</f>
        <v/>
      </c>
      <c r="M543" s="9" t="n">
        <v>0</v>
      </c>
      <c r="N543" s="9" t="n">
        <v>98.89</v>
      </c>
      <c r="O543" s="9" t="n">
        <v>18.68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9">
        <f>IF(C544="Técnico III","35",IF(C544="Técnico II","28",IF(C544="Técnico I","23",IF(C544="JR","20",IF(C544="Estágio","10")))))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42.11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9">
        <f>IF(C545="Técnico III","35",IF(C545="Técnico II","28",IF(C545="Técnico I","23",IF(C545="JR","20",IF(C545="Estágio","10")))))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13.58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>
        <f>E546+G546+H546</f>
        <v/>
      </c>
      <c r="J546" s="9">
        <f>IF(C546="Técnico III","35",IF(C546="Técnico II","28",IF(C546="Técnico I","23",IF(C546="JR","20",IF(C546="Estágio","10")))))</f>
        <v/>
      </c>
      <c r="K546" s="3">
        <f>I546-J546</f>
        <v/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9.09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>
        <f>E547+G547+H547</f>
        <v/>
      </c>
      <c r="J547" s="9">
        <f>IF(C547="Técnico III","35",IF(C547="Técnico II","28",IF(C547="Técnico I","23",IF(C547="JR","20",IF(C547="Estágio","10")))))</f>
        <v/>
      </c>
      <c r="K547" s="3">
        <f>I547-J547</f>
        <v/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</v>
      </c>
    </row>
    <row r="548" hidden="1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9">
        <f>IF(C548="Técnico III","35",IF(C548="Técnico II","28",IF(C548="Técnico I","23",IF(C548="JR","20",IF(C548="Estágio","10")))))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0</v>
      </c>
      <c r="N548" s="9" t="n">
        <v>0</v>
      </c>
      <c r="O548" s="9" t="n">
        <v>0</v>
      </c>
    </row>
    <row r="549" hidden="1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9">
        <f>IF(C549="Técnico III","35",IF(C549="Técnico II","28",IF(C549="Técnico I","23",IF(C549="JR","20",IF(C549="Estágio","10")))))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100</v>
      </c>
      <c r="O549" s="9" t="n">
        <v>14.78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9">
        <f>IF(C550="Técnico III","35",IF(C550="Técnico II","28",IF(C550="Técnico I","23",IF(C550="JR","20",IF(C550="Estágio","10")))))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98.15000000000001</v>
      </c>
      <c r="O550" s="9" t="n">
        <v>12.04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9">
        <f>IF(C551="Técnico III","35",IF(C551="Técnico II","28",IF(C551="Técnico I","23",IF(C551="JR","20",IF(C551="Estágio","10")))))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99.15000000000001</v>
      </c>
      <c r="O551" s="9" t="n">
        <v>14.47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9">
        <f>IF(C552="Técnico III","35",IF(C552="Técnico II","28",IF(C552="Técnico I","23",IF(C552="JR","20",IF(C552="Estágio","10")))))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93.94</v>
      </c>
      <c r="O552" s="9" t="n">
        <v>17.09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9">
        <f>IF(C553="Técnico III","35",IF(C553="Técnico II","28",IF(C553="Técnico I","23",IF(C553="JR","20",IF(C553="Estágio","10")))))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100</v>
      </c>
      <c r="O553" s="9" t="n">
        <v>14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>
        <f>E554+G554+H554</f>
        <v/>
      </c>
      <c r="J554" s="9">
        <f>IF(C554="Técnico III","35",IF(C554="Técnico II","28",IF(C554="Técnico I","23",IF(C554="JR","20",IF(C554="Estágio","10")))))</f>
        <v/>
      </c>
      <c r="K554" s="3">
        <f>I554-J554</f>
        <v/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9">
        <f>IF(C555="Técnico III","35",IF(C555="Técnico II","28",IF(C555="Técnico I","23",IF(C555="JR","20",IF(C555="Estágio","10")))))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96.48999999999999</v>
      </c>
      <c r="O555" s="9" t="n">
        <v>12.82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9">
        <f>IF(C556="Técnico III","35",IF(C556="Técnico II","28",IF(C556="Técnico I","23",IF(C556="JR","20",IF(C556="Estágio","10")))))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97.06</v>
      </c>
      <c r="O556" s="9" t="n">
        <v>10.34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9">
        <f>IF(C557="Técnico III","35",IF(C557="Técnico II","28",IF(C557="Técnico I","23",IF(C557="JR","20",IF(C557="Estágio","10")))))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14.47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9">
        <f>IF(C558="Técnico III","35",IF(C558="Técnico II","28",IF(C558="Técnico I","23",IF(C558="JR","20",IF(C558="Estágio","10")))))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11.56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9">
        <f>IF(C559="Técnico III","35",IF(C559="Técnico II","28",IF(C559="Técnico I","23",IF(C559="JR","20",IF(C559="Estágio","10")))))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98.28</v>
      </c>
      <c r="O559" s="9" t="n">
        <v>14.43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9">
        <f>IF(C560="Técnico III","35",IF(C560="Técnico II","28",IF(C560="Técnico I","23",IF(C560="JR","20",IF(C560="Estágio","10")))))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17.11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9">
        <f>IF(C561="Técnico III","35",IF(C561="Técnico II","28",IF(C561="Técnico I","23",IF(C561="JR","20",IF(C561="Estágio","10")))))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0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9">
        <f>IF(C562="Técnico III","35",IF(C562="Técnico II","28",IF(C562="Técnico I","23",IF(C562="JR","20",IF(C562="Estágio","10")))))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92.95999999999999</v>
      </c>
      <c r="O562" s="9" t="n">
        <v>16.89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9">
        <f>IF(C563="Técnico III","35",IF(C563="Técnico II","28",IF(C563="Técnico I","23",IF(C563="JR","20",IF(C563="Estágio","10")))))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8.9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9">
        <f>IF(C564="Técnico III","35",IF(C564="Técnico II","28",IF(C564="Técnico I","23",IF(C564="JR","20",IF(C564="Estágio","10")))))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0</v>
      </c>
      <c r="N564" s="9" t="n">
        <v>100</v>
      </c>
      <c r="O564" s="9" t="n">
        <v>29.17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9">
        <f>IF(C565="Técnico III","35",IF(C565="Técnico II","28",IF(C565="Técnico I","23",IF(C565="JR","20",IF(C565="Estágio","10")))))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97.8</v>
      </c>
      <c r="O565" s="9" t="n">
        <v>16.62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9">
        <f>IF(C566="Técnico III","35",IF(C566="Técnico II","28",IF(C566="Técnico I","23",IF(C566="JR","20",IF(C566="Estágio","10")))))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11.7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9">
        <f>IF(C567="Técnico III","35",IF(C567="Técnico II","28",IF(C567="Técnico I","23",IF(C567="JR","20",IF(C567="Estágio","10")))))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100</v>
      </c>
      <c r="O567" s="9" t="n">
        <v>13.83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>
        <f>E568+G568+H568</f>
        <v/>
      </c>
      <c r="J568" s="9">
        <f>IF(C568="Técnico III","35",IF(C568="Técnico II","28",IF(C568="Técnico I","23",IF(C568="JR","20",IF(C568="Estágio","10")))))</f>
        <v/>
      </c>
      <c r="K568" s="3">
        <f>I568-J568</f>
        <v/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14.49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9">
        <f>IF(C569="Técnico III","35",IF(C569="Técnico II","28",IF(C569="Técnico I","23",IF(C569="JR","20",IF(C569="Estágio","10")))))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17.02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9">
        <f>IF(C570="Técnico III","35",IF(C570="Técnico II","28",IF(C570="Técnico I","23",IF(C570="JR","20",IF(C570="Estágio","10")))))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13.04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9">
        <f>IF(C571="Técnico III","35",IF(C571="Técnico II","28",IF(C571="Técnico I","23",IF(C571="JR","20",IF(C571="Estágio","10")))))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97.87</v>
      </c>
      <c r="O571" s="9" t="n">
        <v>19.32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9">
        <f>IF(C572="Técnico III","35",IF(C572="Técnico II","28",IF(C572="Técnico I","23",IF(C572="JR","20",IF(C572="Estágio","10")))))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96.88</v>
      </c>
      <c r="O572" s="9" t="n">
        <v>15.74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9">
        <f>IF(C573="Técnico III","35",IF(C573="Técnico II","28",IF(C573="Técnico I","23",IF(C573="JR","20",IF(C573="Estágio","10")))))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99.09999999999999</v>
      </c>
      <c r="O573" s="9" t="n">
        <v>19.32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9">
        <f>IF(C574="Técnico III","35",IF(C574="Técnico II","28",IF(C574="Técnico I","23",IF(C574="JR","20",IF(C574="Estágio","10")))))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13.02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9">
        <f>IF(C575="Técnico III","35",IF(C575="Técnico II","28",IF(C575="Técnico I","23",IF(C575="JR","20",IF(C575="Estágio","10")))))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96.83</v>
      </c>
      <c r="O575" s="9" t="n">
        <v>14.33</v>
      </c>
    </row>
    <row r="576">
      <c r="A576" s="5" t="n">
        <v>46163</v>
      </c>
      <c r="B576" s="8" t="inlineStr">
        <is>
          <t>Alisson de Freitas Silva</t>
        </is>
      </c>
      <c r="C576" s="9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9">
        <f>IF(C576="Técnico III","35",IF(C576="Técnico II","28",IF(C576="Técnico I","23",IF(C576="JR","20",IF(C576="Estágio","10")))))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100</v>
      </c>
      <c r="O576" s="3" t="n">
        <v>5.88</v>
      </c>
    </row>
    <row r="577">
      <c r="A577" s="5" t="n">
        <v>46163</v>
      </c>
      <c r="B577" s="8" t="inlineStr">
        <is>
          <t>Amanda Moura Ferreira</t>
        </is>
      </c>
      <c r="C577" s="9" t="inlineStr">
        <is>
          <t>Técnico III</t>
        </is>
      </c>
      <c r="D577" s="3" t="n">
        <v>4</v>
      </c>
      <c r="E577" s="3" t="n">
        <v>4</v>
      </c>
      <c r="F577" s="3" t="n">
        <v>12.1</v>
      </c>
      <c r="G577" s="3" t="n">
        <v>0</v>
      </c>
      <c r="H577" s="3" t="n">
        <v>0</v>
      </c>
      <c r="I577" s="3">
        <f>E577+G577+H577</f>
        <v/>
      </c>
      <c r="J577" s="9">
        <f>IF(C577="Técnico III","35",IF(C577="Técnico II","28",IF(C577="Técnico I","23",IF(C577="JR","20",IF(C577="Estágio","10")))))</f>
        <v/>
      </c>
      <c r="K577" s="3">
        <f>I577-J577</f>
        <v/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>
      <c r="A578" s="5" t="n">
        <v>46163</v>
      </c>
      <c r="B578" s="8" t="inlineStr">
        <is>
          <t>Ana Karollyne Souza Faria</t>
        </is>
      </c>
      <c r="C578" s="9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9">
        <f>IF(C578="Técnico III","35",IF(C578="Técnico II","28",IF(C578="Técnico I","23",IF(C578="JR","20",IF(C578="Estágio","10")))))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100</v>
      </c>
      <c r="O578" s="3" t="n">
        <v>4.76</v>
      </c>
    </row>
    <row r="579">
      <c r="A579" s="5" t="n">
        <v>46163</v>
      </c>
      <c r="B579" s="8" t="inlineStr">
        <is>
          <t>Ana Paula Da Luz Silva Aleixo</t>
        </is>
      </c>
      <c r="C579" s="9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9">
        <f>IF(C579="Técnico III","35",IF(C579="Técnico II","28",IF(C579="Técnico I","23",IF(C579="JR","20",IF(C579="Estágio","10")))))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87.5</v>
      </c>
      <c r="O579" s="3" t="n">
        <v>0</v>
      </c>
    </row>
    <row r="580">
      <c r="A580" s="5" t="n">
        <v>46163</v>
      </c>
      <c r="B580" s="8" t="inlineStr">
        <is>
          <t>Anna Luiza Rezende Tavares</t>
        </is>
      </c>
      <c r="C580" s="9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9">
        <f>IF(C580="Técnico III","35",IF(C580="Técnico II","28",IF(C580="Técnico I","23",IF(C580="JR","20",IF(C580="Estágio","10")))))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100</v>
      </c>
      <c r="O580" s="3" t="n">
        <v>5</v>
      </c>
    </row>
    <row r="581">
      <c r="A581" s="5" t="n">
        <v>46163</v>
      </c>
      <c r="B581" s="8" t="inlineStr">
        <is>
          <t>Brenda de Menezes Silva</t>
        </is>
      </c>
      <c r="C581" s="9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9">
        <f>IF(C581="Técnico III","35",IF(C581="Técnico II","28",IF(C581="Técnico I","23",IF(C581="JR","20",IF(C581="Estágio","10")))))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100</v>
      </c>
      <c r="O581" s="3" t="n">
        <v>0</v>
      </c>
    </row>
    <row r="582">
      <c r="A582" s="5" t="n">
        <v>46163</v>
      </c>
      <c r="B582" s="8" t="inlineStr">
        <is>
          <t>Carlos Mateus Cassimiro Nunes</t>
        </is>
      </c>
      <c r="C582" s="9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9">
        <f>IF(C582="Técnico III","35",IF(C582="Técnico II","28",IF(C582="Técnico I","23",IF(C582="JR","20",IF(C582="Estágio","10")))))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100</v>
      </c>
      <c r="O582" s="3" t="n">
        <v>9.52</v>
      </c>
    </row>
    <row r="583">
      <c r="A583" s="5" t="n">
        <v>46163</v>
      </c>
      <c r="B583" s="8" t="inlineStr">
        <is>
          <t>Claudio de Sousa Velasco Filho</t>
        </is>
      </c>
      <c r="C583" s="9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9">
        <f>IF(C583="Técnico III","35",IF(C583="Técnico II","28",IF(C583="Técnico I","23",IF(C583="JR","20",IF(C583="Estágio","10")))))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100</v>
      </c>
      <c r="O583" s="3" t="n">
        <v>0</v>
      </c>
    </row>
    <row r="584">
      <c r="A584" s="5" t="n">
        <v>46163</v>
      </c>
      <c r="B584" s="8" t="inlineStr">
        <is>
          <t>Clessiane Pereira dos Santos</t>
        </is>
      </c>
      <c r="C584" s="9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9">
        <f>IF(C584="Técnico III","35",IF(C584="Técnico II","28",IF(C584="Técnico I","23",IF(C584="JR","20",IF(C584="Estágio","10")))))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100</v>
      </c>
      <c r="O584" s="3" t="n">
        <v>0</v>
      </c>
    </row>
    <row r="585">
      <c r="A585" s="5" t="n">
        <v>46163</v>
      </c>
      <c r="B585" s="8" t="inlineStr">
        <is>
          <t>Cristiane Ramos da Silva Rocha</t>
        </is>
      </c>
      <c r="C585" s="9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9">
        <f>IF(C585="Técnico III","35",IF(C585="Técnico II","28",IF(C585="Técnico I","23",IF(C585="JR","20",IF(C585="Estágio","10")))))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100</v>
      </c>
      <c r="O585" s="3" t="n">
        <v>10</v>
      </c>
    </row>
    <row r="586">
      <c r="A586" s="5" t="n">
        <v>46163</v>
      </c>
      <c r="B586" s="8" t="inlineStr">
        <is>
          <t>Damyllis Lorraine de Oliveira Gonçalves</t>
        </is>
      </c>
      <c r="C586" s="9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>
        <f>E586+G586+H586</f>
        <v/>
      </c>
      <c r="J586" s="9">
        <f>IF(C586="Técnico III","35",IF(C586="Técnico II","28",IF(C586="Técnico I","23",IF(C586="JR","20",IF(C586="Estágio","10")))))</f>
        <v/>
      </c>
      <c r="K586" s="3">
        <f>I586-J586</f>
        <v/>
      </c>
      <c r="L586" s="3">
        <f>IF(K586&lt;-5,"CRÍTICO",IF(K586&lt;0,"ATENÇÃO",IF(K586&lt;=5,"OPORTUNO","MUITO BOM")))</f>
        <v/>
      </c>
      <c r="M586" s="3" t="n">
        <v>0</v>
      </c>
      <c r="N586" s="3" t="n">
        <v>100</v>
      </c>
      <c r="O586" s="3" t="n">
        <v>0</v>
      </c>
    </row>
    <row r="587">
      <c r="A587" s="5" t="n">
        <v>46163</v>
      </c>
      <c r="B587" s="8" t="inlineStr">
        <is>
          <t>Daniel Gomes da Silva</t>
        </is>
      </c>
      <c r="C587" s="9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9">
        <f>IF(C587="Técnico III","35",IF(C587="Técnico II","28",IF(C587="Técnico I","23",IF(C587="JR","20",IF(C587="Estágio","10")))))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0</v>
      </c>
    </row>
    <row r="588">
      <c r="A588" s="5" t="n">
        <v>46163</v>
      </c>
      <c r="B588" s="8" t="inlineStr">
        <is>
          <t>Davylla Rodrigues Freitas Silva</t>
        </is>
      </c>
      <c r="C588" s="9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>
        <f>E588+G588+H588</f>
        <v/>
      </c>
      <c r="J588" s="9">
        <f>IF(C588="Técnico III","35",IF(C588="Técnico II","28",IF(C588="Técnico I","23",IF(C588="JR","20",IF(C588="Estágio","10")))))</f>
        <v/>
      </c>
      <c r="K588" s="3">
        <f>I588-J588</f>
        <v/>
      </c>
      <c r="L588" s="3">
        <f>IF(K588&lt;-5,"CRÍTICO",IF(K588&lt;0,"ATENÇÃO",IF(K588&lt;=5,"OPORTUNO","MUITO BOM")))</f>
        <v/>
      </c>
      <c r="M588" s="3" t="n">
        <v>0</v>
      </c>
      <c r="N588" s="3" t="n">
        <v>100</v>
      </c>
      <c r="O588" s="3" t="n">
        <v>0</v>
      </c>
    </row>
    <row r="589">
      <c r="A589" s="5" t="n">
        <v>46163</v>
      </c>
      <c r="B589" s="8" t="inlineStr">
        <is>
          <t>Emilly Caylane Costa</t>
        </is>
      </c>
      <c r="C589" s="9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9">
        <f>IF(C589="Técnico III","35",IF(C589="Técnico II","28",IF(C589="Técnico I","23",IF(C589="JR","20",IF(C589="Estágio","10")))))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7</v>
      </c>
      <c r="N589" s="3" t="n">
        <v>100</v>
      </c>
      <c r="O589" s="3" t="n">
        <v>0</v>
      </c>
    </row>
    <row r="590">
      <c r="A590" s="5" t="n">
        <v>46163</v>
      </c>
      <c r="B590" s="8" t="inlineStr">
        <is>
          <t>Emilly Kamilly Medeiros Miranda</t>
        </is>
      </c>
      <c r="C590" s="9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9">
        <f>IF(C590="Técnico III","35",IF(C590="Técnico II","28",IF(C590="Técnico I","23",IF(C590="JR","20",IF(C590="Estágio","10")))))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0</v>
      </c>
    </row>
    <row r="591">
      <c r="A591" s="5" t="n">
        <v>46163</v>
      </c>
      <c r="B591" s="8" t="inlineStr">
        <is>
          <t>Francielson de Oliveira</t>
        </is>
      </c>
      <c r="C591" s="9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>
        <f>E591+G591+H591</f>
        <v/>
      </c>
      <c r="J591" s="9">
        <f>IF(C591="Técnico III","35",IF(C591="Técnico II","28",IF(C591="Técnico I","23",IF(C591="JR","20",IF(C591="Estágio","10")))))</f>
        <v/>
      </c>
      <c r="K591" s="3">
        <f>I591-J591</f>
        <v/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0</v>
      </c>
    </row>
    <row r="592">
      <c r="A592" s="5" t="n">
        <v>46163</v>
      </c>
      <c r="B592" s="8" t="inlineStr">
        <is>
          <t>Francilene Ferreira de Jesus</t>
        </is>
      </c>
      <c r="C592" s="9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>
        <f>E592+G592+H592</f>
        <v/>
      </c>
      <c r="J592" s="9">
        <f>IF(C592="Técnico III","35",IF(C592="Técnico II","28",IF(C592="Técnico I","23",IF(C592="JR","20",IF(C592="Estágio","10")))))</f>
        <v/>
      </c>
      <c r="K592" s="3">
        <f>I592-J592</f>
        <v/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0</v>
      </c>
    </row>
    <row r="593">
      <c r="A593" s="5" t="n">
        <v>46163</v>
      </c>
      <c r="B593" s="8" t="inlineStr">
        <is>
          <t>Gabriel Alves</t>
        </is>
      </c>
      <c r="C593" s="9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>
        <f>E593+G593+H593</f>
        <v/>
      </c>
      <c r="J593" s="9">
        <f>IF(C593="Técnico III","35",IF(C593="Técnico II","28",IF(C593="Técnico I","23",IF(C593="JR","20",IF(C593="Estágio","10")))))</f>
        <v/>
      </c>
      <c r="K593" s="3">
        <f>I593-J593</f>
        <v/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0</v>
      </c>
    </row>
    <row r="594">
      <c r="A594" s="5" t="n">
        <v>46163</v>
      </c>
      <c r="B594" s="8" t="inlineStr">
        <is>
          <t>Gabriel Gomes de Andrade</t>
        </is>
      </c>
      <c r="C594" s="9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9">
        <f>IF(C594="Técnico III","35",IF(C594="Técnico II","28",IF(C594="Técnico I","23",IF(C594="JR","20",IF(C594="Estágio","10")))))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87.5</v>
      </c>
      <c r="O594" s="3" t="n">
        <v>0</v>
      </c>
    </row>
    <row r="595">
      <c r="A595" s="5" t="n">
        <v>46163</v>
      </c>
      <c r="B595" s="8" t="inlineStr">
        <is>
          <t>Isabella Borges de Oliveira</t>
        </is>
      </c>
      <c r="C595" s="9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9">
        <f>IF(C595="Técnico III","35",IF(C595="Técnico II","28",IF(C595="Técnico I","23",IF(C595="JR","20",IF(C595="Estágio","10")))))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100</v>
      </c>
      <c r="O595" s="3" t="n">
        <v>0</v>
      </c>
    </row>
    <row r="596">
      <c r="A596" s="5" t="n">
        <v>46163</v>
      </c>
      <c r="B596" s="8" t="inlineStr">
        <is>
          <t>Janaina Lima dos Reis Urany</t>
        </is>
      </c>
      <c r="C596" s="9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9">
        <f>IF(C596="Técnico III","35",IF(C596="Técnico II","28",IF(C596="Técnico I","23",IF(C596="JR","20",IF(C596="Estágio","10")))))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94.73999999999999</v>
      </c>
      <c r="O596" s="3" t="n">
        <v>3.57</v>
      </c>
    </row>
    <row r="597">
      <c r="A597" s="5" t="n">
        <v>46163</v>
      </c>
      <c r="B597" s="8" t="inlineStr">
        <is>
          <t>Jaqueline Evangelista da Silva Martins</t>
        </is>
      </c>
      <c r="C597" s="9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9">
        <f>IF(C597="Técnico III","35",IF(C597="Técnico II","28",IF(C597="Técnico I","23",IF(C597="JR","20",IF(C597="Estágio","10")))))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100</v>
      </c>
      <c r="O597" s="3" t="n">
        <v>0</v>
      </c>
    </row>
    <row r="598">
      <c r="A598" s="5" t="n">
        <v>46163</v>
      </c>
      <c r="B598" s="8" t="inlineStr">
        <is>
          <t>Jessica Faria da Silveira</t>
        </is>
      </c>
      <c r="C598" s="9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9">
        <f>IF(C598="Técnico III","35",IF(C598="Técnico II","28",IF(C598="Técnico I","23",IF(C598="JR","20",IF(C598="Estágio","10")))))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87.5</v>
      </c>
      <c r="O598" s="3" t="n">
        <v>0</v>
      </c>
    </row>
    <row r="599">
      <c r="A599" s="5" t="n">
        <v>46163</v>
      </c>
      <c r="B599" s="8" t="inlineStr">
        <is>
          <t>Jéssica Fé Moura</t>
        </is>
      </c>
      <c r="C599" s="9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>
        <f>E599+G599+H599</f>
        <v/>
      </c>
      <c r="J599" s="9">
        <f>IF(C599="Técnico III","35",IF(C599="Técnico II","28",IF(C599="Técnico I","23",IF(C599="JR","20",IF(C599="Estágio","10")))))</f>
        <v/>
      </c>
      <c r="K599" s="3">
        <f>I599-J599</f>
        <v/>
      </c>
      <c r="L599" s="3">
        <f>IF(K599&lt;-5,"CRÍTICO",IF(K599&lt;0,"ATENÇÃO",IF(K599&lt;=5,"OPORTUNO","MUITO BOM")))</f>
        <v/>
      </c>
      <c r="M599" s="3" t="n">
        <v>0</v>
      </c>
      <c r="N599" s="3" t="n">
        <v>100</v>
      </c>
      <c r="O599" s="3" t="n">
        <v>0</v>
      </c>
    </row>
    <row r="600">
      <c r="A600" s="5" t="n">
        <v>46163</v>
      </c>
      <c r="B600" s="8" t="inlineStr">
        <is>
          <t>Karina Gonçalves Martins</t>
        </is>
      </c>
      <c r="C600" s="9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9">
        <f>IF(C600="Técnico III","35",IF(C600="Técnico II","28",IF(C600="Técnico I","23",IF(C600="JR","20",IF(C600="Estágio","10")))))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100</v>
      </c>
      <c r="O600" s="3" t="n">
        <v>0</v>
      </c>
    </row>
    <row r="601">
      <c r="A601" s="5" t="n">
        <v>46163</v>
      </c>
      <c r="B601" s="8" t="inlineStr">
        <is>
          <t>Kerollen Cristielly de Jesus Siqueira</t>
        </is>
      </c>
      <c r="C601" s="9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9">
        <f>IF(C601="Técnico III","35",IF(C601="Técnico II","28",IF(C601="Técnico I","23",IF(C601="JR","20",IF(C601="Estágio","10")))))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100</v>
      </c>
      <c r="O601" s="3" t="n">
        <v>4.76</v>
      </c>
    </row>
    <row r="602">
      <c r="A602" s="5" t="n">
        <v>46163</v>
      </c>
      <c r="B602" s="8" t="inlineStr">
        <is>
          <t>Leandro de Souza Silva</t>
        </is>
      </c>
      <c r="C602" s="9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9">
        <f>IF(C602="Técnico III","35",IF(C602="Técnico II","28",IF(C602="Técnico I","23",IF(C602="JR","20",IF(C602="Estágio","10")))))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0</v>
      </c>
    </row>
    <row r="603">
      <c r="A603" s="5" t="n">
        <v>46163</v>
      </c>
      <c r="B603" s="8" t="inlineStr">
        <is>
          <t>Leandro Oliveira de Sousa</t>
        </is>
      </c>
      <c r="C603" s="9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9">
        <f>IF(C603="Técnico III","35",IF(C603="Técnico II","28",IF(C603="Técnico I","23",IF(C603="JR","20",IF(C603="Estágio","10")))))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5</v>
      </c>
    </row>
    <row r="604">
      <c r="A604" s="5" t="n">
        <v>46163</v>
      </c>
      <c r="B604" s="8" t="inlineStr">
        <is>
          <t>Lizandra Gomes Duarte</t>
        </is>
      </c>
      <c r="C604" s="9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9">
        <f>IF(C604="Técnico III","35",IF(C604="Técnico II","28",IF(C604="Técnico I","23",IF(C604="JR","20",IF(C604="Estágio","10")))))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100</v>
      </c>
      <c r="O604" s="3" t="n">
        <v>0</v>
      </c>
    </row>
    <row r="605">
      <c r="A605" s="5" t="n">
        <v>46163</v>
      </c>
      <c r="B605" s="8" t="inlineStr">
        <is>
          <t>Lorena Dias de Araujo</t>
        </is>
      </c>
      <c r="C605" s="9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9">
        <f>IF(C605="Técnico III","35",IF(C605="Técnico II","28",IF(C605="Técnico I","23",IF(C605="JR","20",IF(C605="Estágio","10")))))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16</v>
      </c>
      <c r="N605" s="3" t="n">
        <v>100</v>
      </c>
      <c r="O605" s="3" t="n">
        <v>18.75</v>
      </c>
    </row>
    <row r="606">
      <c r="A606" s="5" t="n">
        <v>46163</v>
      </c>
      <c r="B606" s="8" t="inlineStr">
        <is>
          <t>Lucas Luiz Romero</t>
        </is>
      </c>
      <c r="C606" s="9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9">
        <f>IF(C606="Técnico III","35",IF(C606="Técnico II","28",IF(C606="Técnico I","23",IF(C606="JR","20",IF(C606="Estágio","10")))))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0</v>
      </c>
      <c r="O606" s="3" t="n">
        <v>0</v>
      </c>
    </row>
    <row r="607">
      <c r="A607" s="5" t="n">
        <v>46163</v>
      </c>
      <c r="B607" s="8" t="inlineStr">
        <is>
          <t>Luiz Fernando de Carvalho Junior</t>
        </is>
      </c>
      <c r="C607" s="9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9">
        <f>IF(C607="Técnico III","35",IF(C607="Técnico II","28",IF(C607="Técnico I","23",IF(C607="JR","20",IF(C607="Estágio","10")))))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100</v>
      </c>
      <c r="O607" s="3" t="n">
        <v>9.52</v>
      </c>
    </row>
    <row r="608">
      <c r="A608" s="5" t="n">
        <v>46163</v>
      </c>
      <c r="B608" s="8" t="inlineStr">
        <is>
          <t>Maria Eduarda Sousa Costa</t>
        </is>
      </c>
      <c r="C608" s="9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9">
        <f>IF(C608="Técnico III","35",IF(C608="Técnico II","28",IF(C608="Técnico I","23",IF(C608="JR","20",IF(C608="Estágio","10")))))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12.5</v>
      </c>
    </row>
    <row r="609">
      <c r="A609" s="5" t="n">
        <v>46163</v>
      </c>
      <c r="B609" s="8" t="inlineStr">
        <is>
          <t>Matheus Farias De Souza</t>
        </is>
      </c>
      <c r="C609" s="9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9">
        <f>IF(C609="Técnico III","35",IF(C609="Técnico II","28",IF(C609="Técnico I","23",IF(C609="JR","20",IF(C609="Estágio","10")))))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0</v>
      </c>
      <c r="N609" s="3" t="n">
        <v>100</v>
      </c>
      <c r="O609" s="3" t="n">
        <v>0</v>
      </c>
    </row>
    <row r="610">
      <c r="A610" s="5" t="n">
        <v>46163</v>
      </c>
      <c r="B610" s="8" t="inlineStr">
        <is>
          <t>Maysa Victoria Dias Moura</t>
        </is>
      </c>
      <c r="C610" s="9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9">
        <f>IF(C610="Técnico III","35",IF(C610="Técnico II","28",IF(C610="Técnico I","23",IF(C610="JR","20",IF(C610="Estágio","10")))))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20</v>
      </c>
      <c r="N610" s="3" t="n">
        <v>83.33</v>
      </c>
      <c r="O610" s="3" t="n">
        <v>5</v>
      </c>
    </row>
    <row r="611">
      <c r="A611" s="5" t="n">
        <v>46163</v>
      </c>
      <c r="B611" s="8" t="inlineStr">
        <is>
          <t>Michelle G Santos</t>
        </is>
      </c>
      <c r="C611" s="9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9">
        <f>IF(C611="Técnico III","35",IF(C611="Técnico II","28",IF(C611="Técnico I","23",IF(C611="JR","20",IF(C611="Estágio","10")))))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0</v>
      </c>
    </row>
    <row r="612">
      <c r="A612" s="5" t="n">
        <v>46163</v>
      </c>
      <c r="B612" s="8" t="inlineStr">
        <is>
          <t>Milena Sales</t>
        </is>
      </c>
      <c r="C612" s="9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9">
        <f>IF(C612="Técnico III","35",IF(C612="Técnico II","28",IF(C612="Técnico I","23",IF(C612="JR","20",IF(C612="Estágio","10")))))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15</v>
      </c>
      <c r="N612" s="3" t="n">
        <v>100</v>
      </c>
      <c r="O612" s="3" t="n">
        <v>0</v>
      </c>
    </row>
    <row r="613">
      <c r="A613" s="5" t="n">
        <v>46163</v>
      </c>
      <c r="B613" s="8" t="inlineStr">
        <is>
          <t>Patrícia Karla de Sousa Araújo</t>
        </is>
      </c>
      <c r="C613" s="9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>
        <f>E613+G613+H613</f>
        <v/>
      </c>
      <c r="J613" s="9">
        <f>IF(C613="Técnico III","35",IF(C613="Técnico II","28",IF(C613="Técnico I","23",IF(C613="JR","20",IF(C613="Estágio","10")))))</f>
        <v/>
      </c>
      <c r="K613" s="3">
        <f>I613-J613</f>
        <v/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0</v>
      </c>
    </row>
    <row r="614">
      <c r="A614" s="5" t="n">
        <v>46163</v>
      </c>
      <c r="B614" s="8" t="inlineStr">
        <is>
          <t>Paulo Ricardo Santos</t>
        </is>
      </c>
      <c r="C614" s="9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9">
        <f>IF(C614="Técnico III","35",IF(C614="Técnico II","28",IF(C614="Técnico I","23",IF(C614="JR","20",IF(C614="Estágio","10")))))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8.33</v>
      </c>
    </row>
    <row r="615">
      <c r="A615" s="5" t="n">
        <v>46163</v>
      </c>
      <c r="B615" s="8" t="inlineStr">
        <is>
          <t>Pedro Luiz Mota Sousa</t>
        </is>
      </c>
      <c r="C615" s="9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9">
        <f>IF(C615="Técnico III","35",IF(C615="Técnico II","28",IF(C615="Técnico I","23",IF(C615="JR","20",IF(C615="Estágio","10")))))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0</v>
      </c>
    </row>
    <row r="616">
      <c r="A616" s="5" t="n">
        <v>46163</v>
      </c>
      <c r="B616" s="8" t="inlineStr">
        <is>
          <t>Quirino Diogo Leite Torres</t>
        </is>
      </c>
      <c r="C616" s="9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9">
        <f>IF(C616="Técnico III","35",IF(C616="Técnico II","28",IF(C616="Técnico I","23",IF(C616="JR","20",IF(C616="Estágio","10")))))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100</v>
      </c>
      <c r="O616" s="3" t="n">
        <v>0</v>
      </c>
    </row>
    <row r="617">
      <c r="A617" s="5" t="n">
        <v>46163</v>
      </c>
      <c r="B617" s="8" t="inlineStr">
        <is>
          <t>Raane Batista Matos</t>
        </is>
      </c>
      <c r="C617" s="9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9">
        <f>IF(C617="Técnico III","35",IF(C617="Técnico II","28",IF(C617="Técnico I","23",IF(C617="JR","20",IF(C617="Estágio","10")))))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100</v>
      </c>
      <c r="O617" s="3" t="n">
        <v>0</v>
      </c>
    </row>
    <row r="618">
      <c r="A618" s="5" t="n">
        <v>46163</v>
      </c>
      <c r="B618" s="8" t="inlineStr">
        <is>
          <t>Rafael Gomes de Morais</t>
        </is>
      </c>
      <c r="C618" s="9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9">
        <f>IF(C618="Técnico III","35",IF(C618="Técnico II","28",IF(C618="Técnico I","23",IF(C618="JR","20",IF(C618="Estágio","10")))))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100</v>
      </c>
      <c r="O618" s="3" t="n">
        <v>9.09</v>
      </c>
    </row>
    <row r="619">
      <c r="A619" s="5" t="n">
        <v>46163</v>
      </c>
      <c r="B619" s="8" t="inlineStr">
        <is>
          <t>Sara Maria Monteiro Lopes</t>
        </is>
      </c>
      <c r="C619" s="9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9">
        <f>IF(C619="Técnico III","35",IF(C619="Técnico II","28",IF(C619="Técnico I","23",IF(C619="JR","20",IF(C619="Estágio","10")))))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0</v>
      </c>
    </row>
    <row r="620">
      <c r="A620" s="5" t="n">
        <v>46163</v>
      </c>
      <c r="B620" s="8" t="inlineStr">
        <is>
          <t>Sarah Steffanie de Lima Borges</t>
        </is>
      </c>
      <c r="C620" s="9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9">
        <f>IF(C620="Técnico III","35",IF(C620="Técnico II","28",IF(C620="Técnico I","23",IF(C620="JR","20",IF(C620="Estágio","10")))))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100</v>
      </c>
      <c r="O620" s="3" t="n">
        <v>4.76</v>
      </c>
    </row>
  </sheetData>
  <autoFilter ref="A1:O620">
    <filterColumn colId="0" hiddenButton="0" showButton="1">
      <filters>
        <dateGroupItem year="2026" month="5" day="21" dateTimeGrouping="day"/>
      </filters>
    </filterColumn>
    <sortState ref="A590:O590">
      <sortCondition ref="B1:B620"/>
    </sortState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</row>
    <row r="3">
      <c r="A3" t="inlineStr">
        <is>
          <t>Amanda Moura Ferreira</t>
        </is>
      </c>
      <c r="B3" t="inlineStr">
        <is>
          <t>Amanda Moreira</t>
        </is>
      </c>
    </row>
    <row r="4">
      <c r="A4" t="inlineStr">
        <is>
          <t>Ana Karollyne Souza Faria</t>
        </is>
      </c>
      <c r="B4" t="inlineStr"/>
    </row>
    <row r="5">
      <c r="A5" t="inlineStr">
        <is>
          <t>Ana Paula Da Luz Silva Aleixo</t>
        </is>
      </c>
      <c r="B5" t="inlineStr">
        <is>
          <t>Ana Paula Aleixo</t>
        </is>
      </c>
    </row>
    <row r="6">
      <c r="A6" t="inlineStr">
        <is>
          <t>Anna Luiza Rezende Tavares</t>
        </is>
      </c>
      <c r="B6" t="inlineStr"/>
    </row>
    <row r="7">
      <c r="A7" t="inlineStr">
        <is>
          <t>Brenda de Menezes Silva</t>
        </is>
      </c>
      <c r="B7" t="inlineStr"/>
    </row>
    <row r="8">
      <c r="A8" t="inlineStr">
        <is>
          <t>Carlos Mateus Cassimiro Nunes</t>
        </is>
      </c>
      <c r="B8" t="inlineStr"/>
    </row>
    <row r="9">
      <c r="A9" t="inlineStr">
        <is>
          <t>Claudio de Sousa Velasco Filho</t>
        </is>
      </c>
      <c r="B9" t="inlineStr"/>
    </row>
    <row r="10">
      <c r="A10" t="inlineStr">
        <is>
          <t>Clessiane Pereira dos Santos</t>
        </is>
      </c>
      <c r="B10" t="inlineStr">
        <is>
          <t>Clessiane Pereira</t>
        </is>
      </c>
    </row>
    <row r="11">
      <c r="A11" t="inlineStr">
        <is>
          <t>Cristiane Ramos da Silva Rocha</t>
        </is>
      </c>
      <c r="B11" t="inlineStr"/>
    </row>
    <row r="12">
      <c r="A12" t="inlineStr">
        <is>
          <t>Damyllis Lorraine de Oliveira Gonçalves</t>
        </is>
      </c>
      <c r="B12" t="inlineStr"/>
    </row>
    <row r="13">
      <c r="A13" t="inlineStr">
        <is>
          <t>Daniel Gomes da Silva</t>
        </is>
      </c>
      <c r="B13" t="inlineStr">
        <is>
          <t>Daniel Silva</t>
        </is>
      </c>
    </row>
    <row r="14">
      <c r="A14" t="inlineStr">
        <is>
          <t>Davylla Rodrigues Freitas Silva</t>
        </is>
      </c>
      <c r="B14" t="inlineStr"/>
    </row>
    <row r="15">
      <c r="A15" t="inlineStr">
        <is>
          <t>Emilly Caylane Costa</t>
        </is>
      </c>
      <c r="B15" t="inlineStr">
        <is>
          <t>Emilly Caylane (Estagio)</t>
        </is>
      </c>
    </row>
    <row r="16">
      <c r="A16" t="inlineStr">
        <is>
          <t>Emilly Kamilly Medeiros Miranda</t>
        </is>
      </c>
      <c r="B16" t="inlineStr"/>
    </row>
    <row r="17">
      <c r="A17" t="inlineStr">
        <is>
          <t>Francielson de Oliveira</t>
        </is>
      </c>
      <c r="B17" t="inlineStr"/>
    </row>
    <row r="18">
      <c r="A18" t="inlineStr">
        <is>
          <t>Francilene Ferreira de Jesus</t>
        </is>
      </c>
      <c r="B18" t="inlineStr"/>
    </row>
    <row r="19">
      <c r="A19" t="inlineStr">
        <is>
          <t>Gabriel Alves</t>
        </is>
      </c>
      <c r="B19" t="inlineStr"/>
    </row>
    <row r="20">
      <c r="A20" t="inlineStr">
        <is>
          <t>Gabriel Gomes de Andrade</t>
        </is>
      </c>
      <c r="B20" t="inlineStr">
        <is>
          <t>Gabriel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</row>
    <row r="22">
      <c r="A22" t="inlineStr">
        <is>
          <t>Janaina Lima dos Reis Urany</t>
        </is>
      </c>
      <c r="B22" t="inlineStr">
        <is>
          <t>Janaina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</row>
    <row r="24">
      <c r="A24" t="inlineStr">
        <is>
          <t>Jessica Faria da Silveira</t>
        </is>
      </c>
      <c r="B24" t="inlineStr">
        <is>
          <t>Jessica Silveira</t>
        </is>
      </c>
    </row>
    <row r="25">
      <c r="A25" t="inlineStr">
        <is>
          <t>Jéssica Fé Moura</t>
        </is>
      </c>
      <c r="B25" t="inlineStr"/>
    </row>
    <row r="26">
      <c r="A26" t="inlineStr">
        <is>
          <t>Karina Gonçalves Martins</t>
        </is>
      </c>
      <c r="B26" t="inlineStr">
        <is>
          <t>Karina Martins</t>
        </is>
      </c>
    </row>
    <row r="27">
      <c r="A27" t="inlineStr">
        <is>
          <t>Kerollen Cristielly de Jesus Siqueira</t>
        </is>
      </c>
      <c r="B27" t="inlineStr"/>
    </row>
    <row r="28">
      <c r="A28" t="inlineStr">
        <is>
          <t>Leandro Oliveira de Sousa</t>
        </is>
      </c>
      <c r="B28" t="inlineStr">
        <is>
          <t>Leandro Sousa</t>
        </is>
      </c>
    </row>
    <row r="29">
      <c r="A29" t="inlineStr">
        <is>
          <t>Leandro de Souza Silva</t>
        </is>
      </c>
      <c r="B29" t="inlineStr">
        <is>
          <t>Leandro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</row>
    <row r="31">
      <c r="A31" t="inlineStr">
        <is>
          <t>Lorena Dias de Araujo</t>
        </is>
      </c>
      <c r="B31" t="inlineStr"/>
    </row>
    <row r="32">
      <c r="A32" t="inlineStr">
        <is>
          <t>Lucas Luiz Romero</t>
        </is>
      </c>
      <c r="B32" t="inlineStr">
        <is>
          <t>Lucas Romero</t>
        </is>
      </c>
    </row>
    <row r="33">
      <c r="A33" t="inlineStr">
        <is>
          <t>Luiz Fernando de Carvalho Junior</t>
        </is>
      </c>
      <c r="B33" t="inlineStr"/>
    </row>
    <row r="34">
      <c r="A34" t="inlineStr">
        <is>
          <t>Maria Eduarda Sousa Costa</t>
        </is>
      </c>
      <c r="B34" t="inlineStr"/>
    </row>
    <row r="35">
      <c r="A35" t="inlineStr">
        <is>
          <t>Matheus Farias De Souza</t>
        </is>
      </c>
      <c r="B35" t="inlineStr"/>
    </row>
    <row r="36">
      <c r="A36" t="inlineStr">
        <is>
          <t>Maysa Victoria Dias Moura</t>
        </is>
      </c>
      <c r="B36" t="inlineStr"/>
    </row>
    <row r="37">
      <c r="A37" t="inlineStr">
        <is>
          <t>Michelle G Santos</t>
        </is>
      </c>
      <c r="B37" t="inlineStr"/>
    </row>
    <row r="38">
      <c r="A38" t="inlineStr">
        <is>
          <t>Milena Sales</t>
        </is>
      </c>
      <c r="B38" t="inlineStr">
        <is>
          <t>Milena Sales</t>
        </is>
      </c>
    </row>
    <row r="39">
      <c r="A39" t="inlineStr">
        <is>
          <t>Patrícia Karla de Sousa Araújo</t>
        </is>
      </c>
      <c r="B39" t="inlineStr"/>
    </row>
    <row r="40">
      <c r="A40" t="inlineStr">
        <is>
          <t>Paulo Ricardo Santos</t>
        </is>
      </c>
      <c r="B40" t="inlineStr">
        <is>
          <t>Paulo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</row>
    <row r="42">
      <c r="A42" t="inlineStr">
        <is>
          <t>Quirino Diogo Leite Torres</t>
        </is>
      </c>
      <c r="B42" t="inlineStr"/>
    </row>
    <row r="43">
      <c r="A43" t="inlineStr">
        <is>
          <t>Raane Batista Matos</t>
        </is>
      </c>
      <c r="B43" t="inlineStr">
        <is>
          <t>Raane Matos</t>
        </is>
      </c>
    </row>
    <row r="44">
      <c r="A44" t="inlineStr">
        <is>
          <t>Rafael Gomes de Morais</t>
        </is>
      </c>
      <c r="B44" t="inlineStr">
        <is>
          <t>Rafael Gomes</t>
        </is>
      </c>
    </row>
    <row r="45">
      <c r="A45" t="inlineStr">
        <is>
          <t>Sara Maria Monteiro Lopes</t>
        </is>
      </c>
      <c r="B45" t="inlineStr"/>
    </row>
    <row r="46">
      <c r="A46" t="inlineStr">
        <is>
          <t>Sarah Steffanie de Lima Borges</t>
        </is>
      </c>
      <c r="B4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2026-05-22T19:42:54Z</dcterms:modified>
  <cp:lastModifiedBy>Esther Queiroz Supervisora Folha</cp:lastModifiedBy>
</cp:coreProperties>
</file>
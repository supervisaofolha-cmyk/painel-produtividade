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'Produtividade'!$A$1:$O$729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775"/>
  <sheetViews>
    <sheetView tabSelected="1" zoomScale="85" zoomScaleNormal="85" workbookViewId="0">
      <selection activeCell="G639" sqref="G639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Alisson de Freitas Silva</t>
        </is>
      </c>
      <c r="C2" s="3" t="inlineStr">
        <is>
          <t>Técnico II</t>
        </is>
      </c>
      <c r="D2" s="3" t="n">
        <v>40</v>
      </c>
      <c r="E2" s="3" t="n">
        <v>38</v>
      </c>
      <c r="F2" s="3" t="n">
        <v>8.300000000000001</v>
      </c>
      <c r="G2" s="3" t="n">
        <v>4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36</v>
      </c>
      <c r="N2" s="9" t="n">
        <v>98.94</v>
      </c>
      <c r="O2" s="9" t="n">
        <v>19.61414790996785</v>
      </c>
    </row>
    <row r="3" hidden="1">
      <c r="A3" s="5" t="n">
        <v>46146</v>
      </c>
      <c r="B3" s="6" t="inlineStr">
        <is>
          <t>Amanda Moura Ferreira</t>
        </is>
      </c>
      <c r="C3" s="3" t="inlineStr">
        <is>
          <t>Técnico III</t>
        </is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>
        <f>IF(K3&lt;-5,"CRÍTICO",IF(K3&lt;0,"ATENÇÃO",IF(K3&lt;=5,"BOM","EXCELENTE")))</f>
        <v/>
      </c>
      <c r="M3" s="9" t="n">
        <v>0</v>
      </c>
      <c r="N3" s="9" t="n">
        <v>100</v>
      </c>
      <c r="O3" s="9" t="n">
        <v>0</v>
      </c>
    </row>
    <row r="4" hidden="1">
      <c r="A4" s="5" t="n">
        <v>46146</v>
      </c>
      <c r="B4" s="6" t="inlineStr">
        <is>
          <t>Ana Karollyne Souza Faria</t>
        </is>
      </c>
      <c r="C4" s="3" t="inlineStr">
        <is>
          <t>Técnico I</t>
        </is>
      </c>
      <c r="D4" s="3" t="n">
        <v>41</v>
      </c>
      <c r="E4" s="3" t="n">
        <v>39</v>
      </c>
      <c r="F4" s="3" t="n">
        <v>10.51</v>
      </c>
      <c r="G4" s="3" t="n">
        <v>1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35</v>
      </c>
      <c r="N4" s="9" t="n">
        <v>95.38</v>
      </c>
      <c r="O4" s="9" t="n">
        <v>21.5962441314554</v>
      </c>
    </row>
    <row r="5" hidden="1">
      <c r="A5" s="5" t="n">
        <v>46146</v>
      </c>
      <c r="B5" s="6" t="inlineStr">
        <is>
          <t>Ana Paula Da Luz Silva Aleixo</t>
        </is>
      </c>
      <c r="C5" s="9" t="inlineStr">
        <is>
          <t>Técnico III</t>
        </is>
      </c>
      <c r="D5" s="3" t="n">
        <v>30</v>
      </c>
      <c r="E5" s="3" t="n">
        <v>27</v>
      </c>
      <c r="F5" s="3" t="n">
        <v>10.4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31</v>
      </c>
      <c r="N5" s="9" t="n">
        <v>96.34</v>
      </c>
      <c r="O5" s="9" t="n">
        <v>17.57188498402556</v>
      </c>
    </row>
    <row r="6" hidden="1">
      <c r="A6" s="5" t="n">
        <v>46146</v>
      </c>
      <c r="B6" s="6" t="inlineStr">
        <is>
          <t>Anna Luiza Rezende Tavares</t>
        </is>
      </c>
      <c r="C6" s="3" t="inlineStr">
        <is>
          <t>Estágio</t>
        </is>
      </c>
      <c r="D6" s="3" t="n">
        <v>48</v>
      </c>
      <c r="E6" s="3" t="n">
        <v>36</v>
      </c>
      <c r="F6" s="3" t="n">
        <v>6.4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29</v>
      </c>
      <c r="N6" s="9" t="n">
        <v>99.11</v>
      </c>
      <c r="O6" s="9" t="n">
        <v>17.72151898734177</v>
      </c>
    </row>
    <row r="7" hidden="1">
      <c r="A7" s="5" t="n">
        <v>46146</v>
      </c>
      <c r="B7" s="6" t="inlineStr">
        <is>
          <t>Brenda de Menezes Silva</t>
        </is>
      </c>
      <c r="C7" s="3" t="inlineStr">
        <is>
          <t>Técnico II</t>
        </is>
      </c>
      <c r="D7" s="3" t="n">
        <v>41</v>
      </c>
      <c r="E7" s="3" t="n">
        <v>38</v>
      </c>
      <c r="F7" s="3" t="n">
        <v>7.04</v>
      </c>
      <c r="G7" s="3" t="n">
        <v>5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43</v>
      </c>
      <c r="N7" s="9" t="n">
        <v>99.13</v>
      </c>
      <c r="O7" s="9" t="n">
        <v>14.7239263803681</v>
      </c>
    </row>
    <row r="8" hidden="1">
      <c r="A8" s="5" t="n">
        <v>46146</v>
      </c>
      <c r="B8" s="6" t="inlineStr">
        <is>
          <t>Carlos Mateus Cassimiro Nunes</t>
        </is>
      </c>
      <c r="C8" s="9" t="inlineStr">
        <is>
          <t>Técnico II</t>
        </is>
      </c>
      <c r="D8" s="3" t="n">
        <v>31</v>
      </c>
      <c r="E8" s="3" t="n">
        <v>29</v>
      </c>
      <c r="F8" s="3" t="n">
        <v>12.3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9" t="n">
        <v>28</v>
      </c>
      <c r="N8" s="9" t="n">
        <v>98.8</v>
      </c>
      <c r="O8" s="9" t="n">
        <v>16.89750692520776</v>
      </c>
    </row>
    <row r="9" hidden="1">
      <c r="A9" s="5" t="n">
        <v>46146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8</v>
      </c>
      <c r="E9" s="3" t="n">
        <v>8</v>
      </c>
      <c r="F9" s="3" t="n">
        <v>15.3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9" t="n">
        <v>7</v>
      </c>
      <c r="N9" s="9" t="n">
        <v>96.43000000000001</v>
      </c>
      <c r="O9" s="9" t="n">
        <v>20</v>
      </c>
    </row>
    <row r="10" hidden="1">
      <c r="A10" s="5" t="n">
        <v>46146</v>
      </c>
      <c r="B10" s="6" t="inlineStr">
        <is>
          <t>Clessiane Pereira dos Santos</t>
        </is>
      </c>
      <c r="C10" s="3" t="inlineStr">
        <is>
          <t>Técnico I</t>
        </is>
      </c>
      <c r="D10" s="3" t="n">
        <v>32</v>
      </c>
      <c r="E10" s="3" t="n">
        <v>26</v>
      </c>
      <c r="F10" s="3" t="n">
        <v>9.130000000000001</v>
      </c>
      <c r="G10" s="3" t="n">
        <v>6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9" t="n">
        <v>29</v>
      </c>
      <c r="N10" s="9" t="n">
        <v>96.88</v>
      </c>
      <c r="O10" s="9" t="n">
        <v>19.52662721893491</v>
      </c>
    </row>
    <row r="11" hidden="1">
      <c r="A11" s="5" t="n">
        <v>46146</v>
      </c>
      <c r="B11" s="6" t="inlineStr">
        <is>
          <t>Cristiane Ramos da Silva Rocha</t>
        </is>
      </c>
      <c r="C11" s="3" t="inlineStr">
        <is>
          <t>Técnico III</t>
        </is>
      </c>
      <c r="D11" s="3" t="n">
        <v>38</v>
      </c>
      <c r="E11" s="3" t="n">
        <v>37</v>
      </c>
      <c r="F11" s="3" t="n">
        <v>8.34</v>
      </c>
      <c r="G11" s="3" t="n">
        <v>1</v>
      </c>
      <c r="H11" s="3" t="n">
        <v>0</v>
      </c>
      <c r="I11" s="3">
        <f>E11+G11+H11</f>
        <v/>
      </c>
      <c r="J11" s="3">
        <f>ROUND(MIN(IF(C11="Técnico III",35,IF(C11="Técnico II",28,IF(C11="Técnico I",23,IF(C11="JR",20,IF(C11="Estágio",10,0))))),IF(C11="Técnico III",SUMIFS($D:$D,$A:$A,$A11,$B:$B,"&lt;&gt;Patrícia Karla de Sousa Araújo",$B:$B,"&lt;&gt;Lorena Dias de Araujo",$B:$B,"&lt;&gt;Lucas Luiz Romero")*(35/1083),IF(C11="Técnico II",SUMIFS($D:$D,$A:$A,$A11,$B:$B,"&lt;&gt;Patrícia Karla de Sousa Araújo",$B:$B,"&lt;&gt;Lorena Dias de Araujo",$B:$B,"&lt;&gt;Lucas Luiz Romero")*(28/1083),IF(C11="Técnico I",SUMIFS($D:$D,$A:$A,$A11,$B:$B,"&lt;&gt;Patrícia Karla de Sousa Araújo",$B:$B,"&lt;&gt;Lorena Dias de Araujo",$B:$B,"&lt;&gt;Lucas Luiz Romero")*(23/1083),IF(C11="JR",SUMIFS($D:$D,$A:$A,$A11,$B:$B,"&lt;&gt;Patrícia Karla de Sousa Araújo",$B:$B,"&lt;&gt;Lorena Dias de Araujo",$B:$B,"&lt;&gt;Lucas Luiz Romero")*(20/1083),IF(C11="Estágio",SUMIFS($D:$D,$A:$A,$A11,$B:$B,"&lt;&gt;Patrícia Karla de Sousa Araújo",$B:$B,"&lt;&gt;Lorena Dias de Araujo",$B:$B,"&lt;&gt;Lucas Luiz Romero")*(10/1083),0)))))),0)</f>
        <v/>
      </c>
      <c r="K11" s="3">
        <f>I11-J11</f>
        <v/>
      </c>
      <c r="L11" s="3">
        <f>IF(K11&lt;-5,"CRÍTICO",IF(K11&lt;0,"ATENÇÃO",IF(K11&lt;=5,"BOM","EXCELENTE")))</f>
        <v/>
      </c>
      <c r="M11" s="9" t="n">
        <v>32</v>
      </c>
      <c r="N11" s="9" t="n">
        <v>91.84999999999999</v>
      </c>
      <c r="O11" s="9" t="n">
        <v>20.87155963302752</v>
      </c>
    </row>
    <row r="12" hidden="1">
      <c r="A12" s="5" t="n">
        <v>46146</v>
      </c>
      <c r="B12" s="6" t="inlineStr">
        <is>
          <t>Damyllis Lorraine de Oliveira Gonçalves</t>
        </is>
      </c>
      <c r="C12" s="3" t="inlineStr">
        <is>
          <t>Técnico II</t>
        </is>
      </c>
      <c r="D12" s="3" t="n">
        <v>37</v>
      </c>
      <c r="E12" s="3" t="n">
        <v>30</v>
      </c>
      <c r="F12" s="3" t="n">
        <v>9.15</v>
      </c>
      <c r="G12" s="3" t="n">
        <v>1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9" t="n">
        <v>25</v>
      </c>
      <c r="N12" s="9" t="n">
        <v>98.63</v>
      </c>
      <c r="O12" s="9" t="n">
        <v>18.75</v>
      </c>
    </row>
    <row r="13" hidden="1">
      <c r="A13" s="5" t="n">
        <v>46146</v>
      </c>
      <c r="B13" s="6" t="inlineStr">
        <is>
          <t>Daniel Gomes da Silva</t>
        </is>
      </c>
      <c r="C13" s="3" t="inlineStr">
        <is>
          <t>Técnico I</t>
        </is>
      </c>
      <c r="D13" s="3" t="n">
        <v>28</v>
      </c>
      <c r="E13" s="3" t="n">
        <v>27</v>
      </c>
      <c r="F13" s="3" t="n">
        <v>10.34</v>
      </c>
      <c r="G13" s="3" t="n">
        <v>0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9" t="n">
        <v>16</v>
      </c>
      <c r="N13" s="9" t="n">
        <v>100</v>
      </c>
      <c r="O13" s="9" t="n">
        <v>18.14516129032258</v>
      </c>
    </row>
    <row r="14" hidden="1">
      <c r="A14" s="5" t="n">
        <v>46146</v>
      </c>
      <c r="B14" s="6" t="inlineStr">
        <is>
          <t>Davylla Rodrigues Freitas Silva</t>
        </is>
      </c>
      <c r="C14" s="9" t="inlineStr">
        <is>
          <t>Técnico III</t>
        </is>
      </c>
      <c r="D14" s="3" t="n">
        <v>21</v>
      </c>
      <c r="E14" s="3" t="n">
        <v>20</v>
      </c>
      <c r="F14" s="3" t="n">
        <v>13</v>
      </c>
      <c r="G14" s="3" t="n">
        <v>4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9" t="n">
        <v>25</v>
      </c>
      <c r="N14" s="9" t="n">
        <v>99.06</v>
      </c>
      <c r="O14" s="9" t="n">
        <v>22.95719844357977</v>
      </c>
    </row>
    <row r="15" hidden="1">
      <c r="A15" s="5" t="n">
        <v>46146</v>
      </c>
      <c r="B15" s="6" t="inlineStr">
        <is>
          <t>Emilly Caylane Costa</t>
        </is>
      </c>
      <c r="C15" s="3" t="inlineStr">
        <is>
          <t>Estágio</t>
        </is>
      </c>
      <c r="D15" s="3" t="n">
        <v>8</v>
      </c>
      <c r="E15" s="3" t="n">
        <v>8</v>
      </c>
      <c r="F15" s="3" t="n">
        <v>23.25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9" t="n">
        <v>8</v>
      </c>
      <c r="N15" s="9" t="n">
        <v>100</v>
      </c>
      <c r="O15" s="9" t="n">
        <v>29.03225806451613</v>
      </c>
    </row>
    <row r="16" hidden="1">
      <c r="A16" s="5" t="n">
        <v>46146</v>
      </c>
      <c r="B16" s="6" t="inlineStr">
        <is>
          <t>Emilly Kamilly Medeiros Miranda</t>
        </is>
      </c>
      <c r="C16" s="3" t="inlineStr">
        <is>
          <t>Técnico II</t>
        </is>
      </c>
      <c r="D16" s="3" t="n">
        <v>31</v>
      </c>
      <c r="E16" s="3" t="n">
        <v>28</v>
      </c>
      <c r="F16" s="3" t="n">
        <v>9.09</v>
      </c>
      <c r="G16" s="3" t="n">
        <v>7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9" t="n">
        <v>29</v>
      </c>
      <c r="N16" s="9" t="n">
        <v>100</v>
      </c>
      <c r="O16" s="9" t="n">
        <v>13.8121546961326</v>
      </c>
    </row>
    <row r="17" hidden="1">
      <c r="A17" s="5" t="n">
        <v>46146</v>
      </c>
      <c r="B17" s="6" t="inlineStr">
        <is>
          <t>Francielson de Oliveira</t>
        </is>
      </c>
      <c r="C17" s="9" t="inlineStr">
        <is>
          <t>Técnico III</t>
        </is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>
        <f>IF(K17&lt;-5,"CRÍTICO",IF(K17&lt;0,"ATENÇÃO",IF(K17&lt;=5,"BOM","EXCELENTE")))</f>
        <v/>
      </c>
      <c r="M17" s="9" t="n">
        <v>0</v>
      </c>
      <c r="N17" s="9" t="n">
        <v>100</v>
      </c>
      <c r="O17" s="9" t="n">
        <v>9.523809523809524</v>
      </c>
    </row>
    <row r="18" hidden="1">
      <c r="A18" s="5" t="n">
        <v>46146</v>
      </c>
      <c r="B18" s="6" t="inlineStr">
        <is>
          <t>Francilene Ferreira de Jesus</t>
        </is>
      </c>
      <c r="C18" s="3" t="inlineStr">
        <is>
          <t>Técnico II</t>
        </is>
      </c>
      <c r="D18" s="3" t="n">
        <v>36</v>
      </c>
      <c r="E18" s="3" t="n">
        <v>33</v>
      </c>
      <c r="F18" s="3" t="n">
        <v>11.17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9" t="n">
        <v>29</v>
      </c>
      <c r="N18" s="9" t="n">
        <v>100</v>
      </c>
      <c r="O18" s="9" t="n">
        <v>17.24137931034483</v>
      </c>
    </row>
    <row r="19">
      <c r="A19" s="5" t="n">
        <v>46146</v>
      </c>
      <c r="B19" s="6" t="inlineStr">
        <is>
          <t>Gabriel Gomes de Andrade</t>
        </is>
      </c>
      <c r="C19" s="3" t="inlineStr">
        <is>
          <t>Técnico I</t>
        </is>
      </c>
      <c r="D19" s="3" t="n">
        <v>24</v>
      </c>
      <c r="E19" s="3" t="n">
        <v>20</v>
      </c>
      <c r="F19" s="3" t="n">
        <v>13.05</v>
      </c>
      <c r="G19" s="3" t="n">
        <v>7</v>
      </c>
      <c r="H19" s="3" t="n">
        <v>0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M19" s="9" t="n">
        <v>22</v>
      </c>
      <c r="N19" s="9" t="n">
        <v>98.8</v>
      </c>
      <c r="O19" s="9" t="n">
        <v>15.41353383458646</v>
      </c>
    </row>
    <row r="20" hidden="1">
      <c r="A20" s="5" t="n">
        <v>46146</v>
      </c>
      <c r="B20" s="6" t="inlineStr">
        <is>
          <t>Isabella Borges de Oliveira</t>
        </is>
      </c>
      <c r="C20" s="9" t="inlineStr">
        <is>
          <t>Técnico II</t>
        </is>
      </c>
      <c r="D20" s="3" t="n">
        <v>36</v>
      </c>
      <c r="E20" s="3" t="n">
        <v>34</v>
      </c>
      <c r="F20" s="3" t="n">
        <v>8.51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9" t="n">
        <v>33</v>
      </c>
      <c r="N20" s="9" t="n">
        <v>98.63</v>
      </c>
      <c r="O20" s="9" t="n">
        <v>15.75757575757576</v>
      </c>
    </row>
    <row r="21" hidden="1">
      <c r="A21" s="5" t="n">
        <v>46146</v>
      </c>
      <c r="B21" s="6" t="inlineStr">
        <is>
          <t>Janaina Lima dos Reis Urany</t>
        </is>
      </c>
      <c r="C21" s="3" t="inlineStr">
        <is>
          <t>Técnico III</t>
        </is>
      </c>
      <c r="D21" s="3" t="n">
        <v>47</v>
      </c>
      <c r="E21" s="3" t="n">
        <v>44</v>
      </c>
      <c r="F21" s="3" t="n">
        <v>7.38</v>
      </c>
      <c r="G21" s="3" t="n">
        <v>5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9" t="n">
        <v>46</v>
      </c>
      <c r="N21" s="9" t="n">
        <v>98.64</v>
      </c>
      <c r="O21" s="9" t="n">
        <v>16.6383701188455</v>
      </c>
    </row>
    <row r="22" hidden="1">
      <c r="A22" s="5" t="n">
        <v>46146</v>
      </c>
      <c r="B22" s="6" t="inlineStr">
        <is>
          <t>Jaqueline Evangelista da Silva Martins</t>
        </is>
      </c>
      <c r="C22" s="3" t="inlineStr">
        <is>
          <t>Técnico III</t>
        </is>
      </c>
      <c r="D22" s="3" t="n">
        <v>11</v>
      </c>
      <c r="E22" s="3" t="n">
        <v>11</v>
      </c>
      <c r="F22" s="3" t="n">
        <v>13.2</v>
      </c>
      <c r="G22" s="3" t="n">
        <v>5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9" t="n">
        <v>18</v>
      </c>
      <c r="N22" s="9" t="n">
        <v>95.40000000000001</v>
      </c>
      <c r="O22" s="9" t="n">
        <v>20.53333333333333</v>
      </c>
    </row>
    <row r="23" hidden="1">
      <c r="A23" s="5" t="n">
        <v>46146</v>
      </c>
      <c r="B23" s="6" t="inlineStr">
        <is>
          <t>Jessica Faria da Silveira</t>
        </is>
      </c>
      <c r="C23" s="3" t="inlineStr">
        <is>
          <t>Técnico II</t>
        </is>
      </c>
      <c r="D23" s="3" t="n">
        <v>32</v>
      </c>
      <c r="E23" s="3" t="n">
        <v>28</v>
      </c>
      <c r="F23" s="3" t="n">
        <v>8.550000000000001</v>
      </c>
      <c r="G23" s="3" t="n">
        <v>4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9" t="n">
        <v>31</v>
      </c>
      <c r="N23" s="9" t="n">
        <v>98.61</v>
      </c>
      <c r="O23" s="9" t="n">
        <v>16.97530864197531</v>
      </c>
    </row>
    <row r="24" hidden="1">
      <c r="A24" s="5" t="n">
        <v>46146</v>
      </c>
      <c r="B24" s="6" t="inlineStr">
        <is>
          <t>Jéssica Fé Moura</t>
        </is>
      </c>
      <c r="C24" s="3" t="inlineStr">
        <is>
          <t>Técnico III</t>
        </is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>
        <f>IF(K24&lt;-5,"CRÍTICO",IF(K24&lt;0,"ATENÇÃO",IF(K24&lt;=5,"BOM","EXCELENTE")))</f>
        <v/>
      </c>
      <c r="M24" s="9" t="n">
        <v>0</v>
      </c>
      <c r="N24" s="9" t="n">
        <v>0</v>
      </c>
      <c r="O24" s="9" t="n">
        <v>0</v>
      </c>
    </row>
    <row r="25" hidden="1">
      <c r="A25" s="5" t="n">
        <v>46146</v>
      </c>
      <c r="B25" s="6" t="inlineStr">
        <is>
          <t>Karina Gonçalves Martins</t>
        </is>
      </c>
      <c r="C25" s="3" t="inlineStr">
        <is>
          <t>JR</t>
        </is>
      </c>
      <c r="D25" s="3" t="n">
        <v>24</v>
      </c>
      <c r="E25" s="3" t="n">
        <v>24</v>
      </c>
      <c r="F25" s="3" t="n">
        <v>11.31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9" t="n">
        <v>22</v>
      </c>
      <c r="N25" s="9" t="n">
        <v>97.01000000000001</v>
      </c>
      <c r="O25" s="9" t="n">
        <v>13.96103896103896</v>
      </c>
    </row>
    <row r="26" hidden="1">
      <c r="A26" s="5" t="n">
        <v>46146</v>
      </c>
      <c r="B26" s="6" t="inlineStr">
        <is>
          <t>Kerollen Cristielly de Jesus Siqueira</t>
        </is>
      </c>
      <c r="C26" s="9" t="inlineStr">
        <is>
          <t>Técnico III</t>
        </is>
      </c>
      <c r="D26" s="3" t="n">
        <v>20</v>
      </c>
      <c r="E26" s="3" t="n">
        <v>20</v>
      </c>
      <c r="F26" s="3" t="n">
        <v>12.48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9" t="n">
        <v>20</v>
      </c>
      <c r="N26" s="9" t="n">
        <v>95.52</v>
      </c>
      <c r="O26" s="9" t="n">
        <v>10.56105610561056</v>
      </c>
    </row>
    <row r="27" hidden="1">
      <c r="A27" s="5" t="n">
        <v>46146</v>
      </c>
      <c r="B27" s="6" t="inlineStr">
        <is>
          <t>Leandro de Souza Silva</t>
        </is>
      </c>
      <c r="C27" s="3" t="inlineStr">
        <is>
          <t>JR</t>
        </is>
      </c>
      <c r="D27" s="3" t="n">
        <v>12</v>
      </c>
      <c r="E27" s="3" t="n">
        <v>11</v>
      </c>
      <c r="F27" s="3" t="n">
        <v>15.03</v>
      </c>
      <c r="G27" s="3" t="n">
        <v>4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s="9" t="n">
        <v>15</v>
      </c>
      <c r="N27" s="9" t="n">
        <v>100</v>
      </c>
      <c r="O27" s="9" t="n">
        <v>16.95906432748538</v>
      </c>
    </row>
    <row r="28" hidden="1">
      <c r="A28" s="5" t="n">
        <v>46146</v>
      </c>
      <c r="B28" s="6" t="inlineStr">
        <is>
          <t>Leandro Oliveira de Sousa</t>
        </is>
      </c>
      <c r="C28" s="9" t="inlineStr">
        <is>
          <t>Técnico III</t>
        </is>
      </c>
      <c r="D28" s="3" t="n">
        <v>32</v>
      </c>
      <c r="E28" s="3" t="n">
        <v>29</v>
      </c>
      <c r="F28" s="3" t="n">
        <v>9.44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s="9" t="n">
        <v>27</v>
      </c>
      <c r="N28" s="9" t="n">
        <v>100</v>
      </c>
      <c r="O28" s="9" t="n">
        <v>15.58441558441558</v>
      </c>
    </row>
    <row r="29" hidden="1">
      <c r="A29" s="5" t="n">
        <v>46146</v>
      </c>
      <c r="B29" s="6" t="inlineStr">
        <is>
          <t>Lizandra Gomes Duarte</t>
        </is>
      </c>
      <c r="C29" s="3" t="inlineStr">
        <is>
          <t>Técnico II</t>
        </is>
      </c>
      <c r="D29" s="3" t="n">
        <v>29</v>
      </c>
      <c r="E29" s="3" t="n">
        <v>26</v>
      </c>
      <c r="F29" s="3" t="n">
        <v>9.470000000000001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s="9" t="n">
        <v>15</v>
      </c>
      <c r="N29" s="9" t="n">
        <v>98.61</v>
      </c>
      <c r="O29" s="9" t="n">
        <v>16.86746987951807</v>
      </c>
    </row>
    <row r="30" hidden="1">
      <c r="A30" s="5" t="n">
        <v>46146</v>
      </c>
      <c r="B30" s="6" t="inlineStr">
        <is>
          <t>Lorena Dias de Araujo</t>
        </is>
      </c>
      <c r="C30" s="3" t="inlineStr">
        <is>
          <t>Técnico II</t>
        </is>
      </c>
      <c r="D30" s="3" t="n">
        <v>41</v>
      </c>
      <c r="E30" s="3" t="n">
        <v>40</v>
      </c>
      <c r="F30" s="3" t="n">
        <v>9.1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s="9" t="n">
        <v>31</v>
      </c>
      <c r="N30" s="9" t="n">
        <v>100</v>
      </c>
      <c r="O30" s="9" t="n">
        <v>20.82018927444795</v>
      </c>
    </row>
    <row r="31" hidden="1">
      <c r="A31" s="5" t="n">
        <v>46146</v>
      </c>
      <c r="B31" s="6" t="inlineStr">
        <is>
          <t>Lucas Luiz Romero</t>
        </is>
      </c>
      <c r="C31" s="3" t="inlineStr">
        <is>
          <t>Técnico III</t>
        </is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>
        <f>IF(K31&lt;-5,"CRÍTICO",IF(K31&lt;0,"ATENÇÃO",IF(K31&lt;=5,"BOM","EXCELENTE")))</f>
        <v/>
      </c>
      <c r="M31" s="9" t="n">
        <v>0</v>
      </c>
      <c r="N31" s="9" t="n">
        <v>100</v>
      </c>
      <c r="O31" s="9" t="n">
        <v>4.347826086956522</v>
      </c>
    </row>
    <row r="32" hidden="1">
      <c r="A32" s="5" t="n">
        <v>46146</v>
      </c>
      <c r="B32" s="6" t="inlineStr">
        <is>
          <t>Luiz Fernando de Carvalho Junior</t>
        </is>
      </c>
      <c r="C32" s="3" t="inlineStr">
        <is>
          <t>Técnico I</t>
        </is>
      </c>
      <c r="D32" s="3" t="n">
        <v>25</v>
      </c>
      <c r="E32" s="3" t="n">
        <v>21</v>
      </c>
      <c r="F32" s="3" t="n">
        <v>10.38</v>
      </c>
      <c r="G32" s="3" t="n">
        <v>4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s="9" t="n">
        <v>26</v>
      </c>
      <c r="N32" s="9" t="n">
        <v>93.26000000000001</v>
      </c>
      <c r="O32" s="9" t="n">
        <v>19.93957703927493</v>
      </c>
    </row>
    <row r="33" hidden="1">
      <c r="A33" s="5" t="n">
        <v>46146</v>
      </c>
      <c r="B33" s="6" t="inlineStr">
        <is>
          <t>Maria Eduarda Sousa Costa</t>
        </is>
      </c>
      <c r="C33" s="3" t="inlineStr">
        <is>
          <t>Estágio</t>
        </is>
      </c>
      <c r="D33" s="3" t="n">
        <v>47</v>
      </c>
      <c r="E33" s="3" t="n">
        <v>25</v>
      </c>
      <c r="F33" s="3" t="n">
        <v>2.37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s="9" t="n">
        <v>0</v>
      </c>
      <c r="N33" s="9" t="n">
        <v>100</v>
      </c>
      <c r="O33" s="9" t="n">
        <v>11.86440677966102</v>
      </c>
    </row>
    <row r="34" hidden="1">
      <c r="A34" s="5" t="n">
        <v>46146</v>
      </c>
      <c r="B34" s="6" t="inlineStr">
        <is>
          <t>Matheus Farias De Souza</t>
        </is>
      </c>
      <c r="C34" s="3" t="inlineStr">
        <is>
          <t>Técnico III</t>
        </is>
      </c>
      <c r="D34" s="3" t="n">
        <v>32</v>
      </c>
      <c r="E34" s="3" t="n">
        <v>31</v>
      </c>
      <c r="F34" s="3" t="n">
        <v>6.27</v>
      </c>
      <c r="G34" s="3" t="n">
        <v>1</v>
      </c>
      <c r="H34" s="3" t="n">
        <v>25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s="9" t="n">
        <v>36</v>
      </c>
      <c r="N34" s="9" t="n">
        <v>98.28</v>
      </c>
      <c r="O34" s="9" t="n">
        <v>9.037900874635568</v>
      </c>
    </row>
    <row r="35" hidden="1">
      <c r="A35" s="5" t="n">
        <v>46146</v>
      </c>
      <c r="B35" s="6" t="inlineStr">
        <is>
          <t>Maysa Victoria Dias Moura</t>
        </is>
      </c>
      <c r="C35" s="3" t="inlineStr">
        <is>
          <t>Técnico III</t>
        </is>
      </c>
      <c r="D35" s="3" t="n">
        <v>40</v>
      </c>
      <c r="E35" s="3" t="n">
        <v>37</v>
      </c>
      <c r="F35" s="3" t="n">
        <v>6.48</v>
      </c>
      <c r="G35" s="3" t="n">
        <v>1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s="9" t="n">
        <v>33</v>
      </c>
      <c r="N35" s="9" t="n">
        <v>97.22</v>
      </c>
      <c r="O35" s="9" t="n">
        <v>19.09547738693467</v>
      </c>
    </row>
    <row r="36" hidden="1">
      <c r="A36" s="5" t="n">
        <v>46146</v>
      </c>
      <c r="B36" s="6" t="inlineStr">
        <is>
          <t>Michelle G Santos</t>
        </is>
      </c>
      <c r="C36" s="3" t="inlineStr">
        <is>
          <t>Estágio</t>
        </is>
      </c>
      <c r="D36" s="3" t="n">
        <v>8</v>
      </c>
      <c r="E36" s="3" t="n">
        <v>7</v>
      </c>
      <c r="F36" s="3" t="n">
        <v>14.1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s="9" t="n">
        <v>4</v>
      </c>
      <c r="N36" s="9" t="n">
        <v>100</v>
      </c>
      <c r="O36" s="9" t="n">
        <v>16.8141592920354</v>
      </c>
    </row>
    <row r="37" hidden="1">
      <c r="A37" s="5" t="n">
        <v>46146</v>
      </c>
      <c r="B37" s="6" t="inlineStr">
        <is>
          <t>Milena Sales</t>
        </is>
      </c>
      <c r="C37" s="3" t="inlineStr">
        <is>
          <t>JR</t>
        </is>
      </c>
      <c r="D37" s="3" t="n">
        <v>42</v>
      </c>
      <c r="E37" s="3" t="n">
        <v>23</v>
      </c>
      <c r="F37" s="3" t="n">
        <v>5.14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s="9" t="n">
        <v>19</v>
      </c>
      <c r="N37" s="9" t="n">
        <v>98</v>
      </c>
      <c r="O37" s="9" t="n">
        <v>16.43835616438356</v>
      </c>
    </row>
    <row r="38" hidden="1">
      <c r="A38" s="5" t="n">
        <v>46146</v>
      </c>
      <c r="B38" s="6" t="inlineStr">
        <is>
          <t>Patrícia Karla de Sousa Araújo</t>
        </is>
      </c>
      <c r="C38" s="3" t="inlineStr">
        <is>
          <t>Técnico II</t>
        </is>
      </c>
      <c r="D38" s="3" t="n">
        <v>20</v>
      </c>
      <c r="E38" s="3" t="n">
        <v>16</v>
      </c>
      <c r="F38" s="3" t="n">
        <v>10.11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s="9" t="n">
        <v>14</v>
      </c>
      <c r="N38" s="9" t="n">
        <v>100</v>
      </c>
      <c r="O38" s="9" t="n">
        <v>16.89497716894977</v>
      </c>
    </row>
    <row r="39" hidden="1">
      <c r="A39" s="5" t="n">
        <v>46146</v>
      </c>
      <c r="B39" s="6" t="inlineStr">
        <is>
          <t>Paulo Ricardo Santos</t>
        </is>
      </c>
      <c r="C39" s="3" t="inlineStr">
        <is>
          <t>JR</t>
        </is>
      </c>
      <c r="D39" s="3" t="n">
        <v>23</v>
      </c>
      <c r="E39" s="3" t="n">
        <v>23</v>
      </c>
      <c r="F39" s="3" t="n">
        <v>10.55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s="9" t="n">
        <v>18</v>
      </c>
      <c r="N39" s="9" t="n">
        <v>100</v>
      </c>
      <c r="O39" s="9" t="n">
        <v>19.13875598086124</v>
      </c>
    </row>
    <row r="40" hidden="1">
      <c r="A40" s="5" t="n">
        <v>46146</v>
      </c>
      <c r="B40" s="6" t="inlineStr">
        <is>
          <t>Pedro Luiz Mota Sousa</t>
        </is>
      </c>
      <c r="C40" s="3" t="inlineStr">
        <is>
          <t>JR</t>
        </is>
      </c>
      <c r="D40" s="3" t="n">
        <v>23</v>
      </c>
      <c r="E40" s="3" t="n">
        <v>21</v>
      </c>
      <c r="F40" s="3" t="n">
        <v>10.31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s="9" t="n">
        <v>21</v>
      </c>
      <c r="N40" s="9" t="n">
        <v>100</v>
      </c>
      <c r="O40" s="9" t="n">
        <v>15.02145922746781</v>
      </c>
    </row>
    <row r="41" hidden="1">
      <c r="A41" s="5" t="n">
        <v>46146</v>
      </c>
      <c r="B41" s="6" t="inlineStr">
        <is>
          <t>Quirino Diogo Leite Torres</t>
        </is>
      </c>
      <c r="C41" s="3" t="inlineStr">
        <is>
          <t>Estágio</t>
        </is>
      </c>
      <c r="D41" s="3" t="n">
        <v>14</v>
      </c>
      <c r="E41" s="3" t="n">
        <v>14</v>
      </c>
      <c r="F41" s="3" t="n">
        <v>20.44</v>
      </c>
      <c r="G41" s="3" t="n">
        <v>1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s="9" t="n">
        <v>12</v>
      </c>
      <c r="N41" s="9" t="n">
        <v>98.11</v>
      </c>
      <c r="O41" s="9" t="n">
        <v>20.40816326530612</v>
      </c>
    </row>
    <row r="42" hidden="1">
      <c r="A42" s="5" t="n">
        <v>46146</v>
      </c>
      <c r="B42" s="6" t="inlineStr">
        <is>
          <t>Raane Batista Matos</t>
        </is>
      </c>
      <c r="C42" s="3" t="inlineStr">
        <is>
          <t>Técnico I</t>
        </is>
      </c>
      <c r="D42" s="3" t="n">
        <v>27</v>
      </c>
      <c r="E42" s="3" t="n">
        <v>23</v>
      </c>
      <c r="F42" s="3" t="n">
        <v>8.470000000000001</v>
      </c>
      <c r="G42" s="3" t="n">
        <v>4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s="9" t="n">
        <v>20</v>
      </c>
      <c r="N42" s="9" t="n">
        <v>97.56</v>
      </c>
      <c r="O42" s="9" t="n">
        <v>19.28783382789317</v>
      </c>
    </row>
    <row r="43" hidden="1">
      <c r="A43" s="5" t="n">
        <v>46146</v>
      </c>
      <c r="B43" s="6" t="inlineStr">
        <is>
          <t>Rafael Gomes de Morais</t>
        </is>
      </c>
      <c r="C43" s="3" t="inlineStr">
        <is>
          <t>Técnico III</t>
        </is>
      </c>
      <c r="D43" s="3" t="n">
        <v>50</v>
      </c>
      <c r="E43" s="3" t="n">
        <v>46</v>
      </c>
      <c r="F43" s="3" t="n">
        <v>7.43</v>
      </c>
      <c r="G43" s="3" t="n">
        <v>1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s="9" t="n">
        <v>32</v>
      </c>
      <c r="N43" s="9" t="n">
        <v>99.29000000000001</v>
      </c>
      <c r="O43" s="9" t="n">
        <v>22.49443207126949</v>
      </c>
    </row>
    <row r="44" hidden="1">
      <c r="A44" s="5" t="n">
        <v>46146</v>
      </c>
      <c r="B44" s="6" t="inlineStr">
        <is>
          <t>Sara Maria Monteiro Lopes</t>
        </is>
      </c>
      <c r="C44" s="3" t="inlineStr">
        <is>
          <t>Técnico I</t>
        </is>
      </c>
      <c r="D44" s="3" t="n">
        <v>20</v>
      </c>
      <c r="E44" s="3" t="n">
        <v>20</v>
      </c>
      <c r="F44" s="3" t="n">
        <v>15.29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s="9" t="n">
        <v>20</v>
      </c>
      <c r="N44" s="9" t="n">
        <v>100</v>
      </c>
      <c r="O44" s="9" t="n">
        <v>16.97247706422019</v>
      </c>
    </row>
    <row r="45" hidden="1">
      <c r="A45" s="5" t="n">
        <v>46146</v>
      </c>
      <c r="B45" s="6" t="inlineStr">
        <is>
          <t>Sarah Steffanie de Lima Borges</t>
        </is>
      </c>
      <c r="C45" s="3" t="inlineStr">
        <is>
          <t>Técnico III</t>
        </is>
      </c>
      <c r="D45" s="3" t="n">
        <v>26</v>
      </c>
      <c r="E45" s="3" t="n">
        <v>25</v>
      </c>
      <c r="F45" s="3" t="n">
        <v>10.45</v>
      </c>
      <c r="G45" s="3" t="n">
        <v>4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s="9" t="n">
        <v>26</v>
      </c>
      <c r="N45" s="9" t="n">
        <v>97.33</v>
      </c>
      <c r="O45" s="9" t="n">
        <v>15.80547112462006</v>
      </c>
    </row>
    <row r="46" hidden="1">
      <c r="A46" s="5" t="n">
        <v>46147</v>
      </c>
      <c r="B46" s="6" t="inlineStr">
        <is>
          <t>Alisson de Freitas Silva</t>
        </is>
      </c>
      <c r="C46" s="3" t="inlineStr">
        <is>
          <t>Técnico II</t>
        </is>
      </c>
      <c r="D46" s="3" t="n">
        <v>42</v>
      </c>
      <c r="E46" s="3" t="n">
        <v>37</v>
      </c>
      <c r="F46" s="3" t="n">
        <v>7.49</v>
      </c>
      <c r="G46" s="3" t="n">
        <v>4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s="3" t="n">
        <v>32</v>
      </c>
      <c r="N46" s="3" t="n">
        <v>98.94</v>
      </c>
      <c r="O46" s="3" t="n">
        <v>19.61414790996785</v>
      </c>
    </row>
    <row r="47" hidden="1">
      <c r="A47" s="5" t="n">
        <v>46147</v>
      </c>
      <c r="B47" s="6" t="inlineStr">
        <is>
          <t>Amanda Moura Ferreira</t>
        </is>
      </c>
      <c r="C47" s="3" t="inlineStr">
        <is>
          <t>Técnico III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>
        <f>IF(K47&lt;-5,"CRÍTICO",IF(K47&lt;0,"ATENÇÃO",IF(K47&lt;=5,"BOM","EXCELENTE")))</f>
        <v/>
      </c>
      <c r="M47" s="9" t="n">
        <v>0</v>
      </c>
      <c r="N47" s="9" t="n">
        <v>100</v>
      </c>
      <c r="O47" s="9" t="n">
        <v>0</v>
      </c>
    </row>
    <row r="48" hidden="1">
      <c r="A48" s="5" t="n">
        <v>46147</v>
      </c>
      <c r="B48" t="inlineStr">
        <is>
          <t>Ana Karollyne Souza Faria</t>
        </is>
      </c>
      <c r="C48" s="3" t="inlineStr">
        <is>
          <t>Técnico I</t>
        </is>
      </c>
      <c r="D48" s="3" t="n">
        <v>30</v>
      </c>
      <c r="E48" s="3" t="n">
        <v>30</v>
      </c>
      <c r="F48" s="3" t="n">
        <v>10.21</v>
      </c>
      <c r="G48" s="3" t="n">
        <v>7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s="3" t="n">
        <v>36</v>
      </c>
      <c r="N48" s="3" t="n">
        <v>95.38</v>
      </c>
      <c r="O48" s="3" t="n">
        <v>21.5962441314554</v>
      </c>
    </row>
    <row r="49" hidden="1">
      <c r="A49" s="5" t="n">
        <v>46147</v>
      </c>
      <c r="B49" s="6" t="inlineStr">
        <is>
          <t>Ana Paula Da Luz Silva Aleixo</t>
        </is>
      </c>
      <c r="C49" s="9" t="inlineStr">
        <is>
          <t>Técnico III</t>
        </is>
      </c>
      <c r="D49" s="3" t="n">
        <v>30</v>
      </c>
      <c r="E49" s="3" t="n">
        <v>28</v>
      </c>
      <c r="F49" s="3" t="n">
        <v>11.21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s="3" t="n">
        <v>26</v>
      </c>
      <c r="N49" s="3" t="n">
        <v>96.34</v>
      </c>
      <c r="O49" s="3" t="n">
        <v>17.57188498402556</v>
      </c>
    </row>
    <row r="50" hidden="1">
      <c r="A50" s="5" t="n">
        <v>46147</v>
      </c>
      <c r="B50" s="6" t="inlineStr">
        <is>
          <t>Anna Luiza Rezende Tavares</t>
        </is>
      </c>
      <c r="C50" s="3" t="inlineStr">
        <is>
          <t>Estágio</t>
        </is>
      </c>
      <c r="D50" s="3" t="n">
        <v>36</v>
      </c>
      <c r="E50" s="3" t="n">
        <v>35</v>
      </c>
      <c r="F50" s="3" t="n">
        <v>10.49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s="3" t="n">
        <v>33</v>
      </c>
      <c r="N50" s="3" t="n">
        <v>99.11</v>
      </c>
      <c r="O50" s="3" t="n">
        <v>17.72151898734177</v>
      </c>
    </row>
    <row r="51" hidden="1">
      <c r="A51" s="5" t="n">
        <v>46147</v>
      </c>
      <c r="B51" s="6" t="inlineStr">
        <is>
          <t>Claudio de Sousa Velasco Filho</t>
        </is>
      </c>
      <c r="C51" s="3" t="inlineStr">
        <is>
          <t>Estágio</t>
        </is>
      </c>
      <c r="D51" s="3" t="n">
        <v>10</v>
      </c>
      <c r="E51" s="3" t="n">
        <v>10</v>
      </c>
      <c r="F51" s="3" t="n">
        <v>8.32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s="3" t="n">
        <v>9</v>
      </c>
      <c r="N51" s="3" t="n">
        <v>96.43000000000001</v>
      </c>
      <c r="O51" s="3" t="n">
        <v>20</v>
      </c>
    </row>
    <row r="52" hidden="1">
      <c r="A52" s="5" t="n">
        <v>46147</v>
      </c>
      <c r="B52" s="6" t="inlineStr">
        <is>
          <t>Emilly Caylane Costa</t>
        </is>
      </c>
      <c r="C52" s="3" t="inlineStr">
        <is>
          <t>Estágio</t>
        </is>
      </c>
      <c r="D52" s="3" t="n">
        <v>48</v>
      </c>
      <c r="E52" s="3" t="n">
        <v>32</v>
      </c>
      <c r="F52" s="3" t="n">
        <v>16.06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s="3" t="n">
        <v>0</v>
      </c>
      <c r="N52" s="3" t="n">
        <v>100</v>
      </c>
      <c r="O52" s="3" t="n">
        <v>29.03225806451613</v>
      </c>
    </row>
    <row r="53" hidden="1">
      <c r="A53" s="5" t="n">
        <v>46147</v>
      </c>
      <c r="B53" s="6" t="inlineStr">
        <is>
          <t>Maria Eduarda Sousa Costa</t>
        </is>
      </c>
      <c r="C53" s="3" t="inlineStr">
        <is>
          <t>Estágio</t>
        </is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>
        <f>IF(K53&lt;-5,"CRÍTICO",IF(K53&lt;0,"ATENÇÃO",IF(K53&lt;=5,"BOM","EXCELENTE")))</f>
        <v/>
      </c>
      <c r="M53" s="3" t="n">
        <v>0</v>
      </c>
      <c r="N53" s="3" t="n">
        <v>100</v>
      </c>
      <c r="O53" s="3" t="n">
        <v>11.86440677966102</v>
      </c>
    </row>
    <row r="54" hidden="1">
      <c r="A54" s="5" t="n">
        <v>46147</v>
      </c>
      <c r="B54" s="6" t="inlineStr">
        <is>
          <t>Brenda de Menezes Silva</t>
        </is>
      </c>
      <c r="C54" s="3" t="inlineStr">
        <is>
          <t>Técnico II</t>
        </is>
      </c>
      <c r="D54" s="3" t="n">
        <v>45</v>
      </c>
      <c r="E54" s="3" t="n">
        <v>37</v>
      </c>
      <c r="F54" s="3" t="n">
        <v>2.27</v>
      </c>
      <c r="G54" s="3" t="n">
        <v>6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s="3" t="n">
        <v>43</v>
      </c>
      <c r="N54" s="3" t="n">
        <v>99.13</v>
      </c>
      <c r="O54" s="3" t="n">
        <v>14.7239263803681</v>
      </c>
    </row>
    <row r="55" hidden="1">
      <c r="A55" s="5" t="n">
        <v>46147</v>
      </c>
      <c r="B55" s="6" t="inlineStr">
        <is>
          <t>Carlos Mateus Cassimiro Nunes</t>
        </is>
      </c>
      <c r="C55" s="9" t="inlineStr">
        <is>
          <t>Técnico II</t>
        </is>
      </c>
      <c r="D55" s="3" t="n">
        <v>19</v>
      </c>
      <c r="E55" s="3" t="n">
        <v>18</v>
      </c>
      <c r="F55" s="3" t="n">
        <v>6.45</v>
      </c>
      <c r="G55" s="3" t="n">
        <v>9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s="3" t="n">
        <v>27</v>
      </c>
      <c r="N55" s="3" t="n">
        <v>98.8</v>
      </c>
      <c r="O55" s="3" t="n">
        <v>16.89750692520776</v>
      </c>
    </row>
    <row r="56" hidden="1">
      <c r="A56" s="5" t="n">
        <v>46147</v>
      </c>
      <c r="B56" s="6" t="inlineStr">
        <is>
          <t>Michelle G Santos</t>
        </is>
      </c>
      <c r="C56" s="3" t="inlineStr">
        <is>
          <t>Estágio</t>
        </is>
      </c>
      <c r="D56" s="3" t="n">
        <v>11</v>
      </c>
      <c r="E56" s="3" t="n">
        <v>11</v>
      </c>
      <c r="F56" s="3" t="n">
        <v>11.59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s="3" t="n">
        <v>10</v>
      </c>
      <c r="N56" s="3" t="n">
        <v>100</v>
      </c>
      <c r="O56" s="3" t="n">
        <v>16.8141592920354</v>
      </c>
    </row>
    <row r="57" hidden="1">
      <c r="A57" s="5" t="n">
        <v>46147</v>
      </c>
      <c r="B57" s="6" t="inlineStr">
        <is>
          <t>Quirino Diogo Leite Torres</t>
        </is>
      </c>
      <c r="C57" s="3" t="inlineStr">
        <is>
          <t>Estágio</t>
        </is>
      </c>
      <c r="D57" s="3" t="n">
        <v>22</v>
      </c>
      <c r="E57" s="3" t="n">
        <v>18</v>
      </c>
      <c r="F57" s="3" t="n">
        <v>17.05</v>
      </c>
      <c r="G57" s="3" t="n">
        <v>1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s="3" t="n">
        <v>18</v>
      </c>
      <c r="N57" s="3" t="n">
        <v>98.11</v>
      </c>
      <c r="O57" s="3" t="n">
        <v>20.40816326530612</v>
      </c>
    </row>
    <row r="58" hidden="1">
      <c r="A58" s="5" t="n">
        <v>46147</v>
      </c>
      <c r="B58" s="6" t="inlineStr">
        <is>
          <t>Clessiane Pereira dos Santos</t>
        </is>
      </c>
      <c r="C58" s="3" t="inlineStr">
        <is>
          <t>Técnico I</t>
        </is>
      </c>
      <c r="D58" s="3" t="n">
        <v>122</v>
      </c>
      <c r="E58" s="3" t="n">
        <v>28</v>
      </c>
      <c r="F58" s="3" t="n">
        <v>14.55</v>
      </c>
      <c r="G58" s="3" t="n">
        <v>1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s="3" t="n">
        <v>16</v>
      </c>
      <c r="N58" s="3" t="n">
        <v>96.88</v>
      </c>
      <c r="O58" s="3" t="n">
        <v>19.52662721893491</v>
      </c>
    </row>
    <row r="59" hidden="1">
      <c r="A59" s="5" t="n">
        <v>46147</v>
      </c>
      <c r="B59" s="6" t="inlineStr">
        <is>
          <t>Cristiane Ramos da Silva Rocha</t>
        </is>
      </c>
      <c r="C59" s="3" t="inlineStr">
        <is>
          <t>Técnico III</t>
        </is>
      </c>
      <c r="D59" s="3" t="n">
        <v>46</v>
      </c>
      <c r="E59" s="3" t="n">
        <v>39</v>
      </c>
      <c r="F59" s="3" t="n">
        <v>2.44</v>
      </c>
      <c r="G59" s="3" t="n">
        <v>8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s="3" t="n">
        <v>46</v>
      </c>
      <c r="N59" s="3" t="n">
        <v>91.84999999999999</v>
      </c>
      <c r="O59" s="3" t="n">
        <v>20.87155963302752</v>
      </c>
    </row>
    <row r="60" hidden="1">
      <c r="A60" s="5" t="n">
        <v>46147</v>
      </c>
      <c r="B60" s="6" t="inlineStr">
        <is>
          <t>Damyllis Lorraine de Oliveira Gonçalves</t>
        </is>
      </c>
      <c r="C60" s="3" t="inlineStr">
        <is>
          <t>Técnico II</t>
        </is>
      </c>
      <c r="D60" s="3" t="n">
        <v>23</v>
      </c>
      <c r="E60" s="3" t="n">
        <v>21</v>
      </c>
      <c r="F60" s="3" t="n">
        <v>8.550000000000001</v>
      </c>
      <c r="G60" s="3" t="n">
        <v>9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s="3" t="n">
        <v>26</v>
      </c>
      <c r="N60" s="3" t="n">
        <v>98.63</v>
      </c>
      <c r="O60" s="3" t="n">
        <v>18.75</v>
      </c>
    </row>
    <row r="61" hidden="1">
      <c r="A61" s="5" t="n">
        <v>46147</v>
      </c>
      <c r="B61" s="6" t="inlineStr">
        <is>
          <t>Daniel Gomes da Silva</t>
        </is>
      </c>
      <c r="C61" s="3" t="inlineStr">
        <is>
          <t>Técnico I</t>
        </is>
      </c>
      <c r="D61" s="3" t="n">
        <v>12</v>
      </c>
      <c r="E61" s="3" t="n">
        <v>12</v>
      </c>
      <c r="F61" s="3" t="n">
        <v>0</v>
      </c>
      <c r="G61" s="3" t="n">
        <v>10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s="3" t="n">
        <v>18</v>
      </c>
      <c r="N61" s="3" t="n">
        <v>100</v>
      </c>
      <c r="O61" s="3" t="n">
        <v>18.14516129032258</v>
      </c>
    </row>
    <row r="62" hidden="1">
      <c r="A62" s="5" t="n">
        <v>46147</v>
      </c>
      <c r="B62" s="6" t="inlineStr">
        <is>
          <t>Davylla Rodrigues Freitas Silva</t>
        </is>
      </c>
      <c r="C62" s="9" t="inlineStr">
        <is>
          <t>Técnico III</t>
        </is>
      </c>
      <c r="D62" s="3" t="n">
        <v>27</v>
      </c>
      <c r="E62" s="3" t="n">
        <v>27</v>
      </c>
      <c r="F62" s="3" t="n">
        <v>0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s="3" t="n">
        <v>28</v>
      </c>
      <c r="N62" s="3" t="n">
        <v>99.06</v>
      </c>
      <c r="O62" s="3" t="n">
        <v>22.95719844357977</v>
      </c>
    </row>
    <row r="63" hidden="1">
      <c r="A63" s="5" t="n">
        <v>46147</v>
      </c>
      <c r="B63" s="6" t="inlineStr">
        <is>
          <t>Emilly Kamilly Medeiros Miranda</t>
        </is>
      </c>
      <c r="C63" s="3" t="inlineStr">
        <is>
          <t>Técnico II</t>
        </is>
      </c>
      <c r="D63" s="3" t="n">
        <v>34</v>
      </c>
      <c r="E63" s="3" t="n">
        <v>31</v>
      </c>
      <c r="F63" s="3" t="n">
        <v>10.35</v>
      </c>
      <c r="G63" s="3" t="n">
        <v>3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s="3" t="n">
        <v>31</v>
      </c>
      <c r="N63" s="3" t="n">
        <v>100</v>
      </c>
      <c r="O63" s="3" t="n">
        <v>13.8121546961326</v>
      </c>
    </row>
    <row r="64" hidden="1">
      <c r="A64" s="5" t="n">
        <v>46147</v>
      </c>
      <c r="B64" s="6" t="inlineStr">
        <is>
          <t>Francielson de Oliveira</t>
        </is>
      </c>
      <c r="C64" s="9" t="inlineStr">
        <is>
          <t>Técnico III</t>
        </is>
      </c>
      <c r="D64" s="3" t="n">
        <v>0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>
        <f>IF(K64&lt;-5,"CRÍTICO",IF(K64&lt;0,"ATENÇÃO",IF(K64&lt;=5,"BOM","EXCELENTE")))</f>
        <v/>
      </c>
      <c r="M64" s="3" t="n">
        <v>0</v>
      </c>
      <c r="N64" s="3" t="n">
        <v>100</v>
      </c>
      <c r="O64" s="3" t="n">
        <v>9.523809523809524</v>
      </c>
    </row>
    <row r="65" hidden="1">
      <c r="A65" s="5" t="n">
        <v>46147</v>
      </c>
      <c r="B65" s="6" t="inlineStr">
        <is>
          <t>Francilene Ferreira de Jesus</t>
        </is>
      </c>
      <c r="C65" s="3" t="inlineStr">
        <is>
          <t>Técnico II</t>
        </is>
      </c>
      <c r="D65" s="3" t="n">
        <v>0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>
        <f>IF(K65&lt;-5,"CRÍTICO",IF(K65&lt;0,"ATENÇÃO",IF(K65&lt;=5,"BOM","EXCELENTE")))</f>
        <v/>
      </c>
      <c r="M65" s="3" t="n">
        <v>0</v>
      </c>
      <c r="N65" s="3" t="n">
        <v>100</v>
      </c>
      <c r="O65" s="3" t="n">
        <v>17.24137931034483</v>
      </c>
    </row>
    <row r="66">
      <c r="A66" s="5" t="n">
        <v>46147</v>
      </c>
      <c r="B66" s="6" t="inlineStr">
        <is>
          <t>Gabriel Gomes de Andrade</t>
        </is>
      </c>
      <c r="C66" s="3" t="inlineStr">
        <is>
          <t>Técnico I</t>
        </is>
      </c>
      <c r="D66" s="3" t="n">
        <v>13</v>
      </c>
      <c r="E66" s="3" t="n">
        <v>12</v>
      </c>
      <c r="F66" s="3" t="n">
        <v>8.06</v>
      </c>
      <c r="G66" s="3" t="n">
        <v>9</v>
      </c>
      <c r="H66" s="3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M66" s="3" t="n">
        <v>12</v>
      </c>
      <c r="N66" s="3" t="n">
        <v>98.8</v>
      </c>
      <c r="O66" s="3" t="n">
        <v>15.41353383458646</v>
      </c>
    </row>
    <row r="67" hidden="1">
      <c r="A67" s="5" t="n">
        <v>46147</v>
      </c>
      <c r="B67" s="6" t="inlineStr">
        <is>
          <t>Isabella Borges de Oliveira</t>
        </is>
      </c>
      <c r="C67" s="9" t="inlineStr">
        <is>
          <t>Técnico II</t>
        </is>
      </c>
      <c r="D67" s="3" t="n">
        <v>26</v>
      </c>
      <c r="E67" s="3" t="n">
        <v>26</v>
      </c>
      <c r="F67" s="3" t="n">
        <v>8.529999999999999</v>
      </c>
      <c r="G67" s="3" t="n">
        <v>1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s="3" t="n">
        <v>31</v>
      </c>
      <c r="N67" s="3" t="n">
        <v>98.63</v>
      </c>
      <c r="O67" s="3" t="n">
        <v>15.75757575757576</v>
      </c>
    </row>
    <row r="68" hidden="1">
      <c r="A68" s="5" t="n">
        <v>46147</v>
      </c>
      <c r="B68" s="6" t="inlineStr">
        <is>
          <t>Janaina Lima dos Reis Urany</t>
        </is>
      </c>
      <c r="C68" s="3" t="inlineStr">
        <is>
          <t>Técnico III</t>
        </is>
      </c>
      <c r="D68" s="3" t="n">
        <v>40</v>
      </c>
      <c r="E68" s="3" t="n">
        <v>40</v>
      </c>
      <c r="F68" s="9" t="n">
        <v>0</v>
      </c>
      <c r="G68" s="3" t="n">
        <v>2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s="3" t="n">
        <v>40</v>
      </c>
      <c r="N68" s="3" t="n">
        <v>98.64</v>
      </c>
      <c r="O68" s="3" t="n">
        <v>16.6383701188455</v>
      </c>
    </row>
    <row r="69" hidden="1">
      <c r="A69" s="5" t="n">
        <v>46147</v>
      </c>
      <c r="B69" s="6" t="inlineStr">
        <is>
          <t>Jaqueline Evangelista da Silva Martins</t>
        </is>
      </c>
      <c r="C69" s="3" t="inlineStr">
        <is>
          <t>Técnico III</t>
        </is>
      </c>
      <c r="D69" s="3" t="n">
        <v>42</v>
      </c>
      <c r="E69" s="3" t="n">
        <v>41</v>
      </c>
      <c r="F69" s="3" t="n">
        <v>11.11</v>
      </c>
      <c r="G69" s="3" t="n">
        <v>2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s="3" t="n">
        <v>41</v>
      </c>
      <c r="N69" s="3" t="n">
        <v>95.40000000000001</v>
      </c>
      <c r="O69" s="3" t="n">
        <v>20.53333333333333</v>
      </c>
    </row>
    <row r="70" hidden="1">
      <c r="A70" s="5" t="n">
        <v>46147</v>
      </c>
      <c r="B70" s="6" t="inlineStr">
        <is>
          <t>Jessica Faria da Silveira</t>
        </is>
      </c>
      <c r="C70" s="3" t="inlineStr">
        <is>
          <t>Técnico II</t>
        </is>
      </c>
      <c r="D70" s="3" t="n">
        <v>39</v>
      </c>
      <c r="E70" s="3" t="n">
        <v>30</v>
      </c>
      <c r="F70" s="3" t="n">
        <v>11.22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s="3" t="n">
        <v>30</v>
      </c>
      <c r="N70" s="3" t="n">
        <v>98.61</v>
      </c>
      <c r="O70" s="3" t="n">
        <v>16.97530864197531</v>
      </c>
    </row>
    <row r="71" hidden="1">
      <c r="A71" s="5" t="n">
        <v>46147</v>
      </c>
      <c r="B71" s="6" t="inlineStr">
        <is>
          <t>Jéssica Fé Moura</t>
        </is>
      </c>
      <c r="C71" s="3" t="inlineStr">
        <is>
          <t>Técnico III</t>
        </is>
      </c>
      <c r="D71" s="3" t="n">
        <v>0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>
        <f>IF(K71&lt;-5,"CRÍTICO",IF(K71&lt;0,"ATENÇÃO",IF(K71&lt;=5,"BOM","EXCELENTE")))</f>
        <v/>
      </c>
      <c r="M71" s="3" t="n">
        <v>0</v>
      </c>
      <c r="N71" s="3" t="n">
        <v>0</v>
      </c>
      <c r="O71" s="3" t="n">
        <v>0</v>
      </c>
    </row>
    <row r="72" hidden="1">
      <c r="A72" s="5" t="n">
        <v>46147</v>
      </c>
      <c r="B72" s="6" t="inlineStr">
        <is>
          <t>Karina Gonçalves Martins</t>
        </is>
      </c>
      <c r="C72" s="3" t="inlineStr">
        <is>
          <t>JR</t>
        </is>
      </c>
      <c r="D72" s="3" t="n">
        <v>25</v>
      </c>
      <c r="E72" s="3" t="n">
        <v>14</v>
      </c>
      <c r="F72" s="3" t="n">
        <v>10</v>
      </c>
      <c r="G72" s="3" t="n">
        <v>10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s="3" t="n">
        <v>27</v>
      </c>
      <c r="N72" s="3" t="n">
        <v>97.01000000000001</v>
      </c>
      <c r="O72" s="3" t="n">
        <v>13.96103896103896</v>
      </c>
    </row>
    <row r="73" hidden="1">
      <c r="A73" s="5" t="n">
        <v>46147</v>
      </c>
      <c r="B73" s="6" t="inlineStr">
        <is>
          <t>Kerollen Cristielly de Jesus Siqueira</t>
        </is>
      </c>
      <c r="C73" s="9" t="inlineStr">
        <is>
          <t>Técnico III</t>
        </is>
      </c>
      <c r="D73" s="3" t="n">
        <v>26</v>
      </c>
      <c r="E73" s="3" t="n">
        <v>26</v>
      </c>
      <c r="F73" s="3" t="n">
        <v>11.08</v>
      </c>
      <c r="G73" s="3" t="n">
        <v>1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s="3" t="n">
        <v>22</v>
      </c>
      <c r="N73" s="3" t="n">
        <v>95.52</v>
      </c>
      <c r="O73" s="3" t="n">
        <v>10.56105610561056</v>
      </c>
    </row>
    <row r="74" hidden="1">
      <c r="A74" s="5" t="n">
        <v>46147</v>
      </c>
      <c r="B74" s="6" t="inlineStr">
        <is>
          <t>Leandro de Souza Silva</t>
        </is>
      </c>
      <c r="C74" s="3" t="inlineStr">
        <is>
          <t>JR</t>
        </is>
      </c>
      <c r="D74" s="3" t="n">
        <v>17</v>
      </c>
      <c r="E74" s="3" t="n">
        <v>17</v>
      </c>
      <c r="F74" s="3" t="n">
        <v>9.27</v>
      </c>
      <c r="G74" s="3" t="n">
        <v>5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IF(K74&lt;-5,"CRÍTICO",IF(K74&lt;0,"ATENÇÃO",IF(K74&lt;=5,"BOM","EXCELENTE")))</f>
        <v/>
      </c>
      <c r="M74" s="3" t="n">
        <v>16</v>
      </c>
      <c r="N74" s="3" t="n">
        <v>100</v>
      </c>
      <c r="O74" s="3" t="n">
        <v>16.95906432748538</v>
      </c>
    </row>
    <row r="75" hidden="1">
      <c r="A75" s="5" t="n">
        <v>46147</v>
      </c>
      <c r="B75" s="6" t="inlineStr">
        <is>
          <t>Leandro Oliveira de Sousa</t>
        </is>
      </c>
      <c r="C75" s="9" t="inlineStr">
        <is>
          <t>Técnico III</t>
        </is>
      </c>
      <c r="D75" s="3" t="n">
        <v>29</v>
      </c>
      <c r="E75" s="3" t="n">
        <v>25</v>
      </c>
      <c r="F75" s="3" t="n">
        <v>0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IF(K75&lt;-5,"CRÍTICO",IF(K75&lt;0,"ATENÇÃO",IF(K75&lt;=5,"BOM","EXCELENTE")))</f>
        <v/>
      </c>
      <c r="M75" s="3" t="n">
        <v>32</v>
      </c>
      <c r="N75" s="3" t="n">
        <v>100</v>
      </c>
      <c r="O75" s="3" t="n">
        <v>15.58441558441558</v>
      </c>
    </row>
    <row r="76" hidden="1">
      <c r="A76" s="5" t="n">
        <v>46147</v>
      </c>
      <c r="B76" s="6" t="inlineStr">
        <is>
          <t>Lizandra Gomes Duarte</t>
        </is>
      </c>
      <c r="C76" s="3" t="inlineStr">
        <is>
          <t>Técnico II</t>
        </is>
      </c>
      <c r="D76" s="3" t="n">
        <v>18</v>
      </c>
      <c r="E76" s="3" t="n">
        <v>18</v>
      </c>
      <c r="F76" s="3" t="n">
        <v>10.53</v>
      </c>
      <c r="G76" s="3" t="n">
        <v>4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IF(K76&lt;-5,"CRÍTICO",IF(K76&lt;0,"ATENÇÃO",IF(K76&lt;=5,"BOM","EXCELENTE")))</f>
        <v/>
      </c>
      <c r="M76" s="3" t="n">
        <v>25</v>
      </c>
      <c r="N76" s="3" t="n">
        <v>98.61</v>
      </c>
      <c r="O76" s="3" t="n">
        <v>16.86746987951807</v>
      </c>
    </row>
    <row r="77" hidden="1">
      <c r="A77" s="5" t="n">
        <v>46147</v>
      </c>
      <c r="B77" s="6" t="inlineStr">
        <is>
          <t>Lorena Dias de Araujo</t>
        </is>
      </c>
      <c r="C77" s="3" t="inlineStr">
        <is>
          <t>Técnico II</t>
        </is>
      </c>
      <c r="D77" s="3" t="n">
        <v>37</v>
      </c>
      <c r="E77" s="3" t="n">
        <v>35</v>
      </c>
      <c r="F77" s="3" t="n">
        <v>0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IF(K77&lt;-5,"CRÍTICO",IF(K77&lt;0,"ATENÇÃO",IF(K77&lt;=5,"BOM","EXCELENTE")))</f>
        <v/>
      </c>
      <c r="M77" s="3" t="n">
        <v>37</v>
      </c>
      <c r="N77" s="3" t="n">
        <v>100</v>
      </c>
      <c r="O77" s="3" t="n">
        <v>20.82018927444795</v>
      </c>
    </row>
    <row r="78" hidden="1">
      <c r="A78" s="5" t="n">
        <v>46147</v>
      </c>
      <c r="B78" s="6" t="inlineStr">
        <is>
          <t>Lucas Luiz Romero</t>
        </is>
      </c>
      <c r="C78" s="3" t="inlineStr">
        <is>
          <t>Técnico III</t>
        </is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IF(K78&lt;-5,"CRÍTICO",IF(K78&lt;0,"ATENÇÃO",IF(K78&lt;=5,"BOM","EXCELENTE")))</f>
        <v/>
      </c>
      <c r="M78" s="3" t="n">
        <v>0</v>
      </c>
      <c r="N78" s="3" t="n">
        <v>100</v>
      </c>
      <c r="O78" s="3" t="n">
        <v>4.347826086956522</v>
      </c>
    </row>
    <row r="79" hidden="1">
      <c r="A79" s="5" t="n">
        <v>46147</v>
      </c>
      <c r="B79" s="6" t="inlineStr">
        <is>
          <t>Luiz Fernando de Carvalho Junior</t>
        </is>
      </c>
      <c r="C79" s="3" t="inlineStr">
        <is>
          <t>Técnico I</t>
        </is>
      </c>
      <c r="D79" s="3" t="n">
        <v>31</v>
      </c>
      <c r="E79" s="3" t="n">
        <v>28</v>
      </c>
      <c r="F79" s="3" t="n">
        <v>9.029999999999999</v>
      </c>
      <c r="G79" s="3" t="n">
        <v>1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IF(K79&lt;-5,"CRÍTICO",IF(K79&lt;0,"ATENÇÃO",IF(K79&lt;=5,"BOM","EXCELENTE")))</f>
        <v/>
      </c>
      <c r="M79" s="3" t="n">
        <v>30</v>
      </c>
      <c r="N79" s="3" t="n">
        <v>93.26000000000001</v>
      </c>
      <c r="O79" s="3" t="n">
        <v>19.93957703927493</v>
      </c>
    </row>
    <row r="80" hidden="1">
      <c r="A80" s="5" t="n">
        <v>46147</v>
      </c>
      <c r="B80" s="6" t="inlineStr">
        <is>
          <t>Matheus Farias De Souza</t>
        </is>
      </c>
      <c r="C80" s="3" t="inlineStr">
        <is>
          <t>Técnico III</t>
        </is>
      </c>
      <c r="D80" s="3" t="n">
        <v>14</v>
      </c>
      <c r="E80" s="3" t="n">
        <v>14</v>
      </c>
      <c r="F80" s="3" t="n">
        <v>25.26</v>
      </c>
      <c r="G80" s="3" t="n">
        <v>0</v>
      </c>
      <c r="H80" s="3" t="n">
        <v>21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IF(K80&lt;-5,"CRÍTICO",IF(K80&lt;0,"ATENÇÃO",IF(K80&lt;=5,"BOM","EXCELENTE")))</f>
        <v/>
      </c>
      <c r="M80" s="3" t="n">
        <v>28</v>
      </c>
      <c r="N80" s="3" t="n">
        <v>98.28</v>
      </c>
      <c r="O80" s="3" t="n">
        <v>9.037900874635568</v>
      </c>
    </row>
    <row r="81" hidden="1">
      <c r="A81" s="5" t="n">
        <v>46147</v>
      </c>
      <c r="B81" s="6" t="inlineStr">
        <is>
          <t>Maysa Victoria Dias Moura</t>
        </is>
      </c>
      <c r="C81" s="3" t="inlineStr">
        <is>
          <t>Técnico III</t>
        </is>
      </c>
      <c r="D81" s="3" t="n">
        <v>32</v>
      </c>
      <c r="E81" s="3" t="n">
        <v>30</v>
      </c>
      <c r="F81" s="3" t="n">
        <v>7.13</v>
      </c>
      <c r="G81" s="3" t="n">
        <v>10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IF(K81&lt;-5,"CRÍTICO",IF(K81&lt;0,"ATENÇÃO",IF(K81&lt;=5,"BOM","EXCELENTE")))</f>
        <v/>
      </c>
      <c r="M81" s="3" t="n">
        <v>37</v>
      </c>
      <c r="N81" s="3" t="n">
        <v>97.22</v>
      </c>
      <c r="O81" s="3" t="n">
        <v>19.09547738693467</v>
      </c>
    </row>
    <row r="82" hidden="1">
      <c r="A82" s="5" t="n">
        <v>46147</v>
      </c>
      <c r="B82" s="6" t="inlineStr">
        <is>
          <t>Milena Sales</t>
        </is>
      </c>
      <c r="C82" s="3" t="inlineStr">
        <is>
          <t>JR</t>
        </is>
      </c>
      <c r="D82" s="3" t="n">
        <v>56</v>
      </c>
      <c r="E82" s="3" t="n">
        <v>34</v>
      </c>
      <c r="F82" s="3" t="n">
        <v>10.59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IF(K82&lt;-5,"CRÍTICO",IF(K82&lt;0,"ATENÇÃO",IF(K82&lt;=5,"BOM","EXCELENTE")))</f>
        <v/>
      </c>
      <c r="M82" s="3" t="n">
        <v>22</v>
      </c>
      <c r="N82" s="3" t="n">
        <v>98</v>
      </c>
      <c r="O82" s="3" t="n">
        <v>16.43835616438356</v>
      </c>
    </row>
    <row r="83" hidden="1">
      <c r="A83" s="5" t="n">
        <v>46147</v>
      </c>
      <c r="B83" s="6" t="inlineStr">
        <is>
          <t>Patrícia Karla de Sousa Araújo</t>
        </is>
      </c>
      <c r="C83" s="3" t="inlineStr">
        <is>
          <t>Técnico II</t>
        </is>
      </c>
      <c r="D83" s="3" t="n">
        <v>27</v>
      </c>
      <c r="E83" s="3" t="n">
        <v>25</v>
      </c>
      <c r="F83" s="3" t="n">
        <v>12.04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IF(K83&lt;-5,"CRÍTICO",IF(K83&lt;0,"ATENÇÃO",IF(K83&lt;=5,"BOM","EXCELENTE")))</f>
        <v/>
      </c>
      <c r="M83" s="3" t="n">
        <v>21</v>
      </c>
      <c r="N83" s="3" t="n">
        <v>100</v>
      </c>
      <c r="O83" s="3" t="n">
        <v>16.89497716894977</v>
      </c>
    </row>
    <row r="84" hidden="1">
      <c r="A84" s="5" t="n">
        <v>46147</v>
      </c>
      <c r="B84" s="6" t="inlineStr">
        <is>
          <t>Paulo Ricardo Santos</t>
        </is>
      </c>
      <c r="C84" s="3" t="inlineStr">
        <is>
          <t>JR</t>
        </is>
      </c>
      <c r="D84" s="3" t="n">
        <v>18</v>
      </c>
      <c r="E84" s="3" t="n">
        <v>17</v>
      </c>
      <c r="F84" s="3" t="n">
        <v>11.03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IF(K84&lt;-5,"CRÍTICO",IF(K84&lt;0,"ATENÇÃO",IF(K84&lt;=5,"BOM","EXCELENTE")))</f>
        <v/>
      </c>
      <c r="M84" s="3" t="n">
        <v>17</v>
      </c>
      <c r="N84" s="3" t="n">
        <v>100</v>
      </c>
      <c r="O84" s="3" t="n">
        <v>19.13875598086124</v>
      </c>
    </row>
    <row r="85" hidden="1">
      <c r="A85" s="5" t="n">
        <v>46147</v>
      </c>
      <c r="B85" s="6" t="inlineStr">
        <is>
          <t>Pedro Luiz Mota Sousa</t>
        </is>
      </c>
      <c r="C85" s="3" t="inlineStr">
        <is>
          <t>JR</t>
        </is>
      </c>
      <c r="D85" s="3" t="n">
        <v>11</v>
      </c>
      <c r="E85" s="3" t="n">
        <v>11</v>
      </c>
      <c r="F85" s="3" t="n">
        <v>11.26</v>
      </c>
      <c r="G85" s="3" t="n">
        <v>9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IF(K85&lt;-5,"CRÍTICO",IF(K85&lt;0,"ATENÇÃO",IF(K85&lt;=5,"BOM","EXCELENTE")))</f>
        <v/>
      </c>
      <c r="M85" s="3" t="n">
        <v>19</v>
      </c>
      <c r="N85" s="3" t="n">
        <v>100</v>
      </c>
      <c r="O85" s="3" t="n">
        <v>15.02145922746781</v>
      </c>
    </row>
    <row r="86" hidden="1">
      <c r="A86" s="5" t="n">
        <v>46147</v>
      </c>
      <c r="B86" s="6" t="inlineStr">
        <is>
          <t>Raane Batista Matos</t>
        </is>
      </c>
      <c r="C86" s="3" t="inlineStr">
        <is>
          <t>Técnico I</t>
        </is>
      </c>
      <c r="D86" s="3" t="n">
        <v>31</v>
      </c>
      <c r="E86" s="3" t="n">
        <v>26</v>
      </c>
      <c r="F86" s="3" t="n">
        <v>8.300000000000001</v>
      </c>
      <c r="G86" s="3" t="n">
        <v>10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IF(K86&lt;-5,"CRÍTICO",IF(K86&lt;0,"ATENÇÃO",IF(K86&lt;=5,"BOM","EXCELENTE")))</f>
        <v/>
      </c>
      <c r="M86" s="3" t="n">
        <v>21</v>
      </c>
      <c r="N86" s="3" t="n">
        <v>97.56</v>
      </c>
      <c r="O86" s="3" t="n">
        <v>19.28783382789317</v>
      </c>
    </row>
    <row r="87" hidden="1">
      <c r="A87" s="5" t="n">
        <v>46147</v>
      </c>
      <c r="B87" s="6" t="inlineStr">
        <is>
          <t>Rafael Gomes de Morais</t>
        </is>
      </c>
      <c r="C87" s="3" t="inlineStr">
        <is>
          <t>Técnico III</t>
        </is>
      </c>
      <c r="D87" s="3" t="n">
        <v>49</v>
      </c>
      <c r="E87" s="3" t="n">
        <v>45</v>
      </c>
      <c r="F87" s="3" t="n">
        <v>6.46</v>
      </c>
      <c r="G87" s="3" t="n">
        <v>9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IF(K87&lt;-5,"CRÍTICO",IF(K87&lt;0,"ATENÇÃO",IF(K87&lt;=5,"BOM","EXCELENTE")))</f>
        <v/>
      </c>
      <c r="M87" s="3" t="n">
        <v>49</v>
      </c>
      <c r="N87" s="3" t="n">
        <v>99.29000000000001</v>
      </c>
      <c r="O87" s="3" t="n">
        <v>22.49443207126949</v>
      </c>
    </row>
    <row r="88" hidden="1">
      <c r="A88" s="5" t="n">
        <v>46147</v>
      </c>
      <c r="B88" s="6" t="inlineStr">
        <is>
          <t>Sara Maria Monteiro Lopes</t>
        </is>
      </c>
      <c r="C88" s="3" t="inlineStr">
        <is>
          <t>Técnico I</t>
        </is>
      </c>
      <c r="D88" s="3" t="n">
        <v>14</v>
      </c>
      <c r="E88" s="3" t="n">
        <v>14</v>
      </c>
      <c r="F88" s="3" t="n">
        <v>21.53</v>
      </c>
      <c r="G88" s="3" t="n">
        <v>3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IF(K88&lt;-5,"CRÍTICO",IF(K88&lt;0,"ATENÇÃO",IF(K88&lt;=5,"BOM","EXCELENTE")))</f>
        <v/>
      </c>
      <c r="M88" s="3" t="n">
        <v>10</v>
      </c>
      <c r="N88" s="3" t="n">
        <v>100</v>
      </c>
      <c r="O88" s="3" t="n">
        <v>16.97247706422019</v>
      </c>
    </row>
    <row r="89" hidden="1">
      <c r="A89" s="5" t="n">
        <v>46147</v>
      </c>
      <c r="B89" s="6" t="inlineStr">
        <is>
          <t>Sarah Steffanie de Lima Borges</t>
        </is>
      </c>
      <c r="C89" s="3" t="inlineStr">
        <is>
          <t>Técnico III</t>
        </is>
      </c>
      <c r="D89" s="3" t="n">
        <v>33</v>
      </c>
      <c r="E89" s="3" t="n">
        <v>32</v>
      </c>
      <c r="F89" s="3" t="n">
        <v>9.31</v>
      </c>
      <c r="G89" s="3" t="n">
        <v>0</v>
      </c>
      <c r="H89" s="3" t="n">
        <v>0</v>
      </c>
      <c r="I89" s="3">
        <f>E89+G89+H89</f>
        <v/>
      </c>
      <c r="J89" s="3">
        <f>ROUND(MIN(IF(C89="Técnico III",35,IF(C89="Técnico II",28,IF(C89="Técnico I",23,IF(C89="JR",20,IF(C89="Estágio",10,0))))),IF(C89="Técnico III",SUMIFS($D:$D,$A:$A,$A89,$B:$B,"&lt;&gt;Patrícia Karla de Sousa Araújo",$B:$B,"&lt;&gt;Lorena Dias de Araujo",$B:$B,"&lt;&gt;Lucas Luiz Romero")*(35/1083),IF(C89="Técnico II",SUMIFS($D:$D,$A:$A,$A89,$B:$B,"&lt;&gt;Patrícia Karla de Sousa Araújo",$B:$B,"&lt;&gt;Lorena Dias de Araujo",$B:$B,"&lt;&gt;Lucas Luiz Romero")*(28/1083),IF(C89="Técnico I",SUMIFS($D:$D,$A:$A,$A89,$B:$B,"&lt;&gt;Patrícia Karla de Sousa Araújo",$B:$B,"&lt;&gt;Lorena Dias de Araujo",$B:$B,"&lt;&gt;Lucas Luiz Romero")*(23/1083),IF(C89="JR",SUMIFS($D:$D,$A:$A,$A89,$B:$B,"&lt;&gt;Patrícia Karla de Sousa Araújo",$B:$B,"&lt;&gt;Lorena Dias de Araujo",$B:$B,"&lt;&gt;Lucas Luiz Romero")*(20/1083),IF(C89="Estágio",SUMIFS($D:$D,$A:$A,$A89,$B:$B,"&lt;&gt;Patrícia Karla de Sousa Araújo",$B:$B,"&lt;&gt;Lorena Dias de Araujo",$B:$B,"&lt;&gt;Lucas Luiz Romero")*(10/1083),0)))))),0)</f>
        <v/>
      </c>
      <c r="K89" s="3">
        <f>I89-J89</f>
        <v/>
      </c>
      <c r="L89" s="3">
        <f>IF(K89&lt;-5,"CRÍTICO",IF(K89&lt;0,"ATENÇÃO",IF(K89&lt;=5,"BOM","EXCELENTE")))</f>
        <v/>
      </c>
      <c r="M89" s="3" t="n">
        <v>28</v>
      </c>
      <c r="N89" s="3" t="n">
        <v>97.33</v>
      </c>
      <c r="O89" s="3" t="n">
        <v>15.80547112462006</v>
      </c>
    </row>
    <row r="90" hidden="1">
      <c r="A90" s="5" t="n">
        <v>46148</v>
      </c>
      <c r="B90" s="6" t="inlineStr">
        <is>
          <t>Alisson de Freitas Silva</t>
        </is>
      </c>
      <c r="C90" s="3" t="inlineStr">
        <is>
          <t>Técnico II</t>
        </is>
      </c>
      <c r="D90" s="3" t="n">
        <v>35</v>
      </c>
      <c r="E90" s="3" t="n">
        <v>29</v>
      </c>
      <c r="G90" s="3" t="n">
        <v>11</v>
      </c>
      <c r="H90" s="3" t="n">
        <v>0</v>
      </c>
      <c r="I90" s="3">
        <f>E90+G90+H90</f>
        <v/>
      </c>
      <c r="J90" s="3">
        <f>ROUND(MIN(IF(C90="Técnico III",35,IF(C90="Técnico II",28,IF(C90="Técnico I",23,IF(C90="JR",20,IF(C90="Estágio",10,0))))),IF(C90="Técnico III",SUMIFS($D:$D,$A:$A,$A90,$B:$B,"&lt;&gt;Patrícia Karla de Sousa Araújo",$B:$B,"&lt;&gt;Lorena Dias de Araujo",$B:$B,"&lt;&gt;Lucas Luiz Romero")*(35/1083),IF(C90="Técnico II",SUMIFS($D:$D,$A:$A,$A90,$B:$B,"&lt;&gt;Patrícia Karla de Sousa Araújo",$B:$B,"&lt;&gt;Lorena Dias de Araujo",$B:$B,"&lt;&gt;Lucas Luiz Romero")*(28/1083),IF(C90="Técnico I",SUMIFS($D:$D,$A:$A,$A90,$B:$B,"&lt;&gt;Patrícia Karla de Sousa Araújo",$B:$B,"&lt;&gt;Lorena Dias de Araujo",$B:$B,"&lt;&gt;Lucas Luiz Romero")*(23/1083),IF(C90="JR",SUMIFS($D:$D,$A:$A,$A90,$B:$B,"&lt;&gt;Patrícia Karla de Sousa Araújo",$B:$B,"&lt;&gt;Lorena Dias de Araujo",$B:$B,"&lt;&gt;Lucas Luiz Romero")*(20/1083),IF(C90="Estágio",SUMIFS($D:$D,$A:$A,$A90,$B:$B,"&lt;&gt;Patrícia Karla de Sousa Araújo",$B:$B,"&lt;&gt;Lorena Dias de Araujo",$B:$B,"&lt;&gt;Lucas Luiz Romero")*(10/1083),0)))))),0)</f>
        <v/>
      </c>
      <c r="K90" s="3">
        <f>I90-J90</f>
        <v/>
      </c>
      <c r="L90" s="3">
        <f>IF(K90&lt;-5,"CRÍTICO",IF(K90&lt;0,"ATENÇÃO",IF(K90&lt;=5,"BOM","EXCELENTE")))</f>
        <v/>
      </c>
      <c r="M90" s="3" t="n">
        <v>32</v>
      </c>
      <c r="N90" s="3" t="n">
        <v>98.94</v>
      </c>
      <c r="O90" s="3" t="n">
        <v>19.61414790996785</v>
      </c>
    </row>
    <row r="91" hidden="1">
      <c r="A91" s="5" t="n">
        <v>46148</v>
      </c>
      <c r="B91" s="6" t="inlineStr">
        <is>
          <t>Amanda Moura Ferreira</t>
        </is>
      </c>
      <c r="C91" s="3" t="inlineStr">
        <is>
          <t>Técnico III</t>
        </is>
      </c>
      <c r="D91" s="3" t="n">
        <v>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IF(K91&lt;-5,"CRÍTICO",IF(K91&lt;0,"ATENÇÃO",IF(K91&lt;=5,"BOM","EXCELENTE")))</f>
        <v/>
      </c>
      <c r="M91" s="9" t="n">
        <v>0</v>
      </c>
      <c r="N91" s="9" t="n">
        <v>100</v>
      </c>
      <c r="O91" s="9" t="n">
        <v>0</v>
      </c>
    </row>
    <row r="92" hidden="1">
      <c r="A92" s="5" t="n">
        <v>46148</v>
      </c>
      <c r="B92" s="6" t="inlineStr">
        <is>
          <t>Ana Karollyne Souza Faria</t>
        </is>
      </c>
      <c r="C92" s="3" t="inlineStr">
        <is>
          <t>Técnico I</t>
        </is>
      </c>
      <c r="D92" s="3" t="n">
        <v>50</v>
      </c>
      <c r="E92" s="3" t="n">
        <v>43</v>
      </c>
      <c r="G92" s="3" t="n">
        <v>6</v>
      </c>
      <c r="H92" s="3" t="n">
        <v>0</v>
      </c>
      <c r="I92" s="3">
        <f>E92+G92+H92</f>
        <v/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/>
      </c>
      <c r="K92" s="3">
        <f>I92-J92</f>
        <v/>
      </c>
      <c r="L92" s="3">
        <f>IF(K92&lt;-5,"CRÍTICO",IF(K92&lt;0,"ATENÇÃO",IF(K92&lt;=5,"BOM","EXCELENTE")))</f>
        <v/>
      </c>
      <c r="M92" s="3" t="n">
        <v>43</v>
      </c>
      <c r="N92" s="3" t="n">
        <v>95.38</v>
      </c>
      <c r="O92" s="3" t="n">
        <v>21.5962441314554</v>
      </c>
    </row>
    <row r="93" hidden="1">
      <c r="A93" s="5" t="n">
        <v>46148</v>
      </c>
      <c r="B93" s="6" t="inlineStr">
        <is>
          <t>Ana Paula Da Luz Silva Aleixo</t>
        </is>
      </c>
      <c r="C93" s="9" t="inlineStr">
        <is>
          <t>Técnico III</t>
        </is>
      </c>
      <c r="D93" s="3" t="n">
        <v>22</v>
      </c>
      <c r="E93" s="3" t="n">
        <v>20</v>
      </c>
      <c r="G93" s="3" t="n">
        <v>12</v>
      </c>
      <c r="H93" s="3" t="n">
        <v>0</v>
      </c>
      <c r="I93" s="3">
        <f>E93+G93+H93</f>
        <v/>
      </c>
      <c r="J93" s="3">
        <f>ROUND(MIN(IF(C93="Técnico III",35,IF(C93="Técnico II",28,IF(C93="Técnico I",23,IF(C93="JR",20,IF(C93="Estágio",10,0))))),IF(C93="Técnico III",SUMIFS($D:$D,$A:$A,$A93,$B:$B,"&lt;&gt;Patrícia Karla de Sousa Araújo",$B:$B,"&lt;&gt;Lorena Dias de Araujo",$B:$B,"&lt;&gt;Lucas Luiz Romero")*(35/1083),IF(C93="Técnico II",SUMIFS($D:$D,$A:$A,$A93,$B:$B,"&lt;&gt;Patrícia Karla de Sousa Araújo",$B:$B,"&lt;&gt;Lorena Dias de Araujo",$B:$B,"&lt;&gt;Lucas Luiz Romero")*(28/1083),IF(C93="Técnico I",SUMIFS($D:$D,$A:$A,$A93,$B:$B,"&lt;&gt;Patrícia Karla de Sousa Araújo",$B:$B,"&lt;&gt;Lorena Dias de Araujo",$B:$B,"&lt;&gt;Lucas Luiz Romero")*(23/1083),IF(C93="JR",SUMIFS($D:$D,$A:$A,$A93,$B:$B,"&lt;&gt;Patrícia Karla de Sousa Araújo",$B:$B,"&lt;&gt;Lorena Dias de Araujo",$B:$B,"&lt;&gt;Lucas Luiz Romero")*(20/1083),IF(C93="Estágio",SUMIFS($D:$D,$A:$A,$A93,$B:$B,"&lt;&gt;Patrícia Karla de Sousa Araújo",$B:$B,"&lt;&gt;Lorena Dias de Araujo",$B:$B,"&lt;&gt;Lucas Luiz Romero")*(10/1083),0)))))),0)</f>
        <v/>
      </c>
      <c r="K93" s="3">
        <f>I93-J93</f>
        <v/>
      </c>
      <c r="L93" s="3">
        <f>IF(K93&lt;-5,"CRÍTICO",IF(K93&lt;0,"ATENÇÃO",IF(K93&lt;=5,"BOM","EXCELENTE")))</f>
        <v/>
      </c>
      <c r="M93" s="3" t="n">
        <v>30</v>
      </c>
      <c r="N93" s="3" t="n">
        <v>96.34</v>
      </c>
      <c r="O93" s="3" t="n">
        <v>17.57188498402556</v>
      </c>
    </row>
    <row r="94" hidden="1">
      <c r="A94" s="5" t="n">
        <v>46148</v>
      </c>
      <c r="B94" s="6" t="inlineStr">
        <is>
          <t>Brenda de Menezes Silva</t>
        </is>
      </c>
      <c r="C94" s="3" t="inlineStr">
        <is>
          <t>Técnico II</t>
        </is>
      </c>
      <c r="D94" s="3" t="n">
        <v>31</v>
      </c>
      <c r="E94" s="3" t="n">
        <v>28</v>
      </c>
      <c r="G94" s="3" t="n">
        <v>9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IF(K94&lt;-5,"CRÍTICO",IF(K94&lt;0,"ATENÇÃO",IF(K94&lt;=5,"BOM","EXCELENTE")))</f>
        <v/>
      </c>
      <c r="M94" s="3" t="n">
        <v>35</v>
      </c>
      <c r="N94" s="3" t="n">
        <v>99.13</v>
      </c>
      <c r="O94" s="3" t="n">
        <v>14.7239263803681</v>
      </c>
    </row>
    <row r="95" hidden="1">
      <c r="A95" s="5" t="n">
        <v>46148</v>
      </c>
      <c r="B95" s="6" t="inlineStr">
        <is>
          <t>Carlos Mateus Cassimiro Nunes</t>
        </is>
      </c>
      <c r="C95" s="9" t="inlineStr">
        <is>
          <t>Técnico II</t>
        </is>
      </c>
      <c r="D95" s="3" t="n">
        <v>34</v>
      </c>
      <c r="E95" s="3" t="n">
        <v>32</v>
      </c>
      <c r="G95" s="3" t="n">
        <v>1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IF(K95&lt;-5,"CRÍTICO",IF(K95&lt;0,"ATENÇÃO",IF(K95&lt;=5,"BOM","EXCELENTE")))</f>
        <v/>
      </c>
      <c r="M95" s="3" t="n">
        <v>31</v>
      </c>
      <c r="N95" s="3" t="n">
        <v>98.8</v>
      </c>
      <c r="O95" s="3" t="n">
        <v>16.89750692520776</v>
      </c>
    </row>
    <row r="96" hidden="1">
      <c r="A96" s="5" t="n">
        <v>46148</v>
      </c>
      <c r="B96" s="6" t="inlineStr">
        <is>
          <t>Anna Luiza Rezende Tavares</t>
        </is>
      </c>
      <c r="C96" s="3" t="inlineStr">
        <is>
          <t>Estágio</t>
        </is>
      </c>
      <c r="D96" s="3" t="n">
        <v>27</v>
      </c>
      <c r="E96" s="3" t="n">
        <v>26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IF(K96&lt;-5,"CRÍTICO",IF(K96&lt;0,"ATENÇÃO",IF(K96&lt;=5,"BOM","EXCELENTE")))</f>
        <v/>
      </c>
      <c r="M96" s="3" t="n">
        <v>25</v>
      </c>
      <c r="N96" s="3" t="n">
        <v>99.11</v>
      </c>
      <c r="O96" s="3" t="n">
        <v>17.72151898734177</v>
      </c>
    </row>
    <row r="97" hidden="1">
      <c r="A97" s="5" t="n">
        <v>46148</v>
      </c>
      <c r="B97" s="6" t="inlineStr">
        <is>
          <t>Claudio de Sousa Velasco Filho</t>
        </is>
      </c>
      <c r="C97" s="3" t="inlineStr">
        <is>
          <t>Estágio</t>
        </is>
      </c>
      <c r="D97" s="3" t="n">
        <v>13</v>
      </c>
      <c r="E97" s="3" t="n">
        <v>12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IF(K97&lt;-5,"CRÍTICO",IF(K97&lt;0,"ATENÇÃO",IF(K97&lt;=5,"BOM","EXCELENTE")))</f>
        <v/>
      </c>
      <c r="M97" s="3" t="n">
        <v>9</v>
      </c>
      <c r="N97" s="3" t="n">
        <v>96.43000000000001</v>
      </c>
      <c r="O97" s="3" t="n">
        <v>20</v>
      </c>
    </row>
    <row r="98" hidden="1">
      <c r="A98" s="5" t="n">
        <v>46148</v>
      </c>
      <c r="B98" s="6" t="inlineStr">
        <is>
          <t>Emilly Caylane Costa</t>
        </is>
      </c>
      <c r="C98" s="3" t="inlineStr">
        <is>
          <t>Estágio</t>
        </is>
      </c>
      <c r="D98" s="3" t="n">
        <v>56</v>
      </c>
      <c r="E98" s="3" t="n">
        <v>43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IF(K98&lt;-5,"CRÍTICO",IF(K98&lt;0,"ATENÇÃO",IF(K98&lt;=5,"BOM","EXCELENTE")))</f>
        <v/>
      </c>
      <c r="M98" s="3" t="n">
        <v>2</v>
      </c>
      <c r="N98" s="3" t="n">
        <v>100</v>
      </c>
      <c r="O98" s="3" t="n">
        <v>29.03225806451613</v>
      </c>
    </row>
    <row r="99" hidden="1">
      <c r="A99" s="5" t="n">
        <v>46148</v>
      </c>
      <c r="B99" s="6" t="inlineStr">
        <is>
          <t>Maria Eduarda Sousa Costa</t>
        </is>
      </c>
      <c r="C99" s="3" t="inlineStr">
        <is>
          <t>Estágio</t>
        </is>
      </c>
      <c r="D99" s="3" t="n">
        <v>66</v>
      </c>
      <c r="E99" s="3" t="n">
        <v>38</v>
      </c>
      <c r="G99" s="3" t="n">
        <v>0</v>
      </c>
      <c r="H99" s="3" t="n">
        <v>0</v>
      </c>
      <c r="I99" s="3">
        <f>E99+G99+H99</f>
        <v/>
      </c>
      <c r="J99" s="3">
        <f>ROUND(MIN(IF(C99="Técnico III",35,IF(C99="Técnico II",28,IF(C99="Técnico I",23,IF(C99="JR",20,IF(C99="Estágio",10,0))))),IF(C99="Técnico III",SUMIFS($D:$D,$A:$A,$A99,$B:$B,"&lt;&gt;Patrícia Karla de Sousa Araújo",$B:$B,"&lt;&gt;Lorena Dias de Araujo",$B:$B,"&lt;&gt;Lucas Luiz Romero")*(35/1083),IF(C99="Técnico II",SUMIFS($D:$D,$A:$A,$A99,$B:$B,"&lt;&gt;Patrícia Karla de Sousa Araújo",$B:$B,"&lt;&gt;Lorena Dias de Araujo",$B:$B,"&lt;&gt;Lucas Luiz Romero")*(28/1083),IF(C99="Técnico I",SUMIFS($D:$D,$A:$A,$A99,$B:$B,"&lt;&gt;Patrícia Karla de Sousa Araújo",$B:$B,"&lt;&gt;Lorena Dias de Araujo",$B:$B,"&lt;&gt;Lucas Luiz Romero")*(23/1083),IF(C99="JR",SUMIFS($D:$D,$A:$A,$A99,$B:$B,"&lt;&gt;Patrícia Karla de Sousa Araújo",$B:$B,"&lt;&gt;Lorena Dias de Araujo",$B:$B,"&lt;&gt;Lucas Luiz Romero")*(20/1083),IF(C99="Estágio",SUMIFS($D:$D,$A:$A,$A99,$B:$B,"&lt;&gt;Patrícia Karla de Sousa Araújo",$B:$B,"&lt;&gt;Lorena Dias de Araujo",$B:$B,"&lt;&gt;Lucas Luiz Romero")*(10/1083),0)))))),0)</f>
        <v/>
      </c>
      <c r="K99" s="3">
        <f>I99-J99</f>
        <v/>
      </c>
      <c r="L99" s="3">
        <f>IF(K99&lt;-5,"CRÍTICO",IF(K99&lt;0,"ATENÇÃO",IF(K99&lt;=5,"BOM","EXCELENTE")))</f>
        <v/>
      </c>
      <c r="M99" s="3" t="n">
        <v>3</v>
      </c>
      <c r="N99" s="3" t="n">
        <v>100</v>
      </c>
      <c r="O99" s="3" t="n">
        <v>11.86440677966102</v>
      </c>
    </row>
    <row r="100" hidden="1">
      <c r="A100" s="5" t="n">
        <v>46148</v>
      </c>
      <c r="B100" s="6" t="inlineStr">
        <is>
          <t>Michelle G Santos</t>
        </is>
      </c>
      <c r="C100" s="3" t="inlineStr">
        <is>
          <t>Estágio</t>
        </is>
      </c>
      <c r="D100" s="3" t="n">
        <v>9</v>
      </c>
      <c r="E100" s="3" t="n">
        <v>8</v>
      </c>
      <c r="G100" s="3" t="n">
        <v>0</v>
      </c>
      <c r="H100" s="3" t="n">
        <v>0</v>
      </c>
      <c r="I100" s="3">
        <f>E100+G100+H100</f>
        <v/>
      </c>
      <c r="J100" s="3">
        <f>ROUND(MIN(IF(C100="Técnico III",35,IF(C100="Técnico II",28,IF(C100="Técnico I",23,IF(C100="JR",20,IF(C100="Estágio",10,0))))),IF(C100="Técnico III",SUMIFS($D:$D,$A:$A,$A100,$B:$B,"&lt;&gt;Patrícia Karla de Sousa Araújo",$B:$B,"&lt;&gt;Lorena Dias de Araujo",$B:$B,"&lt;&gt;Lucas Luiz Romero")*(35/1083),IF(C100="Técnico II",SUMIFS($D:$D,$A:$A,$A100,$B:$B,"&lt;&gt;Patrícia Karla de Sousa Araújo",$B:$B,"&lt;&gt;Lorena Dias de Araujo",$B:$B,"&lt;&gt;Lucas Luiz Romero")*(28/1083),IF(C100="Técnico I",SUMIFS($D:$D,$A:$A,$A100,$B:$B,"&lt;&gt;Patrícia Karla de Sousa Araújo",$B:$B,"&lt;&gt;Lorena Dias de Araujo",$B:$B,"&lt;&gt;Lucas Luiz Romero")*(23/1083),IF(C100="JR",SUMIFS($D:$D,$A:$A,$A100,$B:$B,"&lt;&gt;Patrícia Karla de Sousa Araújo",$B:$B,"&lt;&gt;Lorena Dias de Araujo",$B:$B,"&lt;&gt;Lucas Luiz Romero")*(20/1083),IF(C100="Estágio",SUMIFS($D:$D,$A:$A,$A100,$B:$B,"&lt;&gt;Patrícia Karla de Sousa Araújo",$B:$B,"&lt;&gt;Lorena Dias de Araujo",$B:$B,"&lt;&gt;Lucas Luiz Romero")*(10/1083),0)))))),0)</f>
        <v/>
      </c>
      <c r="K100" s="3">
        <f>I100-J100</f>
        <v/>
      </c>
      <c r="L100" s="3">
        <f>IF(K100&lt;-5,"CRÍTICO",IF(K100&lt;0,"ATENÇÃO",IF(K100&lt;=5,"BOM","EXCELENTE")))</f>
        <v/>
      </c>
      <c r="M100" s="3" t="n">
        <v>7</v>
      </c>
      <c r="N100" s="3" t="n">
        <v>100</v>
      </c>
      <c r="O100" s="3" t="n">
        <v>16.8141592920354</v>
      </c>
    </row>
    <row r="101" hidden="1">
      <c r="A101" s="5" t="n">
        <v>46148</v>
      </c>
      <c r="B101" s="6" t="inlineStr">
        <is>
          <t>Quirino Diogo Leite Torres</t>
        </is>
      </c>
      <c r="C101" s="3" t="inlineStr">
        <is>
          <t>Estágio</t>
        </is>
      </c>
      <c r="D101" s="3" t="n">
        <v>17</v>
      </c>
      <c r="E101" s="3" t="n">
        <v>15</v>
      </c>
      <c r="G101" s="3" t="n">
        <v>0</v>
      </c>
      <c r="H101" s="3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IF(K101&lt;-5,"CRÍTICO",IF(K101&lt;0,"ATENÇÃO",IF(K101&lt;=5,"BOM","EXCELENTE")))</f>
        <v/>
      </c>
      <c r="M101" s="3" t="n">
        <v>14</v>
      </c>
      <c r="N101" s="3" t="n">
        <v>98.11</v>
      </c>
      <c r="O101" s="3" t="n">
        <v>20.40816326530612</v>
      </c>
    </row>
    <row r="102" hidden="1">
      <c r="A102" s="5" t="n">
        <v>46148</v>
      </c>
      <c r="B102" s="6" t="inlineStr">
        <is>
          <t>Clessiane Pereira dos Santos</t>
        </is>
      </c>
      <c r="C102" s="3" t="inlineStr">
        <is>
          <t>Técnico I</t>
        </is>
      </c>
      <c r="D102" s="3" t="n">
        <v>24</v>
      </c>
      <c r="E102" s="3" t="n">
        <v>23</v>
      </c>
      <c r="G102" s="3" t="n">
        <v>9</v>
      </c>
      <c r="H102" s="3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IF(K102&lt;-5,"CRÍTICO",IF(K102&lt;0,"ATENÇÃO",IF(K102&lt;=5,"BOM","EXCELENTE")))</f>
        <v/>
      </c>
      <c r="M102" s="3" t="n">
        <v>30</v>
      </c>
      <c r="N102" s="3" t="n">
        <v>96.88</v>
      </c>
      <c r="O102" s="3" t="n">
        <v>19.52662721893491</v>
      </c>
    </row>
    <row r="103" hidden="1">
      <c r="A103" s="5" t="n">
        <v>46148</v>
      </c>
      <c r="B103" s="6" t="inlineStr">
        <is>
          <t>Cristiane Ramos da Silva Rocha</t>
        </is>
      </c>
      <c r="C103" s="3" t="inlineStr">
        <is>
          <t>Técnico III</t>
        </is>
      </c>
      <c r="D103" s="3" t="n">
        <v>48</v>
      </c>
      <c r="E103" s="3" t="n">
        <v>44</v>
      </c>
      <c r="G103" s="3" t="n">
        <v>0</v>
      </c>
      <c r="H103" s="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IF(K103&lt;-5,"CRÍTICO",IF(K103&lt;0,"ATENÇÃO",IF(K103&lt;=5,"BOM","EXCELENTE")))</f>
        <v/>
      </c>
      <c r="M103" s="3" t="n">
        <v>41</v>
      </c>
      <c r="N103" s="3" t="n">
        <v>91.84999999999999</v>
      </c>
      <c r="O103" s="3" t="n">
        <v>20.87155963302752</v>
      </c>
    </row>
    <row r="104" hidden="1">
      <c r="A104" s="5" t="n">
        <v>46148</v>
      </c>
      <c r="B104" s="6" t="inlineStr">
        <is>
          <t>Damyllis Lorraine de Oliveira Gonçalves</t>
        </is>
      </c>
      <c r="C104" s="3" t="inlineStr">
        <is>
          <t>Técnico II</t>
        </is>
      </c>
      <c r="D104" s="3" t="n">
        <v>40</v>
      </c>
      <c r="E104" s="3" t="n">
        <v>35</v>
      </c>
      <c r="G104" s="3" t="n">
        <v>1</v>
      </c>
      <c r="H104" s="3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IF(K104&lt;-5,"CRÍTICO",IF(K104&lt;0,"ATENÇÃO",IF(K104&lt;=5,"BOM","EXCELENTE")))</f>
        <v/>
      </c>
      <c r="M104" s="3" t="n">
        <v>29</v>
      </c>
      <c r="N104" s="3" t="n">
        <v>98.63</v>
      </c>
      <c r="O104" s="3" t="n">
        <v>18.75</v>
      </c>
    </row>
    <row r="105" hidden="1">
      <c r="A105" s="5" t="n">
        <v>46148</v>
      </c>
      <c r="B105" s="6" t="inlineStr">
        <is>
          <t>Daniel Gomes da Silva</t>
        </is>
      </c>
      <c r="C105" s="3" t="inlineStr">
        <is>
          <t>Técnico I</t>
        </is>
      </c>
      <c r="D105" s="3" t="n">
        <v>19</v>
      </c>
      <c r="E105" s="3" t="n">
        <v>16</v>
      </c>
      <c r="G105" s="3" t="n">
        <v>0</v>
      </c>
      <c r="H105" s="3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IF(K105&lt;-5,"CRÍTICO",IF(K105&lt;0,"ATENÇÃO",IF(K105&lt;=5,"BOM","EXCELENTE")))</f>
        <v/>
      </c>
      <c r="M105" s="3" t="n">
        <v>13</v>
      </c>
      <c r="N105" s="3" t="n">
        <v>100</v>
      </c>
      <c r="O105" s="3" t="n">
        <v>18.14516129032258</v>
      </c>
    </row>
    <row r="106" hidden="1">
      <c r="A106" s="5" t="n">
        <v>46148</v>
      </c>
      <c r="B106" s="6" t="inlineStr">
        <is>
          <t>Davylla Rodrigues Freitas Silva</t>
        </is>
      </c>
      <c r="C106" s="9" t="inlineStr">
        <is>
          <t>Técnico III</t>
        </is>
      </c>
      <c r="D106" s="3" t="n">
        <v>24</v>
      </c>
      <c r="E106" s="3" t="n">
        <v>22</v>
      </c>
      <c r="G106" s="3" t="n">
        <v>9</v>
      </c>
      <c r="H106" s="3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IF(K106&lt;-5,"CRÍTICO",IF(K106&lt;0,"ATENÇÃO",IF(K106&lt;=5,"BOM","EXCELENTE")))</f>
        <v/>
      </c>
      <c r="M106" s="3" t="n">
        <v>32</v>
      </c>
      <c r="N106" s="3" t="n">
        <v>99.06</v>
      </c>
      <c r="O106" s="3" t="n">
        <v>22.95719844357977</v>
      </c>
    </row>
    <row r="107" hidden="1">
      <c r="A107" s="5" t="n">
        <v>46148</v>
      </c>
      <c r="B107" s="6" t="inlineStr">
        <is>
          <t>Emilly Kamilly Medeiros Miranda</t>
        </is>
      </c>
      <c r="C107" s="3" t="inlineStr">
        <is>
          <t>Técnico II</t>
        </is>
      </c>
      <c r="D107" s="3" t="n">
        <v>15</v>
      </c>
      <c r="E107" s="3" t="n">
        <v>14</v>
      </c>
      <c r="G107" s="3" t="n">
        <v>9</v>
      </c>
      <c r="H107" s="3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IF(K107&lt;-5,"CRÍTICO",IF(K107&lt;0,"ATENÇÃO",IF(K107&lt;=5,"BOM","EXCELENTE")))</f>
        <v/>
      </c>
      <c r="M107" s="3" t="n">
        <v>22</v>
      </c>
      <c r="N107" s="3" t="n">
        <v>100</v>
      </c>
      <c r="O107" s="3" t="n">
        <v>13.8121546961326</v>
      </c>
    </row>
    <row r="108" hidden="1">
      <c r="A108" s="5" t="n">
        <v>46148</v>
      </c>
      <c r="B108" s="6" t="inlineStr">
        <is>
          <t>Francielson de Oliveira</t>
        </is>
      </c>
      <c r="C108" s="9" t="inlineStr">
        <is>
          <t>Técnico III</t>
        </is>
      </c>
      <c r="D108" s="3" t="n">
        <v>0</v>
      </c>
      <c r="E108" s="3" t="n">
        <v>0</v>
      </c>
      <c r="F108" s="3" t="n">
        <v>0</v>
      </c>
      <c r="G108" s="3" t="n">
        <v>0</v>
      </c>
      <c r="H108" s="3" t="n">
        <v>0</v>
      </c>
      <c r="I108" s="3" t="n">
        <v>0</v>
      </c>
      <c r="J108" s="3" t="n">
        <v>0</v>
      </c>
      <c r="K108" s="3" t="n">
        <v>0</v>
      </c>
      <c r="L108" s="3">
        <f>IF(K108&lt;-5,"CRÍTICO",IF(K108&lt;0,"ATENÇÃO",IF(K108&lt;=5,"BOM","EXCELENTE")))</f>
        <v/>
      </c>
      <c r="M108" s="3" t="n">
        <v>0</v>
      </c>
      <c r="N108" s="3" t="n">
        <v>100</v>
      </c>
      <c r="O108" s="3" t="n">
        <v>9.523809523809524</v>
      </c>
    </row>
    <row r="109" hidden="1">
      <c r="A109" s="5" t="n">
        <v>46148</v>
      </c>
      <c r="B109" s="6" t="inlineStr">
        <is>
          <t>Francilene Ferreira de Jesus</t>
        </is>
      </c>
      <c r="C109" s="3" t="inlineStr">
        <is>
          <t>Técnico II</t>
        </is>
      </c>
      <c r="D109" s="3" t="n">
        <v>0</v>
      </c>
      <c r="E109" s="3" t="n">
        <v>0</v>
      </c>
      <c r="F109" s="3" t="n">
        <v>0</v>
      </c>
      <c r="G109" s="3" t="n">
        <v>0</v>
      </c>
      <c r="H109" s="3" t="n">
        <v>0</v>
      </c>
      <c r="I109" s="3" t="n">
        <v>0</v>
      </c>
      <c r="J109" s="3" t="n">
        <v>0</v>
      </c>
      <c r="K109" s="3" t="n">
        <v>0</v>
      </c>
      <c r="L109" s="3">
        <f>IF(K109&lt;-5,"CRÍTICO",IF(K109&lt;0,"ATENÇÃO",IF(K109&lt;=5,"BOM","EXCELENTE")))</f>
        <v/>
      </c>
      <c r="M109" s="3" t="n">
        <v>0</v>
      </c>
      <c r="N109" s="3" t="n">
        <v>100</v>
      </c>
      <c r="O109" s="3" t="n">
        <v>17.24137931034483</v>
      </c>
    </row>
    <row r="110">
      <c r="A110" s="5" t="n">
        <v>46148</v>
      </c>
      <c r="B110" s="6" t="inlineStr">
        <is>
          <t>Gabriel Gomes de Andrade</t>
        </is>
      </c>
      <c r="C110" s="3" t="inlineStr">
        <is>
          <t>Técnico I</t>
        </is>
      </c>
      <c r="D110" s="3" t="n">
        <v>23</v>
      </c>
      <c r="E110" s="3" t="n">
        <v>22</v>
      </c>
      <c r="G110" s="3" t="n">
        <v>9</v>
      </c>
      <c r="H110" s="3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s="3" t="n">
        <v>24</v>
      </c>
      <c r="N110" s="3" t="n">
        <v>98.8</v>
      </c>
      <c r="O110" s="3" t="n">
        <v>15.41353383458646</v>
      </c>
    </row>
    <row r="111" hidden="1">
      <c r="A111" s="5" t="n">
        <v>46148</v>
      </c>
      <c r="B111" s="6" t="inlineStr">
        <is>
          <t>Isabella Borges de Oliveira</t>
        </is>
      </c>
      <c r="C111" s="9" t="inlineStr">
        <is>
          <t>Técnico II</t>
        </is>
      </c>
      <c r="D111" s="3" t="n">
        <v>33</v>
      </c>
      <c r="E111" s="3" t="n">
        <v>32</v>
      </c>
      <c r="G111" s="3" t="n">
        <v>9</v>
      </c>
      <c r="H111" s="3" t="n">
        <v>0</v>
      </c>
      <c r="I111" s="3">
        <f>E111+G111+H111</f>
        <v/>
      </c>
      <c r="J111" s="3">
        <f>ROUND(MIN(IF(C111="Técnico III",35,IF(C111="Técnico II",28,IF(C111="Técnico I",23,IF(C111="JR",20,IF(C111="Estágio",10,0))))),IF(C111="Técnico III",SUMIFS($D:$D,$A:$A,$A111,$B:$B,"&lt;&gt;Patrícia Karla de Sousa Araújo",$B:$B,"&lt;&gt;Lorena Dias de Araujo",$B:$B,"&lt;&gt;Lucas Luiz Romero")*(35/1083),IF(C111="Técnico II",SUMIFS($D:$D,$A:$A,$A111,$B:$B,"&lt;&gt;Patrícia Karla de Sousa Araújo",$B:$B,"&lt;&gt;Lorena Dias de Araujo",$B:$B,"&lt;&gt;Lucas Luiz Romero")*(28/1083),IF(C111="Técnico I",SUMIFS($D:$D,$A:$A,$A111,$B:$B,"&lt;&gt;Patrícia Karla de Sousa Araújo",$B:$B,"&lt;&gt;Lorena Dias de Araujo",$B:$B,"&lt;&gt;Lucas Luiz Romero")*(23/1083),IF(C111="JR",SUMIFS($D:$D,$A:$A,$A111,$B:$B,"&lt;&gt;Patrícia Karla de Sousa Araújo",$B:$B,"&lt;&gt;Lorena Dias de Araujo",$B:$B,"&lt;&gt;Lucas Luiz Romero")*(20/1083),IF(C111="Estágio",SUMIFS($D:$D,$A:$A,$A111,$B:$B,"&lt;&gt;Patrícia Karla de Sousa Araújo",$B:$B,"&lt;&gt;Lorena Dias de Araujo",$B:$B,"&lt;&gt;Lucas Luiz Romero")*(10/1083),0)))))),0)</f>
        <v/>
      </c>
      <c r="K111" s="3">
        <f>I111-J111</f>
        <v/>
      </c>
      <c r="L111" s="3">
        <f>IF(K111&lt;-5,"CRÍTICO",IF(K111&lt;0,"ATENÇÃO",IF(K111&lt;=5,"BOM","EXCELENTE")))</f>
        <v/>
      </c>
      <c r="M111" s="3" t="n">
        <v>30</v>
      </c>
      <c r="N111" s="3" t="n">
        <v>98.63</v>
      </c>
      <c r="O111" s="3" t="n">
        <v>15.75757575757576</v>
      </c>
    </row>
    <row r="112" hidden="1">
      <c r="A112" s="5" t="n">
        <v>46148</v>
      </c>
      <c r="B112" s="6" t="inlineStr">
        <is>
          <t>Janaina Lima dos Reis Urany</t>
        </is>
      </c>
      <c r="C112" s="3" t="inlineStr">
        <is>
          <t>Técnico III</t>
        </is>
      </c>
      <c r="D112" s="3" t="n">
        <v>52</v>
      </c>
      <c r="E112" s="3" t="n">
        <v>45</v>
      </c>
      <c r="G112" s="3" t="n">
        <v>23</v>
      </c>
      <c r="H112" s="3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IF(K112&lt;-5,"CRÍTICO",IF(K112&lt;0,"ATENÇÃO",IF(K112&lt;=5,"BOM","EXCELENTE")))</f>
        <v/>
      </c>
      <c r="M112" s="3" t="n">
        <v>55</v>
      </c>
      <c r="N112" s="3" t="n">
        <v>98.64</v>
      </c>
      <c r="O112" s="3" t="n">
        <v>16.6383701188455</v>
      </c>
    </row>
    <row r="113" hidden="1">
      <c r="A113" s="5" t="n">
        <v>46148</v>
      </c>
      <c r="B113" s="6" t="inlineStr">
        <is>
          <t>Jaqueline Evangelista da Silva Martins</t>
        </is>
      </c>
      <c r="C113" s="3" t="inlineStr">
        <is>
          <t>Técnico III</t>
        </is>
      </c>
      <c r="D113" s="3" t="n">
        <v>27</v>
      </c>
      <c r="E113" s="3" t="n">
        <v>26</v>
      </c>
      <c r="G113" s="3" t="n">
        <v>7</v>
      </c>
      <c r="H113" s="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IF(K113&lt;-5,"CRÍTICO",IF(K113&lt;0,"ATENÇÃO",IF(K113&lt;=5,"BOM","EXCELENTE")))</f>
        <v/>
      </c>
      <c r="M113" s="3" t="n">
        <v>26</v>
      </c>
      <c r="N113" s="3" t="n">
        <v>95.40000000000001</v>
      </c>
      <c r="O113" s="3" t="n">
        <v>20.53333333333333</v>
      </c>
    </row>
    <row r="114" hidden="1">
      <c r="A114" s="5" t="n">
        <v>46148</v>
      </c>
      <c r="B114" s="6" t="inlineStr">
        <is>
          <t>Jessica Faria da Silveira</t>
        </is>
      </c>
      <c r="C114" s="3" t="inlineStr">
        <is>
          <t>Técnico II</t>
        </is>
      </c>
      <c r="D114" s="3" t="n">
        <v>29</v>
      </c>
      <c r="E114" s="3" t="n">
        <v>28</v>
      </c>
      <c r="G114" s="3" t="n">
        <v>7</v>
      </c>
      <c r="H114" s="3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IF(K114&lt;-5,"CRÍTICO",IF(K114&lt;0,"ATENÇÃO",IF(K114&lt;=5,"BOM","EXCELENTE")))</f>
        <v/>
      </c>
      <c r="M114" s="3" t="n">
        <v>34</v>
      </c>
      <c r="N114" s="3" t="n">
        <v>98.61</v>
      </c>
      <c r="O114" s="3" t="n">
        <v>16.97530864197531</v>
      </c>
    </row>
    <row r="115" hidden="1">
      <c r="A115" s="5" t="n">
        <v>46148</v>
      </c>
      <c r="B115" s="6" t="inlineStr">
        <is>
          <t>Jéssica Fé Moura</t>
        </is>
      </c>
      <c r="C115" s="3" t="inlineStr">
        <is>
          <t>Técnico III</t>
        </is>
      </c>
      <c r="D115" s="3" t="n">
        <v>0</v>
      </c>
      <c r="E115" s="3" t="n">
        <v>0</v>
      </c>
      <c r="F115" s="3" t="n">
        <v>0</v>
      </c>
      <c r="G115" s="3" t="n">
        <v>0</v>
      </c>
      <c r="H115" s="3" t="n">
        <v>0</v>
      </c>
      <c r="I115" s="3" t="n">
        <v>0</v>
      </c>
      <c r="J115" s="3" t="n">
        <v>0</v>
      </c>
      <c r="K115" s="3" t="n">
        <v>0</v>
      </c>
      <c r="L115" s="3">
        <f>IF(K115&lt;-5,"CRÍTICO",IF(K115&lt;0,"ATENÇÃO",IF(K115&lt;=5,"BOM","EXCELENTE")))</f>
        <v/>
      </c>
      <c r="M115" s="3" t="n">
        <v>0</v>
      </c>
      <c r="N115" s="3" t="n">
        <v>0</v>
      </c>
      <c r="O115" s="3" t="n">
        <v>0</v>
      </c>
    </row>
    <row r="116" hidden="1">
      <c r="A116" s="5" t="n">
        <v>46148</v>
      </c>
      <c r="B116" s="6" t="inlineStr">
        <is>
          <t>Karina Gonçalves Martins</t>
        </is>
      </c>
      <c r="C116" s="3" t="inlineStr">
        <is>
          <t>JR</t>
        </is>
      </c>
      <c r="D116" s="3" t="n">
        <v>22</v>
      </c>
      <c r="E116" s="3" t="n">
        <v>22</v>
      </c>
      <c r="G116" s="3" t="n">
        <v>1</v>
      </c>
      <c r="H116" s="3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IF(K116&lt;-5,"CRÍTICO",IF(K116&lt;0,"ATENÇÃO",IF(K116&lt;=5,"BOM","EXCELENTE")))</f>
        <v/>
      </c>
      <c r="M116" s="3" t="n">
        <v>22</v>
      </c>
      <c r="N116" s="3" t="n">
        <v>97.01000000000001</v>
      </c>
      <c r="O116" s="3" t="n">
        <v>13.96103896103896</v>
      </c>
    </row>
    <row r="117" hidden="1">
      <c r="A117" s="5" t="n">
        <v>46148</v>
      </c>
      <c r="B117" s="6" t="inlineStr">
        <is>
          <t>Kerollen Cristielly de Jesus Siqueira</t>
        </is>
      </c>
      <c r="C117" s="9" t="inlineStr">
        <is>
          <t>Técnico III</t>
        </is>
      </c>
      <c r="D117" s="3" t="n">
        <v>27</v>
      </c>
      <c r="E117" s="3" t="n">
        <v>25</v>
      </c>
      <c r="G117" s="3" t="n">
        <v>1</v>
      </c>
      <c r="H117" s="3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IF(K117&lt;-5,"CRÍTICO",IF(K117&lt;0,"ATENÇÃO",IF(K117&lt;=5,"BOM","EXCELENTE")))</f>
        <v/>
      </c>
      <c r="M117" s="3" t="n">
        <v>26</v>
      </c>
      <c r="N117" s="3" t="n">
        <v>95.52</v>
      </c>
      <c r="O117" s="3" t="n">
        <v>10.56105610561056</v>
      </c>
    </row>
    <row r="118" hidden="1">
      <c r="A118" s="5" t="n">
        <v>46148</v>
      </c>
      <c r="B118" s="6" t="inlineStr">
        <is>
          <t>Leandro de Souza Silva</t>
        </is>
      </c>
      <c r="C118" s="3" t="inlineStr">
        <is>
          <t>JR</t>
        </is>
      </c>
      <c r="D118" s="3" t="n">
        <v>13</v>
      </c>
      <c r="E118" s="3" t="n">
        <v>12</v>
      </c>
      <c r="G118" s="3" t="n">
        <v>12</v>
      </c>
      <c r="H118" s="3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IF(K118&lt;-5,"CRÍTICO",IF(K118&lt;0,"ATENÇÃO",IF(K118&lt;=5,"BOM","EXCELENTE")))</f>
        <v/>
      </c>
      <c r="M118" s="3" t="n">
        <v>17</v>
      </c>
      <c r="N118" s="3" t="n">
        <v>100</v>
      </c>
      <c r="O118" s="3" t="n">
        <v>16.95906432748538</v>
      </c>
    </row>
    <row r="119" hidden="1">
      <c r="A119" s="5" t="n">
        <v>46148</v>
      </c>
      <c r="B119" s="6" t="inlineStr">
        <is>
          <t>Leandro Oliveira de Sousa</t>
        </is>
      </c>
      <c r="C119" s="9" t="inlineStr">
        <is>
          <t>Técnico III</t>
        </is>
      </c>
      <c r="D119" s="3" t="n">
        <v>38</v>
      </c>
      <c r="E119" s="3" t="n">
        <v>38</v>
      </c>
      <c r="G119" s="3" t="n">
        <v>0</v>
      </c>
      <c r="H119" s="3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IF(K119&lt;-5,"CRÍTICO",IF(K119&lt;0,"ATENÇÃO",IF(K119&lt;=5,"BOM","EXCELENTE")))</f>
        <v/>
      </c>
      <c r="M119" s="3" t="n">
        <v>36</v>
      </c>
      <c r="N119" s="3" t="n">
        <v>100</v>
      </c>
      <c r="O119" s="3" t="n">
        <v>15.58441558441558</v>
      </c>
    </row>
    <row r="120" hidden="1">
      <c r="A120" s="5" t="n">
        <v>46148</v>
      </c>
      <c r="B120" s="6" t="inlineStr">
        <is>
          <t>Lizandra Gomes Duarte</t>
        </is>
      </c>
      <c r="C120" s="3" t="inlineStr">
        <is>
          <t>Técnico II</t>
        </is>
      </c>
      <c r="D120" s="3" t="n">
        <v>38</v>
      </c>
      <c r="E120" s="3" t="n">
        <v>36</v>
      </c>
      <c r="G120" s="3" t="n">
        <v>2</v>
      </c>
      <c r="H120" s="3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IF(K120&lt;-5,"CRÍTICO",IF(K120&lt;0,"ATENÇÃO",IF(K120&lt;=5,"BOM","EXCELENTE")))</f>
        <v/>
      </c>
      <c r="M120" s="3" t="n">
        <v>16</v>
      </c>
      <c r="N120" s="3" t="n">
        <v>98.61</v>
      </c>
      <c r="O120" s="3" t="n">
        <v>16.86746987951807</v>
      </c>
    </row>
    <row r="121" hidden="1">
      <c r="A121" s="5" t="n">
        <v>46148</v>
      </c>
      <c r="B121" s="6" t="inlineStr">
        <is>
          <t>Lorena Dias de Araujo</t>
        </is>
      </c>
      <c r="C121" s="3" t="inlineStr">
        <is>
          <t>Técnico II</t>
        </is>
      </c>
      <c r="D121" s="3" t="n">
        <v>34</v>
      </c>
      <c r="E121" s="3" t="n">
        <v>31</v>
      </c>
      <c r="G121" s="3" t="n">
        <v>0</v>
      </c>
      <c r="H121" s="3" t="n">
        <v>0</v>
      </c>
      <c r="I121" s="3">
        <f>E121+G121+H121</f>
        <v/>
      </c>
      <c r="J121" s="3">
        <f>ROUND(MIN(IF(C121="Técnico III",35,IF(C121="Técnico II",28,IF(C121="Técnico I",23,IF(C121="JR",20,IF(C121="Estágio",10,0))))),IF(C121="Técnico III",SUMIFS($D:$D,$A:$A,$A121,$B:$B,"&lt;&gt;Patrícia Karla de Sousa Araújo",$B:$B,"&lt;&gt;Lorena Dias de Araujo",$B:$B,"&lt;&gt;Lucas Luiz Romero")*(35/1083),IF(C121="Técnico II",SUMIFS($D:$D,$A:$A,$A121,$B:$B,"&lt;&gt;Patrícia Karla de Sousa Araújo",$B:$B,"&lt;&gt;Lorena Dias de Araujo",$B:$B,"&lt;&gt;Lucas Luiz Romero")*(28/1083),IF(C121="Técnico I",SUMIFS($D:$D,$A:$A,$A121,$B:$B,"&lt;&gt;Patrícia Karla de Sousa Araújo",$B:$B,"&lt;&gt;Lorena Dias de Araujo",$B:$B,"&lt;&gt;Lucas Luiz Romero")*(23/1083),IF(C121="JR",SUMIFS($D:$D,$A:$A,$A121,$B:$B,"&lt;&gt;Patrícia Karla de Sousa Araújo",$B:$B,"&lt;&gt;Lorena Dias de Araujo",$B:$B,"&lt;&gt;Lucas Luiz Romero")*(20/1083),IF(C121="Estágio",SUMIFS($D:$D,$A:$A,$A121,$B:$B,"&lt;&gt;Patrícia Karla de Sousa Araújo",$B:$B,"&lt;&gt;Lorena Dias de Araujo",$B:$B,"&lt;&gt;Lucas Luiz Romero")*(10/1083),0)))))),0)</f>
        <v/>
      </c>
      <c r="K121" s="3">
        <f>I121-J121</f>
        <v/>
      </c>
      <c r="L121" s="3">
        <f>IF(K121&lt;-5,"CRÍTICO",IF(K121&lt;0,"ATENÇÃO",IF(K121&lt;=5,"BOM","EXCELENTE")))</f>
        <v/>
      </c>
      <c r="M121" s="3" t="n">
        <v>28</v>
      </c>
      <c r="N121" s="3" t="n">
        <v>100</v>
      </c>
      <c r="O121" s="3" t="n">
        <v>20.82018927444795</v>
      </c>
    </row>
    <row r="122" hidden="1">
      <c r="A122" s="5" t="n">
        <v>46148</v>
      </c>
      <c r="B122" s="6" t="inlineStr">
        <is>
          <t>Lucas Luiz Romero</t>
        </is>
      </c>
      <c r="C122" s="3" t="inlineStr">
        <is>
          <t>Técnico III</t>
        </is>
      </c>
      <c r="D122" s="3" t="n">
        <v>0</v>
      </c>
      <c r="E122" s="3" t="n">
        <v>0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0</v>
      </c>
      <c r="L122" s="3">
        <f>IF(K122&lt;-5,"CRÍTICO",IF(K122&lt;0,"ATENÇÃO",IF(K122&lt;=5,"BOM","EXCELENTE")))</f>
        <v/>
      </c>
      <c r="M122" s="3" t="n">
        <v>0</v>
      </c>
      <c r="N122" s="3" t="n">
        <v>100</v>
      </c>
      <c r="O122" s="3" t="n">
        <v>4.347826086956522</v>
      </c>
    </row>
    <row r="123" hidden="1">
      <c r="A123" s="5" t="n">
        <v>46148</v>
      </c>
      <c r="B123" s="6" t="inlineStr">
        <is>
          <t>Luiz Fernando de Carvalho Junior</t>
        </is>
      </c>
      <c r="C123" s="3" t="inlineStr">
        <is>
          <t>Técnico I</t>
        </is>
      </c>
      <c r="D123" s="3" t="n">
        <v>31</v>
      </c>
      <c r="E123" s="3" t="n">
        <v>30</v>
      </c>
      <c r="G123" s="3" t="n">
        <v>8</v>
      </c>
      <c r="H123" s="3" t="n">
        <v>0</v>
      </c>
      <c r="I123" s="3">
        <f>E123+G123+H123</f>
        <v/>
      </c>
      <c r="J123" s="3">
        <f>ROUND(MIN(IF(C123="Técnico III",35,IF(C123="Técnico II",28,IF(C123="Técnico I",23,IF(C123="JR",20,IF(C123="Estágio",10,0))))),IF(C123="Técnico III",SUMIFS($D:$D,$A:$A,$A123,$B:$B,"&lt;&gt;Patrícia Karla de Sousa Araújo",$B:$B,"&lt;&gt;Lorena Dias de Araujo",$B:$B,"&lt;&gt;Lucas Luiz Romero")*(35/1083),IF(C123="Técnico II",SUMIFS($D:$D,$A:$A,$A123,$B:$B,"&lt;&gt;Patrícia Karla de Sousa Araújo",$B:$B,"&lt;&gt;Lorena Dias de Araujo",$B:$B,"&lt;&gt;Lucas Luiz Romero")*(28/1083),IF(C123="Técnico I",SUMIFS($D:$D,$A:$A,$A123,$B:$B,"&lt;&gt;Patrícia Karla de Sousa Araújo",$B:$B,"&lt;&gt;Lorena Dias de Araujo",$B:$B,"&lt;&gt;Lucas Luiz Romero")*(23/1083),IF(C123="JR",SUMIFS($D:$D,$A:$A,$A123,$B:$B,"&lt;&gt;Patrícia Karla de Sousa Araújo",$B:$B,"&lt;&gt;Lorena Dias de Araujo",$B:$B,"&lt;&gt;Lucas Luiz Romero")*(20/1083),IF(C123="Estágio",SUMIFS($D:$D,$A:$A,$A123,$B:$B,"&lt;&gt;Patrícia Karla de Sousa Araújo",$B:$B,"&lt;&gt;Lorena Dias de Araujo",$B:$B,"&lt;&gt;Lucas Luiz Romero")*(10/1083),0)))))),0)</f>
        <v/>
      </c>
      <c r="K123" s="3">
        <f>I123-J123</f>
        <v/>
      </c>
      <c r="L123" s="3">
        <f>IF(K123&lt;-5,"CRÍTICO",IF(K123&lt;0,"ATENÇÃO",IF(K123&lt;=5,"BOM","EXCELENTE")))</f>
        <v/>
      </c>
      <c r="M123" s="3" t="n">
        <v>36</v>
      </c>
      <c r="N123" s="3" t="n">
        <v>93.26000000000001</v>
      </c>
      <c r="O123" s="3" t="n">
        <v>19.93957703927493</v>
      </c>
    </row>
    <row r="124" hidden="1">
      <c r="A124" s="5" t="n">
        <v>46148</v>
      </c>
      <c r="B124" s="6" t="inlineStr">
        <is>
          <t>Matheus Farias De Souza</t>
        </is>
      </c>
      <c r="C124" s="3" t="inlineStr">
        <is>
          <t>Técnico III</t>
        </is>
      </c>
      <c r="D124" s="3" t="n">
        <v>24</v>
      </c>
      <c r="E124" s="3" t="n">
        <v>24</v>
      </c>
      <c r="G124" s="3" t="n">
        <v>0</v>
      </c>
      <c r="H124" s="3" t="n">
        <v>17</v>
      </c>
      <c r="I124" s="3">
        <f>E124+G124+H124</f>
        <v/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/>
      </c>
      <c r="K124" s="3">
        <f>I124-J124</f>
        <v/>
      </c>
      <c r="L124" s="3">
        <f>IF(K124&lt;-5,"CRÍTICO",IF(K124&lt;0,"ATENÇÃO",IF(K124&lt;=5,"BOM","EXCELENTE")))</f>
        <v/>
      </c>
      <c r="M124" s="3" t="n">
        <v>31</v>
      </c>
      <c r="N124" s="3" t="n">
        <v>98.28</v>
      </c>
      <c r="O124" s="3" t="n">
        <v>9.037900874635568</v>
      </c>
    </row>
    <row r="125" hidden="1">
      <c r="A125" s="5" t="n">
        <v>46148</v>
      </c>
      <c r="B125" s="6" t="inlineStr">
        <is>
          <t>Maysa Victoria Dias Moura</t>
        </is>
      </c>
      <c r="C125" s="3" t="inlineStr">
        <is>
          <t>Técnico III</t>
        </is>
      </c>
      <c r="D125" s="3" t="n">
        <v>32</v>
      </c>
      <c r="E125" s="3" t="n">
        <v>30</v>
      </c>
      <c r="G125" s="3" t="n">
        <v>1</v>
      </c>
      <c r="H125" s="3" t="n">
        <v>0</v>
      </c>
      <c r="I125" s="3">
        <f>E125+G125+H125</f>
        <v/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/>
      </c>
      <c r="K125" s="3">
        <f>I125-J125</f>
        <v/>
      </c>
      <c r="L125" s="3">
        <f>IF(K125&lt;-5,"CRÍTICO",IF(K125&lt;0,"ATENÇÃO",IF(K125&lt;=5,"BOM","EXCELENTE")))</f>
        <v/>
      </c>
      <c r="M125" s="3" t="n">
        <v>31</v>
      </c>
      <c r="N125" s="3" t="n">
        <v>97.22</v>
      </c>
      <c r="O125" s="3" t="n">
        <v>19.09547738693467</v>
      </c>
    </row>
    <row r="126" hidden="1">
      <c r="A126" s="5" t="n">
        <v>46148</v>
      </c>
      <c r="B126" s="6" t="inlineStr">
        <is>
          <t>Milena Sales</t>
        </is>
      </c>
      <c r="C126" s="3" t="inlineStr">
        <is>
          <t>JR</t>
        </is>
      </c>
      <c r="D126" s="3" t="n">
        <v>0</v>
      </c>
      <c r="E126" s="3" t="n">
        <v>0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0</v>
      </c>
      <c r="L126" s="3">
        <f>IF(K126&lt;-5,"CRÍTICO",IF(K126&lt;0,"ATENÇÃO",IF(K126&lt;=5,"BOM","EXCELENTE")))</f>
        <v/>
      </c>
      <c r="M126" s="3" t="n">
        <v>0</v>
      </c>
      <c r="N126" s="3" t="n">
        <v>98</v>
      </c>
      <c r="O126" s="3" t="n">
        <v>16.43835616438356</v>
      </c>
    </row>
    <row r="127" hidden="1">
      <c r="A127" s="5" t="n">
        <v>46148</v>
      </c>
      <c r="B127" s="6" t="inlineStr">
        <is>
          <t>Patrícia Karla de Sousa Araújo</t>
        </is>
      </c>
      <c r="C127" s="3" t="inlineStr">
        <is>
          <t>Técnico II</t>
        </is>
      </c>
      <c r="D127" s="3" t="n">
        <v>35</v>
      </c>
      <c r="E127" s="3" t="n">
        <v>33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3" t="n">
        <v>30</v>
      </c>
      <c r="N127" s="3" t="n">
        <v>100</v>
      </c>
      <c r="O127" s="3" t="n">
        <v>16.89497716894977</v>
      </c>
    </row>
    <row r="128" hidden="1">
      <c r="A128" s="5" t="n">
        <v>46148</v>
      </c>
      <c r="B128" s="6" t="inlineStr">
        <is>
          <t>Paulo Ricardo Santos</t>
        </is>
      </c>
      <c r="C128" s="3" t="inlineStr">
        <is>
          <t>JR</t>
        </is>
      </c>
      <c r="D128" s="3" t="n">
        <v>17</v>
      </c>
      <c r="E128" s="3" t="n">
        <v>17</v>
      </c>
      <c r="G128" s="3" t="n">
        <v>0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3" t="n">
        <v>15</v>
      </c>
      <c r="N128" s="3" t="n">
        <v>100</v>
      </c>
      <c r="O128" s="3" t="n">
        <v>19.13875598086124</v>
      </c>
    </row>
    <row r="129" hidden="1">
      <c r="A129" s="5" t="n">
        <v>46148</v>
      </c>
      <c r="B129" s="6" t="inlineStr">
        <is>
          <t>Pedro Luiz Mota Sousa</t>
        </is>
      </c>
      <c r="C129" s="3" t="inlineStr">
        <is>
          <t>JR</t>
        </is>
      </c>
      <c r="D129" s="3" t="n">
        <v>22</v>
      </c>
      <c r="E129" s="3" t="n">
        <v>21</v>
      </c>
      <c r="G129" s="3" t="n">
        <v>3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3" t="n">
        <v>18</v>
      </c>
      <c r="N129" s="3" t="n">
        <v>100</v>
      </c>
      <c r="O129" s="3" t="n">
        <v>15.02145922746781</v>
      </c>
    </row>
    <row r="130" hidden="1">
      <c r="A130" s="5" t="n">
        <v>46148</v>
      </c>
      <c r="B130" s="6" t="inlineStr">
        <is>
          <t>Raane Batista Matos</t>
        </is>
      </c>
      <c r="C130" s="3" t="inlineStr">
        <is>
          <t>Técnico I</t>
        </is>
      </c>
      <c r="D130" s="3" t="n">
        <v>34</v>
      </c>
      <c r="E130" s="3" t="n">
        <v>30</v>
      </c>
      <c r="G130" s="3" t="n">
        <v>5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3" t="n">
        <v>23</v>
      </c>
      <c r="N130" s="3" t="n">
        <v>97.56</v>
      </c>
      <c r="O130" s="3" t="n">
        <v>19.28783382789317</v>
      </c>
    </row>
    <row r="131" hidden="1">
      <c r="A131" s="5" t="n">
        <v>46148</v>
      </c>
      <c r="B131" s="6" t="inlineStr">
        <is>
          <t>Rafael Gomes de Morais</t>
        </is>
      </c>
      <c r="C131" s="3" t="inlineStr">
        <is>
          <t>Técnico III</t>
        </is>
      </c>
      <c r="D131" s="3" t="n">
        <v>57</v>
      </c>
      <c r="E131" s="3" t="n">
        <v>51</v>
      </c>
      <c r="G131" s="3" t="n">
        <v>1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3" t="n">
        <v>37</v>
      </c>
      <c r="N131" s="3" t="n">
        <v>99.29000000000001</v>
      </c>
      <c r="O131" s="3" t="n">
        <v>22.49443207126949</v>
      </c>
    </row>
    <row r="132" hidden="1">
      <c r="A132" s="5" t="n">
        <v>46148</v>
      </c>
      <c r="B132" s="6" t="inlineStr">
        <is>
          <t>Sara Maria Monteiro Lopes</t>
        </is>
      </c>
      <c r="C132" s="3" t="inlineStr">
        <is>
          <t>Técnico I</t>
        </is>
      </c>
      <c r="D132" s="3" t="n">
        <v>19</v>
      </c>
      <c r="E132" s="3" t="n">
        <v>18</v>
      </c>
      <c r="G132" s="3" t="n">
        <v>1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18</v>
      </c>
      <c r="N132" s="3" t="n">
        <v>100</v>
      </c>
      <c r="O132" s="3" t="n">
        <v>16.97247706422019</v>
      </c>
    </row>
    <row r="133" hidden="1">
      <c r="A133" s="5" t="n">
        <v>46148</v>
      </c>
      <c r="B133" s="6" t="inlineStr">
        <is>
          <t>Sarah Steffanie de Lima Borges</t>
        </is>
      </c>
      <c r="C133" s="3" t="inlineStr">
        <is>
          <t>Técnico III</t>
        </is>
      </c>
      <c r="D133" s="3" t="n">
        <v>21</v>
      </c>
      <c r="E133" s="3" t="n">
        <v>20</v>
      </c>
      <c r="G133" s="3" t="n">
        <v>8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25</v>
      </c>
      <c r="N133" s="3" t="n">
        <v>97.33</v>
      </c>
      <c r="O133" s="3" t="n">
        <v>15.80547112462006</v>
      </c>
    </row>
    <row r="134" hidden="1">
      <c r="A134" s="5" t="n">
        <v>46149</v>
      </c>
      <c r="B134" s="6" t="inlineStr">
        <is>
          <t>Alisson de Freitas Silva</t>
        </is>
      </c>
      <c r="C134" s="3" t="inlineStr">
        <is>
          <t>Técnico II</t>
        </is>
      </c>
      <c r="D134" s="3" t="n">
        <v>39</v>
      </c>
      <c r="E134" s="3" t="n">
        <v>34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19</v>
      </c>
      <c r="N134" s="3" t="n">
        <v>98.94</v>
      </c>
      <c r="O134" s="3" t="n">
        <v>19.61414790996785</v>
      </c>
    </row>
    <row r="135" hidden="1">
      <c r="A135" s="5" t="n">
        <v>46149</v>
      </c>
      <c r="B135" s="6" t="inlineStr">
        <is>
          <t>Amanda Moura Ferreira</t>
        </is>
      </c>
      <c r="C135" s="3" t="inlineStr">
        <is>
          <t>Técnico III</t>
        </is>
      </c>
      <c r="D135" s="3" t="n">
        <v>0</v>
      </c>
      <c r="E135" s="3" t="n">
        <v>0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0</v>
      </c>
      <c r="L135" s="3">
        <f>IF(K135&lt;-5,"CRÍTICO",IF(K135&lt;0,"ATENÇÃO",IF(K135&lt;=5,"BOM","EXCELENTE")))</f>
        <v/>
      </c>
      <c r="M135" s="9" t="n">
        <v>0</v>
      </c>
      <c r="N135" s="9" t="n">
        <v>100</v>
      </c>
      <c r="O135" s="9" t="n">
        <v>0</v>
      </c>
    </row>
    <row r="136" hidden="1">
      <c r="A136" s="5" t="n">
        <v>46149</v>
      </c>
      <c r="B136" s="6" t="inlineStr">
        <is>
          <t>Ana Karollyne Souza Faria</t>
        </is>
      </c>
      <c r="C136" s="3" t="inlineStr">
        <is>
          <t>Técnico I</t>
        </is>
      </c>
      <c r="D136" s="3" t="n">
        <v>31</v>
      </c>
      <c r="E136" s="3" t="n">
        <v>28</v>
      </c>
      <c r="G136" s="3" t="n">
        <v>10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36</v>
      </c>
      <c r="N136" s="3" t="n">
        <v>95.38</v>
      </c>
      <c r="O136" s="3" t="n">
        <v>21.5962441314554</v>
      </c>
    </row>
    <row r="137" hidden="1">
      <c r="A137" s="5" t="n">
        <v>46149</v>
      </c>
      <c r="B137" s="6" t="inlineStr">
        <is>
          <t>Ana Paula Da Luz Silva Aleixo</t>
        </is>
      </c>
      <c r="C137" s="9" t="inlineStr">
        <is>
          <t>Técnico III</t>
        </is>
      </c>
      <c r="D137" s="3" t="n">
        <v>32</v>
      </c>
      <c r="E137" s="3" t="n">
        <v>32</v>
      </c>
      <c r="G137" s="3" t="n">
        <v>0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33</v>
      </c>
      <c r="N137" s="3" t="n">
        <v>96.34</v>
      </c>
      <c r="O137" s="3" t="n">
        <v>17.57188498402556</v>
      </c>
    </row>
    <row r="138" hidden="1">
      <c r="A138" s="5" t="n">
        <v>46149</v>
      </c>
      <c r="B138" s="6" t="inlineStr">
        <is>
          <t>Brenda de Menezes Silva</t>
        </is>
      </c>
      <c r="C138" s="3" t="inlineStr">
        <is>
          <t>Técnico II</t>
        </is>
      </c>
      <c r="D138" s="3" t="n">
        <v>33</v>
      </c>
      <c r="E138" s="3" t="n">
        <v>29</v>
      </c>
      <c r="G138" s="3" t="n">
        <v>5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31</v>
      </c>
      <c r="N138" s="3" t="n">
        <v>99.13</v>
      </c>
      <c r="O138" s="3" t="n">
        <v>14.7239263803681</v>
      </c>
    </row>
    <row r="139" hidden="1">
      <c r="A139" s="5" t="n">
        <v>46149</v>
      </c>
      <c r="B139" s="6" t="inlineStr">
        <is>
          <t>Carlos Mateus Cassimiro Nunes</t>
        </is>
      </c>
      <c r="C139" s="9" t="inlineStr">
        <is>
          <t>Técnico II</t>
        </is>
      </c>
      <c r="D139" s="3" t="n">
        <v>24</v>
      </c>
      <c r="E139" s="3" t="n">
        <v>24</v>
      </c>
      <c r="G139" s="3" t="n">
        <v>5</v>
      </c>
      <c r="H139" s="3" t="n">
        <v>0</v>
      </c>
      <c r="I139" s="3">
        <f>E139+G139+H139</f>
        <v/>
      </c>
      <c r="J139" s="3">
        <f>ROUND(MIN(IF(C139="Técnico III",35,IF(C139="Técnico II",28,IF(C139="Técnico I",23,IF(C139="JR",20,IF(C139="Estágio",10,0))))),IF(C139="Técnico III",SUMIFS($D:$D,$A:$A,$A139,$B:$B,"&lt;&gt;Patrícia Karla de Sousa Araújo",$B:$B,"&lt;&gt;Lorena Dias de Araujo",$B:$B,"&lt;&gt;Lucas Luiz Romero")*(35/1083),IF(C139="Técnico II",SUMIFS($D:$D,$A:$A,$A139,$B:$B,"&lt;&gt;Patrícia Karla de Sousa Araújo",$B:$B,"&lt;&gt;Lorena Dias de Araujo",$B:$B,"&lt;&gt;Lucas Luiz Romero")*(28/1083),IF(C139="Técnico I",SUMIFS($D:$D,$A:$A,$A139,$B:$B,"&lt;&gt;Patrícia Karla de Sousa Araújo",$B:$B,"&lt;&gt;Lorena Dias de Araujo",$B:$B,"&lt;&gt;Lucas Luiz Romero")*(23/1083),IF(C139="JR",SUMIFS($D:$D,$A:$A,$A139,$B:$B,"&lt;&gt;Patrícia Karla de Sousa Araújo",$B:$B,"&lt;&gt;Lorena Dias de Araujo",$B:$B,"&lt;&gt;Lucas Luiz Romero")*(20/1083),IF(C139="Estágio",SUMIFS($D:$D,$A:$A,$A139,$B:$B,"&lt;&gt;Patrícia Karla de Sousa Araújo",$B:$B,"&lt;&gt;Lorena Dias de Araujo",$B:$B,"&lt;&gt;Lucas Luiz Romero")*(10/1083),0)))))),0)</f>
        <v/>
      </c>
      <c r="K139" s="3">
        <f>I139-J139</f>
        <v/>
      </c>
      <c r="L139" s="3">
        <f>IF(K139&lt;-5,"CRÍTICO",IF(K139&lt;0,"ATENÇÃO",IF(K139&lt;=5,"BOM","EXCELENTE")))</f>
        <v/>
      </c>
      <c r="M139" s="3" t="n">
        <v>27</v>
      </c>
      <c r="N139" s="3" t="n">
        <v>98.8</v>
      </c>
      <c r="O139" s="3" t="n">
        <v>16.89750692520776</v>
      </c>
    </row>
    <row r="140" hidden="1">
      <c r="A140" s="5" t="n">
        <v>46149</v>
      </c>
      <c r="B140" s="6" t="inlineStr">
        <is>
          <t>Anna Luiza Rezende Tavares</t>
        </is>
      </c>
      <c r="C140" s="3" t="inlineStr">
        <is>
          <t>Estágio</t>
        </is>
      </c>
      <c r="D140" s="3" t="n">
        <v>33</v>
      </c>
      <c r="E140" s="3" t="n">
        <v>32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30</v>
      </c>
      <c r="N140" s="3" t="n">
        <v>99.11</v>
      </c>
      <c r="O140" s="3" t="n">
        <v>17.72151898734177</v>
      </c>
    </row>
    <row r="141" hidden="1">
      <c r="A141" s="5" t="n">
        <v>46149</v>
      </c>
      <c r="B141" s="6" t="inlineStr">
        <is>
          <t>Claudio de Sousa Velasco Filho</t>
        </is>
      </c>
      <c r="C141" s="3" t="inlineStr">
        <is>
          <t>Estágio</t>
        </is>
      </c>
      <c r="D141" s="3" t="n">
        <v>12</v>
      </c>
      <c r="E141" s="3" t="n">
        <v>12</v>
      </c>
      <c r="G141" s="3" t="n">
        <v>0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9</v>
      </c>
      <c r="N141" s="3" t="n">
        <v>96.43000000000001</v>
      </c>
      <c r="O141" s="3" t="n">
        <v>20</v>
      </c>
    </row>
    <row r="142" hidden="1">
      <c r="A142" s="5" t="n">
        <v>46149</v>
      </c>
      <c r="B142" s="6" t="inlineStr">
        <is>
          <t>Emilly Caylane Costa</t>
        </is>
      </c>
      <c r="C142" s="3" t="inlineStr">
        <is>
          <t>Estágio</t>
        </is>
      </c>
      <c r="D142" s="3" t="n">
        <v>51</v>
      </c>
      <c r="E142" s="3" t="n">
        <v>32</v>
      </c>
      <c r="G142" s="3" t="n">
        <v>0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1</v>
      </c>
      <c r="N142" s="3" t="n">
        <v>100</v>
      </c>
      <c r="O142" s="3" t="n">
        <v>29.03225806451613</v>
      </c>
    </row>
    <row r="143" hidden="1">
      <c r="A143" s="5" t="n">
        <v>46149</v>
      </c>
      <c r="B143" s="6" t="inlineStr">
        <is>
          <t>Maria Eduarda Sousa Costa</t>
        </is>
      </c>
      <c r="C143" s="3" t="inlineStr">
        <is>
          <t>Estágio</t>
        </is>
      </c>
      <c r="D143" s="3" t="n">
        <v>52</v>
      </c>
      <c r="E143" s="3" t="n">
        <v>37</v>
      </c>
      <c r="G143" s="3" t="n">
        <v>0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4</v>
      </c>
      <c r="N143" s="3" t="n">
        <v>100</v>
      </c>
      <c r="O143" s="3" t="n">
        <v>11.86440677966102</v>
      </c>
    </row>
    <row r="144" hidden="1">
      <c r="A144" s="5" t="n">
        <v>46149</v>
      </c>
      <c r="B144" s="6" t="inlineStr">
        <is>
          <t>Clessiane Pereira dos Santos</t>
        </is>
      </c>
      <c r="C144" s="3" t="inlineStr">
        <is>
          <t>Técnico I</t>
        </is>
      </c>
      <c r="D144" s="3" t="n">
        <v>25</v>
      </c>
      <c r="E144" s="3" t="n">
        <v>23</v>
      </c>
      <c r="G144" s="3" t="n">
        <v>1</v>
      </c>
      <c r="H144" s="3" t="n">
        <v>0</v>
      </c>
      <c r="I144" s="3">
        <f>E144+G144+H144</f>
        <v/>
      </c>
      <c r="J144" s="3">
        <f>ROUND(MIN(IF(C144="Técnico III",35,IF(C144="Técnico II",28,IF(C144="Técnico I",23,IF(C144="JR",20,IF(C144="Estágio",10,0))))),IF(C144="Técnico III",SUMIFS($D:$D,$A:$A,$A144,$B:$B,"&lt;&gt;Patrícia Karla de Sousa Araújo",$B:$B,"&lt;&gt;Lorena Dias de Araujo",$B:$B,"&lt;&gt;Lucas Luiz Romero")*(35/1083),IF(C144="Técnico II",SUMIFS($D:$D,$A:$A,$A144,$B:$B,"&lt;&gt;Patrícia Karla de Sousa Araújo",$B:$B,"&lt;&gt;Lorena Dias de Araujo",$B:$B,"&lt;&gt;Lucas Luiz Romero")*(28/1083),IF(C144="Técnico I",SUMIFS($D:$D,$A:$A,$A144,$B:$B,"&lt;&gt;Patrícia Karla de Sousa Araújo",$B:$B,"&lt;&gt;Lorena Dias de Araujo",$B:$B,"&lt;&gt;Lucas Luiz Romero")*(23/1083),IF(C144="JR",SUMIFS($D:$D,$A:$A,$A144,$B:$B,"&lt;&gt;Patrícia Karla de Sousa Araújo",$B:$B,"&lt;&gt;Lorena Dias de Araujo",$B:$B,"&lt;&gt;Lucas Luiz Romero")*(20/1083),IF(C144="Estágio",SUMIFS($D:$D,$A:$A,$A144,$B:$B,"&lt;&gt;Patrícia Karla de Sousa Araújo",$B:$B,"&lt;&gt;Lorena Dias de Araujo",$B:$B,"&lt;&gt;Lucas Luiz Romero")*(10/1083),0)))))),0)</f>
        <v/>
      </c>
      <c r="K144" s="3">
        <f>I144-J144</f>
        <v/>
      </c>
      <c r="L144" s="3">
        <f>IF(K144&lt;-5,"CRÍTICO",IF(K144&lt;0,"ATENÇÃO",IF(K144&lt;=5,"BOM","EXCELENTE")))</f>
        <v/>
      </c>
      <c r="M144" s="3" t="n">
        <v>22</v>
      </c>
      <c r="N144" s="3" t="n">
        <v>96.88</v>
      </c>
      <c r="O144" s="3" t="n">
        <v>19.52662721893491</v>
      </c>
    </row>
    <row r="145" hidden="1">
      <c r="A145" s="5" t="n">
        <v>46149</v>
      </c>
      <c r="B145" s="6" t="inlineStr">
        <is>
          <t>Cristiane Ramos da Silva Rocha</t>
        </is>
      </c>
      <c r="C145" s="3" t="inlineStr">
        <is>
          <t>Técnico III</t>
        </is>
      </c>
      <c r="D145" s="3" t="n">
        <v>47</v>
      </c>
      <c r="E145" s="3" t="n">
        <v>44</v>
      </c>
      <c r="G145" s="3" t="n">
        <v>0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38</v>
      </c>
      <c r="N145" s="3" t="n">
        <v>91.84999999999999</v>
      </c>
      <c r="O145" s="3" t="n">
        <v>20.87155963302752</v>
      </c>
    </row>
    <row r="146" hidden="1">
      <c r="A146" s="5" t="n">
        <v>46149</v>
      </c>
      <c r="B146" s="6" t="inlineStr">
        <is>
          <t>Damyllis Lorraine de Oliveira Gonçalves</t>
        </is>
      </c>
      <c r="C146" s="3" t="inlineStr">
        <is>
          <t>Técnico II</t>
        </is>
      </c>
      <c r="D146" s="3" t="n">
        <v>17</v>
      </c>
      <c r="E146" s="3" t="n">
        <v>16</v>
      </c>
      <c r="G146" s="3" t="n">
        <v>4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19</v>
      </c>
      <c r="N146" s="3" t="n">
        <v>98.63</v>
      </c>
      <c r="O146" s="3" t="n">
        <v>18.75</v>
      </c>
    </row>
    <row r="147" hidden="1">
      <c r="A147" s="5" t="n">
        <v>46149</v>
      </c>
      <c r="B147" s="6" t="inlineStr">
        <is>
          <t>Daniel Gomes da Silva</t>
        </is>
      </c>
      <c r="C147" s="3" t="inlineStr">
        <is>
          <t>Técnico I</t>
        </is>
      </c>
      <c r="D147" s="3" t="n">
        <v>17</v>
      </c>
      <c r="E147" s="3" t="n">
        <v>17</v>
      </c>
      <c r="G147" s="3" t="n">
        <v>7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s="3" t="n">
        <v>19</v>
      </c>
      <c r="N147" s="3" t="n">
        <v>100</v>
      </c>
      <c r="O147" s="3" t="n">
        <v>18.14516129032258</v>
      </c>
    </row>
    <row r="148" hidden="1">
      <c r="A148" s="5" t="n">
        <v>46149</v>
      </c>
      <c r="B148" s="6" t="inlineStr">
        <is>
          <t>Davylla Rodrigues Freitas Silva</t>
        </is>
      </c>
      <c r="C148" s="9" t="inlineStr">
        <is>
          <t>Técnico III</t>
        </is>
      </c>
      <c r="D148" s="3" t="n">
        <v>31</v>
      </c>
      <c r="E148" s="3" t="n">
        <v>30</v>
      </c>
      <c r="G148" s="3" t="n">
        <v>0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s="3" t="n">
        <v>29</v>
      </c>
      <c r="N148" s="3" t="n">
        <v>99.06</v>
      </c>
      <c r="O148" s="3" t="n">
        <v>22.95719844357977</v>
      </c>
    </row>
    <row r="149" hidden="1">
      <c r="A149" s="5" t="n">
        <v>46149</v>
      </c>
      <c r="B149" s="6" t="inlineStr">
        <is>
          <t>Michelle G Santos</t>
        </is>
      </c>
      <c r="C149" s="3" t="inlineStr">
        <is>
          <t>Estágio</t>
        </is>
      </c>
      <c r="D149" s="3" t="n">
        <v>16</v>
      </c>
      <c r="E149" s="3" t="n">
        <v>15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s="3" t="n">
        <v>13</v>
      </c>
      <c r="N149" s="3" t="n">
        <v>100</v>
      </c>
      <c r="O149" s="3" t="n">
        <v>16.8141592920354</v>
      </c>
    </row>
    <row r="150" hidden="1">
      <c r="A150" s="5" t="n">
        <v>46149</v>
      </c>
      <c r="B150" s="6" t="inlineStr">
        <is>
          <t>Quirino Diogo Leite Torres</t>
        </is>
      </c>
      <c r="C150" s="3" t="inlineStr">
        <is>
          <t>Estágio</t>
        </is>
      </c>
      <c r="D150" s="3" t="n">
        <v>15</v>
      </c>
      <c r="E150" s="3" t="n">
        <v>15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s="3" t="n">
        <v>13</v>
      </c>
      <c r="N150" s="3" t="n">
        <v>98.11</v>
      </c>
      <c r="O150" s="3" t="n">
        <v>20.40816326530612</v>
      </c>
    </row>
    <row r="151" hidden="1">
      <c r="A151" s="5" t="n">
        <v>46149</v>
      </c>
      <c r="B151" s="6" t="inlineStr">
        <is>
          <t>Emilly Kamilly Medeiros Miranda</t>
        </is>
      </c>
      <c r="C151" s="3" t="inlineStr">
        <is>
          <t>Técnico II</t>
        </is>
      </c>
      <c r="D151" s="3" t="n">
        <v>30</v>
      </c>
      <c r="E151" s="3" t="n">
        <v>29</v>
      </c>
      <c r="G151" s="3" t="n">
        <v>2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s="3" t="n">
        <v>28</v>
      </c>
      <c r="N151" s="3" t="n">
        <v>100</v>
      </c>
      <c r="O151" s="3" t="n">
        <v>13.8121546961326</v>
      </c>
    </row>
    <row r="152" hidden="1">
      <c r="A152" s="5" t="n">
        <v>46149</v>
      </c>
      <c r="B152" s="6" t="inlineStr">
        <is>
          <t>Francielson de Oliveira</t>
        </is>
      </c>
      <c r="C152" s="9" t="inlineStr">
        <is>
          <t>Técnico III</t>
        </is>
      </c>
      <c r="D152" s="3" t="n">
        <v>0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0</v>
      </c>
      <c r="L152" s="3">
        <f>IF(K152&lt;-5,"CRÍTICO",IF(K152&lt;0,"ATENÇÃO",IF(K152&lt;=5,"BOM","EXCELENTE")))</f>
        <v/>
      </c>
      <c r="M152" s="3" t="n">
        <v>0</v>
      </c>
      <c r="N152" s="3" t="n">
        <v>100</v>
      </c>
      <c r="O152" s="3" t="n">
        <v>9.523809523809524</v>
      </c>
    </row>
    <row r="153" hidden="1">
      <c r="A153" s="5" t="n">
        <v>46149</v>
      </c>
      <c r="B153" s="6" t="inlineStr">
        <is>
          <t>Francilene Ferreira de Jesus</t>
        </is>
      </c>
      <c r="C153" s="3" t="inlineStr">
        <is>
          <t>Técnico II</t>
        </is>
      </c>
      <c r="D153" s="3" t="n">
        <v>0</v>
      </c>
      <c r="E153" s="3" t="n">
        <v>0</v>
      </c>
      <c r="F153" s="3" t="n">
        <v>0</v>
      </c>
      <c r="G153" s="3" t="n">
        <v>0</v>
      </c>
      <c r="H153" s="3" t="n">
        <v>0</v>
      </c>
      <c r="I153" s="3" t="n">
        <v>0</v>
      </c>
      <c r="J153" s="3" t="n">
        <v>0</v>
      </c>
      <c r="K153" s="3" t="n">
        <v>0</v>
      </c>
      <c r="L153" s="3">
        <f>IF(K153&lt;-5,"CRÍTICO",IF(K153&lt;0,"ATENÇÃO",IF(K153&lt;=5,"BOM","EXCELENTE")))</f>
        <v/>
      </c>
      <c r="M153" s="3" t="n">
        <v>0</v>
      </c>
      <c r="N153" s="3" t="n">
        <v>100</v>
      </c>
      <c r="O153" s="3" t="n">
        <v>17.24137931034483</v>
      </c>
    </row>
    <row r="154">
      <c r="A154" s="5" t="n">
        <v>46149</v>
      </c>
      <c r="B154" s="6" t="inlineStr">
        <is>
          <t>Gabriel Gomes de Andrade</t>
        </is>
      </c>
      <c r="C154" s="3" t="inlineStr">
        <is>
          <t>Técnico I</t>
        </is>
      </c>
      <c r="D154" s="3" t="n">
        <v>26</v>
      </c>
      <c r="E154" s="3" t="n">
        <v>26</v>
      </c>
      <c r="G154" s="3" t="n">
        <v>2</v>
      </c>
      <c r="H154" s="3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s="3" t="n">
        <v>24</v>
      </c>
      <c r="N154" s="3" t="n">
        <v>98.8</v>
      </c>
      <c r="O154" s="3" t="n">
        <v>15.41353383458646</v>
      </c>
    </row>
    <row r="155" hidden="1">
      <c r="A155" s="5" t="n">
        <v>46149</v>
      </c>
      <c r="B155" s="6" t="inlineStr">
        <is>
          <t>Isabella Borges de Oliveira</t>
        </is>
      </c>
      <c r="C155" s="9" t="inlineStr">
        <is>
          <t>Técnico II</t>
        </is>
      </c>
      <c r="D155" s="3" t="n">
        <v>25</v>
      </c>
      <c r="E155" s="3" t="n">
        <v>24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s="3" t="n">
        <v>22</v>
      </c>
      <c r="N155" s="3" t="n">
        <v>98.63</v>
      </c>
      <c r="O155" s="3" t="n">
        <v>15.75757575757576</v>
      </c>
    </row>
    <row r="156" hidden="1">
      <c r="A156" s="5" t="n">
        <v>46149</v>
      </c>
      <c r="B156" s="6" t="inlineStr">
        <is>
          <t>Janaina Lima dos Reis Urany</t>
        </is>
      </c>
      <c r="C156" s="3" t="inlineStr">
        <is>
          <t>Técnico III</t>
        </is>
      </c>
      <c r="D156" s="3" t="n">
        <v>56</v>
      </c>
      <c r="E156" s="3" t="n">
        <v>51</v>
      </c>
      <c r="G156" s="3" t="n">
        <v>9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s="3" t="n">
        <v>49</v>
      </c>
      <c r="N156" s="3" t="n">
        <v>98.64</v>
      </c>
      <c r="O156" s="3" t="n">
        <v>16.6383701188455</v>
      </c>
    </row>
    <row r="157" hidden="1">
      <c r="A157" s="5" t="n">
        <v>46149</v>
      </c>
      <c r="B157" s="6" t="inlineStr">
        <is>
          <t>Jaqueline Evangelista da Silva Martins</t>
        </is>
      </c>
      <c r="C157" s="3" t="inlineStr">
        <is>
          <t>Técnico III</t>
        </is>
      </c>
      <c r="D157" s="3" t="n">
        <v>48</v>
      </c>
      <c r="E157" s="3" t="n">
        <v>39</v>
      </c>
      <c r="G157" s="3" t="n">
        <v>6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s="3" t="n">
        <v>41</v>
      </c>
      <c r="N157" s="3" t="n">
        <v>95.40000000000001</v>
      </c>
      <c r="O157" s="3" t="n">
        <v>20.53333333333333</v>
      </c>
    </row>
    <row r="158" hidden="1">
      <c r="A158" s="5" t="n">
        <v>46149</v>
      </c>
      <c r="B158" s="6" t="inlineStr">
        <is>
          <t>Jessica Faria da Silveira</t>
        </is>
      </c>
      <c r="C158" s="3" t="inlineStr">
        <is>
          <t>Técnico II</t>
        </is>
      </c>
      <c r="D158" s="3" t="n">
        <v>34</v>
      </c>
      <c r="E158" s="3" t="n">
        <v>28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s="3" t="n">
        <v>26</v>
      </c>
      <c r="N158" s="3" t="n">
        <v>98.61</v>
      </c>
      <c r="O158" s="3" t="n">
        <v>16.97530864197531</v>
      </c>
    </row>
    <row r="159" hidden="1">
      <c r="A159" s="5" t="n">
        <v>46149</v>
      </c>
      <c r="B159" s="6" t="inlineStr">
        <is>
          <t>Jéssica Fé Moura</t>
        </is>
      </c>
      <c r="C159" s="3" t="inlineStr">
        <is>
          <t>Técnico III</t>
        </is>
      </c>
      <c r="D159" s="3" t="n">
        <v>0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0</v>
      </c>
      <c r="L159" s="3">
        <f>IF(K159&lt;-5,"CRÍTICO",IF(K159&lt;0,"ATENÇÃO",IF(K159&lt;=5,"BOM","EXCELENTE")))</f>
        <v/>
      </c>
      <c r="M159" s="3" t="n">
        <v>0</v>
      </c>
      <c r="N159" s="3" t="n">
        <v>0</v>
      </c>
      <c r="O159" s="3" t="n">
        <v>0</v>
      </c>
    </row>
    <row r="160" hidden="1">
      <c r="A160" s="5" t="n">
        <v>46149</v>
      </c>
      <c r="B160" s="6" t="inlineStr">
        <is>
          <t>Karina Gonçalves Martins</t>
        </is>
      </c>
      <c r="C160" s="3" t="inlineStr">
        <is>
          <t>JR</t>
        </is>
      </c>
      <c r="D160" s="3" t="n">
        <v>18</v>
      </c>
      <c r="E160" s="3" t="n">
        <v>17</v>
      </c>
      <c r="G160" s="3" t="n">
        <v>9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s="3" t="n">
        <v>22</v>
      </c>
      <c r="N160" s="3" t="n">
        <v>97.01000000000001</v>
      </c>
      <c r="O160" s="3" t="n">
        <v>13.96103896103896</v>
      </c>
    </row>
    <row r="161" hidden="1">
      <c r="A161" s="5" t="n">
        <v>46149</v>
      </c>
      <c r="B161" s="6" t="inlineStr">
        <is>
          <t>Kerollen Cristielly de Jesus Siqueira</t>
        </is>
      </c>
      <c r="C161" s="9" t="inlineStr">
        <is>
          <t>Técnico III</t>
        </is>
      </c>
      <c r="D161" s="3" t="n">
        <v>20</v>
      </c>
      <c r="E161" s="3" t="n">
        <v>19</v>
      </c>
      <c r="G161" s="3" t="n">
        <v>4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s="3" t="n">
        <v>23</v>
      </c>
      <c r="N161" s="3" t="n">
        <v>95.52</v>
      </c>
      <c r="O161" s="3" t="n">
        <v>10.56105610561056</v>
      </c>
    </row>
    <row r="162" hidden="1">
      <c r="A162" s="5" t="n">
        <v>46149</v>
      </c>
      <c r="B162" s="6" t="inlineStr">
        <is>
          <t>Leandro de Souza Silva</t>
        </is>
      </c>
      <c r="C162" s="3" t="inlineStr">
        <is>
          <t>JR</t>
        </is>
      </c>
      <c r="D162" s="3" t="n">
        <v>12</v>
      </c>
      <c r="E162" s="3" t="n">
        <v>12</v>
      </c>
      <c r="G162" s="3" t="n">
        <v>4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s="3" t="n">
        <v>8</v>
      </c>
      <c r="N162" s="3" t="n">
        <v>100</v>
      </c>
      <c r="O162" s="3" t="n">
        <v>16.95906432748538</v>
      </c>
    </row>
    <row r="163" hidden="1">
      <c r="A163" s="5" t="n">
        <v>46149</v>
      </c>
      <c r="B163" s="6" t="inlineStr">
        <is>
          <t>Leandro Oliveira de Sousa</t>
        </is>
      </c>
      <c r="C163" s="9" t="inlineStr">
        <is>
          <t>Técnico III</t>
        </is>
      </c>
      <c r="D163" s="3" t="n">
        <v>25</v>
      </c>
      <c r="E163" s="3" t="n">
        <v>23</v>
      </c>
      <c r="G163" s="3" t="n">
        <v>0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s="3" t="n">
        <v>25</v>
      </c>
      <c r="N163" s="3" t="n">
        <v>100</v>
      </c>
      <c r="O163" s="3" t="n">
        <v>15.58441558441558</v>
      </c>
    </row>
    <row r="164" hidden="1">
      <c r="A164" s="5" t="n">
        <v>46149</v>
      </c>
      <c r="B164" s="6" t="inlineStr">
        <is>
          <t>Lizandra Gomes Duarte</t>
        </is>
      </c>
      <c r="C164" s="3" t="inlineStr">
        <is>
          <t>Técnico II</t>
        </is>
      </c>
      <c r="D164" s="3" t="n">
        <v>40</v>
      </c>
      <c r="E164" s="3" t="n">
        <v>37</v>
      </c>
      <c r="G164" s="3" t="n">
        <v>6</v>
      </c>
      <c r="H164" s="3" t="n">
        <v>0</v>
      </c>
      <c r="I164" s="3">
        <f>E164+G164+H164</f>
        <v/>
      </c>
      <c r="J164" s="3">
        <f>ROUND(MIN(IF(C164="Técnico III",35,IF(C164="Técnico II",28,IF(C164="Técnico I",23,IF(C164="JR",20,IF(C164="Estágio",10,0))))),IF(C164="Técnico III",SUMIFS($D:$D,$A:$A,$A164,$B:$B,"&lt;&gt;Patrícia Karla de Sousa Araújo",$B:$B,"&lt;&gt;Lorena Dias de Araujo",$B:$B,"&lt;&gt;Lucas Luiz Romero")*(35/1083),IF(C164="Técnico II",SUMIFS($D:$D,$A:$A,$A164,$B:$B,"&lt;&gt;Patrícia Karla de Sousa Araújo",$B:$B,"&lt;&gt;Lorena Dias de Araujo",$B:$B,"&lt;&gt;Lucas Luiz Romero")*(28/1083),IF(C164="Técnico I",SUMIFS($D:$D,$A:$A,$A164,$B:$B,"&lt;&gt;Patrícia Karla de Sousa Araújo",$B:$B,"&lt;&gt;Lorena Dias de Araujo",$B:$B,"&lt;&gt;Lucas Luiz Romero")*(23/1083),IF(C164="JR",SUMIFS($D:$D,$A:$A,$A164,$B:$B,"&lt;&gt;Patrícia Karla de Sousa Araújo",$B:$B,"&lt;&gt;Lorena Dias de Araujo",$B:$B,"&lt;&gt;Lucas Luiz Romero")*(20/1083),IF(C164="Estágio",SUMIFS($D:$D,$A:$A,$A164,$B:$B,"&lt;&gt;Patrícia Karla de Sousa Araújo",$B:$B,"&lt;&gt;Lorena Dias de Araujo",$B:$B,"&lt;&gt;Lucas Luiz Romero")*(10/1083),0)))))),0)</f>
        <v/>
      </c>
      <c r="K164" s="3">
        <f>I164-J164</f>
        <v/>
      </c>
      <c r="L164" s="3">
        <f>IF(K164&lt;-5,"CRÍTICO",IF(K164&lt;0,"ATENÇÃO",IF(K164&lt;=5,"BOM","EXCELENTE")))</f>
        <v/>
      </c>
      <c r="M164" s="3" t="n">
        <v>51</v>
      </c>
      <c r="N164" s="3" t="n">
        <v>98.61</v>
      </c>
      <c r="O164" s="3" t="n">
        <v>16.86746987951807</v>
      </c>
    </row>
    <row r="165" hidden="1">
      <c r="A165" s="5" t="n">
        <v>46149</v>
      </c>
      <c r="B165" s="6" t="inlineStr">
        <is>
          <t>Lorena Dias de Araujo</t>
        </is>
      </c>
      <c r="C165" s="3" t="inlineStr">
        <is>
          <t>Técnico II</t>
        </is>
      </c>
      <c r="D165" s="3" t="n">
        <v>26</v>
      </c>
      <c r="E165" s="3" t="n">
        <v>24</v>
      </c>
      <c r="G165" s="3" t="n">
        <v>3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s="3" t="n">
        <v>26</v>
      </c>
      <c r="N165" s="3" t="n">
        <v>100</v>
      </c>
      <c r="O165" s="3" t="n">
        <v>20.82018927444795</v>
      </c>
    </row>
    <row r="166" hidden="1">
      <c r="A166" s="5" t="n">
        <v>46149</v>
      </c>
      <c r="B166" s="6" t="inlineStr">
        <is>
          <t>Lucas Luiz Romero</t>
        </is>
      </c>
      <c r="C166" s="3" t="inlineStr">
        <is>
          <t>Técnico III</t>
        </is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>
        <f>IF(K166&lt;-5,"CRÍTICO",IF(K166&lt;0,"ATENÇÃO",IF(K166&lt;=5,"BOM","EXCELENTE")))</f>
        <v/>
      </c>
      <c r="M166" s="3" t="n">
        <v>0</v>
      </c>
      <c r="N166" s="3" t="n">
        <v>100</v>
      </c>
      <c r="O166" s="3" t="n">
        <v>4.347826086956522</v>
      </c>
    </row>
    <row r="167" hidden="1">
      <c r="A167" s="5" t="n">
        <v>46149</v>
      </c>
      <c r="B167" s="6" t="inlineStr">
        <is>
          <t>Luiz Fernando de Carvalho Junior</t>
        </is>
      </c>
      <c r="C167" s="3" t="inlineStr">
        <is>
          <t>Técnico I</t>
        </is>
      </c>
      <c r="D167" s="3" t="n">
        <v>25</v>
      </c>
      <c r="E167" s="3" t="n">
        <v>25</v>
      </c>
      <c r="G167" s="3" t="n">
        <v>1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s="3" t="n">
        <v>25</v>
      </c>
      <c r="N167" s="3" t="n">
        <v>93.26000000000001</v>
      </c>
      <c r="O167" s="3" t="n">
        <v>19.93957703927493</v>
      </c>
    </row>
    <row r="168" hidden="1">
      <c r="A168" s="5" t="n">
        <v>46149</v>
      </c>
      <c r="B168" s="6" t="inlineStr">
        <is>
          <t>Matheus Farias De Souza</t>
        </is>
      </c>
      <c r="C168" s="3" t="inlineStr">
        <is>
          <t>Técnico III</t>
        </is>
      </c>
      <c r="D168" s="3" t="n">
        <v>15</v>
      </c>
      <c r="E168" s="3" t="n">
        <v>14</v>
      </c>
      <c r="G168" s="3" t="n">
        <v>0</v>
      </c>
      <c r="H168" s="3" t="n">
        <v>32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s="3" t="n">
        <v>35</v>
      </c>
      <c r="N168" s="3" t="n">
        <v>98.28</v>
      </c>
      <c r="O168" s="3" t="n">
        <v>9.037900874635568</v>
      </c>
    </row>
    <row r="169" hidden="1">
      <c r="A169" s="5" t="n">
        <v>46149</v>
      </c>
      <c r="B169" s="6" t="inlineStr">
        <is>
          <t>Maysa Victoria Dias Moura</t>
        </is>
      </c>
      <c r="C169" s="3" t="inlineStr">
        <is>
          <t>Técnico III</t>
        </is>
      </c>
      <c r="D169" s="3" t="n">
        <v>26</v>
      </c>
      <c r="E169" s="3" t="n">
        <v>23</v>
      </c>
      <c r="G169" s="3" t="n">
        <v>6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s="3" t="n">
        <v>26</v>
      </c>
      <c r="N169" s="3" t="n">
        <v>97.22</v>
      </c>
      <c r="O169" s="3" t="n">
        <v>19.09547738693467</v>
      </c>
    </row>
    <row r="170" hidden="1">
      <c r="A170" s="5" t="n">
        <v>46149</v>
      </c>
      <c r="B170" s="6" t="inlineStr">
        <is>
          <t>Milena Sales</t>
        </is>
      </c>
      <c r="C170" s="3" t="inlineStr">
        <is>
          <t>JR</t>
        </is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>
        <f>IF(K170&lt;-5,"CRÍTICO",IF(K170&lt;0,"ATENÇÃO",IF(K170&lt;=5,"BOM","EXCELENTE")))</f>
        <v/>
      </c>
      <c r="M170" s="3" t="n">
        <v>0</v>
      </c>
      <c r="N170" s="3" t="n">
        <v>98</v>
      </c>
      <c r="O170" s="3" t="n">
        <v>16.43835616438356</v>
      </c>
    </row>
    <row r="171" hidden="1">
      <c r="A171" s="5" t="n">
        <v>46149</v>
      </c>
      <c r="B171" s="6" t="inlineStr">
        <is>
          <t>Patrícia Karla de Sousa Araújo</t>
        </is>
      </c>
      <c r="C171" s="3" t="inlineStr">
        <is>
          <t>Técnico II</t>
        </is>
      </c>
      <c r="D171" s="3" t="n">
        <v>10</v>
      </c>
      <c r="E171" s="3" t="n">
        <v>10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s="3" t="n">
        <v>9</v>
      </c>
      <c r="N171" s="3" t="n">
        <v>100</v>
      </c>
      <c r="O171" s="3" t="n">
        <v>16.89497716894977</v>
      </c>
    </row>
    <row r="172" hidden="1">
      <c r="A172" s="5" t="n">
        <v>46149</v>
      </c>
      <c r="B172" s="6" t="inlineStr">
        <is>
          <t>Paulo Ricardo Santos</t>
        </is>
      </c>
      <c r="C172" s="3" t="inlineStr">
        <is>
          <t>JR</t>
        </is>
      </c>
      <c r="D172" s="3" t="n">
        <v>16</v>
      </c>
      <c r="E172" s="3" t="n">
        <v>16</v>
      </c>
      <c r="G172" s="3" t="n">
        <v>8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s="3" t="n">
        <v>18</v>
      </c>
      <c r="N172" s="3" t="n">
        <v>100</v>
      </c>
      <c r="O172" s="3" t="n">
        <v>19.13875598086124</v>
      </c>
    </row>
    <row r="173" hidden="1">
      <c r="A173" s="5" t="n">
        <v>46149</v>
      </c>
      <c r="B173" s="6" t="inlineStr">
        <is>
          <t>Pedro Luiz Mota Sousa</t>
        </is>
      </c>
      <c r="C173" s="3" t="inlineStr">
        <is>
          <t>JR</t>
        </is>
      </c>
      <c r="D173" s="3" t="n">
        <v>19</v>
      </c>
      <c r="E173" s="3" t="n">
        <v>19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s="3" t="n">
        <v>25</v>
      </c>
      <c r="N173" s="3" t="n">
        <v>100</v>
      </c>
      <c r="O173" s="3" t="n">
        <v>15.02145922746781</v>
      </c>
    </row>
    <row r="174" hidden="1">
      <c r="A174" s="5" t="n">
        <v>46149</v>
      </c>
      <c r="B174" s="6" t="inlineStr">
        <is>
          <t>Raane Batista Matos</t>
        </is>
      </c>
      <c r="C174" s="3" t="inlineStr">
        <is>
          <t>Técnico I</t>
        </is>
      </c>
      <c r="D174" s="3" t="n">
        <v>31</v>
      </c>
      <c r="E174" s="3" t="n">
        <v>26</v>
      </c>
      <c r="G174" s="3" t="n">
        <v>14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s="3" t="n">
        <v>23</v>
      </c>
      <c r="N174" s="3" t="n">
        <v>97.56</v>
      </c>
      <c r="O174" s="3" t="n">
        <v>19.28783382789317</v>
      </c>
    </row>
    <row r="175" hidden="1">
      <c r="A175" s="5" t="n">
        <v>46149</v>
      </c>
      <c r="B175" s="6" t="inlineStr">
        <is>
          <t>Rafael Gomes de Morais</t>
        </is>
      </c>
      <c r="C175" s="3" t="inlineStr">
        <is>
          <t>Técnico III</t>
        </is>
      </c>
      <c r="D175" s="3" t="n">
        <v>35</v>
      </c>
      <c r="E175" s="3" t="n">
        <v>30</v>
      </c>
      <c r="G175" s="3" t="n">
        <v>8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s="3" t="n">
        <v>37</v>
      </c>
      <c r="N175" s="3" t="n">
        <v>99.29000000000001</v>
      </c>
      <c r="O175" s="3" t="n">
        <v>22.49443207126949</v>
      </c>
    </row>
    <row r="176" hidden="1">
      <c r="A176" s="5" t="n">
        <v>46149</v>
      </c>
      <c r="B176" s="6" t="inlineStr">
        <is>
          <t>Sara Maria Monteiro Lopes</t>
        </is>
      </c>
      <c r="C176" s="3" t="inlineStr">
        <is>
          <t>Técnico I</t>
        </is>
      </c>
      <c r="D176" s="3" t="n">
        <v>14</v>
      </c>
      <c r="E176" s="3" t="n">
        <v>14</v>
      </c>
      <c r="G176" s="3" t="n">
        <v>6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s="3" t="n">
        <v>20</v>
      </c>
      <c r="N176" s="3" t="n">
        <v>100</v>
      </c>
      <c r="O176" s="3" t="n">
        <v>16.97247706422019</v>
      </c>
    </row>
    <row r="177" hidden="1">
      <c r="A177" s="5" t="n">
        <v>46149</v>
      </c>
      <c r="B177" s="6" t="inlineStr">
        <is>
          <t>Sarah Steffanie de Lima Borges</t>
        </is>
      </c>
      <c r="C177" s="3" t="inlineStr">
        <is>
          <t>Técnico III</t>
        </is>
      </c>
      <c r="D177" s="3" t="n">
        <v>34</v>
      </c>
      <c r="E177" s="3" t="n">
        <v>31</v>
      </c>
      <c r="G177" s="3" t="n">
        <v>1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s="3" t="n">
        <v>28</v>
      </c>
      <c r="N177" s="3" t="n">
        <v>97.33</v>
      </c>
      <c r="O177" s="3" t="n">
        <v>15.80547112462006</v>
      </c>
    </row>
    <row r="178" hidden="1">
      <c r="A178" s="5" t="n">
        <v>46150</v>
      </c>
      <c r="B178" s="6" t="inlineStr">
        <is>
          <t>Alisson de Freitas Silva</t>
        </is>
      </c>
      <c r="C178" s="3" t="inlineStr">
        <is>
          <t>Técnico II</t>
        </is>
      </c>
      <c r="D178" s="3" t="n">
        <v>34</v>
      </c>
      <c r="E178" s="3" t="n">
        <v>30</v>
      </c>
      <c r="G178" s="3" t="n">
        <v>4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s="3" t="n">
        <v>21</v>
      </c>
      <c r="N178" s="3" t="n">
        <v>98.94</v>
      </c>
      <c r="O178" s="3" t="n">
        <v>19.61414790996785</v>
      </c>
    </row>
    <row r="179" hidden="1">
      <c r="A179" s="5" t="n">
        <v>46150</v>
      </c>
      <c r="B179" s="6" t="inlineStr">
        <is>
          <t>Amanda Moura Ferreira</t>
        </is>
      </c>
      <c r="C179" s="3" t="inlineStr">
        <is>
          <t>Técnico III</t>
        </is>
      </c>
      <c r="D179" s="3" t="n">
        <v>0</v>
      </c>
      <c r="E179" s="3" t="n">
        <v>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0</v>
      </c>
      <c r="L179" s="3">
        <f>IF(K179&lt;-5,"CRÍTICO",IF(K179&lt;0,"ATENÇÃO",IF(K179&lt;=5,"BOM","EXCELENTE")))</f>
        <v/>
      </c>
      <c r="M179" s="9" t="n">
        <v>0</v>
      </c>
      <c r="N179" s="9" t="n">
        <v>100</v>
      </c>
      <c r="O179" s="9" t="n">
        <v>0</v>
      </c>
    </row>
    <row r="180" hidden="1">
      <c r="A180" s="5" t="n">
        <v>46150</v>
      </c>
      <c r="B180" s="6" t="inlineStr">
        <is>
          <t>Ana Karollyne Souza Faria</t>
        </is>
      </c>
      <c r="C180" s="3" t="inlineStr">
        <is>
          <t>Técnico I</t>
        </is>
      </c>
      <c r="D180" s="3" t="n">
        <v>26</v>
      </c>
      <c r="E180" s="3" t="n">
        <v>25</v>
      </c>
      <c r="G180" s="3" t="n">
        <v>0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s="3" t="n">
        <v>24</v>
      </c>
      <c r="N180" s="3" t="n">
        <v>95.38</v>
      </c>
      <c r="O180" s="3" t="n">
        <v>21.5962441314554</v>
      </c>
    </row>
    <row r="181" hidden="1">
      <c r="A181" s="5" t="n">
        <v>46150</v>
      </c>
      <c r="B181" s="6" t="inlineStr">
        <is>
          <t>Ana Paula Da Luz Silva Aleixo</t>
        </is>
      </c>
      <c r="C181" s="9" t="inlineStr">
        <is>
          <t>Técnico III</t>
        </is>
      </c>
      <c r="D181" s="3" t="n">
        <v>22</v>
      </c>
      <c r="E181" s="3" t="n">
        <v>21</v>
      </c>
      <c r="G181" s="3" t="n">
        <v>3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20</v>
      </c>
      <c r="N181" t="n">
        <v>96.34</v>
      </c>
      <c r="O181" t="n">
        <v>17.57188498402556</v>
      </c>
    </row>
    <row r="182" hidden="1">
      <c r="A182" s="5" t="n">
        <v>46150</v>
      </c>
      <c r="B182" s="6" t="inlineStr">
        <is>
          <t>Brenda de Menezes Silva</t>
        </is>
      </c>
      <c r="C182" s="3" t="inlineStr">
        <is>
          <t>Técnico II</t>
        </is>
      </c>
      <c r="D182" s="3" t="n">
        <v>31</v>
      </c>
      <c r="E182" s="3" t="n">
        <v>28</v>
      </c>
      <c r="G182" s="3" t="n">
        <v>4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35</v>
      </c>
      <c r="N182" t="n">
        <v>99.13</v>
      </c>
      <c r="O182" t="n">
        <v>14.7239263803681</v>
      </c>
    </row>
    <row r="183" hidden="1">
      <c r="A183" s="5" t="n">
        <v>46150</v>
      </c>
      <c r="B183" s="6" t="inlineStr">
        <is>
          <t>Carlos Mateus Cassimiro Nunes</t>
        </is>
      </c>
      <c r="C183" s="9" t="inlineStr">
        <is>
          <t>Técnico II</t>
        </is>
      </c>
      <c r="D183" s="3" t="n">
        <v>12</v>
      </c>
      <c r="E183" s="3" t="n">
        <v>12</v>
      </c>
      <c r="G183" s="3" t="n">
        <v>0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12</v>
      </c>
      <c r="N183" t="n">
        <v>98.8</v>
      </c>
      <c r="O183" t="n">
        <v>16.89750692520776</v>
      </c>
    </row>
    <row r="184" hidden="1">
      <c r="A184" s="5" t="n">
        <v>46150</v>
      </c>
      <c r="B184" s="6" t="inlineStr">
        <is>
          <t>Clessiane Pereira dos Santos</t>
        </is>
      </c>
      <c r="C184" s="3" t="inlineStr">
        <is>
          <t>Técnico I</t>
        </is>
      </c>
      <c r="D184" s="3" t="n">
        <v>25</v>
      </c>
      <c r="E184" s="3" t="n">
        <v>24</v>
      </c>
      <c r="G184" s="3" t="n">
        <v>6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27</v>
      </c>
      <c r="N184" t="n">
        <v>96.88</v>
      </c>
      <c r="O184" t="n">
        <v>19.52662721893491</v>
      </c>
    </row>
    <row r="185" hidden="1">
      <c r="A185" s="5" t="n">
        <v>46150</v>
      </c>
      <c r="B185" s="6" t="inlineStr">
        <is>
          <t>Cristiane Ramos da Silva Rocha</t>
        </is>
      </c>
      <c r="C185" s="3" t="inlineStr">
        <is>
          <t>Técnico III</t>
        </is>
      </c>
      <c r="D185" s="3" t="n">
        <v>27</v>
      </c>
      <c r="E185" s="3" t="n">
        <v>26</v>
      </c>
      <c r="G185" s="3" t="n">
        <v>0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25</v>
      </c>
      <c r="N185" t="n">
        <v>91.84999999999999</v>
      </c>
      <c r="O185" t="n">
        <v>20.87155963302752</v>
      </c>
    </row>
    <row r="186" hidden="1">
      <c r="A186" s="5" t="n">
        <v>46150</v>
      </c>
      <c r="B186" s="6" t="inlineStr">
        <is>
          <t>Damyllis Lorraine de Oliveira Gonçalves</t>
        </is>
      </c>
      <c r="C186" s="3" t="inlineStr">
        <is>
          <t>Técnico II</t>
        </is>
      </c>
      <c r="D186" s="3" t="n">
        <v>19</v>
      </c>
      <c r="E186" s="3" t="n">
        <v>17</v>
      </c>
      <c r="G186" s="3" t="n">
        <v>0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16</v>
      </c>
      <c r="N186" t="n">
        <v>98.63</v>
      </c>
      <c r="O186" t="n">
        <v>18.75</v>
      </c>
    </row>
    <row r="187" hidden="1">
      <c r="A187" s="5" t="n">
        <v>46150</v>
      </c>
      <c r="B187" s="6" t="inlineStr">
        <is>
          <t>Daniel Gomes da Silva</t>
        </is>
      </c>
      <c r="C187" s="3" t="inlineStr">
        <is>
          <t>Técnico I</t>
        </is>
      </c>
      <c r="D187" s="3" t="n">
        <v>16</v>
      </c>
      <c r="E187" s="3" t="n">
        <v>16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11</v>
      </c>
      <c r="N187" t="n">
        <v>100</v>
      </c>
      <c r="O187" t="n">
        <v>18.14516129032258</v>
      </c>
    </row>
    <row r="188" hidden="1">
      <c r="A188" s="5" t="n">
        <v>46150</v>
      </c>
      <c r="B188" s="6" t="inlineStr">
        <is>
          <t>Davylla Rodrigues Freitas Silva</t>
        </is>
      </c>
      <c r="C188" s="9" t="inlineStr">
        <is>
          <t>Técnico III</t>
        </is>
      </c>
      <c r="D188" s="3" t="n">
        <v>17</v>
      </c>
      <c r="E188" s="3" t="n">
        <v>17</v>
      </c>
      <c r="G188" s="3" t="n">
        <v>5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22</v>
      </c>
      <c r="N188" t="n">
        <v>99.06</v>
      </c>
      <c r="O188" t="n">
        <v>22.95719844357977</v>
      </c>
    </row>
    <row r="189" hidden="1">
      <c r="A189" s="5" t="n">
        <v>46150</v>
      </c>
      <c r="B189" s="6" t="inlineStr">
        <is>
          <t>Anna Luiza Rezende Tavares</t>
        </is>
      </c>
      <c r="C189" s="3" t="inlineStr">
        <is>
          <t>Estágio</t>
        </is>
      </c>
      <c r="D189" s="3" t="n">
        <v>38</v>
      </c>
      <c r="E189" s="3" t="n">
        <v>35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29</v>
      </c>
      <c r="N189" t="n">
        <v>99.11</v>
      </c>
      <c r="O189" t="n">
        <v>17.72151898734177</v>
      </c>
    </row>
    <row r="190" hidden="1">
      <c r="A190" s="5" t="n">
        <v>46150</v>
      </c>
      <c r="B190" s="6" t="inlineStr">
        <is>
          <t>Claudio de Sousa Velasco Filho</t>
        </is>
      </c>
      <c r="C190" s="3" t="inlineStr">
        <is>
          <t>Estágio</t>
        </is>
      </c>
      <c r="D190" s="3" t="n">
        <v>10</v>
      </c>
      <c r="E190" s="3" t="n">
        <v>9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IF(K190&lt;-5,"CRÍTICO",IF(K190&lt;0,"ATENÇÃO",IF(K190&lt;=5,"BOM","EXCELENTE")))</f>
        <v/>
      </c>
      <c r="M190" t="n">
        <v>7</v>
      </c>
      <c r="N190" t="n">
        <v>96.43000000000001</v>
      </c>
      <c r="O190" t="n">
        <v>20</v>
      </c>
    </row>
    <row r="191" hidden="1">
      <c r="A191" s="5" t="n">
        <v>46150</v>
      </c>
      <c r="B191" s="6" t="inlineStr">
        <is>
          <t>Emilly Caylane Costa</t>
        </is>
      </c>
      <c r="C191" s="3" t="inlineStr">
        <is>
          <t>Estágio</t>
        </is>
      </c>
      <c r="D191" s="3" t="n">
        <v>9</v>
      </c>
      <c r="E191" s="3" t="n">
        <v>8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IF(K191&lt;-5,"CRÍTICO",IF(K191&lt;0,"ATENÇÃO",IF(K191&lt;=5,"BOM","EXCELENTE")))</f>
        <v/>
      </c>
      <c r="M191" t="n">
        <v>6</v>
      </c>
      <c r="N191" t="n">
        <v>100</v>
      </c>
      <c r="O191" t="n">
        <v>29.03225806451613</v>
      </c>
    </row>
    <row r="192">
      <c r="A192" s="5" t="n">
        <v>46150</v>
      </c>
      <c r="B192" s="6" t="inlineStr">
        <is>
          <t>Gabriel Alves</t>
        </is>
      </c>
      <c r="C192" s="3" t="inlineStr">
        <is>
          <t>Estágio</t>
        </is>
      </c>
      <c r="D192" s="3" t="n">
        <v>46</v>
      </c>
      <c r="E192" s="3" t="n">
        <v>42</v>
      </c>
      <c r="G192" s="3" t="n">
        <v>0</v>
      </c>
      <c r="H192" s="3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0</v>
      </c>
      <c r="N192" t="n">
        <v>100</v>
      </c>
      <c r="O192" t="n">
        <v>14.28571428571428</v>
      </c>
    </row>
    <row r="193" hidden="1">
      <c r="A193" s="5" t="n">
        <v>46150</v>
      </c>
      <c r="B193" s="6" t="inlineStr">
        <is>
          <t>Maria Eduarda Sousa Costa</t>
        </is>
      </c>
      <c r="C193" s="3" t="inlineStr">
        <is>
          <t>Estágio</t>
        </is>
      </c>
      <c r="D193" s="3" t="n">
        <v>55</v>
      </c>
      <c r="E193" s="3" t="n">
        <v>34</v>
      </c>
      <c r="G193" s="3" t="n">
        <v>0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IF(K193&lt;-5,"CRÍTICO",IF(K193&lt;0,"ATENÇÃO",IF(K193&lt;=5,"BOM","EXCELENTE")))</f>
        <v/>
      </c>
      <c r="M193" t="n">
        <v>1</v>
      </c>
      <c r="N193" t="n">
        <v>100</v>
      </c>
      <c r="O193" t="n">
        <v>11.86440677966102</v>
      </c>
    </row>
    <row r="194" hidden="1">
      <c r="A194" s="5" t="n">
        <v>46150</v>
      </c>
      <c r="B194" s="6" t="inlineStr">
        <is>
          <t>Michelle G Santos</t>
        </is>
      </c>
      <c r="C194" s="3" t="inlineStr">
        <is>
          <t>Estágio</t>
        </is>
      </c>
      <c r="D194" s="3" t="n">
        <v>14</v>
      </c>
      <c r="E194" s="3" t="n">
        <v>13</v>
      </c>
      <c r="G194" s="3" t="n">
        <v>0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IF(K194&lt;-5,"CRÍTICO",IF(K194&lt;0,"ATENÇÃO",IF(K194&lt;=5,"BOM","EXCELENTE")))</f>
        <v/>
      </c>
      <c r="M194" t="n">
        <v>9</v>
      </c>
      <c r="N194" t="n">
        <v>100</v>
      </c>
      <c r="O194" t="n">
        <v>16.8141592920354</v>
      </c>
    </row>
    <row r="195" hidden="1">
      <c r="A195" s="5" t="n">
        <v>46150</v>
      </c>
      <c r="B195" s="6" t="inlineStr">
        <is>
          <t>Quirino Diogo Leite Torres</t>
        </is>
      </c>
      <c r="C195" s="3" t="inlineStr">
        <is>
          <t>Estágio</t>
        </is>
      </c>
      <c r="D195" s="3" t="n">
        <v>17</v>
      </c>
      <c r="E195" s="3" t="n">
        <v>17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IF(K195&lt;-5,"CRÍTICO",IF(K195&lt;0,"ATENÇÃO",IF(K195&lt;=5,"BOM","EXCELENTE")))</f>
        <v/>
      </c>
      <c r="M195" t="n">
        <v>11</v>
      </c>
      <c r="N195" t="n">
        <v>98.11</v>
      </c>
      <c r="O195" t="n">
        <v>20.40816326530612</v>
      </c>
    </row>
    <row r="196" hidden="1">
      <c r="A196" s="5" t="n">
        <v>46150</v>
      </c>
      <c r="B196" s="6" t="inlineStr">
        <is>
          <t>Emilly Kamilly Medeiros Miranda</t>
        </is>
      </c>
      <c r="C196" s="3" t="inlineStr">
        <is>
          <t>Técnico II</t>
        </is>
      </c>
      <c r="D196" s="3" t="n">
        <v>25</v>
      </c>
      <c r="E196" s="3" t="n">
        <v>23</v>
      </c>
      <c r="G196" s="3" t="n">
        <v>6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IF(K196&lt;-5,"CRÍTICO",IF(K196&lt;0,"ATENÇÃO",IF(K196&lt;=5,"BOM","EXCELENTE")))</f>
        <v/>
      </c>
      <c r="M196" t="n">
        <v>26</v>
      </c>
      <c r="N196" t="n">
        <v>100</v>
      </c>
      <c r="O196" t="n">
        <v>13.8121546961326</v>
      </c>
    </row>
    <row r="197" hidden="1">
      <c r="A197" s="5" t="n">
        <v>46150</v>
      </c>
      <c r="B197" s="6" t="inlineStr">
        <is>
          <t>Francielson de Oliveira</t>
        </is>
      </c>
      <c r="C197" s="9" t="inlineStr">
        <is>
          <t>Técnico III</t>
        </is>
      </c>
      <c r="D197" s="3" t="n">
        <v>0</v>
      </c>
      <c r="E197" s="3" t="n">
        <v>0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>
        <v>0</v>
      </c>
      <c r="L197" s="3">
        <f>IF(K197&lt;-5,"CRÍTICO",IF(K197&lt;0,"ATENÇÃO",IF(K197&lt;=5,"BOM","EXCELENTE")))</f>
        <v/>
      </c>
      <c r="M197" s="9" t="n">
        <v>0</v>
      </c>
      <c r="N197" s="9" t="n">
        <v>100</v>
      </c>
      <c r="O197" s="9" t="n">
        <v>9.523809523809524</v>
      </c>
    </row>
    <row r="198" hidden="1">
      <c r="A198" s="5" t="n">
        <v>46150</v>
      </c>
      <c r="B198" s="6" t="inlineStr">
        <is>
          <t>Francilene Ferreira de Jesus</t>
        </is>
      </c>
      <c r="C198" s="3" t="inlineStr">
        <is>
          <t>Técnico II</t>
        </is>
      </c>
      <c r="D198" s="3" t="n">
        <v>0</v>
      </c>
      <c r="E198" s="3" t="n">
        <v>0</v>
      </c>
      <c r="F198" s="3" t="n">
        <v>0</v>
      </c>
      <c r="G198" s="3" t="n">
        <v>0</v>
      </c>
      <c r="H198" s="3" t="n">
        <v>0</v>
      </c>
      <c r="I198" s="3" t="n">
        <v>0</v>
      </c>
      <c r="J198" s="3" t="n">
        <v>0</v>
      </c>
      <c r="K198" s="3" t="n">
        <v>0</v>
      </c>
      <c r="L198" s="3">
        <f>IF(K198&lt;-5,"CRÍTICO",IF(K198&lt;0,"ATENÇÃO",IF(K198&lt;=5,"BOM","EXCELENTE")))</f>
        <v/>
      </c>
      <c r="M198" s="9" t="n">
        <v>0</v>
      </c>
      <c r="N198" s="9" t="n">
        <v>100</v>
      </c>
      <c r="O198" s="9" t="n">
        <v>17.24137931034483</v>
      </c>
    </row>
    <row r="199">
      <c r="A199" s="5" t="n">
        <v>46150</v>
      </c>
      <c r="B199" s="6" t="inlineStr">
        <is>
          <t>Gabriel Gomes de Andrade</t>
        </is>
      </c>
      <c r="C199" s="3" t="inlineStr">
        <is>
          <t>Técnico I</t>
        </is>
      </c>
      <c r="D199" s="3" t="n">
        <v>0</v>
      </c>
      <c r="E199" s="3" t="n">
        <v>0</v>
      </c>
      <c r="F199" s="3" t="n">
        <v>0</v>
      </c>
      <c r="G199" s="3" t="n">
        <v>0</v>
      </c>
      <c r="H199" s="3" t="n">
        <v>0</v>
      </c>
      <c r="I199" s="3" t="n">
        <v>0</v>
      </c>
      <c r="J199" s="3" t="n">
        <v>0</v>
      </c>
      <c r="K199" s="3" t="n">
        <v>0</v>
      </c>
      <c r="L199" s="3">
        <f>IF(K199&lt;-5,"CRÍTICO",IF(K199&lt;0,"ATENÇÃO",IF(K199&lt;=5,"BOM","EXCELENTE")))</f>
        <v/>
      </c>
      <c r="M199" s="9" t="n">
        <v>0</v>
      </c>
      <c r="N199" s="9" t="n">
        <v>98.8</v>
      </c>
      <c r="O199" s="9" t="n">
        <v>15.41353383458646</v>
      </c>
    </row>
    <row r="200" hidden="1">
      <c r="A200" s="5" t="n">
        <v>46150</v>
      </c>
      <c r="B200" s="6" t="inlineStr">
        <is>
          <t>Isabella Borges de Oliveira</t>
        </is>
      </c>
      <c r="C200" s="9" t="inlineStr">
        <is>
          <t>Técnico II</t>
        </is>
      </c>
      <c r="D200" s="3" t="n">
        <v>30</v>
      </c>
      <c r="E200" s="3" t="n">
        <v>27</v>
      </c>
      <c r="G200" s="3" t="n">
        <v>0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IF(K200&lt;-5,"CRÍTICO",IF(K200&lt;0,"ATENÇÃO",IF(K200&lt;=5,"BOM","EXCELENTE")))</f>
        <v/>
      </c>
      <c r="M200" t="n">
        <v>22</v>
      </c>
      <c r="N200" t="n">
        <v>98.63</v>
      </c>
      <c r="O200" t="n">
        <v>15.75757575757576</v>
      </c>
    </row>
    <row r="201" hidden="1">
      <c r="A201" s="5" t="n">
        <v>46150</v>
      </c>
      <c r="B201" s="6" t="inlineStr">
        <is>
          <t>Janaina Lima dos Reis Urany</t>
        </is>
      </c>
      <c r="C201" s="3" t="inlineStr">
        <is>
          <t>Técnico III</t>
        </is>
      </c>
      <c r="D201" s="3" t="n">
        <v>41</v>
      </c>
      <c r="E201" s="3" t="n">
        <v>37</v>
      </c>
      <c r="G201" s="3" t="n">
        <v>8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IF(K201&lt;-5,"CRÍTICO",IF(K201&lt;0,"ATENÇÃO",IF(K201&lt;=5,"BOM","EXCELENTE")))</f>
        <v/>
      </c>
      <c r="M201" t="n">
        <v>41</v>
      </c>
      <c r="N201" t="n">
        <v>98.64</v>
      </c>
      <c r="O201" t="n">
        <v>16.6383701188455</v>
      </c>
    </row>
    <row r="202" hidden="1">
      <c r="A202" s="5" t="n">
        <v>46150</v>
      </c>
      <c r="B202" s="6" t="inlineStr">
        <is>
          <t>Jaqueline Evangelista da Silva Martins</t>
        </is>
      </c>
      <c r="C202" s="3" t="inlineStr">
        <is>
          <t>Técnico III</t>
        </is>
      </c>
      <c r="D202" s="3" t="n">
        <v>20</v>
      </c>
      <c r="E202" s="3" t="n">
        <v>19</v>
      </c>
      <c r="G202" s="3" t="n">
        <v>5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IF(K202&lt;-5,"CRÍTICO",IF(K202&lt;0,"ATENÇÃO",IF(K202&lt;=5,"BOM","EXCELENTE")))</f>
        <v/>
      </c>
      <c r="M202" t="n">
        <v>21</v>
      </c>
      <c r="N202" t="n">
        <v>95.40000000000001</v>
      </c>
      <c r="O202" t="n">
        <v>20.53333333333333</v>
      </c>
    </row>
    <row r="203" hidden="1">
      <c r="A203" s="5" t="n">
        <v>46150</v>
      </c>
      <c r="B203" s="6" t="inlineStr">
        <is>
          <t>Jessica Faria da Silveira</t>
        </is>
      </c>
      <c r="C203" s="3" t="inlineStr">
        <is>
          <t>Técnico II</t>
        </is>
      </c>
      <c r="D203" s="3" t="n">
        <v>25</v>
      </c>
      <c r="E203" s="3" t="n">
        <v>20</v>
      </c>
      <c r="G203" s="3" t="n">
        <v>3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IF(K203&lt;-5,"CRÍTICO",IF(K203&lt;0,"ATENÇÃO",IF(K203&lt;=5,"BOM","EXCELENTE")))</f>
        <v/>
      </c>
      <c r="M203" t="n">
        <v>24</v>
      </c>
      <c r="N203" t="n">
        <v>98.61</v>
      </c>
      <c r="O203" t="n">
        <v>16.97530864197531</v>
      </c>
    </row>
    <row r="204" hidden="1">
      <c r="A204" s="5" t="n">
        <v>46150</v>
      </c>
      <c r="B204" s="6" t="inlineStr">
        <is>
          <t>Jéssica Fé Moura</t>
        </is>
      </c>
      <c r="C204" s="3" t="inlineStr">
        <is>
          <t>Técnico III</t>
        </is>
      </c>
      <c r="D204" s="3" t="n">
        <v>0</v>
      </c>
      <c r="E204" s="3" t="n">
        <v>0</v>
      </c>
      <c r="F204" s="3" t="n">
        <v>0</v>
      </c>
      <c r="G204" s="3" t="n">
        <v>0</v>
      </c>
      <c r="H204" s="3" t="n">
        <v>0</v>
      </c>
      <c r="I204" s="3" t="n">
        <v>0</v>
      </c>
      <c r="J204" s="3" t="n">
        <v>0</v>
      </c>
      <c r="K204" s="3" t="n">
        <v>0</v>
      </c>
      <c r="L204" s="3">
        <f>IF(K204&lt;-5,"CRÍTICO",IF(K204&lt;0,"ATENÇÃO",IF(K204&lt;=5,"BOM","EXCELENTE")))</f>
        <v/>
      </c>
      <c r="M204" s="9" t="n">
        <v>0</v>
      </c>
      <c r="N204" s="9" t="n">
        <v>0</v>
      </c>
      <c r="O204" s="9" t="n">
        <v>0</v>
      </c>
    </row>
    <row r="205" hidden="1">
      <c r="A205" s="5" t="n">
        <v>46150</v>
      </c>
      <c r="B205" s="6" t="inlineStr">
        <is>
          <t>Karina Gonçalves Martins</t>
        </is>
      </c>
      <c r="C205" s="3" t="inlineStr">
        <is>
          <t>JR</t>
        </is>
      </c>
      <c r="D205" s="3" t="n">
        <v>21</v>
      </c>
      <c r="E205" s="3" t="n">
        <v>20</v>
      </c>
      <c r="G205" s="3" t="n">
        <v>1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IF(K205&lt;-5,"CRÍTICO",IF(K205&lt;0,"ATENÇÃO",IF(K205&lt;=5,"BOM","EXCELENTE")))</f>
        <v/>
      </c>
      <c r="M205" t="n">
        <v>16</v>
      </c>
      <c r="N205" t="n">
        <v>97.01000000000001</v>
      </c>
      <c r="O205" t="n">
        <v>13.96103896103896</v>
      </c>
    </row>
    <row r="206" hidden="1">
      <c r="A206" s="5" t="n">
        <v>46150</v>
      </c>
      <c r="B206" s="6" t="inlineStr">
        <is>
          <t>Kerollen Cristielly de Jesus Siqueira</t>
        </is>
      </c>
      <c r="C206" s="9" t="inlineStr">
        <is>
          <t>Técnico III</t>
        </is>
      </c>
      <c r="D206" s="3" t="n">
        <v>4</v>
      </c>
      <c r="E206" s="3" t="n">
        <v>4</v>
      </c>
      <c r="G206" s="3" t="n">
        <v>0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IF(K206&lt;-5,"CRÍTICO",IF(K206&lt;0,"ATENÇÃO",IF(K206&lt;=5,"BOM","EXCELENTE")))</f>
        <v/>
      </c>
      <c r="M206" t="n">
        <v>4</v>
      </c>
      <c r="N206" t="n">
        <v>95.52</v>
      </c>
      <c r="O206" t="n">
        <v>10.56105610561056</v>
      </c>
    </row>
    <row r="207" hidden="1">
      <c r="A207" s="5" t="n">
        <v>46150</v>
      </c>
      <c r="B207" s="6" t="inlineStr">
        <is>
          <t>Leandro de Souza Silva</t>
        </is>
      </c>
      <c r="C207" s="3" t="inlineStr">
        <is>
          <t>JR</t>
        </is>
      </c>
      <c r="D207" s="3" t="n">
        <v>11</v>
      </c>
      <c r="E207" s="3" t="n">
        <v>11</v>
      </c>
      <c r="G207" s="3" t="n">
        <v>4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IF(K207&lt;-5,"CRÍTICO",IF(K207&lt;0,"ATENÇÃO",IF(K207&lt;=5,"BOM","EXCELENTE")))</f>
        <v/>
      </c>
      <c r="M207" t="n">
        <v>14</v>
      </c>
      <c r="N207" t="n">
        <v>100</v>
      </c>
      <c r="O207" t="n">
        <v>16.95906432748538</v>
      </c>
    </row>
    <row r="208" hidden="1">
      <c r="A208" s="5" t="n">
        <v>46150</v>
      </c>
      <c r="B208" s="6" t="inlineStr">
        <is>
          <t>Leandro Oliveira de Sousa</t>
        </is>
      </c>
      <c r="C208" s="9" t="inlineStr">
        <is>
          <t>Técnico III</t>
        </is>
      </c>
      <c r="D208" s="3" t="n">
        <v>29</v>
      </c>
      <c r="E208" s="3" t="n">
        <v>28</v>
      </c>
      <c r="G208" s="3" t="n">
        <v>0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IF(K208&lt;-5,"CRÍTICO",IF(K208&lt;0,"ATENÇÃO",IF(K208&lt;=5,"BOM","EXCELENTE")))</f>
        <v/>
      </c>
      <c r="M208" t="n">
        <v>24</v>
      </c>
      <c r="N208" t="n">
        <v>100</v>
      </c>
      <c r="O208" t="n">
        <v>15.58441558441558</v>
      </c>
    </row>
    <row r="209" hidden="1">
      <c r="A209" s="5" t="n">
        <v>46150</v>
      </c>
      <c r="B209" s="6" t="inlineStr">
        <is>
          <t>Lizandra Gomes Duarte</t>
        </is>
      </c>
      <c r="C209" s="3" t="inlineStr">
        <is>
          <t>Técnico II</t>
        </is>
      </c>
      <c r="D209" s="3" t="n">
        <v>22</v>
      </c>
      <c r="E209" s="3" t="n">
        <v>18</v>
      </c>
      <c r="G209" s="3" t="n">
        <v>3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IF(K209&lt;-5,"CRÍTICO",IF(K209&lt;0,"ATENÇÃO",IF(K209&lt;=5,"BOM","EXCELENTE")))</f>
        <v/>
      </c>
      <c r="M209" t="n">
        <v>18</v>
      </c>
      <c r="N209" t="n">
        <v>98.61</v>
      </c>
      <c r="O209" t="n">
        <v>16.86746987951807</v>
      </c>
    </row>
    <row r="210" hidden="1">
      <c r="A210" s="5" t="n">
        <v>46150</v>
      </c>
      <c r="B210" s="6" t="inlineStr">
        <is>
          <t>Lorena Dias de Araujo</t>
        </is>
      </c>
      <c r="C210" s="3" t="inlineStr">
        <is>
          <t>Técnico II</t>
        </is>
      </c>
      <c r="D210" s="3" t="n">
        <v>26</v>
      </c>
      <c r="E210" s="3" t="n">
        <v>26</v>
      </c>
      <c r="G210" s="3" t="n">
        <v>0</v>
      </c>
      <c r="H210" s="3" t="n">
        <v>0</v>
      </c>
      <c r="I210" s="3">
        <f>E210+G210+H210</f>
        <v/>
      </c>
      <c r="J210" s="3">
        <f>ROUND(MIN(IF(C210="Técnico III",35,IF(C210="Técnico II",28,IF(C210="Técnico I",23,IF(C210="JR",20,IF(C210="Estágio",10,0))))),IF(C210="Técnico III",SUMIFS($D:$D,$A:$A,$A210,$B:$B,"&lt;&gt;Patrícia Karla de Sousa Araújo",$B:$B,"&lt;&gt;Lorena Dias de Araujo",$B:$B,"&lt;&gt;Lucas Luiz Romero")*(35/1083),IF(C210="Técnico II",SUMIFS($D:$D,$A:$A,$A210,$B:$B,"&lt;&gt;Patrícia Karla de Sousa Araújo",$B:$B,"&lt;&gt;Lorena Dias de Araujo",$B:$B,"&lt;&gt;Lucas Luiz Romero")*(28/1083),IF(C210="Técnico I",SUMIFS($D:$D,$A:$A,$A210,$B:$B,"&lt;&gt;Patrícia Karla de Sousa Araújo",$B:$B,"&lt;&gt;Lorena Dias de Araujo",$B:$B,"&lt;&gt;Lucas Luiz Romero")*(23/1083),IF(C210="JR",SUMIFS($D:$D,$A:$A,$A210,$B:$B,"&lt;&gt;Patrícia Karla de Sousa Araújo",$B:$B,"&lt;&gt;Lorena Dias de Araujo",$B:$B,"&lt;&gt;Lucas Luiz Romero")*(20/1083),IF(C210="Estágio",SUMIFS($D:$D,$A:$A,$A210,$B:$B,"&lt;&gt;Patrícia Karla de Sousa Araújo",$B:$B,"&lt;&gt;Lorena Dias de Araujo",$B:$B,"&lt;&gt;Lucas Luiz Romero")*(10/1083),0)))))),0)</f>
        <v/>
      </c>
      <c r="K210" s="3">
        <f>I210-J210</f>
        <v/>
      </c>
      <c r="L210" s="3">
        <f>IF(K210&lt;-5,"CRÍTICO",IF(K210&lt;0,"ATENÇÃO",IF(K210&lt;=5,"BOM","EXCELENTE")))</f>
        <v/>
      </c>
      <c r="M210" t="n">
        <v>21</v>
      </c>
      <c r="N210" t="n">
        <v>100</v>
      </c>
      <c r="O210" t="n">
        <v>20.82018927444795</v>
      </c>
    </row>
    <row r="211" hidden="1">
      <c r="A211" s="5" t="n">
        <v>46150</v>
      </c>
      <c r="B211" s="6" t="inlineStr">
        <is>
          <t>Lucas Luiz Romero</t>
        </is>
      </c>
      <c r="C211" s="3" t="inlineStr">
        <is>
          <t>Técnico III</t>
        </is>
      </c>
      <c r="D211" s="3" t="n">
        <v>0</v>
      </c>
      <c r="E211" s="3" t="n">
        <v>0</v>
      </c>
      <c r="F211" s="3" t="n">
        <v>0</v>
      </c>
      <c r="G211" s="3" t="n">
        <v>0</v>
      </c>
      <c r="H211" s="3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IF(K211&lt;-5,"CRÍTICO",IF(K211&lt;0,"ATENÇÃO",IF(K211&lt;=5,"BOM","EXCELENTE")))</f>
        <v/>
      </c>
      <c r="M211" s="9" t="n">
        <v>0</v>
      </c>
      <c r="N211" s="9" t="n">
        <v>100</v>
      </c>
      <c r="O211" s="9" t="n">
        <v>4.347826086956522</v>
      </c>
    </row>
    <row r="212" hidden="1">
      <c r="A212" s="5" t="n">
        <v>46150</v>
      </c>
      <c r="B212" s="6" t="inlineStr">
        <is>
          <t>Luiz Fernando de Carvalho Junior</t>
        </is>
      </c>
      <c r="C212" s="3" t="inlineStr">
        <is>
          <t>Técnico I</t>
        </is>
      </c>
      <c r="D212" s="3" t="n">
        <v>18</v>
      </c>
      <c r="E212" s="3" t="n">
        <v>17</v>
      </c>
      <c r="G212" s="3" t="n">
        <v>6</v>
      </c>
      <c r="H212" s="3" t="n">
        <v>0</v>
      </c>
      <c r="I212" s="3">
        <f>E212+G212+H212</f>
        <v/>
      </c>
      <c r="J212" s="3">
        <f>ROUND(MIN(IF(C212="Técnico III",35,IF(C212="Técnico II",28,IF(C212="Técnico I",23,IF(C212="JR",20,IF(C212="Estágio",10,0))))),IF(C212="Técnico III",SUMIFS($D:$D,$A:$A,$A212,$B:$B,"&lt;&gt;Patrícia Karla de Sousa Araújo",$B:$B,"&lt;&gt;Lorena Dias de Araujo",$B:$B,"&lt;&gt;Lucas Luiz Romero")*(35/1083),IF(C212="Técnico II",SUMIFS($D:$D,$A:$A,$A212,$B:$B,"&lt;&gt;Patrícia Karla de Sousa Araújo",$B:$B,"&lt;&gt;Lorena Dias de Araujo",$B:$B,"&lt;&gt;Lucas Luiz Romero")*(28/1083),IF(C212="Técnico I",SUMIFS($D:$D,$A:$A,$A212,$B:$B,"&lt;&gt;Patrícia Karla de Sousa Araújo",$B:$B,"&lt;&gt;Lorena Dias de Araujo",$B:$B,"&lt;&gt;Lucas Luiz Romero")*(23/1083),IF(C212="JR",SUMIFS($D:$D,$A:$A,$A212,$B:$B,"&lt;&gt;Patrícia Karla de Sousa Araújo",$B:$B,"&lt;&gt;Lorena Dias de Araujo",$B:$B,"&lt;&gt;Lucas Luiz Romero")*(20/1083),IF(C212="Estágio",SUMIFS($D:$D,$A:$A,$A212,$B:$B,"&lt;&gt;Patrícia Karla de Sousa Araújo",$B:$B,"&lt;&gt;Lorena Dias de Araujo",$B:$B,"&lt;&gt;Lucas Luiz Romero")*(10/1083),0)))))),0)</f>
        <v/>
      </c>
      <c r="K212" s="3">
        <f>I212-J212</f>
        <v/>
      </c>
      <c r="L212" s="3">
        <f>IF(K212&lt;-5,"CRÍTICO",IF(K212&lt;0,"ATENÇÃO",IF(K212&lt;=5,"BOM","EXCELENTE")))</f>
        <v/>
      </c>
      <c r="M212" t="n">
        <v>23</v>
      </c>
      <c r="N212" t="n">
        <v>93.26000000000001</v>
      </c>
      <c r="O212" t="n">
        <v>19.93957703927493</v>
      </c>
    </row>
    <row r="213" hidden="1">
      <c r="A213" s="5" t="n">
        <v>46150</v>
      </c>
      <c r="B213" s="6" t="inlineStr">
        <is>
          <t>Matheus Farias De Souza</t>
        </is>
      </c>
      <c r="C213" s="3" t="inlineStr">
        <is>
          <t>Técnico III</t>
        </is>
      </c>
      <c r="D213" s="3" t="n">
        <v>0</v>
      </c>
      <c r="E213" s="3" t="n">
        <v>0</v>
      </c>
      <c r="G213" s="3" t="n">
        <v>0</v>
      </c>
      <c r="H213" s="3" t="n">
        <v>31</v>
      </c>
      <c r="I213" s="3">
        <f>E213+G213+H213</f>
        <v/>
      </c>
      <c r="J213" s="3">
        <f>ROUND(MIN(IF(C213="Técnico III",35,IF(C213="Técnico II",28,IF(C213="Técnico I",23,IF(C213="JR",20,IF(C213="Estágio",10,0))))),IF(C213="Técnico III",SUMIFS($D:$D,$A:$A,$A213,$B:$B,"&lt;&gt;Patrícia Karla de Sousa Araújo",$B:$B,"&lt;&gt;Lorena Dias de Araujo",$B:$B,"&lt;&gt;Lucas Luiz Romero")*(35/1083),IF(C213="Técnico II",SUMIFS($D:$D,$A:$A,$A213,$B:$B,"&lt;&gt;Patrícia Karla de Sousa Araújo",$B:$B,"&lt;&gt;Lorena Dias de Araujo",$B:$B,"&lt;&gt;Lucas Luiz Romero")*(28/1083),IF(C213="Técnico I",SUMIFS($D:$D,$A:$A,$A213,$B:$B,"&lt;&gt;Patrícia Karla de Sousa Araújo",$B:$B,"&lt;&gt;Lorena Dias de Araujo",$B:$B,"&lt;&gt;Lucas Luiz Romero")*(23/1083),IF(C213="JR",SUMIFS($D:$D,$A:$A,$A213,$B:$B,"&lt;&gt;Patrícia Karla de Sousa Araújo",$B:$B,"&lt;&gt;Lorena Dias de Araujo",$B:$B,"&lt;&gt;Lucas Luiz Romero")*(20/1083),IF(C213="Estágio",SUMIFS($D:$D,$A:$A,$A213,$B:$B,"&lt;&gt;Patrícia Karla de Sousa Araújo",$B:$B,"&lt;&gt;Lorena Dias de Araujo",$B:$B,"&lt;&gt;Lucas Luiz Romero")*(10/1083),0)))))),0)</f>
        <v/>
      </c>
      <c r="K213" s="3">
        <f>I213-J213</f>
        <v/>
      </c>
      <c r="L213" s="3">
        <f>IF(K213&lt;-5,"CRÍTICO",IF(K213&lt;0,"ATENÇÃO",IF(K213&lt;=5,"BOM","EXCELENTE")))</f>
        <v/>
      </c>
      <c r="M213" t="n">
        <v>21</v>
      </c>
      <c r="N213" t="n">
        <v>98.28</v>
      </c>
      <c r="O213" t="n">
        <v>9.037900874635568</v>
      </c>
    </row>
    <row r="214" hidden="1">
      <c r="A214" s="5" t="n">
        <v>46150</v>
      </c>
      <c r="B214" s="6" t="inlineStr">
        <is>
          <t>Maysa Victoria Dias Moura</t>
        </is>
      </c>
      <c r="C214" s="3" t="inlineStr">
        <is>
          <t>Técnico III</t>
        </is>
      </c>
      <c r="D214" s="3" t="n">
        <v>30</v>
      </c>
      <c r="E214" s="3" t="n">
        <v>28</v>
      </c>
      <c r="G214" s="3" t="n">
        <v>1</v>
      </c>
      <c r="H214" s="3" t="n">
        <v>0</v>
      </c>
      <c r="I214" s="3">
        <f>E214+G214+H214</f>
        <v/>
      </c>
      <c r="J214" s="3">
        <f>ROUND(MIN(IF(C214="Técnico III",35,IF(C214="Técnico II",28,IF(C214="Técnico I",23,IF(C214="JR",20,IF(C214="Estágio",10,0))))),IF(C214="Técnico III",SUMIFS($D:$D,$A:$A,$A214,$B:$B,"&lt;&gt;Patrícia Karla de Sousa Araújo",$B:$B,"&lt;&gt;Lorena Dias de Araujo",$B:$B,"&lt;&gt;Lucas Luiz Romero")*(35/1083),IF(C214="Técnico II",SUMIFS($D:$D,$A:$A,$A214,$B:$B,"&lt;&gt;Patrícia Karla de Sousa Araújo",$B:$B,"&lt;&gt;Lorena Dias de Araujo",$B:$B,"&lt;&gt;Lucas Luiz Romero")*(28/1083),IF(C214="Técnico I",SUMIFS($D:$D,$A:$A,$A214,$B:$B,"&lt;&gt;Patrícia Karla de Sousa Araújo",$B:$B,"&lt;&gt;Lorena Dias de Araujo",$B:$B,"&lt;&gt;Lucas Luiz Romero")*(23/1083),IF(C214="JR",SUMIFS($D:$D,$A:$A,$A214,$B:$B,"&lt;&gt;Patrícia Karla de Sousa Araújo",$B:$B,"&lt;&gt;Lorena Dias de Araujo",$B:$B,"&lt;&gt;Lucas Luiz Romero")*(20/1083),IF(C214="Estágio",SUMIFS($D:$D,$A:$A,$A214,$B:$B,"&lt;&gt;Patrícia Karla de Sousa Araújo",$B:$B,"&lt;&gt;Lorena Dias de Araujo",$B:$B,"&lt;&gt;Lucas Luiz Romero")*(10/1083),0)))))),0)</f>
        <v/>
      </c>
      <c r="K214" s="3">
        <f>I214-J214</f>
        <v/>
      </c>
      <c r="L214" s="3">
        <f>IF(K214&lt;-5,"CRÍTICO",IF(K214&lt;0,"ATENÇÃO",IF(K214&lt;=5,"BOM","EXCELENTE")))</f>
        <v/>
      </c>
      <c r="M214" t="n">
        <v>23</v>
      </c>
      <c r="N214" t="n">
        <v>97.22</v>
      </c>
      <c r="O214" t="n">
        <v>19.09547738693467</v>
      </c>
    </row>
    <row r="215" hidden="1">
      <c r="A215" s="5" t="n">
        <v>46150</v>
      </c>
      <c r="B215" s="6" t="inlineStr">
        <is>
          <t>Milena Sales</t>
        </is>
      </c>
      <c r="C215" s="3" t="inlineStr">
        <is>
          <t>JR</t>
        </is>
      </c>
      <c r="D215" s="3" t="n">
        <v>53</v>
      </c>
      <c r="E215" s="3" t="n">
        <v>26</v>
      </c>
      <c r="G215" s="3" t="n">
        <v>0</v>
      </c>
      <c r="H215" s="3" t="n">
        <v>0</v>
      </c>
      <c r="I215" s="3">
        <f>E215+G215+H215</f>
        <v/>
      </c>
      <c r="J215" s="3">
        <f>ROUND(MIN(IF(C215="Técnico III",35,IF(C215="Técnico II",28,IF(C215="Técnico I",23,IF(C215="JR",20,IF(C215="Estágio",10,0))))),IF(C215="Técnico III",SUMIFS($D:$D,$A:$A,$A215,$B:$B,"&lt;&gt;Patrícia Karla de Sousa Araújo",$B:$B,"&lt;&gt;Lorena Dias de Araujo",$B:$B,"&lt;&gt;Lucas Luiz Romero")*(35/1083),IF(C215="Técnico II",SUMIFS($D:$D,$A:$A,$A215,$B:$B,"&lt;&gt;Patrícia Karla de Sousa Araújo",$B:$B,"&lt;&gt;Lorena Dias de Araujo",$B:$B,"&lt;&gt;Lucas Luiz Romero")*(28/1083),IF(C215="Técnico I",SUMIFS($D:$D,$A:$A,$A215,$B:$B,"&lt;&gt;Patrícia Karla de Sousa Araújo",$B:$B,"&lt;&gt;Lorena Dias de Araujo",$B:$B,"&lt;&gt;Lucas Luiz Romero")*(23/1083),IF(C215="JR",SUMIFS($D:$D,$A:$A,$A215,$B:$B,"&lt;&gt;Patrícia Karla de Sousa Araújo",$B:$B,"&lt;&gt;Lorena Dias de Araujo",$B:$B,"&lt;&gt;Lucas Luiz Romero")*(20/1083),IF(C215="Estágio",SUMIFS($D:$D,$A:$A,$A215,$B:$B,"&lt;&gt;Patrícia Karla de Sousa Araújo",$B:$B,"&lt;&gt;Lorena Dias de Araujo",$B:$B,"&lt;&gt;Lucas Luiz Romero")*(10/1083),0)))))),0)</f>
        <v/>
      </c>
      <c r="K215" s="3">
        <f>I215-J215</f>
        <v/>
      </c>
      <c r="L215" s="3">
        <f>IF(K215&lt;-5,"CRÍTICO",IF(K215&lt;0,"ATENÇÃO",IF(K215&lt;=5,"BOM","EXCELENTE")))</f>
        <v/>
      </c>
      <c r="M215" t="n">
        <v>20</v>
      </c>
      <c r="N215" t="n">
        <v>98</v>
      </c>
      <c r="O215" t="n">
        <v>16.43835616438356</v>
      </c>
    </row>
    <row r="216" hidden="1">
      <c r="A216" s="5" t="n">
        <v>46150</v>
      </c>
      <c r="B216" s="6" t="inlineStr">
        <is>
          <t>Patrícia Karla de Sousa Araújo</t>
        </is>
      </c>
      <c r="C216" s="3" t="inlineStr">
        <is>
          <t>Técnico II</t>
        </is>
      </c>
      <c r="D216" s="3" t="n">
        <v>19</v>
      </c>
      <c r="E216" s="3" t="n">
        <v>19</v>
      </c>
      <c r="G216" s="3" t="n">
        <v>0</v>
      </c>
      <c r="H216" s="3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IF(K216&lt;-5,"CRÍTICO",IF(K216&lt;0,"ATENÇÃO",IF(K216&lt;=5,"BOM","EXCELENTE")))</f>
        <v/>
      </c>
      <c r="M216" t="n">
        <v>17</v>
      </c>
      <c r="N216" t="n">
        <v>100</v>
      </c>
      <c r="O216" t="n">
        <v>16.89497716894977</v>
      </c>
    </row>
    <row r="217" hidden="1">
      <c r="A217" s="5" t="n">
        <v>46150</v>
      </c>
      <c r="B217" s="6" t="inlineStr">
        <is>
          <t>Paulo Ricardo Santos</t>
        </is>
      </c>
      <c r="C217" s="3" t="inlineStr">
        <is>
          <t>JR</t>
        </is>
      </c>
      <c r="D217" s="3" t="n">
        <v>14</v>
      </c>
      <c r="E217" s="3" t="n">
        <v>14</v>
      </c>
      <c r="G217" s="3" t="n">
        <v>0</v>
      </c>
      <c r="H217" s="3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IF(K217&lt;-5,"CRÍTICO",IF(K217&lt;0,"ATENÇÃO",IF(K217&lt;=5,"BOM","EXCELENTE")))</f>
        <v/>
      </c>
      <c r="M217" t="n">
        <v>14</v>
      </c>
      <c r="N217" t="n">
        <v>100</v>
      </c>
      <c r="O217" t="n">
        <v>19.13875598086124</v>
      </c>
    </row>
    <row r="218" hidden="1">
      <c r="A218" s="5" t="n">
        <v>46150</v>
      </c>
      <c r="B218" s="6" t="inlineStr">
        <is>
          <t>Pedro Luiz Mota Sousa</t>
        </is>
      </c>
      <c r="C218" s="3" t="inlineStr">
        <is>
          <t>JR</t>
        </is>
      </c>
      <c r="D218" s="3" t="n">
        <v>18</v>
      </c>
      <c r="E218" s="3" t="n">
        <v>17</v>
      </c>
      <c r="G218" s="3" t="n">
        <v>0</v>
      </c>
      <c r="H218" s="3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IF(K218&lt;-5,"CRÍTICO",IF(K218&lt;0,"ATENÇÃO",IF(K218&lt;=5,"BOM","EXCELENTE")))</f>
        <v/>
      </c>
      <c r="M218" t="n">
        <v>16</v>
      </c>
      <c r="N218" t="n">
        <v>100</v>
      </c>
      <c r="O218" t="n">
        <v>15.02145922746781</v>
      </c>
    </row>
    <row r="219" hidden="1">
      <c r="A219" s="5" t="n">
        <v>46150</v>
      </c>
      <c r="B219" s="6" t="inlineStr">
        <is>
          <t>Raane Batista Matos</t>
        </is>
      </c>
      <c r="C219" s="3" t="inlineStr">
        <is>
          <t>Técnico I</t>
        </is>
      </c>
      <c r="D219" s="3" t="n">
        <v>39</v>
      </c>
      <c r="E219" s="3" t="n">
        <v>34</v>
      </c>
      <c r="G219" s="3" t="n">
        <v>2</v>
      </c>
      <c r="H219" s="3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IF(K219&lt;-5,"CRÍTICO",IF(K219&lt;0,"ATENÇÃO",IF(K219&lt;=5,"BOM","EXCELENTE")))</f>
        <v/>
      </c>
      <c r="M219" t="n">
        <v>32</v>
      </c>
      <c r="N219" t="n">
        <v>97.56</v>
      </c>
      <c r="O219" t="n">
        <v>19.28783382789317</v>
      </c>
    </row>
    <row r="220" hidden="1">
      <c r="A220" s="5" t="n">
        <v>46150</v>
      </c>
      <c r="B220" s="6" t="inlineStr">
        <is>
          <t>Rafael Gomes de Morais</t>
        </is>
      </c>
      <c r="C220" s="3" t="inlineStr">
        <is>
          <t>Técnico III</t>
        </is>
      </c>
      <c r="D220" s="3" t="n">
        <v>44</v>
      </c>
      <c r="E220" s="3" t="n">
        <v>38</v>
      </c>
      <c r="G220" s="3" t="n">
        <v>0</v>
      </c>
      <c r="H220" s="3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IF(K220&lt;-5,"CRÍTICO",IF(K220&lt;0,"ATENÇÃO",IF(K220&lt;=5,"BOM","EXCELENTE")))</f>
        <v/>
      </c>
      <c r="M220" t="n">
        <v>26</v>
      </c>
      <c r="N220" t="n">
        <v>99.29000000000001</v>
      </c>
      <c r="O220" t="n">
        <v>22.49443207126949</v>
      </c>
    </row>
    <row r="221" hidden="1">
      <c r="A221" s="5" t="n">
        <v>46150</v>
      </c>
      <c r="B221" s="6" t="inlineStr">
        <is>
          <t>Sara Maria Monteiro Lopes</t>
        </is>
      </c>
      <c r="C221" s="3" t="inlineStr">
        <is>
          <t>Técnico I</t>
        </is>
      </c>
      <c r="D221" s="3" t="n">
        <v>0</v>
      </c>
      <c r="E221" s="3" t="n">
        <v>0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>
        <f>IF(K221&lt;-5,"CRÍTICO",IF(K221&lt;0,"ATENÇÃO",IF(K221&lt;=5,"BOM","EXCELENTE")))</f>
        <v/>
      </c>
      <c r="M221" s="9" t="n">
        <v>0</v>
      </c>
      <c r="N221" s="9" t="n">
        <v>100</v>
      </c>
      <c r="O221" s="9" t="n">
        <v>16.97247706422019</v>
      </c>
    </row>
    <row r="222" hidden="1">
      <c r="A222" s="5" t="n">
        <v>46150</v>
      </c>
      <c r="B222" s="6" t="inlineStr">
        <is>
          <t>Sarah Steffanie de Lima Borges</t>
        </is>
      </c>
      <c r="C222" s="3" t="inlineStr">
        <is>
          <t>Técnico III</t>
        </is>
      </c>
      <c r="D222" s="3" t="n">
        <v>22</v>
      </c>
      <c r="E222" s="3" t="n">
        <v>21</v>
      </c>
      <c r="G222" s="3" t="n">
        <v>5</v>
      </c>
      <c r="H222" s="3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IF(K222&lt;-5,"CRÍTICO",IF(K222&lt;0,"ATENÇÃO",IF(K222&lt;=5,"BOM","EXCELENTE")))</f>
        <v/>
      </c>
      <c r="M222" t="n">
        <v>25</v>
      </c>
      <c r="N222" t="n">
        <v>97.33</v>
      </c>
      <c r="O222" t="n">
        <v>15.80547112462006</v>
      </c>
    </row>
    <row r="223" hidden="1">
      <c r="A223" s="5" t="n">
        <v>46153</v>
      </c>
      <c r="B223" s="6" t="inlineStr">
        <is>
          <t>Alisson de Freitas Silva</t>
        </is>
      </c>
      <c r="C223" s="3" t="inlineStr">
        <is>
          <t>Técnico II</t>
        </is>
      </c>
      <c r="D223" s="3" t="n">
        <v>36</v>
      </c>
      <c r="E223" s="3" t="n">
        <v>29</v>
      </c>
      <c r="G223" s="3" t="n">
        <v>5</v>
      </c>
      <c r="H223" s="3" t="n">
        <v>0</v>
      </c>
      <c r="I223" s="3">
        <f>E223+G223+H223</f>
        <v/>
      </c>
      <c r="J223" s="3">
        <f>ROUND(MIN(IF(C223="Técnico III",35,IF(C223="Técnico II",28,IF(C223="Técnico I",23,IF(C223="JR",20,IF(C223="Estágio",10,0))))),IF(C223="Técnico III",SUMIFS($D:$D,$A:$A,$A223,$B:$B,"&lt;&gt;Patrícia Karla de Sousa Araújo",$B:$B,"&lt;&gt;Lorena Dias de Araujo",$B:$B,"&lt;&gt;Lucas Luiz Romero")*(35/1083),IF(C223="Técnico II",SUMIFS($D:$D,$A:$A,$A223,$B:$B,"&lt;&gt;Patrícia Karla de Sousa Araújo",$B:$B,"&lt;&gt;Lorena Dias de Araujo",$B:$B,"&lt;&gt;Lucas Luiz Romero")*(28/1083),IF(C223="Técnico I",SUMIFS($D:$D,$A:$A,$A223,$B:$B,"&lt;&gt;Patrícia Karla de Sousa Araújo",$B:$B,"&lt;&gt;Lorena Dias de Araujo",$B:$B,"&lt;&gt;Lucas Luiz Romero")*(23/1083),IF(C223="JR",SUMIFS($D:$D,$A:$A,$A223,$B:$B,"&lt;&gt;Patrícia Karla de Sousa Araújo",$B:$B,"&lt;&gt;Lorena Dias de Araujo",$B:$B,"&lt;&gt;Lucas Luiz Romero")*(20/1083),IF(C223="Estágio",SUMIFS($D:$D,$A:$A,$A223,$B:$B,"&lt;&gt;Patrícia Karla de Sousa Araújo",$B:$B,"&lt;&gt;Lorena Dias de Araujo",$B:$B,"&lt;&gt;Lucas Luiz Romero")*(10/1083),0)))))),0)</f>
        <v/>
      </c>
      <c r="K223" s="3">
        <f>I223-J223</f>
        <v/>
      </c>
      <c r="L223" s="3">
        <f>IF(K223&lt;-5,"CRÍTICO",IF(K223&lt;0,"ATENÇÃO",IF(K223&lt;=5,"BOM","EXCELENTE")))</f>
        <v/>
      </c>
      <c r="M223" s="3" t="n">
        <v>18</v>
      </c>
      <c r="N223" s="3" t="n">
        <v>98.94</v>
      </c>
      <c r="O223" s="3" t="n">
        <v>19.61414790996785</v>
      </c>
    </row>
    <row r="224" hidden="1">
      <c r="A224" s="5" t="n">
        <v>46153</v>
      </c>
      <c r="B224" s="6" t="inlineStr">
        <is>
          <t>Amanda Moura Ferreira</t>
        </is>
      </c>
      <c r="C224" s="3" t="inlineStr">
        <is>
          <t>Técnico III</t>
        </is>
      </c>
      <c r="D224" s="3" t="n">
        <v>0</v>
      </c>
      <c r="E224" s="3" t="n">
        <v>0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>
        <v>0</v>
      </c>
      <c r="L224" s="3">
        <f>IF(K224&lt;-5,"CRÍTICO",IF(K224&lt;0,"ATENÇÃO",IF(K224&lt;=5,"BOM","EXCELENTE")))</f>
        <v/>
      </c>
      <c r="M224" s="9" t="n">
        <v>0</v>
      </c>
      <c r="N224" s="9" t="n">
        <v>100</v>
      </c>
      <c r="O224" s="9" t="n">
        <v>0</v>
      </c>
    </row>
    <row r="225" hidden="1">
      <c r="A225" s="5" t="n">
        <v>46153</v>
      </c>
      <c r="B225" s="6" t="inlineStr">
        <is>
          <t>Ana Karollyne Souza Faria</t>
        </is>
      </c>
      <c r="C225" s="3" t="inlineStr">
        <is>
          <t>Técnico I</t>
        </is>
      </c>
      <c r="D225" s="3" t="n">
        <v>40</v>
      </c>
      <c r="E225" s="3" t="n">
        <v>38</v>
      </c>
      <c r="G225" s="3" t="n">
        <v>8</v>
      </c>
      <c r="H225" s="3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IF(K225&lt;-5,"CRÍTICO",IF(K225&lt;0,"ATENÇÃO",IF(K225&lt;=5,"BOM","EXCELENTE")))</f>
        <v/>
      </c>
      <c r="M225" s="3" t="n">
        <v>38</v>
      </c>
      <c r="N225" s="3" t="n">
        <v>95.38</v>
      </c>
      <c r="O225" s="3" t="n">
        <v>21.5962441314554</v>
      </c>
    </row>
    <row r="226" hidden="1">
      <c r="A226" s="5" t="n">
        <v>46153</v>
      </c>
      <c r="B226" s="6" t="inlineStr">
        <is>
          <t>Ana Paula Da Luz Silva Aleixo</t>
        </is>
      </c>
      <c r="C226" s="9" t="inlineStr">
        <is>
          <t>Técnico III</t>
        </is>
      </c>
      <c r="D226" s="3" t="n">
        <v>18</v>
      </c>
      <c r="E226" s="3" t="n">
        <v>16</v>
      </c>
      <c r="G226" s="3" t="n">
        <v>0</v>
      </c>
      <c r="H226" s="3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IF(K226&lt;-5,"CRÍTICO",IF(K226&lt;0,"ATENÇÃO",IF(K226&lt;=5,"BOM","EXCELENTE")))</f>
        <v/>
      </c>
      <c r="M226" t="n">
        <v>13</v>
      </c>
      <c r="N226" t="n">
        <v>96.34</v>
      </c>
      <c r="O226" t="n">
        <v>17.57188498402556</v>
      </c>
    </row>
    <row r="227" hidden="1">
      <c r="A227" s="5" t="n">
        <v>46153</v>
      </c>
      <c r="B227" s="6" t="inlineStr">
        <is>
          <t>Brenda de Menezes Silva</t>
        </is>
      </c>
      <c r="C227" s="3" t="inlineStr">
        <is>
          <t>Técnico II</t>
        </is>
      </c>
      <c r="D227" s="3" t="n">
        <v>31</v>
      </c>
      <c r="E227" s="3" t="n">
        <v>29</v>
      </c>
      <c r="G227" s="3" t="n">
        <v>1</v>
      </c>
      <c r="H227" s="3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IF(K227&lt;-5,"CRÍTICO",IF(K227&lt;0,"ATENÇÃO",IF(K227&lt;=5,"BOM","EXCELENTE")))</f>
        <v/>
      </c>
      <c r="M227" t="n">
        <v>30</v>
      </c>
      <c r="N227" t="n">
        <v>99.13</v>
      </c>
      <c r="O227" t="n">
        <v>14.7239263803681</v>
      </c>
    </row>
    <row r="228" hidden="1">
      <c r="A228" s="5" t="n">
        <v>46153</v>
      </c>
      <c r="B228" s="6" t="inlineStr">
        <is>
          <t>Carlos Mateus Cassimiro Nunes</t>
        </is>
      </c>
      <c r="C228" s="9" t="inlineStr">
        <is>
          <t>Técnico II</t>
        </is>
      </c>
      <c r="D228" s="3" t="n">
        <v>22</v>
      </c>
      <c r="E228" s="3" t="n">
        <v>22</v>
      </c>
      <c r="G228" s="3" t="n">
        <v>4</v>
      </c>
      <c r="H228" s="3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IF(K228&lt;-5,"CRÍTICO",IF(K228&lt;0,"ATENÇÃO",IF(K228&lt;=5,"BOM","EXCELENTE")))</f>
        <v/>
      </c>
      <c r="M228" t="n">
        <v>26</v>
      </c>
      <c r="N228" t="n">
        <v>98.8</v>
      </c>
      <c r="O228" t="n">
        <v>16.89750692520776</v>
      </c>
    </row>
    <row r="229" hidden="1">
      <c r="A229" s="5" t="n">
        <v>46153</v>
      </c>
      <c r="B229" s="6" t="inlineStr">
        <is>
          <t>Clessiane Pereira dos Santos</t>
        </is>
      </c>
      <c r="C229" s="3" t="inlineStr">
        <is>
          <t>Técnico I</t>
        </is>
      </c>
      <c r="D229" s="3" t="n">
        <v>24</v>
      </c>
      <c r="E229" s="3" t="n">
        <v>23</v>
      </c>
      <c r="G229" s="3" t="n">
        <v>2</v>
      </c>
      <c r="H229" s="3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IF(K229&lt;-5,"CRÍTICO",IF(K229&lt;0,"ATENÇÃO",IF(K229&lt;=5,"BOM","EXCELENTE")))</f>
        <v/>
      </c>
      <c r="M229" t="n">
        <v>21</v>
      </c>
      <c r="N229" t="n">
        <v>96.88</v>
      </c>
      <c r="O229" t="n">
        <v>19.52662721893491</v>
      </c>
    </row>
    <row r="230" hidden="1">
      <c r="A230" s="5" t="n">
        <v>46153</v>
      </c>
      <c r="B230" s="6" t="inlineStr">
        <is>
          <t>Cristiane Ramos da Silva Rocha</t>
        </is>
      </c>
      <c r="C230" s="3" t="inlineStr">
        <is>
          <t>Técnico III</t>
        </is>
      </c>
      <c r="D230" s="3" t="n">
        <v>35</v>
      </c>
      <c r="E230" s="3" t="n">
        <v>35</v>
      </c>
      <c r="G230" s="3" t="n">
        <v>0</v>
      </c>
      <c r="H230" s="3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IF(K230&lt;-5,"CRÍTICO",IF(K230&lt;0,"ATENÇÃO",IF(K230&lt;=5,"BOM","EXCELENTE")))</f>
        <v/>
      </c>
      <c r="M230" t="n">
        <v>31</v>
      </c>
      <c r="N230" t="n">
        <v>91.84999999999999</v>
      </c>
      <c r="O230" t="n">
        <v>20.87155963302752</v>
      </c>
    </row>
    <row r="231" hidden="1">
      <c r="A231" s="5" t="n">
        <v>46153</v>
      </c>
      <c r="B231" s="6" t="inlineStr">
        <is>
          <t>Damyllis Lorraine de Oliveira Gonçalves</t>
        </is>
      </c>
      <c r="C231" s="3" t="inlineStr">
        <is>
          <t>Técnico II</t>
        </is>
      </c>
      <c r="D231" s="3" t="n">
        <v>30</v>
      </c>
      <c r="E231" s="3" t="n">
        <v>27</v>
      </c>
      <c r="G231" s="3" t="n">
        <v>4</v>
      </c>
      <c r="H231" s="3" t="n">
        <v>0</v>
      </c>
      <c r="I231" s="3">
        <f>E231+G231+H231</f>
        <v/>
      </c>
      <c r="J231" s="3">
        <f>ROUND(MIN(IF(C231="Técnico III",35,IF(C231="Técnico II",28,IF(C231="Técnico I",23,IF(C231="JR",20,IF(C231="Estágio",10,0))))),IF(C231="Técnico III",SUMIFS($D:$D,$A:$A,$A231,$B:$B,"&lt;&gt;Patrícia Karla de Sousa Araújo",$B:$B,"&lt;&gt;Lorena Dias de Araujo",$B:$B,"&lt;&gt;Lucas Luiz Romero")*(35/1083),IF(C231="Técnico II",SUMIFS($D:$D,$A:$A,$A231,$B:$B,"&lt;&gt;Patrícia Karla de Sousa Araújo",$B:$B,"&lt;&gt;Lorena Dias de Araujo",$B:$B,"&lt;&gt;Lucas Luiz Romero")*(28/1083),IF(C231="Técnico I",SUMIFS($D:$D,$A:$A,$A231,$B:$B,"&lt;&gt;Patrícia Karla de Sousa Araújo",$B:$B,"&lt;&gt;Lorena Dias de Araujo",$B:$B,"&lt;&gt;Lucas Luiz Romero")*(23/1083),IF(C231="JR",SUMIFS($D:$D,$A:$A,$A231,$B:$B,"&lt;&gt;Patrícia Karla de Sousa Araújo",$B:$B,"&lt;&gt;Lorena Dias de Araujo",$B:$B,"&lt;&gt;Lucas Luiz Romero")*(20/1083),IF(C231="Estágio",SUMIFS($D:$D,$A:$A,$A231,$B:$B,"&lt;&gt;Patrícia Karla de Sousa Araújo",$B:$B,"&lt;&gt;Lorena Dias de Araujo",$B:$B,"&lt;&gt;Lucas Luiz Romero")*(10/1083),0)))))),0)</f>
        <v/>
      </c>
      <c r="K231" s="3">
        <f>I231-J231</f>
        <v/>
      </c>
      <c r="L231" s="3">
        <f>IF(K231&lt;-5,"CRÍTICO",IF(K231&lt;0,"ATENÇÃO",IF(K231&lt;=5,"BOM","EXCELENTE")))</f>
        <v/>
      </c>
      <c r="M231" t="n">
        <v>22</v>
      </c>
      <c r="N231" t="n">
        <v>98.63</v>
      </c>
      <c r="O231" t="n">
        <v>18.75</v>
      </c>
    </row>
    <row r="232" hidden="1">
      <c r="A232" s="5" t="n">
        <v>46153</v>
      </c>
      <c r="B232" s="6" t="inlineStr">
        <is>
          <t>Daniel Gomes da Silva</t>
        </is>
      </c>
      <c r="C232" s="3" t="inlineStr">
        <is>
          <t>Técnico I</t>
        </is>
      </c>
      <c r="D232" s="3" t="n">
        <v>24</v>
      </c>
      <c r="E232" s="3" t="n">
        <v>20</v>
      </c>
      <c r="G232" s="3" t="n">
        <v>2</v>
      </c>
      <c r="H232" s="3" t="n">
        <v>0</v>
      </c>
      <c r="I232" s="3">
        <f>E232+G232+H232</f>
        <v/>
      </c>
      <c r="J232" s="3">
        <f>ROUND(MIN(IF(C232="Técnico III",35,IF(C232="Técnico II",28,IF(C232="Técnico I",23,IF(C232="JR",20,IF(C232="Estágio",10,0))))),IF(C232="Técnico III",SUMIFS($D:$D,$A:$A,$A232,$B:$B,"&lt;&gt;Patrícia Karla de Sousa Araújo",$B:$B,"&lt;&gt;Lorena Dias de Araujo",$B:$B,"&lt;&gt;Lucas Luiz Romero")*(35/1083),IF(C232="Técnico II",SUMIFS($D:$D,$A:$A,$A232,$B:$B,"&lt;&gt;Patrícia Karla de Sousa Araújo",$B:$B,"&lt;&gt;Lorena Dias de Araujo",$B:$B,"&lt;&gt;Lucas Luiz Romero")*(28/1083),IF(C232="Técnico I",SUMIFS($D:$D,$A:$A,$A232,$B:$B,"&lt;&gt;Patrícia Karla de Sousa Araújo",$B:$B,"&lt;&gt;Lorena Dias de Araujo",$B:$B,"&lt;&gt;Lucas Luiz Romero")*(23/1083),IF(C232="JR",SUMIFS($D:$D,$A:$A,$A232,$B:$B,"&lt;&gt;Patrícia Karla de Sousa Araújo",$B:$B,"&lt;&gt;Lorena Dias de Araujo",$B:$B,"&lt;&gt;Lucas Luiz Romero")*(20/1083),IF(C232="Estágio",SUMIFS($D:$D,$A:$A,$A232,$B:$B,"&lt;&gt;Patrícia Karla de Sousa Araújo",$B:$B,"&lt;&gt;Lorena Dias de Araujo",$B:$B,"&lt;&gt;Lucas Luiz Romero")*(10/1083),0)))))),0)</f>
        <v/>
      </c>
      <c r="K232" s="3">
        <f>I232-J232</f>
        <v/>
      </c>
      <c r="L232" s="3">
        <f>IF(K232&lt;-5,"CRÍTICO",IF(K232&lt;0,"ATENÇÃO",IF(K232&lt;=5,"BOM","EXCELENTE")))</f>
        <v/>
      </c>
      <c r="M232" t="n">
        <v>19</v>
      </c>
      <c r="N232" t="n">
        <v>100</v>
      </c>
      <c r="O232" t="n">
        <v>18.14516129032258</v>
      </c>
    </row>
    <row r="233" hidden="1">
      <c r="A233" s="5" t="n">
        <v>46153</v>
      </c>
      <c r="B233" s="6" t="inlineStr">
        <is>
          <t>Davylla Rodrigues Freitas Silva</t>
        </is>
      </c>
      <c r="C233" s="9" t="inlineStr">
        <is>
          <t>Técnico III</t>
        </is>
      </c>
      <c r="D233" s="3" t="n">
        <v>25</v>
      </c>
      <c r="E233" s="3" t="n">
        <v>25</v>
      </c>
      <c r="G233" s="3" t="n">
        <v>0</v>
      </c>
      <c r="H233" s="3" t="n">
        <v>0</v>
      </c>
      <c r="I233" s="3">
        <f>E233+G233+H233</f>
        <v/>
      </c>
      <c r="J233" s="3">
        <f>ROUND(MIN(IF(C233="Técnico III",35,IF(C233="Técnico II",28,IF(C233="Técnico I",23,IF(C233="JR",20,IF(C233="Estágio",10,0))))),IF(C233="Técnico III",SUMIFS($D:$D,$A:$A,$A233,$B:$B,"&lt;&gt;Patrícia Karla de Sousa Araújo",$B:$B,"&lt;&gt;Lorena Dias de Araujo",$B:$B,"&lt;&gt;Lucas Luiz Romero")*(35/1083),IF(C233="Técnico II",SUMIFS($D:$D,$A:$A,$A233,$B:$B,"&lt;&gt;Patrícia Karla de Sousa Araújo",$B:$B,"&lt;&gt;Lorena Dias de Araujo",$B:$B,"&lt;&gt;Lucas Luiz Romero")*(28/1083),IF(C233="Técnico I",SUMIFS($D:$D,$A:$A,$A233,$B:$B,"&lt;&gt;Patrícia Karla de Sousa Araújo",$B:$B,"&lt;&gt;Lorena Dias de Araujo",$B:$B,"&lt;&gt;Lucas Luiz Romero")*(23/1083),IF(C233="JR",SUMIFS($D:$D,$A:$A,$A233,$B:$B,"&lt;&gt;Patrícia Karla de Sousa Araújo",$B:$B,"&lt;&gt;Lorena Dias de Araujo",$B:$B,"&lt;&gt;Lucas Luiz Romero")*(20/1083),IF(C233="Estágio",SUMIFS($D:$D,$A:$A,$A233,$B:$B,"&lt;&gt;Patrícia Karla de Sousa Araújo",$B:$B,"&lt;&gt;Lorena Dias de Araujo",$B:$B,"&lt;&gt;Lucas Luiz Romero")*(10/1083),0)))))),0)</f>
        <v/>
      </c>
      <c r="K233" s="3">
        <f>I233-J233</f>
        <v/>
      </c>
      <c r="L233" s="3">
        <f>IF(K233&lt;-5,"CRÍTICO",IF(K233&lt;0,"ATENÇÃO",IF(K233&lt;=5,"BOM","EXCELENTE")))</f>
        <v/>
      </c>
      <c r="M233" t="n">
        <v>25</v>
      </c>
      <c r="N233" t="n">
        <v>99.06</v>
      </c>
      <c r="O233" t="n">
        <v>22.95719844357977</v>
      </c>
    </row>
    <row r="234" hidden="1">
      <c r="A234" s="5" t="n">
        <v>46153</v>
      </c>
      <c r="B234" s="6" t="inlineStr">
        <is>
          <t>Anna Luiza Rezende Tavares</t>
        </is>
      </c>
      <c r="C234" s="3" t="inlineStr">
        <is>
          <t>Estágio</t>
        </is>
      </c>
      <c r="D234" s="3" t="n">
        <v>32</v>
      </c>
      <c r="E234" s="3" t="n">
        <v>32</v>
      </c>
      <c r="G234" s="3" t="n">
        <v>0</v>
      </c>
      <c r="H234" s="3" t="n">
        <v>0</v>
      </c>
      <c r="I234" s="3">
        <f>E234+G234+H234</f>
        <v/>
      </c>
      <c r="J234" s="3">
        <f>ROUND(MIN(IF(C234="Técnico III",35,IF(C234="Técnico II",28,IF(C234="Técnico I",23,IF(C234="JR",20,IF(C234="Estágio",10,0))))),IF(C234="Técnico III",SUMIFS($D:$D,$A:$A,$A234,$B:$B,"&lt;&gt;Patrícia Karla de Sousa Araújo",$B:$B,"&lt;&gt;Lorena Dias de Araujo",$B:$B,"&lt;&gt;Lucas Luiz Romero")*(35/1083),IF(C234="Técnico II",SUMIFS($D:$D,$A:$A,$A234,$B:$B,"&lt;&gt;Patrícia Karla de Sousa Araújo",$B:$B,"&lt;&gt;Lorena Dias de Araujo",$B:$B,"&lt;&gt;Lucas Luiz Romero")*(28/1083),IF(C234="Técnico I",SUMIFS($D:$D,$A:$A,$A234,$B:$B,"&lt;&gt;Patrícia Karla de Sousa Araújo",$B:$B,"&lt;&gt;Lorena Dias de Araujo",$B:$B,"&lt;&gt;Lucas Luiz Romero")*(23/1083),IF(C234="JR",SUMIFS($D:$D,$A:$A,$A234,$B:$B,"&lt;&gt;Patrícia Karla de Sousa Araújo",$B:$B,"&lt;&gt;Lorena Dias de Araujo",$B:$B,"&lt;&gt;Lucas Luiz Romero")*(20/1083),IF(C234="Estágio",SUMIFS($D:$D,$A:$A,$A234,$B:$B,"&lt;&gt;Patrícia Karla de Sousa Araújo",$B:$B,"&lt;&gt;Lorena Dias de Araujo",$B:$B,"&lt;&gt;Lucas Luiz Romero")*(10/1083),0)))))),0)</f>
        <v/>
      </c>
      <c r="K234" s="3">
        <f>I234-J234</f>
        <v/>
      </c>
      <c r="L234" s="3">
        <f>IF(K234&lt;-5,"CRÍTICO",IF(K234&lt;0,"ATENÇÃO",IF(K234&lt;=5,"BOM","EXCELENTE")))</f>
        <v/>
      </c>
      <c r="M234" t="n">
        <v>29</v>
      </c>
      <c r="N234" t="n">
        <v>99.11</v>
      </c>
      <c r="O234" t="n">
        <v>17.72151898734177</v>
      </c>
    </row>
    <row r="235" hidden="1">
      <c r="A235" s="5" t="n">
        <v>46153</v>
      </c>
      <c r="B235" s="6" t="inlineStr">
        <is>
          <t>Claudio de Sousa Velasco Filho</t>
        </is>
      </c>
      <c r="C235" s="3" t="inlineStr">
        <is>
          <t>Estágio</t>
        </is>
      </c>
      <c r="D235" s="3" t="n">
        <v>1</v>
      </c>
      <c r="E235" s="3" t="n">
        <v>1</v>
      </c>
      <c r="G235" s="3" t="n">
        <v>0</v>
      </c>
      <c r="H235" s="3" t="n">
        <v>0</v>
      </c>
      <c r="I235" s="3">
        <f>E235+G235+H235</f>
        <v/>
      </c>
      <c r="J235" s="3">
        <f>ROUND(MIN(IF(C235="Técnico III",35,IF(C235="Técnico II",28,IF(C235="Técnico I",23,IF(C235="JR",20,IF(C235="Estágio",10,0))))),IF(C235="Técnico III",SUMIFS($D:$D,$A:$A,$A235,$B:$B,"&lt;&gt;Patrícia Karla de Sousa Araújo",$B:$B,"&lt;&gt;Lorena Dias de Araujo",$B:$B,"&lt;&gt;Lucas Luiz Romero")*(35/1083),IF(C235="Técnico II",SUMIFS($D:$D,$A:$A,$A235,$B:$B,"&lt;&gt;Patrícia Karla de Sousa Araújo",$B:$B,"&lt;&gt;Lorena Dias de Araujo",$B:$B,"&lt;&gt;Lucas Luiz Romero")*(28/1083),IF(C235="Técnico I",SUMIFS($D:$D,$A:$A,$A235,$B:$B,"&lt;&gt;Patrícia Karla de Sousa Araújo",$B:$B,"&lt;&gt;Lorena Dias de Araujo",$B:$B,"&lt;&gt;Lucas Luiz Romero")*(23/1083),IF(C235="JR",SUMIFS($D:$D,$A:$A,$A235,$B:$B,"&lt;&gt;Patrícia Karla de Sousa Araújo",$B:$B,"&lt;&gt;Lorena Dias de Araujo",$B:$B,"&lt;&gt;Lucas Luiz Romero")*(20/1083),IF(C235="Estágio",SUMIFS($D:$D,$A:$A,$A235,$B:$B,"&lt;&gt;Patrícia Karla de Sousa Araújo",$B:$B,"&lt;&gt;Lorena Dias de Araujo",$B:$B,"&lt;&gt;Lucas Luiz Romero")*(10/1083),0)))))),0)</f>
        <v/>
      </c>
      <c r="K235" s="3">
        <f>I235-J235</f>
        <v/>
      </c>
      <c r="L235" s="3">
        <f>IF(K235&lt;-5,"CRÍTICO",IF(K235&lt;0,"ATENÇÃO",IF(K235&lt;=5,"BOM","EXCELENTE")))</f>
        <v/>
      </c>
      <c r="M235" t="n">
        <v>1</v>
      </c>
      <c r="N235" t="n">
        <v>96.43000000000001</v>
      </c>
      <c r="O235" t="n">
        <v>20</v>
      </c>
    </row>
    <row r="236" hidden="1">
      <c r="A236" s="5" t="n">
        <v>46153</v>
      </c>
      <c r="B236" s="6" t="inlineStr">
        <is>
          <t>Emilly Caylane Costa</t>
        </is>
      </c>
      <c r="C236" s="3" t="inlineStr">
        <is>
          <t>Estágio</t>
        </is>
      </c>
      <c r="D236" s="3" t="n">
        <v>8</v>
      </c>
      <c r="E236" s="3" t="n">
        <v>5</v>
      </c>
      <c r="G236" s="3" t="n">
        <v>0</v>
      </c>
      <c r="H236" s="3" t="n">
        <v>0</v>
      </c>
      <c r="I236" s="3">
        <f>E236+G236+H236</f>
        <v/>
      </c>
      <c r="J236" s="3">
        <f>ROUND(MIN(IF(C236="Técnico III",35,IF(C236="Técnico II",28,IF(C236="Técnico I",23,IF(C236="JR",20,IF(C236="Estágio",10,0))))),IF(C236="Técnico III",SUMIFS($D:$D,$A:$A,$A236,$B:$B,"&lt;&gt;Patrícia Karla de Sousa Araújo",$B:$B,"&lt;&gt;Lorena Dias de Araujo",$B:$B,"&lt;&gt;Lucas Luiz Romero")*(35/1083),IF(C236="Técnico II",SUMIFS($D:$D,$A:$A,$A236,$B:$B,"&lt;&gt;Patrícia Karla de Sousa Araújo",$B:$B,"&lt;&gt;Lorena Dias de Araujo",$B:$B,"&lt;&gt;Lucas Luiz Romero")*(28/1083),IF(C236="Técnico I",SUMIFS($D:$D,$A:$A,$A236,$B:$B,"&lt;&gt;Patrícia Karla de Sousa Araújo",$B:$B,"&lt;&gt;Lorena Dias de Araujo",$B:$B,"&lt;&gt;Lucas Luiz Romero")*(23/1083),IF(C236="JR",SUMIFS($D:$D,$A:$A,$A236,$B:$B,"&lt;&gt;Patrícia Karla de Sousa Araújo",$B:$B,"&lt;&gt;Lorena Dias de Araujo",$B:$B,"&lt;&gt;Lucas Luiz Romero")*(20/1083),IF(C236="Estágio",SUMIFS($D:$D,$A:$A,$A236,$B:$B,"&lt;&gt;Patrícia Karla de Sousa Araújo",$B:$B,"&lt;&gt;Lorena Dias de Araujo",$B:$B,"&lt;&gt;Lucas Luiz Romero")*(10/1083),0)))))),0)</f>
        <v/>
      </c>
      <c r="K236" s="3">
        <f>I236-J236</f>
        <v/>
      </c>
      <c r="L236" s="3">
        <f>IF(K236&lt;-5,"CRÍTICO",IF(K236&lt;0,"ATENÇÃO",IF(K236&lt;=5,"BOM","EXCELENTE")))</f>
        <v/>
      </c>
      <c r="M236" t="n">
        <v>2</v>
      </c>
      <c r="N236" t="n">
        <v>100</v>
      </c>
      <c r="O236" t="n">
        <v>29.03225806451613</v>
      </c>
    </row>
    <row r="237" hidden="1">
      <c r="A237" s="5" t="n">
        <v>46153</v>
      </c>
      <c r="B237" s="6" t="inlineStr">
        <is>
          <t>Emilly Kamilly Medeiros Miranda</t>
        </is>
      </c>
      <c r="C237" s="3" t="inlineStr">
        <is>
          <t>Técnico II</t>
        </is>
      </c>
      <c r="D237" s="3" t="n">
        <v>28</v>
      </c>
      <c r="E237" s="3" t="n">
        <v>27</v>
      </c>
      <c r="G237" s="3" t="n">
        <v>4</v>
      </c>
      <c r="H237" s="3" t="n">
        <v>0</v>
      </c>
      <c r="I237" s="3">
        <f>E237+G237+H237</f>
        <v/>
      </c>
      <c r="J237" s="3">
        <f>ROUND(MIN(IF(C237="Técnico III",35,IF(C237="Técnico II",28,IF(C237="Técnico I",23,IF(C237="JR",20,IF(C237="Estágio",10,0))))),IF(C237="Técnico III",SUMIFS($D:$D,$A:$A,$A237,$B:$B,"&lt;&gt;Patrícia Karla de Sousa Araújo",$B:$B,"&lt;&gt;Lorena Dias de Araujo",$B:$B,"&lt;&gt;Lucas Luiz Romero")*(35/1083),IF(C237="Técnico II",SUMIFS($D:$D,$A:$A,$A237,$B:$B,"&lt;&gt;Patrícia Karla de Sousa Araújo",$B:$B,"&lt;&gt;Lorena Dias de Araujo",$B:$B,"&lt;&gt;Lucas Luiz Romero")*(28/1083),IF(C237="Técnico I",SUMIFS($D:$D,$A:$A,$A237,$B:$B,"&lt;&gt;Patrícia Karla de Sousa Araújo",$B:$B,"&lt;&gt;Lorena Dias de Araujo",$B:$B,"&lt;&gt;Lucas Luiz Romero")*(23/1083),IF(C237="JR",SUMIFS($D:$D,$A:$A,$A237,$B:$B,"&lt;&gt;Patrícia Karla de Sousa Araújo",$B:$B,"&lt;&gt;Lorena Dias de Araujo",$B:$B,"&lt;&gt;Lucas Luiz Romero")*(20/1083),IF(C237="Estágio",SUMIFS($D:$D,$A:$A,$A237,$B:$B,"&lt;&gt;Patrícia Karla de Sousa Araújo",$B:$B,"&lt;&gt;Lorena Dias de Araujo",$B:$B,"&lt;&gt;Lucas Luiz Romero")*(10/1083),0)))))),0)</f>
        <v/>
      </c>
      <c r="K237" s="3">
        <f>I237-J237</f>
        <v/>
      </c>
      <c r="L237" s="3">
        <f>IF(K237&lt;-5,"CRÍTICO",IF(K237&lt;0,"ATENÇÃO",IF(K237&lt;=5,"BOM","EXCELENTE")))</f>
        <v/>
      </c>
      <c r="M237" t="n">
        <v>27</v>
      </c>
      <c r="N237" t="n">
        <v>100</v>
      </c>
      <c r="O237" t="n">
        <v>13.8121546961326</v>
      </c>
    </row>
    <row r="238" hidden="1">
      <c r="A238" s="5" t="n">
        <v>46153</v>
      </c>
      <c r="B238" s="6" t="inlineStr">
        <is>
          <t>Francielson de Oliveira</t>
        </is>
      </c>
      <c r="C238" s="9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IF(K238&lt;-5,"CRÍTICO",IF(K238&lt;0,"ATENÇÃO",IF(K238&lt;=5,"BOM","EXCELENTE")))</f>
        <v/>
      </c>
      <c r="M238" s="9" t="n">
        <v>0</v>
      </c>
      <c r="N238" s="9" t="n">
        <v>100</v>
      </c>
      <c r="O238" s="9" t="n">
        <v>9.523809523809524</v>
      </c>
    </row>
    <row r="239" hidden="1">
      <c r="A239" s="5" t="n">
        <v>46153</v>
      </c>
      <c r="B239" s="6" t="inlineStr">
        <is>
          <t>Francilene Ferreira de Jesus</t>
        </is>
      </c>
      <c r="C239" s="3" t="inlineStr">
        <is>
          <t>Técnico II</t>
        </is>
      </c>
      <c r="D239" s="3" t="n">
        <v>0</v>
      </c>
      <c r="E239" s="3" t="n">
        <v>0</v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IF(K239&lt;-5,"CRÍTICO",IF(K239&lt;0,"ATENÇÃO",IF(K239&lt;=5,"BOM","EXCELENTE")))</f>
        <v/>
      </c>
      <c r="M239" s="9" t="n">
        <v>0</v>
      </c>
      <c r="N239" s="9" t="n">
        <v>100</v>
      </c>
      <c r="O239" s="9" t="n">
        <v>17.24137931034483</v>
      </c>
    </row>
    <row r="240" hidden="1">
      <c r="A240" s="5" t="n">
        <v>46153</v>
      </c>
      <c r="B240" s="6" t="inlineStr">
        <is>
          <t>Maria Eduarda Sousa Costa</t>
        </is>
      </c>
      <c r="C240" s="3" t="inlineStr">
        <is>
          <t>Estágio</t>
        </is>
      </c>
      <c r="D240" s="3" t="n">
        <v>52</v>
      </c>
      <c r="E240" s="3" t="n">
        <v>32</v>
      </c>
      <c r="G240" s="3" t="n">
        <v>0</v>
      </c>
      <c r="H240" s="3" t="n">
        <v>0</v>
      </c>
      <c r="I240" s="3">
        <f>E240+G240+H240</f>
        <v/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/>
      </c>
      <c r="K240" s="3">
        <f>I240-J240</f>
        <v/>
      </c>
      <c r="L240" s="3">
        <f>IF(K240&lt;-5,"CRÍTICO",IF(K240&lt;0,"ATENÇÃO",IF(K240&lt;=5,"BOM","EXCELENTE")))</f>
        <v/>
      </c>
      <c r="M240" t="n">
        <v>4</v>
      </c>
      <c r="N240" t="n">
        <v>100</v>
      </c>
      <c r="O240" t="n">
        <v>11.86440677966102</v>
      </c>
    </row>
    <row r="241" hidden="1">
      <c r="A241" s="5" t="n">
        <v>46153</v>
      </c>
      <c r="B241" s="6" t="inlineStr">
        <is>
          <t>Michelle G Santos</t>
        </is>
      </c>
      <c r="C241" s="3" t="inlineStr">
        <is>
          <t>Estágio</t>
        </is>
      </c>
      <c r="D241" s="3" t="n">
        <v>7</v>
      </c>
      <c r="E241" s="3" t="n">
        <v>7</v>
      </c>
      <c r="G241" s="3" t="n">
        <v>0</v>
      </c>
      <c r="H241" s="3" t="n">
        <v>0</v>
      </c>
      <c r="I241" s="3">
        <f>E241+G241+H241</f>
        <v/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/>
      </c>
      <c r="K241" s="3">
        <f>I241-J241</f>
        <v/>
      </c>
      <c r="L241" s="3">
        <f>IF(K241&lt;-5,"CRÍTICO",IF(K241&lt;0,"ATENÇÃO",IF(K241&lt;=5,"BOM","EXCELENTE")))</f>
        <v/>
      </c>
      <c r="M241" t="n">
        <v>4</v>
      </c>
      <c r="N241" t="n">
        <v>100</v>
      </c>
      <c r="O241" t="n">
        <v>16.8141592920354</v>
      </c>
    </row>
    <row r="242" hidden="1">
      <c r="A242" s="5" t="n">
        <v>46153</v>
      </c>
      <c r="B242" s="6" t="inlineStr">
        <is>
          <t>Quirino Diogo Leite Torres</t>
        </is>
      </c>
      <c r="C242" s="3" t="inlineStr">
        <is>
          <t>Estágio</t>
        </is>
      </c>
      <c r="D242" s="3" t="n">
        <v>16</v>
      </c>
      <c r="E242" s="3" t="n">
        <v>16</v>
      </c>
      <c r="G242" s="3" t="n">
        <v>0</v>
      </c>
      <c r="H242" s="3" t="n">
        <v>0</v>
      </c>
      <c r="I242" s="3">
        <f>E242+G242+H242</f>
        <v/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/>
      </c>
      <c r="K242" s="3">
        <f>I242-J242</f>
        <v/>
      </c>
      <c r="L242" s="3">
        <f>IF(K242&lt;-5,"CRÍTICO",IF(K242&lt;0,"ATENÇÃO",IF(K242&lt;=5,"BOM","EXCELENTE")))</f>
        <v/>
      </c>
      <c r="M242" t="n">
        <v>15</v>
      </c>
      <c r="N242" t="n">
        <v>98.11</v>
      </c>
      <c r="O242" t="n">
        <v>20.40816326530612</v>
      </c>
    </row>
    <row r="243">
      <c r="A243" s="5" t="n">
        <v>46153</v>
      </c>
      <c r="B243" s="6" t="inlineStr">
        <is>
          <t>Gabriel Gomes de Andrade</t>
        </is>
      </c>
      <c r="C243" s="3" t="inlineStr">
        <is>
          <t>Técnico I</t>
        </is>
      </c>
      <c r="D243" s="3" t="n">
        <v>25</v>
      </c>
      <c r="E243" s="3" t="n">
        <v>22</v>
      </c>
      <c r="G243" s="3" t="n">
        <v>5</v>
      </c>
      <c r="H243" s="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23</v>
      </c>
      <c r="N243" t="n">
        <v>98.8</v>
      </c>
      <c r="O243" t="n">
        <v>15.41353383458646</v>
      </c>
    </row>
    <row r="244" hidden="1">
      <c r="A244" s="5" t="n">
        <v>46153</v>
      </c>
      <c r="B244" s="6" t="inlineStr">
        <is>
          <t>Isabella Borges de Oliveira</t>
        </is>
      </c>
      <c r="C244" s="9" t="inlineStr">
        <is>
          <t>Técnico II</t>
        </is>
      </c>
      <c r="D244" s="3" t="n">
        <v>26</v>
      </c>
      <c r="E244" s="3" t="n">
        <v>24</v>
      </c>
      <c r="G244" s="3" t="n">
        <v>0</v>
      </c>
      <c r="H244" s="3" t="n">
        <v>0</v>
      </c>
      <c r="I244" s="3">
        <f>E244+G244+H244</f>
        <v/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/>
      </c>
      <c r="K244" s="3">
        <f>I244-J244</f>
        <v/>
      </c>
      <c r="L244" s="3">
        <f>IF(K244&lt;-5,"CRÍTICO",IF(K244&lt;0,"ATENÇÃO",IF(K244&lt;=5,"BOM","EXCELENTE")))</f>
        <v/>
      </c>
      <c r="M244" t="n">
        <v>23</v>
      </c>
      <c r="N244" t="n">
        <v>98.63</v>
      </c>
      <c r="O244" t="n">
        <v>15.75757575757576</v>
      </c>
    </row>
    <row r="245" hidden="1">
      <c r="A245" s="5" t="n">
        <v>46153</v>
      </c>
      <c r="B245" s="6" t="inlineStr">
        <is>
          <t>Janaina Lima dos Reis Urany</t>
        </is>
      </c>
      <c r="C245" s="3" t="inlineStr">
        <is>
          <t>Técnico III</t>
        </is>
      </c>
      <c r="D245" s="3" t="n">
        <v>53</v>
      </c>
      <c r="E245" s="3" t="n">
        <v>46</v>
      </c>
      <c r="G245" s="3" t="n">
        <v>3</v>
      </c>
      <c r="H245" s="3" t="n">
        <v>0</v>
      </c>
      <c r="I245" s="3">
        <f>E245+G245+H245</f>
        <v/>
      </c>
      <c r="J245" s="3">
        <f>ROUND(MIN(IF(C245="Técnico III",35,IF(C245="Técnico II",28,IF(C245="Técnico I",23,IF(C245="JR",20,IF(C245="Estágio",10,0))))),IF(C245="Técnico III",SUMIFS($D:$D,$A:$A,$A245,$B:$B,"&lt;&gt;Patrícia Karla de Sousa Araújo",$B:$B,"&lt;&gt;Lorena Dias de Araujo",$B:$B,"&lt;&gt;Lucas Luiz Romero")*(35/1083),IF(C245="Técnico II",SUMIFS($D:$D,$A:$A,$A245,$B:$B,"&lt;&gt;Patrícia Karla de Sousa Araújo",$B:$B,"&lt;&gt;Lorena Dias de Araujo",$B:$B,"&lt;&gt;Lucas Luiz Romero")*(28/1083),IF(C245="Técnico I",SUMIFS($D:$D,$A:$A,$A245,$B:$B,"&lt;&gt;Patrícia Karla de Sousa Araújo",$B:$B,"&lt;&gt;Lorena Dias de Araujo",$B:$B,"&lt;&gt;Lucas Luiz Romero")*(23/1083),IF(C245="JR",SUMIFS($D:$D,$A:$A,$A245,$B:$B,"&lt;&gt;Patrícia Karla de Sousa Araújo",$B:$B,"&lt;&gt;Lorena Dias de Araujo",$B:$B,"&lt;&gt;Lucas Luiz Romero")*(20/1083),IF(C245="Estágio",SUMIFS($D:$D,$A:$A,$A245,$B:$B,"&lt;&gt;Patrícia Karla de Sousa Araújo",$B:$B,"&lt;&gt;Lorena Dias de Araujo",$B:$B,"&lt;&gt;Lucas Luiz Romero")*(10/1083),0)))))),0)</f>
        <v/>
      </c>
      <c r="K245" s="3">
        <f>I245-J245</f>
        <v/>
      </c>
      <c r="L245" s="3">
        <f>IF(K245&lt;-5,"CRÍTICO",IF(K245&lt;0,"ATENÇÃO",IF(K245&lt;=5,"BOM","EXCELENTE")))</f>
        <v/>
      </c>
      <c r="M245" t="n">
        <v>44</v>
      </c>
      <c r="N245" t="n">
        <v>98.64</v>
      </c>
      <c r="O245" t="n">
        <v>16.6383701188455</v>
      </c>
    </row>
    <row r="246" hidden="1">
      <c r="A246" s="5" t="n">
        <v>46153</v>
      </c>
      <c r="B246" s="6" t="inlineStr">
        <is>
          <t>Jaqueline Evangelista da Silva Martins</t>
        </is>
      </c>
      <c r="C246" s="3" t="inlineStr">
        <is>
          <t>Técnico III</t>
        </is>
      </c>
      <c r="D246" s="3" t="n">
        <v>22</v>
      </c>
      <c r="E246" s="3" t="n">
        <v>20</v>
      </c>
      <c r="G246" s="3" t="n">
        <v>4</v>
      </c>
      <c r="H246" s="3" t="n">
        <v>0</v>
      </c>
      <c r="I246" s="3">
        <f>E246+G246+H246</f>
        <v/>
      </c>
      <c r="J246" s="3">
        <f>ROUND(MIN(IF(C246="Técnico III",35,IF(C246="Técnico II",28,IF(C246="Técnico I",23,IF(C246="JR",20,IF(C246="Estágio",10,0))))),IF(C246="Técnico III",SUMIFS($D:$D,$A:$A,$A246,$B:$B,"&lt;&gt;Patrícia Karla de Sousa Araújo",$B:$B,"&lt;&gt;Lorena Dias de Araujo",$B:$B,"&lt;&gt;Lucas Luiz Romero")*(35/1083),IF(C246="Técnico II",SUMIFS($D:$D,$A:$A,$A246,$B:$B,"&lt;&gt;Patrícia Karla de Sousa Araújo",$B:$B,"&lt;&gt;Lorena Dias de Araujo",$B:$B,"&lt;&gt;Lucas Luiz Romero")*(28/1083),IF(C246="Técnico I",SUMIFS($D:$D,$A:$A,$A246,$B:$B,"&lt;&gt;Patrícia Karla de Sousa Araújo",$B:$B,"&lt;&gt;Lorena Dias de Araujo",$B:$B,"&lt;&gt;Lucas Luiz Romero")*(23/1083),IF(C246="JR",SUMIFS($D:$D,$A:$A,$A246,$B:$B,"&lt;&gt;Patrícia Karla de Sousa Araújo",$B:$B,"&lt;&gt;Lorena Dias de Araujo",$B:$B,"&lt;&gt;Lucas Luiz Romero")*(20/1083),IF(C246="Estágio",SUMIFS($D:$D,$A:$A,$A246,$B:$B,"&lt;&gt;Patrícia Karla de Sousa Araújo",$B:$B,"&lt;&gt;Lorena Dias de Araujo",$B:$B,"&lt;&gt;Lucas Luiz Romero")*(10/1083),0)))))),0)</f>
        <v/>
      </c>
      <c r="K246" s="3">
        <f>I246-J246</f>
        <v/>
      </c>
      <c r="L246" s="3">
        <f>IF(K246&lt;-5,"CRÍTICO",IF(K246&lt;0,"ATENÇÃO",IF(K246&lt;=5,"BOM","EXCELENTE")))</f>
        <v/>
      </c>
      <c r="M246" t="n">
        <v>17</v>
      </c>
      <c r="N246" t="n">
        <v>95.40000000000001</v>
      </c>
      <c r="O246" t="n">
        <v>20.53333333333333</v>
      </c>
    </row>
    <row r="247" hidden="1">
      <c r="A247" s="5" t="n">
        <v>46153</v>
      </c>
      <c r="B247" s="6" t="inlineStr">
        <is>
          <t>Jessica Faria da Silveira</t>
        </is>
      </c>
      <c r="C247" s="3" t="inlineStr">
        <is>
          <t>Técnico II</t>
        </is>
      </c>
      <c r="D247" s="3" t="n">
        <v>39</v>
      </c>
      <c r="E247" s="3" t="n">
        <v>31</v>
      </c>
      <c r="G247" s="3" t="n">
        <v>1</v>
      </c>
      <c r="H247" s="3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IF(K247&lt;-5,"CRÍTICO",IF(K247&lt;0,"ATENÇÃO",IF(K247&lt;=5,"BOM","EXCELENTE")))</f>
        <v/>
      </c>
      <c r="M247" t="n">
        <v>25</v>
      </c>
      <c r="N247" t="n">
        <v>98.61</v>
      </c>
      <c r="O247" t="n">
        <v>16.97530864197531</v>
      </c>
    </row>
    <row r="248" hidden="1">
      <c r="A248" s="5" t="n">
        <v>46153</v>
      </c>
      <c r="B248" s="6" t="inlineStr">
        <is>
          <t>Jéssica Fé Moura</t>
        </is>
      </c>
      <c r="C248" s="3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IF(K248&lt;-5,"CRÍTICO",IF(K248&lt;0,"ATENÇÃO",IF(K248&lt;=5,"BOM","EXCELENTE")))</f>
        <v/>
      </c>
      <c r="M248" s="9" t="n">
        <v>0</v>
      </c>
      <c r="N248" s="9" t="n">
        <v>0</v>
      </c>
      <c r="O248" s="9" t="n">
        <v>0</v>
      </c>
    </row>
    <row r="249" hidden="1">
      <c r="A249" s="5" t="n">
        <v>46153</v>
      </c>
      <c r="B249" s="6" t="inlineStr">
        <is>
          <t>Karina Gonçalves Martins</t>
        </is>
      </c>
      <c r="C249" s="3" t="inlineStr">
        <is>
          <t>JR</t>
        </is>
      </c>
      <c r="D249" s="3" t="n">
        <v>17</v>
      </c>
      <c r="E249" s="3" t="n">
        <v>17</v>
      </c>
      <c r="G249" s="3" t="n">
        <v>2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t="n">
        <v>18</v>
      </c>
      <c r="N249" t="n">
        <v>97.01000000000001</v>
      </c>
      <c r="O249" t="n">
        <v>13.96103896103896</v>
      </c>
    </row>
    <row r="250" hidden="1">
      <c r="A250" s="5" t="n">
        <v>46153</v>
      </c>
      <c r="B250" s="6" t="inlineStr">
        <is>
          <t>Kerollen Cristielly de Jesus Siqueira</t>
        </is>
      </c>
      <c r="C250" s="9" t="inlineStr">
        <is>
          <t>Técnico III</t>
        </is>
      </c>
      <c r="D250" s="3" t="n">
        <v>24</v>
      </c>
      <c r="E250" s="3" t="n">
        <v>23</v>
      </c>
      <c r="G250" s="3" t="n">
        <v>1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t="n">
        <v>23</v>
      </c>
      <c r="N250" t="n">
        <v>95.52</v>
      </c>
      <c r="O250" t="n">
        <v>10.56105610561056</v>
      </c>
    </row>
    <row r="251" hidden="1">
      <c r="A251" s="5" t="n">
        <v>46153</v>
      </c>
      <c r="B251" s="6" t="inlineStr">
        <is>
          <t>Leandro de Souza Silva</t>
        </is>
      </c>
      <c r="C251" s="3" t="inlineStr">
        <is>
          <t>JR</t>
        </is>
      </c>
      <c r="D251" s="3" t="n">
        <v>12</v>
      </c>
      <c r="E251" s="3" t="n">
        <v>11</v>
      </c>
      <c r="G251" s="3" t="n">
        <v>1</v>
      </c>
      <c r="H251" s="3" t="n">
        <v>0</v>
      </c>
      <c r="I251" s="3">
        <f>E251+G251+H251</f>
        <v/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/>
      </c>
      <c r="K251" s="3">
        <f>I251-J251</f>
        <v/>
      </c>
      <c r="L251" s="3">
        <f>IF(K251&lt;-5,"CRÍTICO",IF(K251&lt;0,"ATENÇÃO",IF(K251&lt;=5,"BOM","EXCELENTE")))</f>
        <v/>
      </c>
      <c r="M251" t="n">
        <v>11</v>
      </c>
      <c r="N251" t="n">
        <v>100</v>
      </c>
      <c r="O251" t="n">
        <v>16.95906432748538</v>
      </c>
    </row>
    <row r="252" hidden="1">
      <c r="A252" s="5" t="n">
        <v>46153</v>
      </c>
      <c r="B252" s="6" t="inlineStr">
        <is>
          <t>Leandro Oliveira de Sousa</t>
        </is>
      </c>
      <c r="C252" s="9" t="inlineStr">
        <is>
          <t>Técnico III</t>
        </is>
      </c>
      <c r="D252" s="3" t="n">
        <v>31</v>
      </c>
      <c r="E252" s="3" t="n">
        <v>29</v>
      </c>
      <c r="G252" s="3" t="n">
        <v>0</v>
      </c>
      <c r="H252" s="3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IF(K252&lt;-5,"CRÍTICO",IF(K252&lt;0,"ATENÇÃO",IF(K252&lt;=5,"BOM","EXCELENTE")))</f>
        <v/>
      </c>
      <c r="M252" t="n">
        <v>29</v>
      </c>
      <c r="N252" t="n">
        <v>100</v>
      </c>
      <c r="O252" t="n">
        <v>15.58441558441558</v>
      </c>
    </row>
    <row r="253" hidden="1">
      <c r="A253" s="5" t="n">
        <v>46153</v>
      </c>
      <c r="B253" s="6" t="inlineStr">
        <is>
          <t>Lizandra Gomes Duarte</t>
        </is>
      </c>
      <c r="C253" s="3" t="inlineStr">
        <is>
          <t>Técnico II</t>
        </is>
      </c>
      <c r="D253" s="3" t="n">
        <v>25</v>
      </c>
      <c r="E253" s="3" t="n">
        <v>22</v>
      </c>
      <c r="G253" s="3" t="n">
        <v>2</v>
      </c>
      <c r="H253" s="3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IF(K253&lt;-5,"CRÍTICO",IF(K253&lt;0,"ATENÇÃO",IF(K253&lt;=5,"BOM","EXCELENTE")))</f>
        <v/>
      </c>
      <c r="M253" t="n">
        <v>21</v>
      </c>
      <c r="N253" t="n">
        <v>98.61</v>
      </c>
      <c r="O253" t="n">
        <v>16.86746987951807</v>
      </c>
    </row>
    <row r="254" hidden="1">
      <c r="A254" s="5" t="n">
        <v>46153</v>
      </c>
      <c r="B254" s="6" t="inlineStr">
        <is>
          <t>Lorena Dias de Araujo</t>
        </is>
      </c>
      <c r="C254" s="3" t="inlineStr">
        <is>
          <t>Técnico II</t>
        </is>
      </c>
      <c r="D254" s="3" t="n">
        <v>31</v>
      </c>
      <c r="E254" s="3" t="n">
        <v>30</v>
      </c>
      <c r="G254" s="3" t="n">
        <v>0</v>
      </c>
      <c r="H254" s="3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IF(K254&lt;-5,"CRÍTICO",IF(K254&lt;0,"ATENÇÃO",IF(K254&lt;=5,"BOM","EXCELENTE")))</f>
        <v/>
      </c>
      <c r="M254" t="n">
        <v>25</v>
      </c>
      <c r="N254" t="n">
        <v>100</v>
      </c>
      <c r="O254" t="n">
        <v>20.82018927444795</v>
      </c>
    </row>
    <row r="255" hidden="1">
      <c r="A255" s="5" t="n">
        <v>46153</v>
      </c>
      <c r="B255" s="6" t="inlineStr">
        <is>
          <t>Lucas Luiz Romero</t>
        </is>
      </c>
      <c r="C255" s="3" t="inlineStr">
        <is>
          <t>Técnico III</t>
        </is>
      </c>
      <c r="D255" s="3" t="n">
        <v>0</v>
      </c>
      <c r="E255" s="3" t="n">
        <v>0</v>
      </c>
      <c r="F255" s="3" t="n">
        <v>0</v>
      </c>
      <c r="G255" s="3" t="n">
        <v>0</v>
      </c>
      <c r="H255" s="3" t="n">
        <v>0</v>
      </c>
      <c r="I255" s="3" t="n">
        <v>0</v>
      </c>
      <c r="J255" s="3" t="n">
        <v>0</v>
      </c>
      <c r="K255" s="3" t="n">
        <v>0</v>
      </c>
      <c r="L255" s="3">
        <f>IF(K255&lt;-5,"CRÍTICO",IF(K255&lt;0,"ATENÇÃO",IF(K255&lt;=5,"BOM","EXCELENTE")))</f>
        <v/>
      </c>
      <c r="M255" s="9" t="n">
        <v>0</v>
      </c>
      <c r="N255" s="9" t="n">
        <v>100</v>
      </c>
      <c r="O255" s="9" t="n">
        <v>4.347826086956522</v>
      </c>
    </row>
    <row r="256" hidden="1">
      <c r="A256" s="5" t="n">
        <v>46153</v>
      </c>
      <c r="B256" s="6" t="inlineStr">
        <is>
          <t>Luiz Fernando de Carvalho Junior</t>
        </is>
      </c>
      <c r="C256" s="3" t="inlineStr">
        <is>
          <t>Técnico I</t>
        </is>
      </c>
      <c r="D256" s="3" t="n">
        <v>24</v>
      </c>
      <c r="E256" s="3" t="n">
        <v>23</v>
      </c>
      <c r="G256" s="3" t="n">
        <v>1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t="n">
        <v>25</v>
      </c>
      <c r="N256" t="n">
        <v>93.26000000000001</v>
      </c>
      <c r="O256" t="n">
        <v>19.93957703927493</v>
      </c>
    </row>
    <row r="257" hidden="1">
      <c r="A257" s="5" t="n">
        <v>46153</v>
      </c>
      <c r="B257" s="6" t="inlineStr">
        <is>
          <t>Matheus Farias De Souza</t>
        </is>
      </c>
      <c r="C257" s="3" t="inlineStr">
        <is>
          <t>Técnico III</t>
        </is>
      </c>
      <c r="D257" s="3" t="n">
        <v>0</v>
      </c>
      <c r="E257" s="3" t="n">
        <v>0</v>
      </c>
      <c r="H257" s="3" t="n">
        <v>46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t="n">
        <v>27</v>
      </c>
      <c r="N257" t="n">
        <v>98.28</v>
      </c>
      <c r="O257" t="n">
        <v>9.037900874635568</v>
      </c>
    </row>
    <row r="258" hidden="1">
      <c r="A258" s="5" t="n">
        <v>46153</v>
      </c>
      <c r="B258" s="6" t="inlineStr">
        <is>
          <t>Maysa Victoria Dias Moura</t>
        </is>
      </c>
      <c r="C258" s="3" t="inlineStr">
        <is>
          <t>Técnico III</t>
        </is>
      </c>
      <c r="D258" s="3" t="n">
        <v>33</v>
      </c>
      <c r="E258" s="3" t="n">
        <v>24</v>
      </c>
      <c r="G258" s="3" t="n">
        <v>5</v>
      </c>
      <c r="H258" s="3" t="n">
        <v>0</v>
      </c>
      <c r="I258" s="3">
        <f>E258+G258+H258</f>
        <v/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/>
      </c>
      <c r="K258" s="3">
        <f>I258-J258</f>
        <v/>
      </c>
      <c r="L258" s="3">
        <f>IF(K258&lt;-5,"CRÍTICO",IF(K258&lt;0,"ATENÇÃO",IF(K258&lt;=5,"BOM","EXCELENTE")))</f>
        <v/>
      </c>
      <c r="M258" t="n">
        <v>26</v>
      </c>
      <c r="N258" t="n">
        <v>97.22</v>
      </c>
      <c r="O258" t="n">
        <v>19.09547738693467</v>
      </c>
    </row>
    <row r="259" hidden="1">
      <c r="A259" s="5" t="n">
        <v>46153</v>
      </c>
      <c r="B259" s="6" t="inlineStr">
        <is>
          <t>Milena Sales</t>
        </is>
      </c>
      <c r="C259" s="3" t="inlineStr">
        <is>
          <t>JR</t>
        </is>
      </c>
      <c r="D259" s="3" t="n">
        <v>44</v>
      </c>
      <c r="E259" s="3" t="n">
        <v>23</v>
      </c>
      <c r="G259" s="3" t="n">
        <v>0</v>
      </c>
      <c r="H259" s="3" t="n">
        <v>0</v>
      </c>
      <c r="I259" s="3">
        <f>E259+G259+H259</f>
        <v/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/>
      </c>
      <c r="K259" s="3">
        <f>I259-J259</f>
        <v/>
      </c>
      <c r="L259" s="3">
        <f>IF(K259&lt;-5,"CRÍTICO",IF(K259&lt;0,"ATENÇÃO",IF(K259&lt;=5,"BOM","EXCELENTE")))</f>
        <v/>
      </c>
      <c r="M259" t="n">
        <v>13</v>
      </c>
      <c r="N259" t="n">
        <v>98</v>
      </c>
      <c r="O259" t="n">
        <v>16.43835616438356</v>
      </c>
    </row>
    <row r="260" hidden="1">
      <c r="A260" s="5" t="n">
        <v>46153</v>
      </c>
      <c r="B260" s="6" t="inlineStr">
        <is>
          <t>Patrícia Karla de Sousa Araújo</t>
        </is>
      </c>
      <c r="C260" s="3" t="inlineStr">
        <is>
          <t>Técnico II</t>
        </is>
      </c>
      <c r="D260" s="3" t="n">
        <v>9</v>
      </c>
      <c r="E260" s="3" t="n">
        <v>8</v>
      </c>
      <c r="G260" s="3" t="n">
        <v>0</v>
      </c>
      <c r="H260" s="3" t="n">
        <v>0</v>
      </c>
      <c r="I260" s="3">
        <f>E260+G260+H260</f>
        <v/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/>
      </c>
      <c r="K260" s="3">
        <f>I260-J260</f>
        <v/>
      </c>
      <c r="L260" s="3">
        <f>IF(K260&lt;-5,"CRÍTICO",IF(K260&lt;0,"ATENÇÃO",IF(K260&lt;=5,"BOM","EXCELENTE")))</f>
        <v/>
      </c>
      <c r="M260" t="n">
        <v>7</v>
      </c>
      <c r="N260" t="n">
        <v>100</v>
      </c>
      <c r="O260" t="n">
        <v>16.89497716894977</v>
      </c>
    </row>
    <row r="261" hidden="1">
      <c r="A261" s="5" t="n">
        <v>46153</v>
      </c>
      <c r="B261" s="6" t="inlineStr">
        <is>
          <t>Paulo Ricardo Santos</t>
        </is>
      </c>
      <c r="C261" s="3" t="inlineStr">
        <is>
          <t>JR</t>
        </is>
      </c>
      <c r="D261" s="3" t="n">
        <v>11</v>
      </c>
      <c r="E261" s="3" t="n">
        <v>11</v>
      </c>
      <c r="G261" s="3" t="n">
        <v>0</v>
      </c>
      <c r="H261" s="3" t="n">
        <v>0</v>
      </c>
      <c r="I261" s="3">
        <f>E261+G261+H261</f>
        <v/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/>
      </c>
      <c r="K261" s="3">
        <f>I261-J261</f>
        <v/>
      </c>
      <c r="L261" s="3">
        <f>IF(K261&lt;-5,"CRÍTICO",IF(K261&lt;0,"ATENÇÃO",IF(K261&lt;=5,"BOM","EXCELENTE")))</f>
        <v/>
      </c>
      <c r="M261" t="n">
        <v>12</v>
      </c>
      <c r="N261" t="n">
        <v>100</v>
      </c>
      <c r="O261" t="n">
        <v>19.13875598086124</v>
      </c>
    </row>
    <row r="262" hidden="1">
      <c r="A262" s="5" t="n">
        <v>46153</v>
      </c>
      <c r="B262" s="6" t="inlineStr">
        <is>
          <t>Pedro Luiz Mota Sousa</t>
        </is>
      </c>
      <c r="C262" s="3" t="inlineStr">
        <is>
          <t>JR</t>
        </is>
      </c>
      <c r="D262" s="3" t="n">
        <v>17</v>
      </c>
      <c r="E262" s="3" t="n">
        <v>17</v>
      </c>
      <c r="G262" s="3" t="n">
        <v>3</v>
      </c>
      <c r="H262" s="3" t="n">
        <v>0</v>
      </c>
      <c r="I262" s="3">
        <f>E262+G262+H262</f>
        <v/>
      </c>
      <c r="J262" s="3">
        <f>ROUND(MIN(IF(C262="Técnico III",35,IF(C262="Técnico II",28,IF(C262="Técnico I",23,IF(C262="JR",20,IF(C262="Estágio",10,0))))),IF(C262="Técnico III",SUMIFS($D:$D,$A:$A,$A262,$B:$B,"&lt;&gt;Patrícia Karla de Sousa Araújo",$B:$B,"&lt;&gt;Lorena Dias de Araujo",$B:$B,"&lt;&gt;Lucas Luiz Romero")*(35/1083),IF(C262="Técnico II",SUMIFS($D:$D,$A:$A,$A262,$B:$B,"&lt;&gt;Patrícia Karla de Sousa Araújo",$B:$B,"&lt;&gt;Lorena Dias de Araujo",$B:$B,"&lt;&gt;Lucas Luiz Romero")*(28/1083),IF(C262="Técnico I",SUMIFS($D:$D,$A:$A,$A262,$B:$B,"&lt;&gt;Patrícia Karla de Sousa Araújo",$B:$B,"&lt;&gt;Lorena Dias de Araujo",$B:$B,"&lt;&gt;Lucas Luiz Romero")*(23/1083),IF(C262="JR",SUMIFS($D:$D,$A:$A,$A262,$B:$B,"&lt;&gt;Patrícia Karla de Sousa Araújo",$B:$B,"&lt;&gt;Lorena Dias de Araujo",$B:$B,"&lt;&gt;Lucas Luiz Romero")*(20/1083),IF(C262="Estágio",SUMIFS($D:$D,$A:$A,$A262,$B:$B,"&lt;&gt;Patrícia Karla de Sousa Araújo",$B:$B,"&lt;&gt;Lorena Dias de Araujo",$B:$B,"&lt;&gt;Lucas Luiz Romero")*(10/1083),0)))))),0)</f>
        <v/>
      </c>
      <c r="K262" s="3">
        <f>I262-J262</f>
        <v/>
      </c>
      <c r="L262" s="3">
        <f>IF(K262&lt;-5,"CRÍTICO",IF(K262&lt;0,"ATENÇÃO",IF(K262&lt;=5,"BOM","EXCELENTE")))</f>
        <v/>
      </c>
      <c r="M262" t="n">
        <v>17</v>
      </c>
      <c r="N262" t="n">
        <v>100</v>
      </c>
      <c r="O262" t="n">
        <v>15.02145922746781</v>
      </c>
    </row>
    <row r="263" hidden="1">
      <c r="A263" s="5" t="n">
        <v>46153</v>
      </c>
      <c r="B263" s="6" t="inlineStr">
        <is>
          <t>Raane Batista Matos</t>
        </is>
      </c>
      <c r="C263" s="3" t="inlineStr">
        <is>
          <t>Técnico I</t>
        </is>
      </c>
      <c r="D263" s="3" t="n">
        <v>29</v>
      </c>
      <c r="E263" s="3" t="n">
        <v>25</v>
      </c>
      <c r="G263" s="3" t="n">
        <v>6</v>
      </c>
      <c r="H263" s="3" t="n">
        <v>0</v>
      </c>
      <c r="I263" s="3">
        <f>E263+G263+H263</f>
        <v/>
      </c>
      <c r="J263" s="3">
        <f>ROUND(MIN(IF(C263="Técnico III",35,IF(C263="Técnico II",28,IF(C263="Técnico I",23,IF(C263="JR",20,IF(C263="Estágio",10,0))))),IF(C263="Técnico III",SUMIFS($D:$D,$A:$A,$A263,$B:$B,"&lt;&gt;Patrícia Karla de Sousa Araújo",$B:$B,"&lt;&gt;Lorena Dias de Araujo",$B:$B,"&lt;&gt;Lucas Luiz Romero")*(35/1083),IF(C263="Técnico II",SUMIFS($D:$D,$A:$A,$A263,$B:$B,"&lt;&gt;Patrícia Karla de Sousa Araújo",$B:$B,"&lt;&gt;Lorena Dias de Araujo",$B:$B,"&lt;&gt;Lucas Luiz Romero")*(28/1083),IF(C263="Técnico I",SUMIFS($D:$D,$A:$A,$A263,$B:$B,"&lt;&gt;Patrícia Karla de Sousa Araújo",$B:$B,"&lt;&gt;Lorena Dias de Araujo",$B:$B,"&lt;&gt;Lucas Luiz Romero")*(23/1083),IF(C263="JR",SUMIFS($D:$D,$A:$A,$A263,$B:$B,"&lt;&gt;Patrícia Karla de Sousa Araújo",$B:$B,"&lt;&gt;Lorena Dias de Araujo",$B:$B,"&lt;&gt;Lucas Luiz Romero")*(20/1083),IF(C263="Estágio",SUMIFS($D:$D,$A:$A,$A263,$B:$B,"&lt;&gt;Patrícia Karla de Sousa Araújo",$B:$B,"&lt;&gt;Lorena Dias de Araujo",$B:$B,"&lt;&gt;Lucas Luiz Romero")*(10/1083),0)))))),0)</f>
        <v/>
      </c>
      <c r="K263" s="3">
        <f>I263-J263</f>
        <v/>
      </c>
      <c r="L263" s="3">
        <f>IF(K263&lt;-5,"CRÍTICO",IF(K263&lt;0,"ATENÇÃO",IF(K263&lt;=5,"BOM","EXCELENTE")))</f>
        <v/>
      </c>
      <c r="M263" t="n">
        <v>24</v>
      </c>
      <c r="N263" t="n">
        <v>97.56</v>
      </c>
      <c r="O263" t="n">
        <v>19.28783382789317</v>
      </c>
    </row>
    <row r="264" hidden="1">
      <c r="A264" s="5" t="n">
        <v>46153</v>
      </c>
      <c r="B264" s="6" t="inlineStr">
        <is>
          <t>Rafael Gomes de Morais</t>
        </is>
      </c>
      <c r="C264" s="3" t="inlineStr">
        <is>
          <t>Técnico III</t>
        </is>
      </c>
      <c r="D264" s="3" t="n">
        <v>23</v>
      </c>
      <c r="E264" s="3" t="n">
        <v>21</v>
      </c>
      <c r="G264" s="3" t="n">
        <v>2</v>
      </c>
      <c r="H264" s="3" t="n">
        <v>0</v>
      </c>
      <c r="I264" s="3">
        <f>E264+G264+H264</f>
        <v/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/>
      </c>
      <c r="K264" s="3">
        <f>I264-J264</f>
        <v/>
      </c>
      <c r="L264" s="3">
        <f>IF(K264&lt;-5,"CRÍTICO",IF(K264&lt;0,"ATENÇÃO",IF(K264&lt;=5,"BOM","EXCELENTE")))</f>
        <v/>
      </c>
      <c r="M264" t="n">
        <v>17</v>
      </c>
      <c r="N264" t="n">
        <v>99.29000000000001</v>
      </c>
      <c r="O264" t="n">
        <v>22.49443207126949</v>
      </c>
    </row>
    <row r="265" hidden="1">
      <c r="A265" s="5" t="n">
        <v>46153</v>
      </c>
      <c r="B265" s="6" t="inlineStr">
        <is>
          <t>Sara Maria Monteiro Lopes</t>
        </is>
      </c>
      <c r="C265" s="3" t="inlineStr">
        <is>
          <t>Técnico I</t>
        </is>
      </c>
      <c r="D265" s="3" t="n">
        <v>16</v>
      </c>
      <c r="E265" s="3" t="n">
        <v>16</v>
      </c>
      <c r="G265" s="3" t="n">
        <v>1</v>
      </c>
      <c r="H265" s="3" t="n">
        <v>0</v>
      </c>
      <c r="I265" s="3">
        <f>E265+G265+H265</f>
        <v/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/>
      </c>
      <c r="K265" s="3">
        <f>I265-J265</f>
        <v/>
      </c>
      <c r="L265" s="3">
        <f>IF(K265&lt;-5,"CRÍTICO",IF(K265&lt;0,"ATENÇÃO",IF(K265&lt;=5,"BOM","EXCELENTE")))</f>
        <v/>
      </c>
      <c r="M265" t="n">
        <v>15</v>
      </c>
      <c r="N265" t="n">
        <v>100</v>
      </c>
      <c r="O265" t="n">
        <v>16.97247706422019</v>
      </c>
    </row>
    <row r="266" hidden="1">
      <c r="A266" s="5" t="n">
        <v>46153</v>
      </c>
      <c r="B266" s="6" t="inlineStr">
        <is>
          <t>Sarah Steffanie de Lima Borges</t>
        </is>
      </c>
      <c r="C266" s="3" t="inlineStr">
        <is>
          <t>Técnico III</t>
        </is>
      </c>
      <c r="D266" s="3" t="n">
        <v>25</v>
      </c>
      <c r="E266" s="3" t="n">
        <v>21</v>
      </c>
      <c r="G266" s="3" t="n">
        <v>0</v>
      </c>
      <c r="H266" s="3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IF(K266&lt;-5,"CRÍTICO",IF(K266&lt;0,"ATENÇÃO",IF(K266&lt;=5,"BOM","EXCELENTE")))</f>
        <v/>
      </c>
      <c r="M266" t="n">
        <v>16</v>
      </c>
      <c r="N266" t="n">
        <v>97.33</v>
      </c>
      <c r="O266" t="n">
        <v>15.80547112462006</v>
      </c>
    </row>
    <row r="267" hidden="1">
      <c r="A267" s="5" t="n">
        <v>46154</v>
      </c>
      <c r="B267" s="6" t="inlineStr">
        <is>
          <t>Alisson de Freitas Silva</t>
        </is>
      </c>
      <c r="C267" s="3" t="inlineStr">
        <is>
          <t>Técnico II</t>
        </is>
      </c>
      <c r="D267" s="3" t="n">
        <v>25</v>
      </c>
      <c r="E267" s="3" t="n">
        <v>18</v>
      </c>
      <c r="G267" s="3" t="n">
        <v>8</v>
      </c>
      <c r="H267" s="3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IF(K267&lt;-5,"CRÍTICO",IF(K267&lt;0,"ATENÇÃO",IF(K267&lt;=5,"BOM","EXCELENTE")))</f>
        <v/>
      </c>
      <c r="M267" s="3" t="n">
        <v>17</v>
      </c>
      <c r="N267" s="3" t="n">
        <v>98.94</v>
      </c>
      <c r="O267" s="3" t="n">
        <v>19.61414790996785</v>
      </c>
    </row>
    <row r="268" hidden="1">
      <c r="A268" s="5" t="n">
        <v>46154</v>
      </c>
      <c r="B268" s="6" t="inlineStr">
        <is>
          <t>Amanda Moura Ferreira</t>
        </is>
      </c>
      <c r="C268" s="3" t="inlineStr">
        <is>
          <t>Técnico III</t>
        </is>
      </c>
      <c r="D268" s="3" t="n">
        <v>0</v>
      </c>
      <c r="E268" s="3" t="n">
        <v>0</v>
      </c>
      <c r="F268" s="3" t="n">
        <v>0</v>
      </c>
      <c r="G268" s="3" t="n">
        <v>0</v>
      </c>
      <c r="H268" s="3" t="n">
        <v>0</v>
      </c>
      <c r="I268" s="3" t="n">
        <v>0</v>
      </c>
      <c r="J268" s="3" t="n">
        <v>0</v>
      </c>
      <c r="K268" s="3" t="n">
        <v>0</v>
      </c>
      <c r="L268" s="3">
        <f>IF(K268&lt;-5,"CRÍTICO",IF(K268&lt;0,"ATENÇÃO",IF(K268&lt;=5,"BOM","EXCELENTE")))</f>
        <v/>
      </c>
      <c r="M268" s="9" t="n">
        <v>0</v>
      </c>
      <c r="N268" s="9" t="n">
        <v>100</v>
      </c>
      <c r="O268" s="9" t="n">
        <v>0</v>
      </c>
    </row>
    <row r="269" hidden="1">
      <c r="A269" s="5" t="n">
        <v>46154</v>
      </c>
      <c r="B269" s="6" t="inlineStr">
        <is>
          <t>Ana Karollyne Souza Faria</t>
        </is>
      </c>
      <c r="C269" s="3" t="inlineStr">
        <is>
          <t>Técnico I</t>
        </is>
      </c>
      <c r="D269" s="3" t="n">
        <v>31</v>
      </c>
      <c r="E269" s="3" t="n">
        <v>29</v>
      </c>
      <c r="G269" s="3" t="n">
        <v>2</v>
      </c>
      <c r="H269" s="3" t="n">
        <v>0</v>
      </c>
      <c r="I269" s="3">
        <f>E269+G269+H269</f>
        <v/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/>
      </c>
      <c r="K269" s="3">
        <f>I269-J269</f>
        <v/>
      </c>
      <c r="L269" s="3">
        <f>IF(K269&lt;-5,"CRÍTICO",IF(K269&lt;0,"ATENÇÃO",IF(K269&lt;=5,"BOM","EXCELENTE")))</f>
        <v/>
      </c>
      <c r="M269" s="3" t="n">
        <v>27</v>
      </c>
      <c r="N269" s="3" t="n">
        <v>95.38</v>
      </c>
      <c r="O269" s="3" t="n">
        <v>21.5962441314554</v>
      </c>
    </row>
    <row r="270" hidden="1">
      <c r="A270" s="5" t="n">
        <v>46154</v>
      </c>
      <c r="B270" s="6" t="inlineStr">
        <is>
          <t>Ana Paula Da Luz Silva Aleixo</t>
        </is>
      </c>
      <c r="C270" s="9" t="inlineStr">
        <is>
          <t>Técnico III</t>
        </is>
      </c>
      <c r="D270" s="3" t="n">
        <v>28</v>
      </c>
      <c r="E270" s="3" t="n">
        <v>24</v>
      </c>
      <c r="G270" s="3" t="n">
        <v>4</v>
      </c>
      <c r="H270" s="3" t="n">
        <v>0</v>
      </c>
      <c r="I270" s="3">
        <f>E270+G270+H270</f>
        <v/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/>
      </c>
      <c r="K270" s="3">
        <f>I270-J270</f>
        <v/>
      </c>
      <c r="L270" s="3">
        <f>IF(K270&lt;-5,"CRÍTICO",IF(K270&lt;0,"ATENÇÃO",IF(K270&lt;=5,"BOM","EXCELENTE")))</f>
        <v/>
      </c>
      <c r="M270" t="n">
        <v>25</v>
      </c>
      <c r="N270" t="n">
        <v>96.34</v>
      </c>
      <c r="O270" t="n">
        <v>17.57188498402556</v>
      </c>
    </row>
    <row r="271" hidden="1">
      <c r="A271" s="5" t="n">
        <v>46154</v>
      </c>
      <c r="B271" s="6" t="inlineStr">
        <is>
          <t>Brenda de Menezes Silva</t>
        </is>
      </c>
      <c r="C271" s="3" t="inlineStr">
        <is>
          <t>Técnico II</t>
        </is>
      </c>
      <c r="D271" s="3" t="n">
        <v>38</v>
      </c>
      <c r="E271" s="3" t="n">
        <v>35</v>
      </c>
      <c r="G271" s="3" t="n">
        <v>3</v>
      </c>
      <c r="H271" s="3" t="n">
        <v>0</v>
      </c>
      <c r="I271" s="3">
        <f>E271+G271+H271</f>
        <v/>
      </c>
      <c r="J271" s="3">
        <f>ROUND(MIN(IF(C271="Técnico III",35,IF(C271="Técnico II",28,IF(C271="Técnico I",23,IF(C271="JR",20,IF(C271="Estágio",10,0))))),IF(C271="Técnico III",SUMIFS($D:$D,$A:$A,$A271,$B:$B,"&lt;&gt;Patrícia Karla de Sousa Araújo",$B:$B,"&lt;&gt;Lorena Dias de Araujo",$B:$B,"&lt;&gt;Lucas Luiz Romero")*(35/1083),IF(C271="Técnico II",SUMIFS($D:$D,$A:$A,$A271,$B:$B,"&lt;&gt;Patrícia Karla de Sousa Araújo",$B:$B,"&lt;&gt;Lorena Dias de Araujo",$B:$B,"&lt;&gt;Lucas Luiz Romero")*(28/1083),IF(C271="Técnico I",SUMIFS($D:$D,$A:$A,$A271,$B:$B,"&lt;&gt;Patrícia Karla de Sousa Araújo",$B:$B,"&lt;&gt;Lorena Dias de Araujo",$B:$B,"&lt;&gt;Lucas Luiz Romero")*(23/1083),IF(C271="JR",SUMIFS($D:$D,$A:$A,$A271,$B:$B,"&lt;&gt;Patrícia Karla de Sousa Araújo",$B:$B,"&lt;&gt;Lorena Dias de Araujo",$B:$B,"&lt;&gt;Lucas Luiz Romero")*(20/1083),IF(C271="Estágio",SUMIFS($D:$D,$A:$A,$A271,$B:$B,"&lt;&gt;Patrícia Karla de Sousa Araújo",$B:$B,"&lt;&gt;Lorena Dias de Araujo",$B:$B,"&lt;&gt;Lucas Luiz Romero")*(10/1083),0)))))),0)</f>
        <v/>
      </c>
      <c r="K271" s="3">
        <f>I271-J271</f>
        <v/>
      </c>
      <c r="L271" s="3">
        <f>IF(K271&lt;-5,"CRÍTICO",IF(K271&lt;0,"ATENÇÃO",IF(K271&lt;=5,"BOM","EXCELENTE")))</f>
        <v/>
      </c>
      <c r="M271" t="n">
        <v>34</v>
      </c>
      <c r="N271" t="n">
        <v>99.13</v>
      </c>
      <c r="O271" t="n">
        <v>14.7239263803681</v>
      </c>
    </row>
    <row r="272" hidden="1">
      <c r="A272" s="5" t="n">
        <v>46154</v>
      </c>
      <c r="B272" s="6" t="inlineStr">
        <is>
          <t>Carlos Mateus Cassimiro Nunes</t>
        </is>
      </c>
      <c r="C272" s="9" t="inlineStr">
        <is>
          <t>Técnico II</t>
        </is>
      </c>
      <c r="D272" s="3" t="n">
        <v>26</v>
      </c>
      <c r="E272" s="3" t="n">
        <v>26</v>
      </c>
      <c r="G272" s="3" t="n">
        <v>0</v>
      </c>
      <c r="H272" s="3" t="n">
        <v>0</v>
      </c>
      <c r="I272" s="3">
        <f>E272+G272+H272</f>
        <v/>
      </c>
      <c r="J272" s="3">
        <f>ROUND(MIN(IF(C272="Técnico III",35,IF(C272="Técnico II",28,IF(C272="Técnico I",23,IF(C272="JR",20,IF(C272="Estágio",10,0))))),IF(C272="Técnico III",SUMIFS($D:$D,$A:$A,$A272,$B:$B,"&lt;&gt;Patrícia Karla de Sousa Araújo",$B:$B,"&lt;&gt;Lorena Dias de Araujo",$B:$B,"&lt;&gt;Lucas Luiz Romero")*(35/1083),IF(C272="Técnico II",SUMIFS($D:$D,$A:$A,$A272,$B:$B,"&lt;&gt;Patrícia Karla de Sousa Araújo",$B:$B,"&lt;&gt;Lorena Dias de Araujo",$B:$B,"&lt;&gt;Lucas Luiz Romero")*(28/1083),IF(C272="Técnico I",SUMIFS($D:$D,$A:$A,$A272,$B:$B,"&lt;&gt;Patrícia Karla de Sousa Araújo",$B:$B,"&lt;&gt;Lorena Dias de Araujo",$B:$B,"&lt;&gt;Lucas Luiz Romero")*(23/1083),IF(C272="JR",SUMIFS($D:$D,$A:$A,$A272,$B:$B,"&lt;&gt;Patrícia Karla de Sousa Araújo",$B:$B,"&lt;&gt;Lorena Dias de Araujo",$B:$B,"&lt;&gt;Lucas Luiz Romero")*(20/1083),IF(C272="Estágio",SUMIFS($D:$D,$A:$A,$A272,$B:$B,"&lt;&gt;Patrícia Karla de Sousa Araújo",$B:$B,"&lt;&gt;Lorena Dias de Araujo",$B:$B,"&lt;&gt;Lucas Luiz Romero")*(10/1083),0)))))),0)</f>
        <v/>
      </c>
      <c r="K272" s="3">
        <f>I272-J272</f>
        <v/>
      </c>
      <c r="L272" s="3">
        <f>IF(K272&lt;-5,"CRÍTICO",IF(K272&lt;0,"ATENÇÃO",IF(K272&lt;=5,"BOM","EXCELENTE")))</f>
        <v/>
      </c>
      <c r="M272" t="n">
        <v>24</v>
      </c>
      <c r="N272" t="n">
        <v>98.8</v>
      </c>
      <c r="O272" t="n">
        <v>16.89750692520776</v>
      </c>
    </row>
    <row r="273" hidden="1">
      <c r="A273" s="5" t="n">
        <v>46154</v>
      </c>
      <c r="B273" s="6" t="inlineStr">
        <is>
          <t>Clessiane Pereira dos Santos</t>
        </is>
      </c>
      <c r="C273" s="3" t="inlineStr">
        <is>
          <t>Técnico I</t>
        </is>
      </c>
      <c r="D273" s="3" t="n">
        <v>24</v>
      </c>
      <c r="E273" s="3" t="n">
        <v>23</v>
      </c>
      <c r="G273" s="3" t="n">
        <v>5</v>
      </c>
      <c r="H273" s="3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IF(K273&lt;-5,"CRÍTICO",IF(K273&lt;0,"ATENÇÃO",IF(K273&lt;=5,"BOM","EXCELENTE")))</f>
        <v/>
      </c>
      <c r="M273" t="n">
        <v>25</v>
      </c>
      <c r="N273" t="n">
        <v>96.88</v>
      </c>
      <c r="O273" t="n">
        <v>19.52662721893491</v>
      </c>
    </row>
    <row r="274" hidden="1">
      <c r="A274" s="5" t="n">
        <v>46154</v>
      </c>
      <c r="B274" s="6" t="inlineStr">
        <is>
          <t>Cristiane Ramos da Silva Rocha</t>
        </is>
      </c>
      <c r="C274" s="3" t="inlineStr">
        <is>
          <t>Técnico III</t>
        </is>
      </c>
      <c r="D274" s="3" t="n">
        <v>41</v>
      </c>
      <c r="E274" s="3" t="n">
        <v>39</v>
      </c>
      <c r="G274" s="3" t="n">
        <v>0</v>
      </c>
      <c r="H274" s="3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IF(K274&lt;-5,"CRÍTICO",IF(K274&lt;0,"ATENÇÃO",IF(K274&lt;=5,"BOM","EXCELENTE")))</f>
        <v/>
      </c>
      <c r="M274" t="n">
        <v>33</v>
      </c>
      <c r="N274" t="n">
        <v>91.84999999999999</v>
      </c>
      <c r="O274" t="n">
        <v>20.87155963302752</v>
      </c>
    </row>
    <row r="275" hidden="1">
      <c r="A275" s="5" t="n">
        <v>46154</v>
      </c>
      <c r="B275" s="6" t="inlineStr">
        <is>
          <t>Damyllis Lorraine de Oliveira Gonçalves</t>
        </is>
      </c>
      <c r="C275" s="3" t="inlineStr">
        <is>
          <t>Técnico II</t>
        </is>
      </c>
      <c r="D275" s="3" t="n">
        <v>37</v>
      </c>
      <c r="E275" s="3" t="n">
        <v>30</v>
      </c>
      <c r="G275" s="3" t="n">
        <v>0</v>
      </c>
      <c r="H275" s="3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IF(K275&lt;-5,"CRÍTICO",IF(K275&lt;0,"ATENÇÃO",IF(K275&lt;=5,"BOM","EXCELENTE")))</f>
        <v/>
      </c>
      <c r="M275" t="n">
        <v>27</v>
      </c>
      <c r="N275" t="n">
        <v>98.63</v>
      </c>
      <c r="O275" t="n">
        <v>18.75</v>
      </c>
    </row>
    <row r="276" hidden="1">
      <c r="A276" s="5" t="n">
        <v>46154</v>
      </c>
      <c r="B276" s="6" t="inlineStr">
        <is>
          <t>Daniel Gomes da Silva</t>
        </is>
      </c>
      <c r="C276" s="3" t="inlineStr">
        <is>
          <t>Técnico I</t>
        </is>
      </c>
      <c r="D276" s="3" t="n">
        <v>28</v>
      </c>
      <c r="E276" s="3" t="n">
        <v>26</v>
      </c>
      <c r="G276" s="3" t="n">
        <v>0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t="n">
        <v>17</v>
      </c>
      <c r="N276" t="n">
        <v>100</v>
      </c>
      <c r="O276" t="n">
        <v>18.14516129032258</v>
      </c>
    </row>
    <row r="277" hidden="1">
      <c r="A277" s="5" t="n">
        <v>46154</v>
      </c>
      <c r="B277" s="6" t="inlineStr">
        <is>
          <t>Davylla Rodrigues Freitas Silva</t>
        </is>
      </c>
      <c r="C277" s="9" t="inlineStr">
        <is>
          <t>Técnico III</t>
        </is>
      </c>
      <c r="D277" s="3" t="n">
        <v>23</v>
      </c>
      <c r="E277" s="3" t="n">
        <v>23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t="n">
        <v>27</v>
      </c>
      <c r="N277" t="n">
        <v>99.06</v>
      </c>
      <c r="O277" t="n">
        <v>22.95719844357977</v>
      </c>
    </row>
    <row r="278" hidden="1">
      <c r="A278" s="5" t="n">
        <v>46154</v>
      </c>
      <c r="B278" s="6" t="inlineStr">
        <is>
          <t>Emilly Kamilly Medeiros Miranda</t>
        </is>
      </c>
      <c r="C278" s="3" t="inlineStr">
        <is>
          <t>Técnico II</t>
        </is>
      </c>
      <c r="D278" s="3" t="n">
        <v>25</v>
      </c>
      <c r="E278" s="3" t="n">
        <v>24</v>
      </c>
      <c r="G278" s="3" t="n">
        <v>5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t="n">
        <v>26</v>
      </c>
      <c r="N278" t="n">
        <v>100</v>
      </c>
      <c r="O278" t="n">
        <v>13.8121546961326</v>
      </c>
    </row>
    <row r="279" hidden="1">
      <c r="A279" s="5" t="n">
        <v>46154</v>
      </c>
      <c r="B279" s="6" t="inlineStr">
        <is>
          <t>Francielson de Oliveira</t>
        </is>
      </c>
      <c r="C279" s="9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IF(K279&lt;-5,"CRÍTICO",IF(K279&lt;0,"ATENÇÃO",IF(K279&lt;=5,"BOM","EXCELENTE")))</f>
        <v/>
      </c>
      <c r="M279" s="9" t="n">
        <v>0</v>
      </c>
      <c r="N279" s="9" t="n">
        <v>100</v>
      </c>
      <c r="O279" s="9" t="n">
        <v>9.523809523809524</v>
      </c>
    </row>
    <row r="280" hidden="1">
      <c r="A280" s="5" t="n">
        <v>46154</v>
      </c>
      <c r="B280" s="6" t="inlineStr">
        <is>
          <t>Francilene Ferreira de Jesus</t>
        </is>
      </c>
      <c r="C280" s="3" t="inlineStr">
        <is>
          <t>Técnico II</t>
        </is>
      </c>
      <c r="D280" s="3" t="n">
        <v>0</v>
      </c>
      <c r="E280" s="3" t="n">
        <v>0</v>
      </c>
      <c r="F280" s="3" t="n">
        <v>0</v>
      </c>
      <c r="G280" s="3" t="n">
        <v>0</v>
      </c>
      <c r="H280" s="3" t="n">
        <v>0</v>
      </c>
      <c r="I280" s="3" t="n">
        <v>0</v>
      </c>
      <c r="J280" s="3" t="n">
        <v>0</v>
      </c>
      <c r="K280" s="3" t="n">
        <v>0</v>
      </c>
      <c r="L280" s="3">
        <f>IF(K280&lt;-5,"CRÍTICO",IF(K280&lt;0,"ATENÇÃO",IF(K280&lt;=5,"BOM","EXCELENTE")))</f>
        <v/>
      </c>
      <c r="M280" s="9" t="n">
        <v>0</v>
      </c>
      <c r="N280" s="9" t="n">
        <v>100</v>
      </c>
      <c r="O280" s="9" t="n">
        <v>17.24137931034483</v>
      </c>
    </row>
    <row r="281" hidden="1">
      <c r="A281" s="5" t="n">
        <v>46154</v>
      </c>
      <c r="B281" s="6" t="inlineStr">
        <is>
          <t>Anna Luiza Rezende Tavares</t>
        </is>
      </c>
      <c r="C281" s="3" t="inlineStr">
        <is>
          <t>Estágio</t>
        </is>
      </c>
      <c r="D281" s="3" t="n">
        <v>25</v>
      </c>
      <c r="E281" s="3" t="n">
        <v>25</v>
      </c>
      <c r="G281" s="3" t="n">
        <v>0</v>
      </c>
      <c r="H281" s="3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IF(K281&lt;-5,"CRÍTICO",IF(K281&lt;0,"ATENÇÃO",IF(K281&lt;=5,"BOM","EXCELENTE")))</f>
        <v/>
      </c>
      <c r="M281" t="n">
        <v>18</v>
      </c>
      <c r="N281" t="n">
        <v>99.11</v>
      </c>
      <c r="O281" t="n">
        <v>17.72151898734177</v>
      </c>
    </row>
    <row r="282">
      <c r="A282" s="5" t="n">
        <v>46154</v>
      </c>
      <c r="B282" s="6" t="inlineStr">
        <is>
          <t>Gabriel Gomes de Andrade</t>
        </is>
      </c>
      <c r="C282" s="3" t="inlineStr">
        <is>
          <t>Técnico I</t>
        </is>
      </c>
      <c r="D282" s="3" t="n">
        <v>17</v>
      </c>
      <c r="E282" s="3" t="n">
        <v>17</v>
      </c>
      <c r="H282" s="3" t="n">
        <v>7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24</v>
      </c>
      <c r="N282" t="n">
        <v>98.8</v>
      </c>
      <c r="O282" t="n">
        <v>15.41353383458646</v>
      </c>
    </row>
    <row r="283" hidden="1">
      <c r="A283" s="5" t="n">
        <v>46154</v>
      </c>
      <c r="B283" s="6" t="inlineStr">
        <is>
          <t>Isabella Borges de Oliveira</t>
        </is>
      </c>
      <c r="C283" s="9" t="inlineStr">
        <is>
          <t>Técnico II</t>
        </is>
      </c>
      <c r="D283" s="3" t="n">
        <v>26</v>
      </c>
      <c r="E283" s="3" t="n">
        <v>24</v>
      </c>
      <c r="G283" s="3" t="n">
        <v>0</v>
      </c>
      <c r="H283" s="3" t="n">
        <v>0</v>
      </c>
      <c r="I283" s="3">
        <f>E283+G283+H283</f>
        <v/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/>
      </c>
      <c r="K283" s="3">
        <f>I283-J283</f>
        <v/>
      </c>
      <c r="L283" s="3">
        <f>IF(K283&lt;-5,"CRÍTICO",IF(K283&lt;0,"ATENÇÃO",IF(K283&lt;=5,"BOM","EXCELENTE")))</f>
        <v/>
      </c>
      <c r="M283" t="n">
        <v>18</v>
      </c>
      <c r="N283" t="n">
        <v>98.63</v>
      </c>
      <c r="O283" t="n">
        <v>15.75757575757576</v>
      </c>
    </row>
    <row r="284" hidden="1">
      <c r="A284" s="5" t="n">
        <v>46154</v>
      </c>
      <c r="B284" s="6" t="inlineStr">
        <is>
          <t>Janaina Lima dos Reis Urany</t>
        </is>
      </c>
      <c r="C284" s="3" t="inlineStr">
        <is>
          <t>Técnico III</t>
        </is>
      </c>
      <c r="D284" s="3" t="n">
        <v>47</v>
      </c>
      <c r="E284" s="3" t="n">
        <v>43</v>
      </c>
      <c r="G284" s="3" t="n">
        <v>8</v>
      </c>
      <c r="H284" s="3" t="n">
        <v>0</v>
      </c>
      <c r="I284" s="3">
        <f>E284+G284+H284</f>
        <v/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/>
      </c>
      <c r="K284" s="3">
        <f>I284-J284</f>
        <v/>
      </c>
      <c r="L284" s="3">
        <f>IF(K284&lt;-5,"CRÍTICO",IF(K284&lt;0,"ATENÇÃO",IF(K284&lt;=5,"BOM","EXCELENTE")))</f>
        <v/>
      </c>
      <c r="M284" t="n">
        <v>45</v>
      </c>
      <c r="N284" t="n">
        <v>98.64</v>
      </c>
      <c r="O284" t="n">
        <v>16.6383701188455</v>
      </c>
    </row>
    <row r="285" hidden="1">
      <c r="A285" s="5" t="n">
        <v>46154</v>
      </c>
      <c r="B285" s="6" t="inlineStr">
        <is>
          <t>Jaqueline Evangelista da Silva Martins</t>
        </is>
      </c>
      <c r="C285" s="3" t="inlineStr">
        <is>
          <t>Técnico III</t>
        </is>
      </c>
      <c r="D285" s="3" t="n">
        <v>42</v>
      </c>
      <c r="E285" s="3" t="n">
        <v>37</v>
      </c>
      <c r="G285" s="3" t="n">
        <v>9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t="n">
        <v>37</v>
      </c>
      <c r="N285" t="n">
        <v>95.40000000000001</v>
      </c>
      <c r="O285" t="n">
        <v>20.53333333333333</v>
      </c>
    </row>
    <row r="286" hidden="1">
      <c r="A286" s="5" t="n">
        <v>46154</v>
      </c>
      <c r="B286" s="6" t="inlineStr">
        <is>
          <t>Jessica Faria da Silveira</t>
        </is>
      </c>
      <c r="C286" s="3" t="inlineStr">
        <is>
          <t>Técnico II</t>
        </is>
      </c>
      <c r="D286" s="3" t="n">
        <v>29</v>
      </c>
      <c r="E286" s="3" t="n">
        <v>26</v>
      </c>
      <c r="G286" s="3" t="n">
        <v>5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t="n">
        <v>26</v>
      </c>
      <c r="N286" t="n">
        <v>98.61</v>
      </c>
      <c r="O286" t="n">
        <v>16.97530864197531</v>
      </c>
    </row>
    <row r="287" hidden="1">
      <c r="A287" s="5" t="n">
        <v>46154</v>
      </c>
      <c r="B287" s="6" t="inlineStr">
        <is>
          <t>Jéssica Fé Moura</t>
        </is>
      </c>
      <c r="C287" s="3" t="inlineStr">
        <is>
          <t>Técnico III</t>
        </is>
      </c>
      <c r="D287" s="3" t="n">
        <v>0</v>
      </c>
      <c r="E287" s="3" t="n">
        <v>0</v>
      </c>
      <c r="F287" s="3" t="n">
        <v>0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9" t="n">
        <v>0</v>
      </c>
      <c r="N287" s="9" t="n">
        <v>0</v>
      </c>
      <c r="O287" s="9" t="n">
        <v>0</v>
      </c>
    </row>
    <row r="288" hidden="1">
      <c r="A288" s="5" t="n">
        <v>46154</v>
      </c>
      <c r="B288" s="6" t="inlineStr">
        <is>
          <t>Karina Gonçalves Martins</t>
        </is>
      </c>
      <c r="C288" s="3" t="inlineStr">
        <is>
          <t>JR</t>
        </is>
      </c>
      <c r="D288" s="3" t="n">
        <v>26</v>
      </c>
      <c r="E288" s="3" t="n">
        <v>22</v>
      </c>
      <c r="G288" s="3" t="n">
        <v>0</v>
      </c>
      <c r="H288" s="3" t="n">
        <v>0</v>
      </c>
      <c r="I288" s="3">
        <f>E288+G288+H288</f>
        <v/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/>
      </c>
      <c r="K288" s="3">
        <f>I288-J288</f>
        <v/>
      </c>
      <c r="L288" s="3">
        <f>IF(K288&lt;-5,"CRÍTICO",IF(K288&lt;0,"ATENÇÃO",IF(K288&lt;=5,"BOM","EXCELENTE")))</f>
        <v/>
      </c>
      <c r="M288" t="n">
        <v>22</v>
      </c>
      <c r="N288" t="n">
        <v>97.01000000000001</v>
      </c>
      <c r="O288" t="n">
        <v>13.96103896103896</v>
      </c>
    </row>
    <row r="289" hidden="1">
      <c r="A289" s="5" t="n">
        <v>46154</v>
      </c>
      <c r="B289" s="6" t="inlineStr">
        <is>
          <t>Kerollen Cristielly de Jesus Siqueira</t>
        </is>
      </c>
      <c r="C289" s="9" t="inlineStr">
        <is>
          <t>Técnico III</t>
        </is>
      </c>
      <c r="D289" s="3" t="n">
        <v>19</v>
      </c>
      <c r="E289" s="3" t="n">
        <v>17</v>
      </c>
      <c r="G289" s="3" t="n">
        <v>1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t="n">
        <v>18</v>
      </c>
      <c r="N289" t="n">
        <v>95.52</v>
      </c>
      <c r="O289" t="n">
        <v>10.56105610561056</v>
      </c>
    </row>
    <row r="290" hidden="1">
      <c r="A290" s="5" t="n">
        <v>46154</v>
      </c>
      <c r="B290" s="6" t="inlineStr">
        <is>
          <t>Leandro de Souza Silva</t>
        </is>
      </c>
      <c r="C290" s="3" t="inlineStr">
        <is>
          <t>JR</t>
        </is>
      </c>
      <c r="D290" s="3" t="n">
        <v>10</v>
      </c>
      <c r="E290" s="3" t="n">
        <v>6</v>
      </c>
      <c r="G290" s="3" t="n">
        <v>7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t="n">
        <v>12</v>
      </c>
      <c r="N290" t="n">
        <v>100</v>
      </c>
      <c r="O290" t="n">
        <v>16.95906432748538</v>
      </c>
    </row>
    <row r="291" hidden="1">
      <c r="A291" s="5" t="n">
        <v>46154</v>
      </c>
      <c r="B291" s="6" t="inlineStr">
        <is>
          <t>Leandro Oliveira de Sousa</t>
        </is>
      </c>
      <c r="C291" s="9" t="inlineStr">
        <is>
          <t>Técnico III</t>
        </is>
      </c>
      <c r="D291" s="3" t="n">
        <v>31</v>
      </c>
      <c r="E291" s="3" t="n">
        <v>25</v>
      </c>
      <c r="G291" s="3" t="n">
        <v>0</v>
      </c>
      <c r="H291" s="3" t="n">
        <v>0</v>
      </c>
      <c r="I291" s="3">
        <f>E291+G291+H291</f>
        <v/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/>
      </c>
      <c r="K291" s="3">
        <f>I291-J291</f>
        <v/>
      </c>
      <c r="L291" s="3">
        <f>IF(K291&lt;-5,"CRÍTICO",IF(K291&lt;0,"ATENÇÃO",IF(K291&lt;=5,"BOM","EXCELENTE")))</f>
        <v/>
      </c>
      <c r="M291" t="n">
        <v>28</v>
      </c>
      <c r="N291" t="n">
        <v>100</v>
      </c>
      <c r="O291" t="n">
        <v>15.58441558441558</v>
      </c>
    </row>
    <row r="292" hidden="1">
      <c r="A292" s="5" t="n">
        <v>46154</v>
      </c>
      <c r="B292" s="6" t="inlineStr">
        <is>
          <t>Lizandra Gomes Duarte</t>
        </is>
      </c>
      <c r="C292" s="3" t="inlineStr">
        <is>
          <t>Técnico II</t>
        </is>
      </c>
      <c r="D292" s="3" t="n">
        <v>28</v>
      </c>
      <c r="E292" s="3" t="n">
        <v>26</v>
      </c>
      <c r="G292" s="3" t="n">
        <v>2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t="n">
        <v>22</v>
      </c>
      <c r="N292" t="n">
        <v>98.61</v>
      </c>
      <c r="O292" t="n">
        <v>16.86746987951807</v>
      </c>
    </row>
    <row r="293" hidden="1">
      <c r="A293" s="5" t="n">
        <v>46154</v>
      </c>
      <c r="B293" s="6" t="inlineStr">
        <is>
          <t>Lorena Dias de Araujo</t>
        </is>
      </c>
      <c r="C293" s="3" t="inlineStr">
        <is>
          <t>Técnico II</t>
        </is>
      </c>
      <c r="D293" s="3" t="n">
        <v>25</v>
      </c>
      <c r="E293" s="3" t="n">
        <v>24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t="n">
        <v>19</v>
      </c>
      <c r="N293" t="n">
        <v>100</v>
      </c>
      <c r="O293" t="n">
        <v>20.82018927444795</v>
      </c>
    </row>
    <row r="294" hidden="1">
      <c r="A294" s="5" t="n">
        <v>46154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9" t="n">
        <v>0</v>
      </c>
      <c r="N294" s="9" t="n">
        <v>100</v>
      </c>
      <c r="O294" s="9" t="n">
        <v>4.347826086956522</v>
      </c>
    </row>
    <row r="295" hidden="1">
      <c r="A295" s="5" t="n">
        <v>46154</v>
      </c>
      <c r="B295" s="6" t="inlineStr">
        <is>
          <t>Luiz Fernando de Carvalho Junior</t>
        </is>
      </c>
      <c r="C295" s="3" t="inlineStr">
        <is>
          <t>Técnico I</t>
        </is>
      </c>
      <c r="D295" s="3" t="n">
        <v>24</v>
      </c>
      <c r="E295" s="3" t="n">
        <v>20</v>
      </c>
      <c r="G295" s="3" t="n">
        <v>4</v>
      </c>
      <c r="H295" s="3" t="n">
        <v>0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t="n">
        <v>22</v>
      </c>
      <c r="N295" t="n">
        <v>93.26000000000001</v>
      </c>
      <c r="O295" t="n">
        <v>19.93957703927493</v>
      </c>
    </row>
    <row r="296" hidden="1">
      <c r="A296" s="5" t="n">
        <v>46154</v>
      </c>
      <c r="B296" s="6" t="inlineStr">
        <is>
          <t>Claudio de Sousa Velasco Filho</t>
        </is>
      </c>
      <c r="C296" s="3" t="inlineStr">
        <is>
          <t>Estágio</t>
        </is>
      </c>
      <c r="D296" s="3" t="n">
        <v>8</v>
      </c>
      <c r="E296" s="3" t="n">
        <v>7</v>
      </c>
      <c r="G296" s="3" t="n">
        <v>0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t="n">
        <v>6</v>
      </c>
      <c r="N296" t="n">
        <v>96.43000000000001</v>
      </c>
      <c r="O296" t="n">
        <v>20</v>
      </c>
    </row>
    <row r="297" hidden="1">
      <c r="A297" s="5" t="n">
        <v>46154</v>
      </c>
      <c r="B297" s="6" t="inlineStr">
        <is>
          <t>Emilly Caylane Costa</t>
        </is>
      </c>
      <c r="C297" s="3" t="inlineStr">
        <is>
          <t>Estágio</t>
        </is>
      </c>
      <c r="D297" s="3" t="n">
        <v>28</v>
      </c>
      <c r="E297" s="3" t="n">
        <v>16</v>
      </c>
      <c r="G297" s="3" t="n">
        <v>0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t="n">
        <v>0</v>
      </c>
      <c r="N297" t="n">
        <v>100</v>
      </c>
      <c r="O297" t="n">
        <v>29.03225806451613</v>
      </c>
    </row>
    <row r="298" hidden="1">
      <c r="A298" s="5" t="n">
        <v>46154</v>
      </c>
      <c r="B298" s="6" t="inlineStr">
        <is>
          <t>Maria Eduarda Sousa Costa</t>
        </is>
      </c>
      <c r="C298" s="3" t="inlineStr">
        <is>
          <t>Estágio</t>
        </is>
      </c>
      <c r="D298" s="3" t="n">
        <v>45</v>
      </c>
      <c r="E298" s="3" t="n">
        <v>27</v>
      </c>
      <c r="G298" s="3" t="n">
        <v>0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t="n">
        <v>1</v>
      </c>
      <c r="N298" t="n">
        <v>100</v>
      </c>
      <c r="O298" t="n">
        <v>11.86440677966102</v>
      </c>
    </row>
    <row r="299" hidden="1">
      <c r="A299" s="5" t="n">
        <v>46154</v>
      </c>
      <c r="B299" s="6" t="inlineStr">
        <is>
          <t>Michelle G Santos</t>
        </is>
      </c>
      <c r="C299" s="3" t="inlineStr">
        <is>
          <t>Estágio</t>
        </is>
      </c>
      <c r="D299" s="3" t="n">
        <v>9</v>
      </c>
      <c r="E299" s="3" t="n">
        <v>7</v>
      </c>
      <c r="G299" s="3" t="n">
        <v>0</v>
      </c>
      <c r="H299" s="3" t="n">
        <v>0</v>
      </c>
      <c r="I299" s="3">
        <f>E299+G299+H299</f>
        <v/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/>
      </c>
      <c r="K299" s="3">
        <f>I299-J299</f>
        <v/>
      </c>
      <c r="L299" s="3">
        <f>IF(K299&lt;-5,"CRÍTICO",IF(K299&lt;0,"ATENÇÃO",IF(K299&lt;=5,"BOM","EXCELENTE")))</f>
        <v/>
      </c>
      <c r="M299" t="n">
        <v>4</v>
      </c>
      <c r="N299" t="n">
        <v>100</v>
      </c>
      <c r="O299" t="n">
        <v>16.8141592920354</v>
      </c>
    </row>
    <row r="300" hidden="1">
      <c r="A300" s="5" t="n">
        <v>46154</v>
      </c>
      <c r="B300" s="6" t="inlineStr">
        <is>
          <t>Quirino Diogo Leite Torres</t>
        </is>
      </c>
      <c r="C300" s="3" t="inlineStr">
        <is>
          <t>Estágio</t>
        </is>
      </c>
      <c r="D300" s="3" t="n">
        <v>20</v>
      </c>
      <c r="E300" s="3" t="n">
        <v>17</v>
      </c>
      <c r="G300" s="3" t="n">
        <v>0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13</v>
      </c>
      <c r="N300" t="n">
        <v>98.11</v>
      </c>
      <c r="O300" t="n">
        <v>20.40816326530612</v>
      </c>
    </row>
    <row r="301" hidden="1">
      <c r="A301" s="5" t="n">
        <v>46154</v>
      </c>
      <c r="B301" s="6" t="inlineStr">
        <is>
          <t>Matheus Farias De Souza</t>
        </is>
      </c>
      <c r="C301" s="3" t="inlineStr">
        <is>
          <t>Técnico III</t>
        </is>
      </c>
      <c r="D301" s="3" t="n">
        <v>0</v>
      </c>
      <c r="E301" s="3" t="n">
        <v>0</v>
      </c>
      <c r="H301" s="3" t="n">
        <v>51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98.28</v>
      </c>
      <c r="O301" t="n">
        <v>9.037900874635568</v>
      </c>
    </row>
    <row r="302" hidden="1">
      <c r="A302" s="5" t="n">
        <v>46154</v>
      </c>
      <c r="B302" s="6" t="inlineStr">
        <is>
          <t>Maysa Victoria Dias Moura</t>
        </is>
      </c>
      <c r="C302" s="3" t="inlineStr">
        <is>
          <t>Técnico III</t>
        </is>
      </c>
      <c r="D302" s="3" t="n">
        <v>36</v>
      </c>
      <c r="E302" s="3" t="n">
        <v>31</v>
      </c>
      <c r="G302" s="3" t="n">
        <v>2</v>
      </c>
      <c r="H302" s="3" t="n">
        <v>0</v>
      </c>
      <c r="I302" s="3">
        <f>E302+G302+H302</f>
        <v/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/>
      </c>
      <c r="K302" s="3">
        <f>I302-J302</f>
        <v/>
      </c>
      <c r="L302" s="3">
        <f>IF(K302&lt;-5,"CRÍTICO",IF(K302&lt;0,"ATENÇÃO",IF(K302&lt;=5,"BOM","EXCELENTE")))</f>
        <v/>
      </c>
      <c r="M302" t="n">
        <v>28</v>
      </c>
      <c r="N302" t="n">
        <v>97.22</v>
      </c>
      <c r="O302" t="n">
        <v>19.09547738693467</v>
      </c>
    </row>
    <row r="303" hidden="1">
      <c r="A303" s="5" t="n">
        <v>46154</v>
      </c>
      <c r="B303" s="6" t="inlineStr">
        <is>
          <t>Milena Sales</t>
        </is>
      </c>
      <c r="C303" s="3" t="inlineStr">
        <is>
          <t>JR</t>
        </is>
      </c>
      <c r="D303" s="3" t="n">
        <v>47</v>
      </c>
      <c r="E303" s="3" t="n">
        <v>23</v>
      </c>
      <c r="G303" s="3" t="n">
        <v>0</v>
      </c>
      <c r="H303" s="3" t="n">
        <v>0</v>
      </c>
      <c r="I303" s="3">
        <f>E303+G303+H303</f>
        <v/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/>
      </c>
      <c r="K303" s="3">
        <f>I303-J303</f>
        <v/>
      </c>
      <c r="L303" s="3">
        <f>IF(K303&lt;-5,"CRÍTICO",IF(K303&lt;0,"ATENÇÃO",IF(K303&lt;=5,"BOM","EXCELENTE")))</f>
        <v/>
      </c>
      <c r="M303" t="n">
        <v>15</v>
      </c>
      <c r="N303" t="n">
        <v>98</v>
      </c>
      <c r="O303" t="n">
        <v>16.43835616438356</v>
      </c>
    </row>
    <row r="304" hidden="1">
      <c r="A304" s="5" t="n">
        <v>46154</v>
      </c>
      <c r="B304" s="6" t="inlineStr">
        <is>
          <t>Patrícia Karla de Sousa Araújo</t>
        </is>
      </c>
      <c r="C304" s="3" t="inlineStr">
        <is>
          <t>Técnico II</t>
        </is>
      </c>
      <c r="D304" s="3" t="n">
        <v>30</v>
      </c>
      <c r="E304" s="3" t="n">
        <v>26</v>
      </c>
      <c r="G304" s="3" t="n">
        <v>0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22</v>
      </c>
      <c r="N304" t="n">
        <v>100</v>
      </c>
      <c r="O304" t="n">
        <v>16.89497716894977</v>
      </c>
    </row>
    <row r="305" hidden="1">
      <c r="A305" s="5" t="n">
        <v>46154</v>
      </c>
      <c r="B305" s="6" t="inlineStr">
        <is>
          <t>Paulo Ricardo Santos</t>
        </is>
      </c>
      <c r="C305" s="3" t="inlineStr">
        <is>
          <t>JR</t>
        </is>
      </c>
      <c r="D305" s="3" t="n">
        <v>21</v>
      </c>
      <c r="E305" s="3" t="n">
        <v>21</v>
      </c>
      <c r="G305" s="3" t="n">
        <v>0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19</v>
      </c>
      <c r="N305" t="n">
        <v>100</v>
      </c>
      <c r="O305" t="n">
        <v>19.13875598086124</v>
      </c>
    </row>
    <row r="306" hidden="1">
      <c r="A306" s="5" t="n">
        <v>46154</v>
      </c>
      <c r="B306" s="6" t="inlineStr">
        <is>
          <t>Pedro Luiz Mota Sousa</t>
        </is>
      </c>
      <c r="C306" s="3" t="inlineStr">
        <is>
          <t>JR</t>
        </is>
      </c>
      <c r="D306" s="3" t="n">
        <v>12</v>
      </c>
      <c r="E306" s="3" t="n">
        <v>12</v>
      </c>
      <c r="G306" s="3" t="n">
        <v>0</v>
      </c>
      <c r="H306" s="3" t="n">
        <v>0</v>
      </c>
      <c r="I306" s="3">
        <f>E306+G306+H306</f>
        <v/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/>
      </c>
      <c r="K306" s="3">
        <f>I306-J306</f>
        <v/>
      </c>
      <c r="L306" s="3">
        <f>IF(K306&lt;-5,"CRÍTICO",IF(K306&lt;0,"ATENÇÃO",IF(K306&lt;=5,"BOM","EXCELENTE")))</f>
        <v/>
      </c>
      <c r="M306" t="n">
        <v>9</v>
      </c>
      <c r="N306" t="n">
        <v>100</v>
      </c>
      <c r="O306" t="n">
        <v>15.02145922746781</v>
      </c>
    </row>
    <row r="307" hidden="1">
      <c r="A307" s="5" t="n">
        <v>46154</v>
      </c>
      <c r="B307" s="6" t="inlineStr">
        <is>
          <t>Raane Batista Matos</t>
        </is>
      </c>
      <c r="C307" s="3" t="inlineStr">
        <is>
          <t>Técnico I</t>
        </is>
      </c>
      <c r="D307" s="3" t="n">
        <v>27</v>
      </c>
      <c r="E307" s="3" t="n">
        <v>26</v>
      </c>
      <c r="G307" s="3" t="n">
        <v>1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20</v>
      </c>
      <c r="N307" t="n">
        <v>97.56</v>
      </c>
      <c r="O307" t="n">
        <v>19.28783382789317</v>
      </c>
    </row>
    <row r="308" hidden="1">
      <c r="A308" s="5" t="n">
        <v>46154</v>
      </c>
      <c r="B308" s="6" t="inlineStr">
        <is>
          <t>Rafael Gomes de Morais</t>
        </is>
      </c>
      <c r="C308" s="3" t="inlineStr">
        <is>
          <t>Técnico III</t>
        </is>
      </c>
      <c r="D308" s="3" t="n">
        <v>33</v>
      </c>
      <c r="E308" s="3" t="n">
        <v>28</v>
      </c>
      <c r="G308" s="3" t="n">
        <v>1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22</v>
      </c>
      <c r="N308" t="n">
        <v>99.29000000000001</v>
      </c>
      <c r="O308" t="n">
        <v>22.49443207126949</v>
      </c>
    </row>
    <row r="309" hidden="1">
      <c r="A309" s="5" t="n">
        <v>46154</v>
      </c>
      <c r="B309" s="6" t="inlineStr">
        <is>
          <t>Sara Maria Monteiro Lopes</t>
        </is>
      </c>
      <c r="C309" s="3" t="inlineStr">
        <is>
          <t>Técnico I</t>
        </is>
      </c>
      <c r="D309" s="3" t="n">
        <v>19</v>
      </c>
      <c r="E309" s="3" t="n">
        <v>19</v>
      </c>
      <c r="G309" s="3" t="n">
        <v>0</v>
      </c>
      <c r="H309" s="3" t="n">
        <v>0</v>
      </c>
      <c r="I309" s="3">
        <f>E309+G309+H309</f>
        <v/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/>
      </c>
      <c r="K309" s="3">
        <f>I309-J309</f>
        <v/>
      </c>
      <c r="L309" s="3">
        <f>IF(K309&lt;-5,"CRÍTICO",IF(K309&lt;0,"ATENÇÃO",IF(K309&lt;=5,"BOM","EXCELENTE")))</f>
        <v/>
      </c>
      <c r="M309" t="n">
        <v>19</v>
      </c>
      <c r="N309" t="n">
        <v>100</v>
      </c>
      <c r="O309" t="n">
        <v>16.97247706422019</v>
      </c>
    </row>
    <row r="310" hidden="1">
      <c r="A310" s="5" t="n">
        <v>46154</v>
      </c>
      <c r="B310" s="6" t="inlineStr">
        <is>
          <t>Sarah Steffanie de Lima Borges</t>
        </is>
      </c>
      <c r="C310" s="3" t="inlineStr">
        <is>
          <t>Técnico III</t>
        </is>
      </c>
      <c r="D310" s="3" t="n">
        <v>29</v>
      </c>
      <c r="E310" s="3" t="n">
        <v>28</v>
      </c>
      <c r="G310" s="3" t="n">
        <v>4</v>
      </c>
      <c r="H310" s="3" t="n">
        <v>0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25</v>
      </c>
      <c r="N310" t="n">
        <v>97.33</v>
      </c>
      <c r="O310" t="n">
        <v>15.80547112462006</v>
      </c>
    </row>
    <row r="311" hidden="1">
      <c r="A311" s="5" t="n">
        <v>46155</v>
      </c>
      <c r="B311" s="6" t="inlineStr">
        <is>
          <t>Alisson de Freitas Silva</t>
        </is>
      </c>
      <c r="C311" s="3" t="inlineStr">
        <is>
          <t>Técnico II</t>
        </is>
      </c>
      <c r="D311" s="3" t="n">
        <v>28</v>
      </c>
      <c r="E311" s="3" t="n">
        <v>21</v>
      </c>
      <c r="G311" s="3" t="n">
        <v>2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s="3" t="n">
        <v>17</v>
      </c>
      <c r="N311" s="3" t="n">
        <v>98.94</v>
      </c>
      <c r="O311" s="3" t="n">
        <v>19.61414790996785</v>
      </c>
    </row>
    <row r="312" hidden="1">
      <c r="A312" s="5" t="n">
        <v>46155</v>
      </c>
      <c r="B312" s="6" t="inlineStr">
        <is>
          <t>Amanda Moura Ferreira</t>
        </is>
      </c>
      <c r="C312" s="3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IF(K312&lt;-5,"CRÍTICO",IF(K312&lt;0,"ATENÇÃO",IF(K312&lt;=5,"BOM","EXCELENTE")))</f>
        <v/>
      </c>
      <c r="M312" s="9" t="n">
        <v>0</v>
      </c>
      <c r="N312" s="9" t="n">
        <v>100</v>
      </c>
      <c r="O312" s="9" t="n">
        <v>0</v>
      </c>
    </row>
    <row r="313" hidden="1">
      <c r="A313" s="5" t="n">
        <v>46155</v>
      </c>
      <c r="B313" s="6" t="inlineStr">
        <is>
          <t>Ana Karollyne Souza Faria</t>
        </is>
      </c>
      <c r="C313" s="3" t="inlineStr">
        <is>
          <t>Técnico I</t>
        </is>
      </c>
      <c r="D313" s="3" t="n">
        <v>25</v>
      </c>
      <c r="E313" s="3" t="n">
        <v>21</v>
      </c>
      <c r="G313" s="3" t="n">
        <v>7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s="3" t="n">
        <v>26</v>
      </c>
      <c r="N313" s="3" t="n">
        <v>95.38</v>
      </c>
      <c r="O313" s="3" t="n">
        <v>21.5962441314554</v>
      </c>
    </row>
    <row r="314" hidden="1">
      <c r="A314" s="5" t="n">
        <v>46155</v>
      </c>
      <c r="B314" s="6" t="inlineStr">
        <is>
          <t>Ana Paula Da Luz Silva Aleixo</t>
        </is>
      </c>
      <c r="C314" s="9" t="inlineStr">
        <is>
          <t>Técnico III</t>
        </is>
      </c>
      <c r="D314" s="3" t="n">
        <v>26</v>
      </c>
      <c r="E314" s="3" t="n">
        <v>23</v>
      </c>
      <c r="G314" s="3" t="n">
        <v>0</v>
      </c>
      <c r="H314" s="3" t="n">
        <v>0</v>
      </c>
      <c r="I314" s="3">
        <f>E314+G314+H314</f>
        <v/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/>
      </c>
      <c r="K314" s="3">
        <f>I314-J314</f>
        <v/>
      </c>
      <c r="L314" s="3">
        <f>IF(K314&lt;-5,"CRÍTICO",IF(K314&lt;0,"ATENÇÃO",IF(K314&lt;=5,"BOM","EXCELENTE")))</f>
        <v/>
      </c>
      <c r="M314" t="n">
        <v>21</v>
      </c>
      <c r="N314" t="n">
        <v>96.34</v>
      </c>
      <c r="O314" t="n">
        <v>17.57188498402556</v>
      </c>
    </row>
    <row r="315" hidden="1">
      <c r="A315" s="5" t="n">
        <v>46155</v>
      </c>
      <c r="B315" s="6" t="inlineStr">
        <is>
          <t>Brenda de Menezes Silva</t>
        </is>
      </c>
      <c r="C315" s="3" t="inlineStr">
        <is>
          <t>Técnico II</t>
        </is>
      </c>
      <c r="D315" s="3" t="n">
        <v>33</v>
      </c>
      <c r="E315" s="3" t="n">
        <v>29</v>
      </c>
      <c r="G315" s="3" t="n">
        <v>1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30</v>
      </c>
      <c r="N315" t="n">
        <v>99.13</v>
      </c>
      <c r="O315" t="n">
        <v>14.7239263803681</v>
      </c>
    </row>
    <row r="316" hidden="1">
      <c r="A316" s="5" t="n">
        <v>46155</v>
      </c>
      <c r="B316" s="6" t="inlineStr">
        <is>
          <t>Carlos Mateus Cassimiro Nunes</t>
        </is>
      </c>
      <c r="C316" s="9" t="inlineStr">
        <is>
          <t>Técnico II</t>
        </is>
      </c>
      <c r="D316" s="3" t="n">
        <v>17</v>
      </c>
      <c r="E316" s="3" t="n">
        <v>16</v>
      </c>
      <c r="G316" s="3" t="n">
        <v>5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19</v>
      </c>
      <c r="N316" t="n">
        <v>98.8</v>
      </c>
      <c r="O316" t="n">
        <v>16.89750692520776</v>
      </c>
    </row>
    <row r="317" hidden="1">
      <c r="A317" s="5" t="n">
        <v>46155</v>
      </c>
      <c r="B317" s="6" t="inlineStr">
        <is>
          <t>Clessiane Pereira dos Santos</t>
        </is>
      </c>
      <c r="C317" s="3" t="inlineStr">
        <is>
          <t>Técnico I</t>
        </is>
      </c>
      <c r="D317" s="3" t="n">
        <v>37</v>
      </c>
      <c r="E317" s="3" t="n">
        <v>32</v>
      </c>
      <c r="G317" s="3" t="n">
        <v>3</v>
      </c>
      <c r="H317" s="3" t="n">
        <v>0</v>
      </c>
      <c r="I317" s="3">
        <f>E317+G317+H317</f>
        <v/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/>
      </c>
      <c r="K317" s="3">
        <f>I317-J317</f>
        <v/>
      </c>
      <c r="L317" s="3">
        <f>IF(K317&lt;-5,"CRÍTICO",IF(K317&lt;0,"ATENÇÃO",IF(K317&lt;=5,"BOM","EXCELENTE")))</f>
        <v/>
      </c>
      <c r="M317" t="n">
        <v>26</v>
      </c>
      <c r="N317" t="n">
        <v>96.88</v>
      </c>
      <c r="O317" t="n">
        <v>19.52662721893491</v>
      </c>
    </row>
    <row r="318" hidden="1">
      <c r="A318" s="5" t="n">
        <v>46155</v>
      </c>
      <c r="B318" s="6" t="inlineStr">
        <is>
          <t>Cristiane Ramos da Silva Rocha</t>
        </is>
      </c>
      <c r="C318" s="3" t="inlineStr">
        <is>
          <t>Técnico III</t>
        </is>
      </c>
      <c r="D318" s="3" t="n">
        <v>34</v>
      </c>
      <c r="E318" s="3" t="n">
        <v>30</v>
      </c>
      <c r="G318" s="3" t="n">
        <v>0</v>
      </c>
      <c r="H318" s="3" t="n">
        <v>0</v>
      </c>
      <c r="I318" s="3">
        <f>E318+G318+H318</f>
        <v/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/>
      </c>
      <c r="K318" s="3">
        <f>I318-J318</f>
        <v/>
      </c>
      <c r="L318" s="3">
        <f>IF(K318&lt;-5,"CRÍTICO",IF(K318&lt;0,"ATENÇÃO",IF(K318&lt;=5,"BOM","EXCELENTE")))</f>
        <v/>
      </c>
      <c r="M318" t="n">
        <v>31</v>
      </c>
      <c r="N318" t="n">
        <v>91.84999999999999</v>
      </c>
      <c r="O318" t="n">
        <v>20.87155963302752</v>
      </c>
    </row>
    <row r="319" hidden="1">
      <c r="A319" s="5" t="n">
        <v>46155</v>
      </c>
      <c r="B319" s="6" t="inlineStr">
        <is>
          <t>Damyllis Lorraine de Oliveira Gonçalves</t>
        </is>
      </c>
      <c r="C319" s="3" t="inlineStr">
        <is>
          <t>Técnico II</t>
        </is>
      </c>
      <c r="D319" s="3" t="n">
        <v>12</v>
      </c>
      <c r="E319" s="3" t="n">
        <v>9</v>
      </c>
      <c r="G319" s="3" t="n">
        <v>4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13</v>
      </c>
      <c r="N319" t="n">
        <v>98.63</v>
      </c>
      <c r="O319" t="n">
        <v>18.75</v>
      </c>
    </row>
    <row r="320" hidden="1">
      <c r="A320" s="5" t="n">
        <v>46155</v>
      </c>
      <c r="B320" s="6" t="inlineStr">
        <is>
          <t>Daniel Gomes da Silva</t>
        </is>
      </c>
      <c r="C320" s="3" t="inlineStr">
        <is>
          <t>Técnico I</t>
        </is>
      </c>
      <c r="D320" s="3" t="n">
        <v>17</v>
      </c>
      <c r="E320" s="3" t="n">
        <v>16</v>
      </c>
      <c r="G320" s="3" t="n">
        <v>5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19</v>
      </c>
      <c r="N320" t="n">
        <v>100</v>
      </c>
      <c r="O320" t="n">
        <v>18.14516129032258</v>
      </c>
    </row>
    <row r="321" hidden="1">
      <c r="A321" s="5" t="n">
        <v>46155</v>
      </c>
      <c r="B321" s="6" t="inlineStr">
        <is>
          <t>Davylla Rodrigues Freitas Silva</t>
        </is>
      </c>
      <c r="C321" s="9" t="inlineStr">
        <is>
          <t>Técnico III</t>
        </is>
      </c>
      <c r="D321" s="3" t="n">
        <v>23</v>
      </c>
      <c r="E321" s="3" t="n">
        <v>23</v>
      </c>
      <c r="G321" s="3" t="n">
        <v>0</v>
      </c>
      <c r="H321" s="3" t="n">
        <v>0</v>
      </c>
      <c r="I321" s="3">
        <f>E321+G321+H321</f>
        <v/>
      </c>
      <c r="J321" s="3">
        <f>ROUND(MIN(IF(C321="Técnico III",35,IF(C321="Técnico II",28,IF(C321="Técnico I",23,IF(C321="JR",20,IF(C321="Estágio",10,0))))),IF(C321="Técnico III",SUMIFS($D:$D,$A:$A,$A321,$B:$B,"&lt;&gt;Patrícia Karla de Sousa Araújo",$B:$B,"&lt;&gt;Lorena Dias de Araujo",$B:$B,"&lt;&gt;Lucas Luiz Romero")*(35/1083),IF(C321="Técnico II",SUMIFS($D:$D,$A:$A,$A321,$B:$B,"&lt;&gt;Patrícia Karla de Sousa Araújo",$B:$B,"&lt;&gt;Lorena Dias de Araujo",$B:$B,"&lt;&gt;Lucas Luiz Romero")*(28/1083),IF(C321="Técnico I",SUMIFS($D:$D,$A:$A,$A321,$B:$B,"&lt;&gt;Patrícia Karla de Sousa Araújo",$B:$B,"&lt;&gt;Lorena Dias de Araujo",$B:$B,"&lt;&gt;Lucas Luiz Romero")*(23/1083),IF(C321="JR",SUMIFS($D:$D,$A:$A,$A321,$B:$B,"&lt;&gt;Patrícia Karla de Sousa Araújo",$B:$B,"&lt;&gt;Lorena Dias de Araujo",$B:$B,"&lt;&gt;Lucas Luiz Romero")*(20/1083),IF(C321="Estágio",SUMIFS($D:$D,$A:$A,$A321,$B:$B,"&lt;&gt;Patrícia Karla de Sousa Araújo",$B:$B,"&lt;&gt;Lorena Dias de Araujo",$B:$B,"&lt;&gt;Lucas Luiz Romero")*(10/1083),0)))))),0)</f>
        <v/>
      </c>
      <c r="K321" s="3">
        <f>I321-J321</f>
        <v/>
      </c>
      <c r="L321" s="3">
        <f>IF(K321&lt;-5,"CRÍTICO",IF(K321&lt;0,"ATENÇÃO",IF(K321&lt;=5,"BOM","EXCELENTE")))</f>
        <v/>
      </c>
      <c r="M321" t="n">
        <v>21</v>
      </c>
      <c r="N321" t="n">
        <v>99.06</v>
      </c>
      <c r="O321" t="n">
        <v>22.95719844357977</v>
      </c>
    </row>
    <row r="322" hidden="1">
      <c r="A322" s="5" t="n">
        <v>46155</v>
      </c>
      <c r="B322" s="6" t="inlineStr">
        <is>
          <t>Emilly Kamilly Medeiros Miranda</t>
        </is>
      </c>
      <c r="C322" s="3" t="inlineStr">
        <is>
          <t>Técnico II</t>
        </is>
      </c>
      <c r="D322" s="3" t="n">
        <v>28</v>
      </c>
      <c r="E322" s="3" t="n">
        <v>25</v>
      </c>
      <c r="G322" s="3" t="n">
        <v>2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19</v>
      </c>
      <c r="N322" t="n">
        <v>100</v>
      </c>
      <c r="O322" t="n">
        <v>13.8121546961326</v>
      </c>
    </row>
    <row r="323" hidden="1">
      <c r="A323" s="5" t="n">
        <v>46155</v>
      </c>
      <c r="B323" s="6" t="inlineStr">
        <is>
          <t>Francielson de Oliveira</t>
        </is>
      </c>
      <c r="C323" s="9" t="inlineStr">
        <is>
          <t>Técnico III</t>
        </is>
      </c>
      <c r="D323" s="3" t="n">
        <v>0</v>
      </c>
      <c r="E323" s="3" t="n">
        <v>0</v>
      </c>
      <c r="F323" s="3" t="n">
        <v>0</v>
      </c>
      <c r="G323" s="3" t="n">
        <v>0</v>
      </c>
      <c r="H323" s="3" t="n">
        <v>0</v>
      </c>
      <c r="I323" s="3" t="n">
        <v>0</v>
      </c>
      <c r="J323" s="3" t="n">
        <v>0</v>
      </c>
      <c r="K323" s="3" t="n">
        <v>0</v>
      </c>
      <c r="L323" s="3">
        <f>IF(K323&lt;-5,"CRÍTICO",IF(K323&lt;0,"ATENÇÃO",IF(K323&lt;=5,"BOM","EXCELENTE")))</f>
        <v/>
      </c>
      <c r="M323" s="9" t="n">
        <v>0</v>
      </c>
      <c r="N323" s="9" t="n">
        <v>100</v>
      </c>
      <c r="O323" s="9" t="n">
        <v>9.523809523809524</v>
      </c>
    </row>
    <row r="324" hidden="1">
      <c r="A324" s="5" t="n">
        <v>46155</v>
      </c>
      <c r="B324" s="6" t="inlineStr">
        <is>
          <t>Francilene Ferreira de Jesus</t>
        </is>
      </c>
      <c r="C324" s="3" t="inlineStr">
        <is>
          <t>Técnico 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17.24137931034483</v>
      </c>
    </row>
    <row r="325">
      <c r="A325" s="5" t="n">
        <v>46155</v>
      </c>
      <c r="B325" s="6" t="inlineStr">
        <is>
          <t>Gabriel Gomes de Andrade</t>
        </is>
      </c>
      <c r="C325" s="3" t="inlineStr">
        <is>
          <t>Técnico I</t>
        </is>
      </c>
      <c r="D325" s="3" t="n">
        <v>20</v>
      </c>
      <c r="E325" s="3" t="n">
        <v>16</v>
      </c>
      <c r="G325" s="3" t="n">
        <v>11</v>
      </c>
      <c r="H325" s="3" t="n">
        <v>7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18</v>
      </c>
      <c r="N325" t="n">
        <v>98.8</v>
      </c>
      <c r="O325" t="n">
        <v>15.41353383458646</v>
      </c>
    </row>
    <row r="326" hidden="1">
      <c r="A326" s="5" t="n">
        <v>46155</v>
      </c>
      <c r="B326" s="6" t="inlineStr">
        <is>
          <t>Isabella Borges de Oliveira</t>
        </is>
      </c>
      <c r="C326" s="9" t="inlineStr">
        <is>
          <t>Técnico II</t>
        </is>
      </c>
      <c r="D326" s="3" t="n">
        <v>21</v>
      </c>
      <c r="E326" s="3" t="n">
        <v>21</v>
      </c>
      <c r="G326" s="3" t="n">
        <v>1</v>
      </c>
      <c r="H326" s="3" t="n">
        <v>0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22</v>
      </c>
      <c r="N326" t="n">
        <v>98.63</v>
      </c>
      <c r="O326" t="n">
        <v>15.75757575757576</v>
      </c>
    </row>
    <row r="327" hidden="1">
      <c r="A327" s="5" t="n">
        <v>46155</v>
      </c>
      <c r="B327" s="6" t="inlineStr">
        <is>
          <t>Janaina Lima dos Reis Urany</t>
        </is>
      </c>
      <c r="C327" s="3" t="inlineStr">
        <is>
          <t>Técnico III</t>
        </is>
      </c>
      <c r="D327" s="3" t="n">
        <v>46</v>
      </c>
      <c r="E327" s="3" t="n">
        <v>40</v>
      </c>
      <c r="G327" s="3" t="n">
        <v>3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37</v>
      </c>
      <c r="N327" t="n">
        <v>98.64</v>
      </c>
      <c r="O327" t="n">
        <v>16.6383701188455</v>
      </c>
    </row>
    <row r="328" hidden="1">
      <c r="A328" s="5" t="n">
        <v>46155</v>
      </c>
      <c r="B328" s="6" t="inlineStr">
        <is>
          <t>Jaqueline Evangelista da Silva Martins</t>
        </is>
      </c>
      <c r="C328" s="3" t="inlineStr">
        <is>
          <t>Técnico III</t>
        </is>
      </c>
      <c r="D328" s="3" t="n">
        <v>30</v>
      </c>
      <c r="E328" s="3" t="n">
        <v>29</v>
      </c>
      <c r="G328" s="3" t="n">
        <v>5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31</v>
      </c>
      <c r="N328" t="n">
        <v>95.40000000000001</v>
      </c>
      <c r="O328" t="n">
        <v>20.53333333333333</v>
      </c>
    </row>
    <row r="329" hidden="1">
      <c r="A329" s="5" t="n">
        <v>46155</v>
      </c>
      <c r="B329" s="6" t="inlineStr">
        <is>
          <t>Jessica Faria da Silveira</t>
        </is>
      </c>
      <c r="C329" s="3" t="inlineStr">
        <is>
          <t>Técnico II</t>
        </is>
      </c>
      <c r="D329" s="3" t="n">
        <v>33</v>
      </c>
      <c r="E329" s="3" t="n">
        <v>27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23</v>
      </c>
      <c r="N329" t="n">
        <v>98.61</v>
      </c>
      <c r="O329" t="n">
        <v>16.97530864197531</v>
      </c>
    </row>
    <row r="330" hidden="1">
      <c r="A330" s="5" t="n">
        <v>46155</v>
      </c>
      <c r="B330" s="6" t="inlineStr">
        <is>
          <t>Jéssica Fé Moura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0</v>
      </c>
      <c r="O330" s="9" t="n">
        <v>0</v>
      </c>
    </row>
    <row r="331" hidden="1">
      <c r="A331" s="5" t="n">
        <v>46155</v>
      </c>
      <c r="B331" s="6" t="inlineStr">
        <is>
          <t>Karina Gonçalves Martins</t>
        </is>
      </c>
      <c r="C331" s="3" t="inlineStr">
        <is>
          <t>JR</t>
        </is>
      </c>
      <c r="D331" s="3" t="n">
        <v>17</v>
      </c>
      <c r="E331" s="3" t="n">
        <v>14</v>
      </c>
      <c r="G331" s="3" t="n">
        <v>6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18</v>
      </c>
      <c r="N331" t="n">
        <v>97.01000000000001</v>
      </c>
      <c r="O331" t="n">
        <v>13.96103896103896</v>
      </c>
    </row>
    <row r="332" hidden="1">
      <c r="A332" s="5" t="n">
        <v>46155</v>
      </c>
      <c r="B332" s="6" t="inlineStr">
        <is>
          <t>Kerollen Cristielly de Jesus Siqueira</t>
        </is>
      </c>
      <c r="C332" s="9" t="inlineStr">
        <is>
          <t>Técnico III</t>
        </is>
      </c>
      <c r="D332" s="3" t="n">
        <v>27</v>
      </c>
      <c r="E332" s="3" t="n">
        <v>26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20</v>
      </c>
      <c r="N332" t="n">
        <v>95.52</v>
      </c>
      <c r="O332" t="n">
        <v>10.56105610561056</v>
      </c>
    </row>
    <row r="333" hidden="1">
      <c r="A333" s="5" t="n">
        <v>46155</v>
      </c>
      <c r="B333" s="6" t="inlineStr">
        <is>
          <t>Leandro de Souza Silva</t>
        </is>
      </c>
      <c r="C333" s="3" t="inlineStr">
        <is>
          <t>JR</t>
        </is>
      </c>
      <c r="D333" s="3" t="n">
        <v>0</v>
      </c>
      <c r="E333" s="3" t="n">
        <v>0</v>
      </c>
      <c r="F333" s="3" t="n">
        <v>0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s="9" t="n">
        <v>0</v>
      </c>
      <c r="N333" s="9" t="n">
        <v>100</v>
      </c>
      <c r="O333" s="9" t="n">
        <v>16.95906432748538</v>
      </c>
    </row>
    <row r="334" hidden="1">
      <c r="A334" s="5" t="n">
        <v>46155</v>
      </c>
      <c r="B334" s="6" t="inlineStr">
        <is>
          <t>Leandro Oliveira de Sousa</t>
        </is>
      </c>
      <c r="C334" s="9" t="inlineStr">
        <is>
          <t>Técnico III</t>
        </is>
      </c>
      <c r="D334" s="3" t="n">
        <v>25</v>
      </c>
      <c r="E334" s="3" t="n">
        <v>24</v>
      </c>
      <c r="G334" s="3" t="n">
        <v>1</v>
      </c>
      <c r="H334" s="3" t="n">
        <v>0</v>
      </c>
      <c r="I334" s="3">
        <f>E334+G334+H334</f>
        <v/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/>
      </c>
      <c r="K334" s="3">
        <f>I334-J334</f>
        <v/>
      </c>
      <c r="L334" s="3">
        <f>IF(K334&lt;-5,"CRÍTICO",IF(K334&lt;0,"ATENÇÃO",IF(K334&lt;=5,"BOM","EXCELENTE")))</f>
        <v/>
      </c>
      <c r="M334" t="n">
        <v>26</v>
      </c>
      <c r="N334" t="n">
        <v>100</v>
      </c>
      <c r="O334" t="n">
        <v>15.58441558441558</v>
      </c>
    </row>
    <row r="335" hidden="1">
      <c r="A335" s="5" t="n">
        <v>46155</v>
      </c>
      <c r="B335" s="6" t="inlineStr">
        <is>
          <t>Lizandra Gomes Duarte</t>
        </is>
      </c>
      <c r="C335" s="3" t="inlineStr">
        <is>
          <t>Técnico II</t>
        </is>
      </c>
      <c r="D335" s="3" t="n">
        <v>21</v>
      </c>
      <c r="E335" s="3" t="n">
        <v>20</v>
      </c>
      <c r="G335" s="3" t="n">
        <v>5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22</v>
      </c>
      <c r="N335" t="n">
        <v>98.61</v>
      </c>
      <c r="O335" t="n">
        <v>16.86746987951807</v>
      </c>
    </row>
    <row r="336" hidden="1">
      <c r="A336" s="5" t="n">
        <v>46155</v>
      </c>
      <c r="B336" s="6" t="inlineStr">
        <is>
          <t>Lorena Dias de Araujo</t>
        </is>
      </c>
      <c r="C336" s="3" t="inlineStr">
        <is>
          <t>Técnico II</t>
        </is>
      </c>
      <c r="D336" s="3" t="n">
        <v>30</v>
      </c>
      <c r="E336" s="3" t="n">
        <v>29</v>
      </c>
      <c r="G336" s="3" t="n">
        <v>1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26</v>
      </c>
      <c r="N336" t="n">
        <v>100</v>
      </c>
      <c r="O336" t="n">
        <v>20.82018927444795</v>
      </c>
    </row>
    <row r="337" hidden="1">
      <c r="A337" s="5" t="n">
        <v>46155</v>
      </c>
      <c r="B337" s="6" t="inlineStr">
        <is>
          <t>Lucas Luiz Romero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100</v>
      </c>
      <c r="O337" s="9" t="n">
        <v>4.347826086956522</v>
      </c>
    </row>
    <row r="338" hidden="1">
      <c r="A338" s="5" t="n">
        <v>46155</v>
      </c>
      <c r="B338" s="6" t="inlineStr">
        <is>
          <t>Luiz Fernando de Carvalho Junior</t>
        </is>
      </c>
      <c r="C338" s="3" t="inlineStr">
        <is>
          <t>Técnico I</t>
        </is>
      </c>
      <c r="D338" s="3" t="n">
        <v>24</v>
      </c>
      <c r="E338" s="3" t="n">
        <v>22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22</v>
      </c>
      <c r="N338" t="n">
        <v>93.26000000000001</v>
      </c>
      <c r="O338" t="n">
        <v>19.93957703927493</v>
      </c>
    </row>
    <row r="339" hidden="1">
      <c r="A339" s="5" t="n">
        <v>46155</v>
      </c>
      <c r="B339" s="6" t="inlineStr">
        <is>
          <t>Anna Luiza Rezende Tavares</t>
        </is>
      </c>
      <c r="C339" s="3" t="inlineStr">
        <is>
          <t>Estágio</t>
        </is>
      </c>
      <c r="D339" s="3" t="n">
        <v>23</v>
      </c>
      <c r="E339" s="3" t="n">
        <v>23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18</v>
      </c>
      <c r="N339" t="n">
        <v>99.11</v>
      </c>
      <c r="O339" t="n">
        <v>17.72151898734177</v>
      </c>
    </row>
    <row r="340" hidden="1">
      <c r="A340" s="5" t="n">
        <v>46155</v>
      </c>
      <c r="B340" s="6" t="inlineStr">
        <is>
          <t>Claudio de Sousa Velasco Filho</t>
        </is>
      </c>
      <c r="C340" s="3" t="inlineStr">
        <is>
          <t>Estágio</t>
        </is>
      </c>
      <c r="D340" s="3" t="n">
        <v>5</v>
      </c>
      <c r="E340" s="3" t="n">
        <v>5</v>
      </c>
      <c r="G340" s="3" t="n">
        <v>0</v>
      </c>
      <c r="H340" s="3" t="n">
        <v>0</v>
      </c>
      <c r="I340" s="3">
        <f>E340+G340+H340</f>
        <v/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/>
      </c>
      <c r="K340" s="3">
        <f>I340-J340</f>
        <v/>
      </c>
      <c r="L340" s="3">
        <f>IF(K340&lt;-5,"CRÍTICO",IF(K340&lt;0,"ATENÇÃO",IF(K340&lt;=5,"BOM","EXCELENTE")))</f>
        <v/>
      </c>
      <c r="M340" t="n">
        <v>5</v>
      </c>
      <c r="N340" t="n">
        <v>96.43000000000001</v>
      </c>
      <c r="O340" t="n">
        <v>20</v>
      </c>
    </row>
    <row r="341" hidden="1">
      <c r="A341" s="5" t="n">
        <v>46155</v>
      </c>
      <c r="B341" s="6" t="inlineStr">
        <is>
          <t>Emilly Caylane Costa</t>
        </is>
      </c>
      <c r="C341" s="3" t="inlineStr">
        <is>
          <t>Estágio</t>
        </is>
      </c>
      <c r="D341" s="3" t="n">
        <v>60</v>
      </c>
      <c r="E341" s="3" t="n">
        <v>19</v>
      </c>
      <c r="G341" s="3" t="n">
        <v>0</v>
      </c>
      <c r="H341" s="3" t="n">
        <v>0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0</v>
      </c>
      <c r="N341" t="n">
        <v>100</v>
      </c>
      <c r="O341" t="n">
        <v>29.03225806451613</v>
      </c>
    </row>
    <row r="342" hidden="1">
      <c r="A342" s="5" t="n">
        <v>46155</v>
      </c>
      <c r="B342" s="6" t="inlineStr">
        <is>
          <t>Maria Eduarda Sousa Costa</t>
        </is>
      </c>
      <c r="C342" s="3" t="inlineStr">
        <is>
          <t>Estágio</t>
        </is>
      </c>
      <c r="D342" s="3" t="n">
        <v>37</v>
      </c>
      <c r="E342" s="3" t="n">
        <v>23</v>
      </c>
      <c r="G342" s="3" t="n">
        <v>0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1</v>
      </c>
      <c r="N342" t="n">
        <v>100</v>
      </c>
      <c r="O342" t="n">
        <v>11.86440677966102</v>
      </c>
    </row>
    <row r="343" hidden="1">
      <c r="A343" s="5" t="n">
        <v>46155</v>
      </c>
      <c r="B343" s="6" t="inlineStr">
        <is>
          <t>Michelle G Santos</t>
        </is>
      </c>
      <c r="C343" s="3" t="inlineStr">
        <is>
          <t>Estágio</t>
        </is>
      </c>
      <c r="D343" s="3" t="n">
        <v>6</v>
      </c>
      <c r="E343" s="3" t="n">
        <v>6</v>
      </c>
      <c r="G343" s="3" t="n">
        <v>0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5</v>
      </c>
      <c r="N343" t="n">
        <v>100</v>
      </c>
      <c r="O343" t="n">
        <v>16.8141592920354</v>
      </c>
    </row>
    <row r="344" hidden="1">
      <c r="A344" s="5" t="n">
        <v>46155</v>
      </c>
      <c r="B344" s="6" t="inlineStr">
        <is>
          <t>Quirino Diogo Leite Torres</t>
        </is>
      </c>
      <c r="C344" s="3" t="inlineStr">
        <is>
          <t>Estágio</t>
        </is>
      </c>
      <c r="D344" s="3" t="n">
        <v>19</v>
      </c>
      <c r="E344" s="3" t="n">
        <v>18</v>
      </c>
      <c r="G344" s="3" t="n">
        <v>0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13</v>
      </c>
      <c r="N344" t="n">
        <v>98.11</v>
      </c>
      <c r="O344" t="n">
        <v>20.40816326530612</v>
      </c>
    </row>
    <row r="345" hidden="1">
      <c r="A345" s="5" t="n">
        <v>46155</v>
      </c>
      <c r="B345" s="6" t="inlineStr">
        <is>
          <t>Matheus Farias De Souza</t>
        </is>
      </c>
      <c r="C345" s="3" t="inlineStr">
        <is>
          <t>Técnico III</t>
        </is>
      </c>
      <c r="D345" s="3" t="n">
        <v>0</v>
      </c>
      <c r="E345" s="3" t="n">
        <v>0</v>
      </c>
      <c r="G345" s="3" t="n">
        <v>0</v>
      </c>
      <c r="H345" s="3" t="n">
        <v>41</v>
      </c>
      <c r="I345" s="3">
        <f>E345+G345+H345</f>
        <v/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/>
      </c>
      <c r="K345" s="3">
        <f>I345-J345</f>
        <v/>
      </c>
      <c r="L345" s="3">
        <f>IF(K345&lt;-5,"CRÍTICO",IF(K345&lt;0,"ATENÇÃO",IF(K345&lt;=5,"BOM","EXCELENTE")))</f>
        <v/>
      </c>
      <c r="M345" t="n">
        <v>28</v>
      </c>
      <c r="N345" t="n">
        <v>98.28</v>
      </c>
      <c r="O345" t="n">
        <v>9.037900874635568</v>
      </c>
    </row>
    <row r="346" hidden="1">
      <c r="A346" s="5" t="n">
        <v>46155</v>
      </c>
      <c r="B346" s="6" t="inlineStr">
        <is>
          <t>Maysa Victoria Dias Moura</t>
        </is>
      </c>
      <c r="C346" s="3" t="inlineStr">
        <is>
          <t>Técnico III</t>
        </is>
      </c>
      <c r="D346" s="3" t="n">
        <v>36</v>
      </c>
      <c r="E346" s="3" t="n">
        <v>30</v>
      </c>
      <c r="G346" s="3" t="n">
        <v>4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29</v>
      </c>
      <c r="N346" t="n">
        <v>97.22</v>
      </c>
      <c r="O346" t="n">
        <v>19.09547738693467</v>
      </c>
    </row>
    <row r="347" hidden="1">
      <c r="A347" s="5" t="n">
        <v>46155</v>
      </c>
      <c r="B347" s="6" t="inlineStr">
        <is>
          <t>Milena Sales</t>
        </is>
      </c>
      <c r="C347" s="3" t="inlineStr">
        <is>
          <t>JR</t>
        </is>
      </c>
      <c r="D347" s="3" t="n">
        <v>27</v>
      </c>
      <c r="E347" s="3" t="n">
        <v>24</v>
      </c>
      <c r="G347" s="3" t="n">
        <v>1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18</v>
      </c>
      <c r="N347" t="n">
        <v>98</v>
      </c>
      <c r="O347" t="n">
        <v>16.43835616438356</v>
      </c>
    </row>
    <row r="348" hidden="1">
      <c r="A348" s="5" t="n">
        <v>46155</v>
      </c>
      <c r="B348" s="6" t="inlineStr">
        <is>
          <t>Patrícia Karla de Sousa Araújo</t>
        </is>
      </c>
      <c r="C348" s="3" t="inlineStr">
        <is>
          <t>Técnico II</t>
        </is>
      </c>
      <c r="D348" s="3" t="n">
        <v>24</v>
      </c>
      <c r="E348" s="3" t="n">
        <v>22</v>
      </c>
      <c r="G348" s="3" t="n">
        <v>0</v>
      </c>
      <c r="H348" s="3" t="n">
        <v>0</v>
      </c>
      <c r="I348" s="3">
        <f>E348+G348+H348</f>
        <v/>
      </c>
      <c r="J348" s="3">
        <f>ROUND(MIN(IF(C348="Técnico III",35,IF(C348="Técnico II",28,IF(C348="Técnico I",23,IF(C348="JR",20,IF(C348="Estágio",10,0))))),IF(C348="Técnico III",SUMIFS($D:$D,$A:$A,$A348,$B:$B,"&lt;&gt;Patrícia Karla de Sousa Araújo",$B:$B,"&lt;&gt;Lorena Dias de Araujo",$B:$B,"&lt;&gt;Lucas Luiz Romero")*(35/1083),IF(C348="Técnico II",SUMIFS($D:$D,$A:$A,$A348,$B:$B,"&lt;&gt;Patrícia Karla de Sousa Araújo",$B:$B,"&lt;&gt;Lorena Dias de Araujo",$B:$B,"&lt;&gt;Lucas Luiz Romero")*(28/1083),IF(C348="Técnico I",SUMIFS($D:$D,$A:$A,$A348,$B:$B,"&lt;&gt;Patrícia Karla de Sousa Araújo",$B:$B,"&lt;&gt;Lorena Dias de Araujo",$B:$B,"&lt;&gt;Lucas Luiz Romero")*(23/1083),IF(C348="JR",SUMIFS($D:$D,$A:$A,$A348,$B:$B,"&lt;&gt;Patrícia Karla de Sousa Araújo",$B:$B,"&lt;&gt;Lorena Dias de Araujo",$B:$B,"&lt;&gt;Lucas Luiz Romero")*(20/1083),IF(C348="Estágio",SUMIFS($D:$D,$A:$A,$A348,$B:$B,"&lt;&gt;Patrícia Karla de Sousa Araújo",$B:$B,"&lt;&gt;Lorena Dias de Araujo",$B:$B,"&lt;&gt;Lucas Luiz Romero")*(10/1083),0)))))),0)</f>
        <v/>
      </c>
      <c r="K348" s="3">
        <f>I348-J348</f>
        <v/>
      </c>
      <c r="L348" s="3">
        <f>IF(K348&lt;-5,"CRÍTICO",IF(K348&lt;0,"ATENÇÃO",IF(K348&lt;=5,"BOM","EXCELENTE")))</f>
        <v/>
      </c>
      <c r="M348" t="n">
        <v>18</v>
      </c>
      <c r="N348" t="n">
        <v>100</v>
      </c>
      <c r="O348" t="n">
        <v>16.89497716894977</v>
      </c>
    </row>
    <row r="349" hidden="1">
      <c r="A349" s="5" t="n">
        <v>46155</v>
      </c>
      <c r="B349" s="6" t="inlineStr">
        <is>
          <t>Paulo Ricardo Santos</t>
        </is>
      </c>
      <c r="C349" s="3" t="inlineStr">
        <is>
          <t>JR</t>
        </is>
      </c>
      <c r="D349" s="3" t="n">
        <v>12</v>
      </c>
      <c r="E349" s="3" t="n">
        <v>11</v>
      </c>
      <c r="G349" s="3" t="n">
        <v>0</v>
      </c>
      <c r="H349" s="3" t="n">
        <v>0</v>
      </c>
      <c r="I349" s="3">
        <f>E349+G349+H349</f>
        <v/>
      </c>
      <c r="J349" s="3">
        <f>ROUND(MIN(IF(C349="Técnico III",35,IF(C349="Técnico II",28,IF(C349="Técnico I",23,IF(C349="JR",20,IF(C349="Estágio",10,0))))),IF(C349="Técnico III",SUMIFS($D:$D,$A:$A,$A349,$B:$B,"&lt;&gt;Patrícia Karla de Sousa Araújo",$B:$B,"&lt;&gt;Lorena Dias de Araujo",$B:$B,"&lt;&gt;Lucas Luiz Romero")*(35/1083),IF(C349="Técnico II",SUMIFS($D:$D,$A:$A,$A349,$B:$B,"&lt;&gt;Patrícia Karla de Sousa Araújo",$B:$B,"&lt;&gt;Lorena Dias de Araujo",$B:$B,"&lt;&gt;Lucas Luiz Romero")*(28/1083),IF(C349="Técnico I",SUMIFS($D:$D,$A:$A,$A349,$B:$B,"&lt;&gt;Patrícia Karla de Sousa Araújo",$B:$B,"&lt;&gt;Lorena Dias de Araujo",$B:$B,"&lt;&gt;Lucas Luiz Romero")*(23/1083),IF(C349="JR",SUMIFS($D:$D,$A:$A,$A349,$B:$B,"&lt;&gt;Patrícia Karla de Sousa Araújo",$B:$B,"&lt;&gt;Lorena Dias de Araujo",$B:$B,"&lt;&gt;Lucas Luiz Romero")*(20/1083),IF(C349="Estágio",SUMIFS($D:$D,$A:$A,$A349,$B:$B,"&lt;&gt;Patrícia Karla de Sousa Araújo",$B:$B,"&lt;&gt;Lorena Dias de Araujo",$B:$B,"&lt;&gt;Lucas Luiz Romero")*(10/1083),0)))))),0)</f>
        <v/>
      </c>
      <c r="K349" s="3">
        <f>I349-J349</f>
        <v/>
      </c>
      <c r="L349" s="3">
        <f>IF(K349&lt;-5,"CRÍTICO",IF(K349&lt;0,"ATENÇÃO",IF(K349&lt;=5,"BOM","EXCELENTE")))</f>
        <v/>
      </c>
      <c r="M349" t="n">
        <v>14</v>
      </c>
      <c r="N349" t="n">
        <v>100</v>
      </c>
      <c r="O349" t="n">
        <v>19.13875598086124</v>
      </c>
    </row>
    <row r="350" hidden="1">
      <c r="A350" s="5" t="n">
        <v>46155</v>
      </c>
      <c r="B350" s="6" t="inlineStr">
        <is>
          <t>Pedro Luiz Mota Sousa</t>
        </is>
      </c>
      <c r="C350" s="3" t="inlineStr">
        <is>
          <t>JR</t>
        </is>
      </c>
      <c r="D350" s="3" t="n">
        <v>15</v>
      </c>
      <c r="E350" s="3" t="n">
        <v>14</v>
      </c>
      <c r="G350" s="3" t="n">
        <v>4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18</v>
      </c>
      <c r="N350" t="n">
        <v>100</v>
      </c>
      <c r="O350" t="n">
        <v>15.02145922746781</v>
      </c>
    </row>
    <row r="351" hidden="1">
      <c r="A351" s="5" t="n">
        <v>46155</v>
      </c>
      <c r="B351" s="6" t="inlineStr">
        <is>
          <t>Raane Batista Matos</t>
        </is>
      </c>
      <c r="C351" s="3" t="inlineStr">
        <is>
          <t>Técnico I</t>
        </is>
      </c>
      <c r="D351" s="3" t="n">
        <v>33</v>
      </c>
      <c r="E351" s="3" t="n">
        <v>31</v>
      </c>
      <c r="G351" s="3" t="n">
        <v>7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97.56</v>
      </c>
      <c r="O351" t="n">
        <v>19.28783382789317</v>
      </c>
    </row>
    <row r="352" hidden="1">
      <c r="A352" s="5" t="n">
        <v>46155</v>
      </c>
      <c r="B352" s="6" t="inlineStr">
        <is>
          <t>Rafael Gomes de Morais</t>
        </is>
      </c>
      <c r="C352" s="3" t="inlineStr">
        <is>
          <t>Técnico III</t>
        </is>
      </c>
      <c r="D352" s="3" t="n">
        <v>36</v>
      </c>
      <c r="E352" s="3" t="n">
        <v>32</v>
      </c>
      <c r="G352" s="3" t="n">
        <v>5</v>
      </c>
      <c r="H352" s="3" t="n">
        <v>0</v>
      </c>
      <c r="I352" s="3">
        <f>E352+G352+H352</f>
        <v/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/>
      </c>
      <c r="K352" s="3">
        <f>I352-J352</f>
        <v/>
      </c>
      <c r="L352" s="3">
        <f>IF(K352&lt;-5,"CRÍTICO",IF(K352&lt;0,"ATENÇÃO",IF(K352&lt;=5,"BOM","EXCELENTE")))</f>
        <v/>
      </c>
      <c r="M352" t="n">
        <v>32</v>
      </c>
      <c r="N352" t="n">
        <v>99.29000000000001</v>
      </c>
      <c r="O352" t="n">
        <v>22.49443207126949</v>
      </c>
    </row>
    <row r="353" hidden="1">
      <c r="A353" s="5" t="n">
        <v>46155</v>
      </c>
      <c r="B353" s="6" t="inlineStr">
        <is>
          <t>Sara Maria Monteiro Lopes</t>
        </is>
      </c>
      <c r="C353" s="3" t="inlineStr">
        <is>
          <t>Técnico I</t>
        </is>
      </c>
      <c r="D353" s="3" t="n">
        <v>11</v>
      </c>
      <c r="E353" s="3" t="n">
        <v>10</v>
      </c>
      <c r="G353" s="3" t="n">
        <v>5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16</v>
      </c>
      <c r="N353" t="n">
        <v>100</v>
      </c>
      <c r="O353" t="n">
        <v>16.97247706422019</v>
      </c>
    </row>
    <row r="354" hidden="1">
      <c r="A354" s="5" t="n">
        <v>46155</v>
      </c>
      <c r="B354" s="6" t="inlineStr">
        <is>
          <t>Sarah Steffanie de Lima Borges</t>
        </is>
      </c>
      <c r="C354" s="3" t="inlineStr">
        <is>
          <t>Técnico III</t>
        </is>
      </c>
      <c r="D354" s="3" t="n">
        <v>25</v>
      </c>
      <c r="E354" s="3" t="n">
        <v>23</v>
      </c>
      <c r="G354" s="3" t="n">
        <v>0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21</v>
      </c>
      <c r="N354" t="n">
        <v>97.33</v>
      </c>
      <c r="O354" t="n">
        <v>15.80547112462006</v>
      </c>
    </row>
    <row r="355" hidden="1">
      <c r="A355" s="5" t="n">
        <v>46156</v>
      </c>
      <c r="B355" s="6" t="inlineStr">
        <is>
          <t>Alisson de Freitas Silva</t>
        </is>
      </c>
      <c r="C355" s="3" t="inlineStr">
        <is>
          <t>Técnico II</t>
        </is>
      </c>
      <c r="D355" s="3" t="n">
        <v>33</v>
      </c>
      <c r="E355" s="3" t="n">
        <v>28</v>
      </c>
      <c r="G355" s="3" t="n">
        <v>6</v>
      </c>
      <c r="H355" s="3" t="n">
        <v>0</v>
      </c>
      <c r="I355" s="3">
        <f>E355+G355+H355</f>
        <v/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/>
      </c>
      <c r="K355" s="3">
        <f>I355-J355</f>
        <v/>
      </c>
      <c r="L355" s="3">
        <f>IF(K355&lt;-5,"CRÍTICO",IF(K355&lt;0,"ATENÇÃO",IF(K355&lt;=5,"BOM","EXCELENTE")))</f>
        <v/>
      </c>
      <c r="M355" s="3" t="n">
        <v>23</v>
      </c>
      <c r="N355" s="3" t="n">
        <v>98.94</v>
      </c>
      <c r="O355" s="3" t="n">
        <v>19.61414790996785</v>
      </c>
    </row>
    <row r="356" hidden="1">
      <c r="A356" s="5" t="n">
        <v>46156</v>
      </c>
      <c r="B356" s="6" t="inlineStr">
        <is>
          <t>Amanda Moura Ferreira</t>
        </is>
      </c>
      <c r="C356" s="3" t="inlineStr">
        <is>
          <t>Técnico III</t>
        </is>
      </c>
      <c r="D356" s="3" t="n">
        <v>0</v>
      </c>
      <c r="E356" s="3" t="n">
        <v>0</v>
      </c>
      <c r="F356" s="3" t="n">
        <v>0</v>
      </c>
      <c r="G356" s="3" t="n">
        <v>0</v>
      </c>
      <c r="H356" s="3" t="n">
        <v>0</v>
      </c>
      <c r="I356" s="3" t="n">
        <v>0</v>
      </c>
      <c r="J356" s="3" t="n">
        <v>0</v>
      </c>
      <c r="K356" s="3" t="n">
        <v>0</v>
      </c>
      <c r="L356" s="3">
        <f>IF(K356&lt;-5,"CRÍTICO",IF(K356&lt;0,"ATENÇÃO",IF(K356&lt;=5,"BOM","EXCELENTE")))</f>
        <v/>
      </c>
      <c r="M356" s="9" t="n">
        <v>0</v>
      </c>
      <c r="N356" s="9" t="n">
        <v>100</v>
      </c>
      <c r="O356" s="9" t="n">
        <v>0</v>
      </c>
    </row>
    <row r="357" hidden="1">
      <c r="A357" s="5" t="n">
        <v>46156</v>
      </c>
      <c r="B357" s="6" t="inlineStr">
        <is>
          <t>Ana Karollyne Souza Faria</t>
        </is>
      </c>
      <c r="C357" s="3" t="inlineStr">
        <is>
          <t>Técnico I</t>
        </is>
      </c>
      <c r="D357" s="3" t="n">
        <v>27</v>
      </c>
      <c r="E357" s="3" t="n">
        <v>25</v>
      </c>
      <c r="G357" s="3" t="n">
        <v>1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s="3" t="n">
        <v>23</v>
      </c>
      <c r="N357" s="3" t="n">
        <v>95.38</v>
      </c>
      <c r="O357" s="3" t="n">
        <v>21.5962441314554</v>
      </c>
    </row>
    <row r="358" hidden="1">
      <c r="A358" s="5" t="n">
        <v>46156</v>
      </c>
      <c r="B358" s="6" t="inlineStr">
        <is>
          <t>Ana Paula Da Luz Silva Aleixo</t>
        </is>
      </c>
      <c r="C358" s="9" t="inlineStr">
        <is>
          <t>Técnico III</t>
        </is>
      </c>
      <c r="D358" s="3" t="n">
        <v>25</v>
      </c>
      <c r="E358" s="3" t="n">
        <v>25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27</v>
      </c>
      <c r="N358" t="n">
        <v>96.34</v>
      </c>
      <c r="O358" t="n">
        <v>17.57188498402556</v>
      </c>
    </row>
    <row r="359" hidden="1">
      <c r="A359" s="5" t="n">
        <v>46156</v>
      </c>
      <c r="B359" s="6" t="inlineStr">
        <is>
          <t>Brenda de Menezes Silva</t>
        </is>
      </c>
      <c r="C359" s="3" t="inlineStr">
        <is>
          <t>Técnico II</t>
        </is>
      </c>
      <c r="D359" s="3" t="n">
        <v>29</v>
      </c>
      <c r="E359" s="3" t="n">
        <v>29</v>
      </c>
      <c r="G359" s="3" t="n">
        <v>4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33</v>
      </c>
      <c r="N359" t="n">
        <v>99.13</v>
      </c>
      <c r="O359" t="n">
        <v>14.7239263803681</v>
      </c>
    </row>
    <row r="360" hidden="1">
      <c r="A360" s="5" t="n">
        <v>46156</v>
      </c>
      <c r="B360" s="6" t="inlineStr">
        <is>
          <t>Carlos Mateus Cassimiro Nunes</t>
        </is>
      </c>
      <c r="C360" s="9" t="inlineStr">
        <is>
          <t>Técnico II</t>
        </is>
      </c>
      <c r="D360" s="3" t="n">
        <v>25</v>
      </c>
      <c r="E360" s="3" t="n">
        <v>23</v>
      </c>
      <c r="G360" s="3" t="n">
        <v>4</v>
      </c>
      <c r="H360" s="3" t="n">
        <v>0</v>
      </c>
      <c r="I360" s="3">
        <f>E360+G360+H360</f>
        <v/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/>
      </c>
      <c r="K360" s="3">
        <f>I360-J360</f>
        <v/>
      </c>
      <c r="L360" s="3">
        <f>IF(K360&lt;-5,"CRÍTICO",IF(K360&lt;0,"ATENÇÃO",IF(K360&lt;=5,"BOM","EXCELENTE")))</f>
        <v/>
      </c>
      <c r="M360" t="n">
        <v>25</v>
      </c>
      <c r="N360" t="n">
        <v>98.8</v>
      </c>
      <c r="O360" t="n">
        <v>16.89750692520776</v>
      </c>
    </row>
    <row r="361" hidden="1">
      <c r="A361" s="5" t="n">
        <v>46156</v>
      </c>
      <c r="B361" s="6" t="inlineStr">
        <is>
          <t>Clessiane Pereira dos Santos</t>
        </is>
      </c>
      <c r="C361" s="3" t="inlineStr">
        <is>
          <t>Técnico I</t>
        </is>
      </c>
      <c r="D361" s="3" t="n">
        <v>33</v>
      </c>
      <c r="E361" s="3" t="n">
        <v>29</v>
      </c>
      <c r="G361" s="3" t="n">
        <v>7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30</v>
      </c>
      <c r="N361" t="n">
        <v>96.88</v>
      </c>
      <c r="O361" t="n">
        <v>19.52662721893491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Damyllis Lorraine de Oliveira Gonçalves</t>
        </is>
      </c>
      <c r="C363" s="3" t="inlineStr">
        <is>
          <t>Técnico II</t>
        </is>
      </c>
      <c r="D363" s="3" t="n">
        <v>22</v>
      </c>
      <c r="E363" s="3" t="n">
        <v>18</v>
      </c>
      <c r="G363" s="3" t="n">
        <v>0</v>
      </c>
      <c r="H363" s="3" t="n">
        <v>0</v>
      </c>
      <c r="I363" s="3">
        <f>E363+G363+H363</f>
        <v/>
      </c>
      <c r="J363" s="3">
        <f>ROUND(MIN(IF(C363="Técnico III",35,IF(C363="Técnico II",28,IF(C363="Técnico I",23,IF(C363="JR",20,IF(C363="Estágio",10,0))))),IF(C363="Técnico III",SUMIFS($D:$D,$A:$A,$A363,$B:$B,"&lt;&gt;Patrícia Karla de Sousa Araújo",$B:$B,"&lt;&gt;Lorena Dias de Araujo",$B:$B,"&lt;&gt;Lucas Luiz Romero")*(35/1083),IF(C363="Técnico II",SUMIFS($D:$D,$A:$A,$A363,$B:$B,"&lt;&gt;Patrícia Karla de Sousa Araújo",$B:$B,"&lt;&gt;Lorena Dias de Araujo",$B:$B,"&lt;&gt;Lucas Luiz Romero")*(28/1083),IF(C363="Técnico I",SUMIFS($D:$D,$A:$A,$A363,$B:$B,"&lt;&gt;Patrícia Karla de Sousa Araújo",$B:$B,"&lt;&gt;Lorena Dias de Araujo",$B:$B,"&lt;&gt;Lucas Luiz Romero")*(23/1083),IF(C363="JR",SUMIFS($D:$D,$A:$A,$A363,$B:$B,"&lt;&gt;Patrícia Karla de Sousa Araújo",$B:$B,"&lt;&gt;Lorena Dias de Araujo",$B:$B,"&lt;&gt;Lucas Luiz Romero")*(20/1083),IF(C363="Estágio",SUMIFS($D:$D,$A:$A,$A363,$B:$B,"&lt;&gt;Patrícia Karla de Sousa Araújo",$B:$B,"&lt;&gt;Lorena Dias de Araujo",$B:$B,"&lt;&gt;Lucas Luiz Romero")*(10/1083),0)))))),0)</f>
        <v/>
      </c>
      <c r="K363" s="3">
        <f>I363-J363</f>
        <v/>
      </c>
      <c r="L363" s="3">
        <f>IF(K363&lt;-5,"CRÍTICO",IF(K363&lt;0,"ATENÇÃO",IF(K363&lt;=5,"BOM","EXCELENTE")))</f>
        <v/>
      </c>
      <c r="M363" t="n">
        <v>17</v>
      </c>
      <c r="N363" t="n">
        <v>98.63</v>
      </c>
      <c r="O363" t="n">
        <v>18.75</v>
      </c>
    </row>
    <row r="364" hidden="1">
      <c r="A364" s="5" t="n">
        <v>46156</v>
      </c>
      <c r="B364" s="6" t="inlineStr">
        <is>
          <t>Daniel Gomes da Silva</t>
        </is>
      </c>
      <c r="C364" s="3" t="inlineStr">
        <is>
          <t>Técnico I</t>
        </is>
      </c>
      <c r="D364" s="3" t="n">
        <v>30</v>
      </c>
      <c r="E364" s="3" t="n">
        <v>28</v>
      </c>
      <c r="G364" s="3" t="n">
        <v>1</v>
      </c>
      <c r="H364" s="3" t="n">
        <v>0</v>
      </c>
      <c r="I364" s="3">
        <f>E364+G364+H364</f>
        <v/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/>
      </c>
      <c r="K364" s="3">
        <f>I364-J364</f>
        <v/>
      </c>
      <c r="L364" s="3">
        <f>IF(K364&lt;-5,"CRÍTICO",IF(K364&lt;0,"ATENÇÃO",IF(K364&lt;=5,"BOM","EXCELENTE")))</f>
        <v/>
      </c>
      <c r="M364" t="n">
        <v>20</v>
      </c>
      <c r="N364" t="n">
        <v>100</v>
      </c>
      <c r="O364" t="n">
        <v>18.14516129032258</v>
      </c>
    </row>
    <row r="365" hidden="1">
      <c r="A365" s="5" t="n">
        <v>46156</v>
      </c>
      <c r="B365" s="6" t="inlineStr">
        <is>
          <t>Davylla Rodrigues Freitas Silva</t>
        </is>
      </c>
      <c r="C365" s="9" t="inlineStr">
        <is>
          <t>Técnico III</t>
        </is>
      </c>
      <c r="D365" s="3" t="n">
        <v>22</v>
      </c>
      <c r="E365" s="3" t="n">
        <v>21</v>
      </c>
      <c r="G365" s="3" t="n">
        <v>5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26</v>
      </c>
      <c r="N365" t="n">
        <v>99.06</v>
      </c>
      <c r="O365" t="n">
        <v>22.95719844357977</v>
      </c>
    </row>
    <row r="366" hidden="1">
      <c r="A366" s="5" t="n">
        <v>46156</v>
      </c>
      <c r="B366" s="6" t="inlineStr">
        <is>
          <t>Emilly Kamilly Medeiros Miranda</t>
        </is>
      </c>
      <c r="C366" s="3" t="inlineStr">
        <is>
          <t>Técnico II</t>
        </is>
      </c>
      <c r="D366" s="3" t="n">
        <v>14</v>
      </c>
      <c r="E366" s="3" t="n">
        <v>13</v>
      </c>
      <c r="G366" s="3" t="n">
        <v>0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18</v>
      </c>
      <c r="N366" t="n">
        <v>100</v>
      </c>
      <c r="O366" t="n">
        <v>13.8121546961326</v>
      </c>
    </row>
    <row r="367" hidden="1">
      <c r="A367" s="5" t="n">
        <v>46156</v>
      </c>
      <c r="B367" s="6" t="inlineStr">
        <is>
          <t>Francielson de Oliveira</t>
        </is>
      </c>
      <c r="C367" s="9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100</v>
      </c>
      <c r="O367" s="9" t="n">
        <v>9.523809523809524</v>
      </c>
    </row>
    <row r="368" hidden="1">
      <c r="A368" s="5" t="n">
        <v>46156</v>
      </c>
      <c r="B368" s="6" t="inlineStr">
        <is>
          <t>Francilene Ferreira de Jesus</t>
        </is>
      </c>
      <c r="C368" s="3" t="inlineStr">
        <is>
          <t>Técnico II</t>
        </is>
      </c>
      <c r="D368" s="3" t="n">
        <v>0</v>
      </c>
      <c r="E368" s="3" t="n">
        <v>0</v>
      </c>
      <c r="F368" s="3" t="n">
        <v>0</v>
      </c>
      <c r="G368" s="3" t="n">
        <v>0</v>
      </c>
      <c r="H368" s="3" t="n">
        <v>0</v>
      </c>
      <c r="I368" s="3" t="n">
        <v>0</v>
      </c>
      <c r="J368" s="3" t="n">
        <v>0</v>
      </c>
      <c r="K368" s="3" t="n">
        <v>0</v>
      </c>
      <c r="L368" s="3">
        <f>IF(K368&lt;-5,"CRÍTICO",IF(K368&lt;0,"ATENÇÃO",IF(K368&lt;=5,"BOM","EXCELENTE")))</f>
        <v/>
      </c>
      <c r="M368" s="9" t="n">
        <v>0</v>
      </c>
      <c r="N368" s="9" t="n">
        <v>100</v>
      </c>
      <c r="O368" s="9" t="n">
        <v>17.24137931034483</v>
      </c>
    </row>
    <row r="369">
      <c r="A369" s="5" t="n">
        <v>46156</v>
      </c>
      <c r="B369" s="6" t="inlineStr">
        <is>
          <t>Gabriel Gomes de Andrade</t>
        </is>
      </c>
      <c r="C369" s="3" t="inlineStr">
        <is>
          <t>Técnico I</t>
        </is>
      </c>
      <c r="D369" s="3" t="n">
        <v>19</v>
      </c>
      <c r="E369" s="3" t="n">
        <v>18</v>
      </c>
      <c r="G369" s="3" t="n">
        <v>0</v>
      </c>
      <c r="H369" s="3" t="n">
        <v>5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23</v>
      </c>
      <c r="N369" t="n">
        <v>98.8</v>
      </c>
      <c r="O369" t="n">
        <v>15.41353383458646</v>
      </c>
    </row>
    <row r="370" hidden="1">
      <c r="A370" s="5" t="n">
        <v>46156</v>
      </c>
      <c r="B370" s="6" t="inlineStr">
        <is>
          <t>Isabella Borges de Oliveira</t>
        </is>
      </c>
      <c r="C370" s="9" t="inlineStr">
        <is>
          <t>Técnico II</t>
        </is>
      </c>
      <c r="D370" s="3" t="n">
        <v>17</v>
      </c>
      <c r="E370" s="3" t="n">
        <v>17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13</v>
      </c>
      <c r="N370" t="n">
        <v>98.63</v>
      </c>
      <c r="O370" t="n">
        <v>15.75757575757576</v>
      </c>
    </row>
    <row r="371" hidden="1">
      <c r="A371" s="5" t="n">
        <v>46156</v>
      </c>
      <c r="B371" s="6" t="inlineStr">
        <is>
          <t>Janaina Lima dos Reis Urany</t>
        </is>
      </c>
      <c r="C371" s="3" t="inlineStr">
        <is>
          <t>Técnico III</t>
        </is>
      </c>
      <c r="D371" s="3" t="n">
        <v>35</v>
      </c>
      <c r="E371" s="3" t="n">
        <v>34</v>
      </c>
      <c r="G371" s="3" t="n">
        <v>6</v>
      </c>
      <c r="H371" s="3" t="n">
        <v>0</v>
      </c>
      <c r="I371" s="3">
        <f>E371+G371+H371</f>
        <v/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/>
      </c>
      <c r="K371" s="3">
        <f>I371-J371</f>
        <v/>
      </c>
      <c r="L371" s="3">
        <f>IF(K371&lt;-5,"CRÍTICO",IF(K371&lt;0,"ATENÇÃO",IF(K371&lt;=5,"BOM","EXCELENTE")))</f>
        <v/>
      </c>
      <c r="M371" t="n">
        <v>38</v>
      </c>
      <c r="N371" t="n">
        <v>98.64</v>
      </c>
      <c r="O371" t="n">
        <v>16.6383701188455</v>
      </c>
    </row>
    <row r="372" hidden="1">
      <c r="A372" s="5" t="n">
        <v>46156</v>
      </c>
      <c r="B372" s="6" t="inlineStr">
        <is>
          <t>Jaqueline Evangelista da Silva Martins</t>
        </is>
      </c>
      <c r="C372" s="3" t="inlineStr">
        <is>
          <t>Técnico III</t>
        </is>
      </c>
      <c r="D372" s="3" t="n">
        <v>42</v>
      </c>
      <c r="E372" s="3" t="n">
        <v>40</v>
      </c>
      <c r="G372" s="3" t="n">
        <v>8</v>
      </c>
      <c r="H372" s="3" t="n">
        <v>0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44</v>
      </c>
      <c r="N372" t="n">
        <v>95.40000000000001</v>
      </c>
      <c r="O372" t="n">
        <v>20.53333333333333</v>
      </c>
    </row>
    <row r="373" hidden="1">
      <c r="A373" s="5" t="n">
        <v>46156</v>
      </c>
      <c r="B373" s="6" t="inlineStr">
        <is>
          <t>Jessica Faria da Silveira</t>
        </is>
      </c>
      <c r="C373" s="3" t="inlineStr">
        <is>
          <t>Técnico II</t>
        </is>
      </c>
      <c r="D373" s="3" t="n">
        <v>9</v>
      </c>
      <c r="E373" s="3" t="n">
        <v>9</v>
      </c>
      <c r="G373" s="3" t="n">
        <v>1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9</v>
      </c>
      <c r="N373" t="n">
        <v>98.61</v>
      </c>
      <c r="O373" t="n">
        <v>16.97530864197531</v>
      </c>
    </row>
    <row r="374" hidden="1">
      <c r="A374" s="5" t="n">
        <v>46156</v>
      </c>
      <c r="B374" s="6" t="inlineStr">
        <is>
          <t>Jéssica Fé Moura</t>
        </is>
      </c>
      <c r="C374" s="3" t="inlineStr">
        <is>
          <t>Técnico III</t>
        </is>
      </c>
      <c r="D374" s="3" t="n">
        <v>0</v>
      </c>
      <c r="E374" s="3" t="n">
        <v>0</v>
      </c>
      <c r="F374" s="3" t="n">
        <v>0</v>
      </c>
      <c r="G374" s="3" t="n">
        <v>0</v>
      </c>
      <c r="H374" s="3" t="n">
        <v>0</v>
      </c>
      <c r="I374" s="3" t="n">
        <v>0</v>
      </c>
      <c r="J374" s="3" t="n">
        <v>0</v>
      </c>
      <c r="K374" s="3" t="n">
        <v>0</v>
      </c>
      <c r="L374" s="3">
        <f>IF(K374&lt;-5,"CRÍTICO",IF(K374&lt;0,"ATENÇÃO",IF(K374&lt;=5,"BOM","EXCELENTE")))</f>
        <v/>
      </c>
      <c r="M374" s="9" t="n">
        <v>0</v>
      </c>
      <c r="N374" s="9" t="n">
        <v>0</v>
      </c>
      <c r="O374" s="9" t="n">
        <v>0</v>
      </c>
    </row>
    <row r="375" hidden="1">
      <c r="A375" s="5" t="n">
        <v>46156</v>
      </c>
      <c r="B375" s="6" t="inlineStr">
        <is>
          <t>Karina Gonçalves Martins</t>
        </is>
      </c>
      <c r="C375" s="3" t="inlineStr">
        <is>
          <t>JR</t>
        </is>
      </c>
      <c r="D375" s="3" t="n">
        <v>23</v>
      </c>
      <c r="E375" s="3" t="n">
        <v>23</v>
      </c>
      <c r="G375" s="3" t="n">
        <v>0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22</v>
      </c>
      <c r="N375" t="n">
        <v>97.01000000000001</v>
      </c>
      <c r="O375" t="n">
        <v>13.96103896103896</v>
      </c>
    </row>
    <row r="376" hidden="1">
      <c r="A376" s="5" t="n">
        <v>46156</v>
      </c>
      <c r="B376" s="6" t="inlineStr">
        <is>
          <t>Kerollen Cristielly de Jesus Siqueira</t>
        </is>
      </c>
      <c r="C376" s="9" t="inlineStr">
        <is>
          <t>Técnico III</t>
        </is>
      </c>
      <c r="D376" s="3" t="n">
        <v>30</v>
      </c>
      <c r="E376" s="3" t="n">
        <v>29</v>
      </c>
      <c r="G376" s="3" t="n">
        <v>0</v>
      </c>
      <c r="H376" s="3" t="n">
        <v>0</v>
      </c>
      <c r="I376" s="3">
        <f>E376+G376+H376</f>
        <v/>
      </c>
      <c r="J376" s="3">
        <f>ROUND(MIN(IF(C376="Técnico III",35,IF(C376="Técnico II",28,IF(C376="Técnico I",23,IF(C376="JR",20,IF(C376="Estágio",10,0))))),IF(C376="Técnico III",SUMIFS($D:$D,$A:$A,$A376,$B:$B,"&lt;&gt;Patrícia Karla de Sousa Araújo",$B:$B,"&lt;&gt;Lorena Dias de Araujo",$B:$B,"&lt;&gt;Lucas Luiz Romero")*(35/1083),IF(C376="Técnico II",SUMIFS($D:$D,$A:$A,$A376,$B:$B,"&lt;&gt;Patrícia Karla de Sousa Araújo",$B:$B,"&lt;&gt;Lorena Dias de Araujo",$B:$B,"&lt;&gt;Lucas Luiz Romero")*(28/1083),IF(C376="Técnico I",SUMIFS($D:$D,$A:$A,$A376,$B:$B,"&lt;&gt;Patrícia Karla de Sousa Araújo",$B:$B,"&lt;&gt;Lorena Dias de Araujo",$B:$B,"&lt;&gt;Lucas Luiz Romero")*(23/1083),IF(C376="JR",SUMIFS($D:$D,$A:$A,$A376,$B:$B,"&lt;&gt;Patrícia Karla de Sousa Araújo",$B:$B,"&lt;&gt;Lorena Dias de Araujo",$B:$B,"&lt;&gt;Lucas Luiz Romero")*(20/1083),IF(C376="Estágio",SUMIFS($D:$D,$A:$A,$A376,$B:$B,"&lt;&gt;Patrícia Karla de Sousa Araújo",$B:$B,"&lt;&gt;Lorena Dias de Araujo",$B:$B,"&lt;&gt;Lucas Luiz Romero")*(10/1083),0)))))),0)</f>
        <v/>
      </c>
      <c r="K376" s="3">
        <f>I376-J376</f>
        <v/>
      </c>
      <c r="L376" s="3">
        <f>IF(K376&lt;-5,"CRÍTICO",IF(K376&lt;0,"ATENÇÃO",IF(K376&lt;=5,"BOM","EXCELENTE")))</f>
        <v/>
      </c>
      <c r="M376" t="n">
        <v>28</v>
      </c>
      <c r="N376" t="n">
        <v>95.52</v>
      </c>
      <c r="O376" t="n">
        <v>10.56105610561056</v>
      </c>
    </row>
    <row r="377" hidden="1">
      <c r="A377" s="5" t="n">
        <v>46156</v>
      </c>
      <c r="B377" s="6" t="inlineStr">
        <is>
          <t>Leandro de Souza Silva</t>
        </is>
      </c>
      <c r="C377" s="3" t="inlineStr">
        <is>
          <t>JR</t>
        </is>
      </c>
      <c r="D377" s="3" t="n">
        <v>9</v>
      </c>
      <c r="E377" s="3" t="n">
        <v>7</v>
      </c>
      <c r="G377" s="3" t="n">
        <v>8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9</v>
      </c>
      <c r="N377" t="n">
        <v>100</v>
      </c>
      <c r="O377" t="n">
        <v>16.95906432748538</v>
      </c>
    </row>
    <row r="378" hidden="1">
      <c r="A378" s="5" t="n">
        <v>46156</v>
      </c>
      <c r="B378" s="6" t="inlineStr">
        <is>
          <t>Leandro Oliveira de Sousa</t>
        </is>
      </c>
      <c r="C378" s="9" t="inlineStr">
        <is>
          <t>Técnico III</t>
        </is>
      </c>
      <c r="D378" s="3" t="n">
        <v>30</v>
      </c>
      <c r="E378" s="3" t="n">
        <v>27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23</v>
      </c>
      <c r="N378" t="n">
        <v>100</v>
      </c>
      <c r="O378" t="n">
        <v>15.58441558441558</v>
      </c>
    </row>
    <row r="379" hidden="1">
      <c r="A379" s="5" t="n">
        <v>46156</v>
      </c>
      <c r="B379" s="6" t="inlineStr">
        <is>
          <t>Lizandra Gomes Duarte</t>
        </is>
      </c>
      <c r="C379" s="3" t="inlineStr">
        <is>
          <t>Técnico II</t>
        </is>
      </c>
      <c r="D379" s="3" t="n">
        <v>26</v>
      </c>
      <c r="E379" s="3" t="n">
        <v>24</v>
      </c>
      <c r="G379" s="3" t="n">
        <v>0</v>
      </c>
      <c r="H379" s="3" t="n">
        <v>0</v>
      </c>
      <c r="I379" s="3">
        <f>E379+G379+H379</f>
        <v/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/>
      </c>
      <c r="K379" s="3">
        <f>I379-J379</f>
        <v/>
      </c>
      <c r="L379" s="3">
        <f>IF(K379&lt;-5,"CRÍTICO",IF(K379&lt;0,"ATENÇÃO",IF(K379&lt;=5,"BOM","EXCELENTE")))</f>
        <v/>
      </c>
      <c r="M379" t="n">
        <v>12</v>
      </c>
      <c r="N379" t="n">
        <v>98.61</v>
      </c>
      <c r="O379" t="n">
        <v>16.86746987951807</v>
      </c>
    </row>
    <row r="380" hidden="1">
      <c r="A380" s="5" t="n">
        <v>46156</v>
      </c>
      <c r="B380" s="6" t="inlineStr">
        <is>
          <t>Lorena Dias de Araujo</t>
        </is>
      </c>
      <c r="C380" s="3" t="inlineStr">
        <is>
          <t>Técnico II</t>
        </is>
      </c>
      <c r="D380" s="3" t="n">
        <v>22</v>
      </c>
      <c r="E380" s="3" t="n">
        <v>18</v>
      </c>
      <c r="G380" s="3" t="n">
        <v>0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16</v>
      </c>
      <c r="N380" t="n">
        <v>100</v>
      </c>
      <c r="O380" t="n">
        <v>20.82018927444795</v>
      </c>
    </row>
    <row r="381" hidden="1">
      <c r="A381" s="5" t="n">
        <v>46156</v>
      </c>
      <c r="B381" s="6" t="inlineStr">
        <is>
          <t>Lucas Luiz Romero</t>
        </is>
      </c>
      <c r="C381" s="3" t="inlineStr">
        <is>
          <t>Técnico III</t>
        </is>
      </c>
      <c r="D381" s="3" t="n">
        <v>0</v>
      </c>
      <c r="E381" s="3" t="n">
        <v>0</v>
      </c>
      <c r="F381" s="3" t="n">
        <v>0</v>
      </c>
      <c r="G381" s="3" t="n">
        <v>0</v>
      </c>
      <c r="H381" s="3" t="n">
        <v>0</v>
      </c>
      <c r="I381" s="3" t="n">
        <v>0</v>
      </c>
      <c r="J381" s="3" t="n">
        <v>0</v>
      </c>
      <c r="K381" s="3" t="n">
        <v>0</v>
      </c>
      <c r="L381" s="3">
        <f>IF(K381&lt;-5,"CRÍTICO",IF(K381&lt;0,"ATENÇÃO",IF(K381&lt;=5,"BOM","EXCELENTE")))</f>
        <v/>
      </c>
      <c r="M381" s="9" t="n">
        <v>0</v>
      </c>
      <c r="N381" s="9" t="n">
        <v>100</v>
      </c>
      <c r="O381" s="9" t="n">
        <v>4.347826086956522</v>
      </c>
    </row>
    <row r="382" hidden="1">
      <c r="A382" s="5" t="n">
        <v>46156</v>
      </c>
      <c r="B382" s="6" t="inlineStr">
        <is>
          <t>Luiz Fernando de Carvalho Junior</t>
        </is>
      </c>
      <c r="C382" s="3" t="inlineStr">
        <is>
          <t>Técnico I</t>
        </is>
      </c>
      <c r="D382" s="3" t="n">
        <v>11</v>
      </c>
      <c r="E382" s="3" t="n">
        <v>11</v>
      </c>
      <c r="G382" s="3" t="n">
        <v>4</v>
      </c>
      <c r="H382" s="3" t="n">
        <v>0</v>
      </c>
      <c r="I382" s="3">
        <f>E382+G382+H382</f>
        <v/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/>
      </c>
      <c r="K382" s="3">
        <f>I382-J382</f>
        <v/>
      </c>
      <c r="L382" s="3">
        <f>IF(K382&lt;-5,"CRÍTICO",IF(K382&lt;0,"ATENÇÃO",IF(K382&lt;=5,"BOM","EXCELENTE")))</f>
        <v/>
      </c>
      <c r="M382" t="n">
        <v>16</v>
      </c>
      <c r="N382" t="n">
        <v>93.26000000000001</v>
      </c>
      <c r="O382" t="n">
        <v>19.93957703927493</v>
      </c>
    </row>
    <row r="383" hidden="1">
      <c r="A383" s="5" t="n">
        <v>46156</v>
      </c>
      <c r="B383" s="6" t="inlineStr">
        <is>
          <t>Anna Luiza Rezende Tavares</t>
        </is>
      </c>
      <c r="C383" s="3" t="inlineStr">
        <is>
          <t>Estágio</t>
        </is>
      </c>
      <c r="D383" s="3" t="n">
        <v>31</v>
      </c>
      <c r="E383" s="3" t="n">
        <v>29</v>
      </c>
      <c r="G383" s="3" t="n">
        <v>0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26</v>
      </c>
      <c r="N383" t="n">
        <v>99.11</v>
      </c>
      <c r="O383" t="n">
        <v>17.72151898734177</v>
      </c>
    </row>
    <row r="384" hidden="1">
      <c r="A384" s="5" t="n">
        <v>46156</v>
      </c>
      <c r="B384" s="6" t="inlineStr">
        <is>
          <t>Matheus Farias De Souza</t>
        </is>
      </c>
      <c r="C384" s="3" t="inlineStr">
        <is>
          <t>Técnico III</t>
        </is>
      </c>
      <c r="D384" s="3" t="n">
        <v>0</v>
      </c>
      <c r="E384" s="3" t="n">
        <v>0</v>
      </c>
      <c r="G384" s="3" t="n">
        <v>0</v>
      </c>
      <c r="H384" s="3" t="n">
        <v>52</v>
      </c>
      <c r="I384" s="3">
        <f>E384+G384+H384</f>
        <v/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/>
      </c>
      <c r="K384" s="3">
        <f>I384-J384</f>
        <v/>
      </c>
      <c r="L384" s="3">
        <f>IF(K384&lt;-5,"CRÍTICO",IF(K384&lt;0,"ATENÇÃO",IF(K384&lt;=5,"BOM","EXCELENTE")))</f>
        <v/>
      </c>
      <c r="M384" t="n">
        <v>30</v>
      </c>
      <c r="N384" t="n">
        <v>98.28</v>
      </c>
      <c r="O384" t="n">
        <v>9.037900874635568</v>
      </c>
    </row>
    <row r="385" hidden="1">
      <c r="A385" s="5" t="n">
        <v>46156</v>
      </c>
      <c r="B385" s="6" t="inlineStr">
        <is>
          <t>Maysa Victoria Dias Moura</t>
        </is>
      </c>
      <c r="C385" s="3" t="inlineStr">
        <is>
          <t>Técnico III</t>
        </is>
      </c>
      <c r="D385" s="3" t="n">
        <v>39</v>
      </c>
      <c r="E385" s="3" t="n">
        <v>32</v>
      </c>
      <c r="G385" s="3" t="n">
        <v>3</v>
      </c>
      <c r="H385" s="3" t="n">
        <v>0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29</v>
      </c>
      <c r="N385" t="n">
        <v>97.22</v>
      </c>
      <c r="O385" t="n">
        <v>19.09547738693467</v>
      </c>
    </row>
    <row r="386" hidden="1">
      <c r="A386" s="5" t="n">
        <v>46156</v>
      </c>
      <c r="B386" s="6" t="inlineStr">
        <is>
          <t>Claudio de Sousa Velasco Filho</t>
        </is>
      </c>
      <c r="C386" s="3" t="inlineStr">
        <is>
          <t>Estágio</t>
        </is>
      </c>
      <c r="D386" s="3" t="n">
        <v>9</v>
      </c>
      <c r="E386" s="3" t="n">
        <v>9</v>
      </c>
      <c r="G386" s="3" t="n">
        <v>0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6</v>
      </c>
      <c r="N386" t="n">
        <v>96.43000000000001</v>
      </c>
      <c r="O386" t="n">
        <v>20</v>
      </c>
    </row>
    <row r="387" hidden="1">
      <c r="A387" s="5" t="n">
        <v>46156</v>
      </c>
      <c r="B387" s="6" t="inlineStr">
        <is>
          <t>Emilly Caylane Costa</t>
        </is>
      </c>
      <c r="C387" s="3" t="inlineStr">
        <is>
          <t>Estágio</t>
        </is>
      </c>
      <c r="D387" s="3" t="n">
        <v>21</v>
      </c>
      <c r="E387" s="3" t="n">
        <v>10</v>
      </c>
      <c r="G387" s="3" t="n">
        <v>5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0</v>
      </c>
      <c r="N387" t="n">
        <v>100</v>
      </c>
      <c r="O387" t="n">
        <v>29.03225806451613</v>
      </c>
    </row>
    <row r="388" hidden="1">
      <c r="A388" s="5" t="n">
        <v>46156</v>
      </c>
      <c r="B388" s="6" t="inlineStr">
        <is>
          <t>Maria Eduarda Sousa Costa</t>
        </is>
      </c>
      <c r="C388" s="3" t="inlineStr">
        <is>
          <t>Estágio</t>
        </is>
      </c>
      <c r="D388" s="3" t="n">
        <v>63</v>
      </c>
      <c r="E388" s="3" t="n">
        <v>43</v>
      </c>
      <c r="G388" s="3" t="n">
        <v>0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2</v>
      </c>
      <c r="N388" t="n">
        <v>100</v>
      </c>
      <c r="O388" t="n">
        <v>11.86440677966102</v>
      </c>
    </row>
    <row r="389" hidden="1">
      <c r="A389" s="5" t="n">
        <v>46156</v>
      </c>
      <c r="B389" s="6" t="inlineStr">
        <is>
          <t>Michelle G Santos</t>
        </is>
      </c>
      <c r="C389" s="3" t="inlineStr">
        <is>
          <t>Estágio</t>
        </is>
      </c>
      <c r="D389" s="3" t="n">
        <v>4</v>
      </c>
      <c r="E389" s="3" t="n">
        <v>4</v>
      </c>
      <c r="G389" s="3" t="n">
        <v>0</v>
      </c>
      <c r="H389" s="3" t="n">
        <v>0</v>
      </c>
      <c r="I389" s="3">
        <f>E389+G389+H389</f>
        <v/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/>
      </c>
      <c r="K389" s="3">
        <f>I389-J389</f>
        <v/>
      </c>
      <c r="L389" s="3">
        <f>IF(K389&lt;-5,"CRÍTICO",IF(K389&lt;0,"ATENÇÃO",IF(K389&lt;=5,"BOM","EXCELENTE")))</f>
        <v/>
      </c>
      <c r="M389" t="n">
        <v>3</v>
      </c>
      <c r="N389" t="n">
        <v>100</v>
      </c>
      <c r="O389" t="n">
        <v>16.8141592920354</v>
      </c>
    </row>
    <row r="390" hidden="1">
      <c r="A390" s="5" t="n">
        <v>46156</v>
      </c>
      <c r="B390" s="6" t="inlineStr">
        <is>
          <t>Quirino Diogo Leite Torres</t>
        </is>
      </c>
      <c r="C390" s="3" t="inlineStr">
        <is>
          <t>Estágio</t>
        </is>
      </c>
      <c r="D390" s="3" t="n">
        <v>19</v>
      </c>
      <c r="E390" s="3" t="n">
        <v>18</v>
      </c>
      <c r="G390" s="3" t="n">
        <v>0</v>
      </c>
      <c r="H390" s="3" t="n">
        <v>0</v>
      </c>
      <c r="I390" s="3">
        <f>E390+G390+H390</f>
        <v/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/>
      </c>
      <c r="K390" s="3">
        <f>I390-J390</f>
        <v/>
      </c>
      <c r="L390" s="3">
        <f>IF(K390&lt;-5,"CRÍTICO",IF(K390&lt;0,"ATENÇÃO",IF(K390&lt;=5,"BOM","EXCELENTE")))</f>
        <v/>
      </c>
      <c r="M390" t="n">
        <v>15</v>
      </c>
      <c r="N390" t="n">
        <v>98.11</v>
      </c>
      <c r="O390" t="n">
        <v>20.40816326530612</v>
      </c>
    </row>
    <row r="391" hidden="1">
      <c r="A391" s="5" t="n">
        <v>46156</v>
      </c>
      <c r="B391" s="6" t="inlineStr">
        <is>
          <t>Milena Sales</t>
        </is>
      </c>
      <c r="C391" s="3" t="inlineStr">
        <is>
          <t>JR</t>
        </is>
      </c>
      <c r="D391" s="3" t="n">
        <v>26</v>
      </c>
      <c r="E391" s="3" t="n">
        <v>19</v>
      </c>
      <c r="G391" s="3" t="n">
        <v>4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15</v>
      </c>
      <c r="N391" t="n">
        <v>98</v>
      </c>
      <c r="O391" t="n">
        <v>16.43835616438356</v>
      </c>
    </row>
    <row r="392" hidden="1">
      <c r="A392" s="5" t="n">
        <v>46156</v>
      </c>
      <c r="B392" s="6" t="inlineStr">
        <is>
          <t>Patrícia Karla de Sousa Araújo</t>
        </is>
      </c>
      <c r="C392" s="3" t="inlineStr">
        <is>
          <t>Técnico II</t>
        </is>
      </c>
      <c r="D392" s="3" t="n">
        <v>29</v>
      </c>
      <c r="E392" s="3" t="n">
        <v>26</v>
      </c>
      <c r="G392" s="3" t="n">
        <v>0</v>
      </c>
      <c r="H392" s="3" t="n">
        <v>0</v>
      </c>
      <c r="I392" s="3">
        <f>E392+G392+H392</f>
        <v/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/>
      </c>
      <c r="K392" s="3">
        <f>I392-J392</f>
        <v/>
      </c>
      <c r="L392" s="3">
        <f>IF(K392&lt;-5,"CRÍTICO",IF(K392&lt;0,"ATENÇÃO",IF(K392&lt;=5,"BOM","EXCELENTE")))</f>
        <v/>
      </c>
      <c r="M392" t="n">
        <v>23</v>
      </c>
      <c r="N392" t="n">
        <v>100</v>
      </c>
      <c r="O392" t="n">
        <v>16.89497716894977</v>
      </c>
    </row>
    <row r="393" hidden="1">
      <c r="A393" s="5" t="n">
        <v>46156</v>
      </c>
      <c r="B393" s="6" t="inlineStr">
        <is>
          <t>Paulo Ricardo Santos</t>
        </is>
      </c>
      <c r="C393" s="3" t="inlineStr">
        <is>
          <t>JR</t>
        </is>
      </c>
      <c r="D393" s="3" t="n">
        <v>15</v>
      </c>
      <c r="E393" s="3" t="n">
        <v>15</v>
      </c>
      <c r="G393" s="3" t="n">
        <v>0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13</v>
      </c>
      <c r="N393" t="n">
        <v>100</v>
      </c>
      <c r="O393" t="n">
        <v>19.13875598086124</v>
      </c>
    </row>
    <row r="394" hidden="1">
      <c r="A394" s="5" t="n">
        <v>46156</v>
      </c>
      <c r="B394" s="6" t="inlineStr">
        <is>
          <t>Pedro Luiz Mota Sousa</t>
        </is>
      </c>
      <c r="C394" s="3" t="inlineStr">
        <is>
          <t>JR</t>
        </is>
      </c>
      <c r="D394" s="3" t="n">
        <v>6</v>
      </c>
      <c r="E394" s="3" t="n">
        <v>6</v>
      </c>
      <c r="G394" s="3" t="n">
        <v>0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5</v>
      </c>
      <c r="N394" t="n">
        <v>100</v>
      </c>
      <c r="O394" t="n">
        <v>15.02145922746781</v>
      </c>
    </row>
    <row r="395" hidden="1">
      <c r="A395" s="5" t="n">
        <v>46156</v>
      </c>
      <c r="B395" s="6" t="inlineStr">
        <is>
          <t>Raane Batista Matos</t>
        </is>
      </c>
      <c r="C395" s="3" t="inlineStr">
        <is>
          <t>Técnico I</t>
        </is>
      </c>
      <c r="D395" s="3" t="n">
        <v>26</v>
      </c>
      <c r="E395" s="3" t="n">
        <v>25</v>
      </c>
      <c r="G395" s="3" t="n">
        <v>1</v>
      </c>
      <c r="H395" s="3" t="n">
        <v>0</v>
      </c>
      <c r="I395" s="3">
        <f>E395+G395+H395</f>
        <v/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/>
      </c>
      <c r="K395" s="3">
        <f>I395-J395</f>
        <v/>
      </c>
      <c r="L395" s="3">
        <f>IF(K395&lt;-5,"CRÍTICO",IF(K395&lt;0,"ATENÇÃO",IF(K395&lt;=5,"BOM","EXCELENTE")))</f>
        <v/>
      </c>
      <c r="M395" t="n">
        <v>24</v>
      </c>
      <c r="N395" t="n">
        <v>97.56</v>
      </c>
      <c r="O395" t="n">
        <v>19.28783382789317</v>
      </c>
    </row>
    <row r="396" hidden="1">
      <c r="A396" s="5" t="n">
        <v>46156</v>
      </c>
      <c r="B396" s="6" t="inlineStr">
        <is>
          <t>Rafael Gomes de Morais</t>
        </is>
      </c>
      <c r="C396" s="3" t="inlineStr">
        <is>
          <t>Técnico III</t>
        </is>
      </c>
      <c r="D396" s="3" t="n">
        <v>38</v>
      </c>
      <c r="E396" s="3" t="n">
        <v>37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40</v>
      </c>
      <c r="N396" t="n">
        <v>99.29000000000001</v>
      </c>
      <c r="O396" t="n">
        <v>22.49443207126949</v>
      </c>
    </row>
    <row r="397" hidden="1">
      <c r="A397" s="5" t="n">
        <v>46156</v>
      </c>
      <c r="B397" s="6" t="inlineStr">
        <is>
          <t>Sara Maria Monteiro Lopes</t>
        </is>
      </c>
      <c r="C397" s="3" t="inlineStr">
        <is>
          <t>Técnico I</t>
        </is>
      </c>
      <c r="D397" s="3" t="n">
        <v>20</v>
      </c>
      <c r="E397" s="3" t="n">
        <v>19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17</v>
      </c>
      <c r="N397" t="n">
        <v>100</v>
      </c>
      <c r="O397" t="n">
        <v>16.97247706422019</v>
      </c>
    </row>
    <row r="398" hidden="1">
      <c r="A398" s="5" t="n">
        <v>46156</v>
      </c>
      <c r="B398" s="6" t="inlineStr">
        <is>
          <t>Sarah Steffanie de Lima Borges</t>
        </is>
      </c>
      <c r="C398" s="3" t="inlineStr">
        <is>
          <t>Técnico III</t>
        </is>
      </c>
      <c r="D398" s="3" t="n">
        <v>22</v>
      </c>
      <c r="E398" s="3" t="n">
        <v>22</v>
      </c>
      <c r="G398" s="3" t="n">
        <v>5</v>
      </c>
      <c r="H398" s="3" t="n">
        <v>0</v>
      </c>
      <c r="I398" s="3">
        <f>E398+G398+H398</f>
        <v/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/>
      </c>
      <c r="K398" s="3">
        <f>I398-J398</f>
        <v/>
      </c>
      <c r="L398" s="3">
        <f>IF(K398&lt;-5,"CRÍTICO",IF(K398&lt;0,"ATENÇÃO",IF(K398&lt;=5,"BOM","EXCELENTE")))</f>
        <v/>
      </c>
      <c r="M398" t="n">
        <v>21</v>
      </c>
      <c r="N398" t="n">
        <v>97.33</v>
      </c>
      <c r="O398" t="n">
        <v>15.80547112462006</v>
      </c>
    </row>
    <row r="399" hidden="1">
      <c r="A399" s="5" t="n">
        <v>46157</v>
      </c>
      <c r="B399" s="6" t="inlineStr">
        <is>
          <t>Alisson de Freitas Silva</t>
        </is>
      </c>
      <c r="C399" s="3" t="inlineStr">
        <is>
          <t>Técnico II</t>
        </is>
      </c>
      <c r="D399" s="3" t="n">
        <v>20</v>
      </c>
      <c r="E399" s="3" t="n">
        <v>19</v>
      </c>
      <c r="G399" s="3" t="n">
        <v>1</v>
      </c>
      <c r="H399" s="3" t="n">
        <v>0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s="3" t="n">
        <v>12</v>
      </c>
      <c r="N399" s="3" t="n">
        <v>98.94</v>
      </c>
      <c r="O399" s="3" t="n">
        <v>19.61414790996785</v>
      </c>
    </row>
    <row r="400" hidden="1">
      <c r="A400" s="5" t="n">
        <v>46157</v>
      </c>
      <c r="B400" s="6" t="inlineStr">
        <is>
          <t>Amanda Moura Ferreira</t>
        </is>
      </c>
      <c r="C400" s="3" t="inlineStr">
        <is>
          <t>Técnico III</t>
        </is>
      </c>
      <c r="D400" s="3" t="n">
        <v>0</v>
      </c>
      <c r="E400" s="3" t="n">
        <v>0</v>
      </c>
      <c r="F400" s="3" t="n">
        <v>0</v>
      </c>
      <c r="G400" s="3" t="n">
        <v>0</v>
      </c>
      <c r="H400" s="3" t="n">
        <v>0</v>
      </c>
      <c r="I400" s="3" t="n">
        <v>0</v>
      </c>
      <c r="J400" s="3" t="n">
        <v>0</v>
      </c>
      <c r="K400" s="3" t="n">
        <v>0</v>
      </c>
      <c r="L400" s="3">
        <f>IF(K400&lt;-5,"CRÍTICO",IF(K400&lt;0,"ATENÇÃO",IF(K400&lt;=5,"BOM","EXCELENTE")))</f>
        <v/>
      </c>
      <c r="M400" s="9" t="n">
        <v>0</v>
      </c>
      <c r="N400" s="9" t="n">
        <v>100</v>
      </c>
      <c r="O400" s="9" t="n">
        <v>0</v>
      </c>
    </row>
    <row r="401" hidden="1">
      <c r="A401" s="5" t="n">
        <v>46157</v>
      </c>
      <c r="B401" s="6" t="inlineStr">
        <is>
          <t>Ana Karollyne Souza Faria</t>
        </is>
      </c>
      <c r="C401" s="3" t="inlineStr">
        <is>
          <t>Técnico I</t>
        </is>
      </c>
      <c r="D401" s="3" t="n">
        <v>40</v>
      </c>
      <c r="E401" s="3" t="n">
        <v>38</v>
      </c>
      <c r="G401" s="3" t="n">
        <v>5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s="3" t="n">
        <v>36</v>
      </c>
      <c r="N401" s="3" t="n">
        <v>95.38</v>
      </c>
      <c r="O401" s="3" t="n">
        <v>21.5962441314554</v>
      </c>
    </row>
    <row r="402" hidden="1">
      <c r="A402" s="5" t="n">
        <v>46157</v>
      </c>
      <c r="B402" s="6" t="inlineStr">
        <is>
          <t>Ana Paula Da Luz Silva Aleixo</t>
        </is>
      </c>
      <c r="C402" s="9" t="inlineStr">
        <is>
          <t>Técnico III</t>
        </is>
      </c>
      <c r="D402" s="3" t="n">
        <v>29</v>
      </c>
      <c r="E402" s="3" t="n">
        <v>28</v>
      </c>
      <c r="G402" s="3" t="n">
        <v>3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25</v>
      </c>
      <c r="N402" t="n">
        <v>96.34</v>
      </c>
      <c r="O402" t="n">
        <v>17.57188498402556</v>
      </c>
    </row>
    <row r="403" hidden="1">
      <c r="A403" s="5" t="n">
        <v>46157</v>
      </c>
      <c r="B403" s="6" t="inlineStr">
        <is>
          <t>Brenda de Menezes Silva</t>
        </is>
      </c>
      <c r="C403" s="3" t="inlineStr">
        <is>
          <t>Técnico II</t>
        </is>
      </c>
      <c r="D403" s="3" t="n">
        <v>20</v>
      </c>
      <c r="E403" s="3" t="n">
        <v>19</v>
      </c>
      <c r="G403" s="3" t="n">
        <v>2</v>
      </c>
      <c r="H403" s="3" t="n">
        <v>0</v>
      </c>
      <c r="I403" s="3">
        <f>E403+G403+H403</f>
        <v/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/>
      </c>
      <c r="K403" s="3">
        <f>I403-J403</f>
        <v/>
      </c>
      <c r="L403" s="3">
        <f>IF(K403&lt;-5,"CRÍTICO",IF(K403&lt;0,"ATENÇÃO",IF(K403&lt;=5,"BOM","EXCELENTE")))</f>
        <v/>
      </c>
      <c r="M403" t="n">
        <v>21</v>
      </c>
      <c r="N403" t="n">
        <v>99.13</v>
      </c>
      <c r="O403" t="n">
        <v>14.7239263803681</v>
      </c>
    </row>
    <row r="404" hidden="1">
      <c r="A404" s="5" t="n">
        <v>46157</v>
      </c>
      <c r="B404" s="6" t="inlineStr">
        <is>
          <t>Carlos Mateus Cassimiro Nunes</t>
        </is>
      </c>
      <c r="C404" s="9" t="inlineStr">
        <is>
          <t>Técnico II</t>
        </is>
      </c>
      <c r="D404" s="3" t="n">
        <v>26</v>
      </c>
      <c r="E404" s="3" t="n">
        <v>26</v>
      </c>
      <c r="G404" s="3" t="n">
        <v>3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t="n">
        <v>29</v>
      </c>
      <c r="N404" t="n">
        <v>98.8</v>
      </c>
      <c r="O404" t="n">
        <v>16.89750692520776</v>
      </c>
    </row>
    <row r="405" hidden="1">
      <c r="A405" s="5" t="n">
        <v>46157</v>
      </c>
      <c r="B405" s="6" t="inlineStr">
        <is>
          <t>Clessiane Pereira dos Santos</t>
        </is>
      </c>
      <c r="C405" s="3" t="inlineStr">
        <is>
          <t>Técnico I</t>
        </is>
      </c>
      <c r="D405" s="3" t="n">
        <v>24</v>
      </c>
      <c r="E405" s="3" t="n">
        <v>20</v>
      </c>
      <c r="G405" s="3" t="n">
        <v>3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20</v>
      </c>
      <c r="N405" t="n">
        <v>96.88</v>
      </c>
      <c r="O405" t="n">
        <v>19.52662721893491</v>
      </c>
    </row>
    <row r="406" hidden="1">
      <c r="A406" s="5" t="n">
        <v>46157</v>
      </c>
      <c r="B406" s="6" t="inlineStr">
        <is>
          <t>Cristiane Ramos da Silva Rocha</t>
        </is>
      </c>
      <c r="C406" s="3" t="inlineStr">
        <is>
          <t>Técnico III</t>
        </is>
      </c>
      <c r="D406" s="3" t="n">
        <v>37</v>
      </c>
      <c r="E406" s="3" t="n">
        <v>31</v>
      </c>
      <c r="G406" s="3" t="n">
        <v>0</v>
      </c>
      <c r="H406" s="3" t="n">
        <v>0</v>
      </c>
      <c r="I406" s="3">
        <f>E406+G406+H406</f>
        <v/>
      </c>
      <c r="J406" s="3">
        <f>ROUND(MIN(IF(C406="Técnico III",35,IF(C406="Técnico II",28,IF(C406="Técnico I",23,IF(C406="JR",20,IF(C406="Estágio",10,0))))),IF(C406="Técnico III",SUMIFS($D:$D,$A:$A,$A406,$B:$B,"&lt;&gt;Patrícia Karla de Sousa Araújo",$B:$B,"&lt;&gt;Lorena Dias de Araujo",$B:$B,"&lt;&gt;Lucas Luiz Romero")*(35/1083),IF(C406="Técnico II",SUMIFS($D:$D,$A:$A,$A406,$B:$B,"&lt;&gt;Patrícia Karla de Sousa Araújo",$B:$B,"&lt;&gt;Lorena Dias de Araujo",$B:$B,"&lt;&gt;Lucas Luiz Romero")*(28/1083),IF(C406="Técnico I",SUMIFS($D:$D,$A:$A,$A406,$B:$B,"&lt;&gt;Patrícia Karla de Sousa Araújo",$B:$B,"&lt;&gt;Lorena Dias de Araujo",$B:$B,"&lt;&gt;Lucas Luiz Romero")*(23/1083),IF(C406="JR",SUMIFS($D:$D,$A:$A,$A406,$B:$B,"&lt;&gt;Patrícia Karla de Sousa Araújo",$B:$B,"&lt;&gt;Lorena Dias de Araujo",$B:$B,"&lt;&gt;Lucas Luiz Romero")*(20/1083),IF(C406="Estágio",SUMIFS($D:$D,$A:$A,$A406,$B:$B,"&lt;&gt;Patrícia Karla de Sousa Araújo",$B:$B,"&lt;&gt;Lorena Dias de Araujo",$B:$B,"&lt;&gt;Lucas Luiz Romero")*(10/1083),0)))))),0)</f>
        <v/>
      </c>
      <c r="K406" s="3">
        <f>I406-J406</f>
        <v/>
      </c>
      <c r="L406" s="3">
        <f>IF(K406&lt;-5,"CRÍTICO",IF(K406&lt;0,"ATENÇÃO",IF(K406&lt;=5,"BOM","EXCELENTE")))</f>
        <v/>
      </c>
      <c r="M406" t="n">
        <v>29</v>
      </c>
      <c r="N406" t="n">
        <v>91.84999999999999</v>
      </c>
      <c r="O406" t="n">
        <v>20.87155963302752</v>
      </c>
    </row>
    <row r="407" hidden="1">
      <c r="A407" s="5" t="n">
        <v>46157</v>
      </c>
      <c r="B407" s="6" t="inlineStr">
        <is>
          <t>Damyllis Lorraine de Oliveira Gonçalves</t>
        </is>
      </c>
      <c r="C407" s="3" t="inlineStr">
        <is>
          <t>Técnico II</t>
        </is>
      </c>
      <c r="D407" s="3" t="n">
        <v>35</v>
      </c>
      <c r="E407" s="3" t="n">
        <v>31</v>
      </c>
      <c r="G407" s="3" t="n">
        <v>3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30</v>
      </c>
      <c r="N407" t="n">
        <v>98.63</v>
      </c>
      <c r="O407" t="n">
        <v>18.75</v>
      </c>
    </row>
    <row r="408" hidden="1">
      <c r="A408" s="5" t="n">
        <v>46157</v>
      </c>
      <c r="B408" s="6" t="inlineStr">
        <is>
          <t>Daniel Gomes da Silva</t>
        </is>
      </c>
      <c r="C408" s="3" t="inlineStr">
        <is>
          <t>Técnico I</t>
        </is>
      </c>
      <c r="D408" s="3" t="n">
        <v>18</v>
      </c>
      <c r="E408" s="3" t="n">
        <v>18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19</v>
      </c>
      <c r="N408" t="n">
        <v>100</v>
      </c>
      <c r="O408" t="n">
        <v>18.14516129032258</v>
      </c>
    </row>
    <row r="409" hidden="1">
      <c r="A409" s="5" t="n">
        <v>46157</v>
      </c>
      <c r="B409" s="6" t="inlineStr">
        <is>
          <t>Davylla Rodrigues Freitas Silva</t>
        </is>
      </c>
      <c r="C409" s="9" t="inlineStr">
        <is>
          <t>Técnico III</t>
        </is>
      </c>
      <c r="D409" s="3" t="n">
        <v>20</v>
      </c>
      <c r="E409" s="3" t="n">
        <v>20</v>
      </c>
      <c r="G409" s="3" t="n">
        <v>3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23</v>
      </c>
      <c r="N409" t="n">
        <v>99.06</v>
      </c>
      <c r="O409" t="n">
        <v>22.95719844357977</v>
      </c>
    </row>
    <row r="410" hidden="1">
      <c r="A410" s="5" t="n">
        <v>46157</v>
      </c>
      <c r="B410" s="6" t="inlineStr">
        <is>
          <t>Emilly Kamilly Medeiros Miranda</t>
        </is>
      </c>
      <c r="C410" s="3" t="inlineStr">
        <is>
          <t>Técnico II</t>
        </is>
      </c>
      <c r="D410" s="3" t="n">
        <v>27</v>
      </c>
      <c r="E410" s="3" t="n">
        <v>25</v>
      </c>
      <c r="G410" s="3" t="n">
        <v>2</v>
      </c>
      <c r="H410" s="3" t="n">
        <v>0</v>
      </c>
      <c r="I410" s="3">
        <f>E410+G410+H410</f>
        <v/>
      </c>
      <c r="J410" s="3">
        <f>ROUND(MIN(IF(C410="Técnico III",35,IF(C410="Técnico II",28,IF(C410="Técnico I",23,IF(C410="JR",20,IF(C410="Estágio",10,0))))),IF(C410="Técnico III",SUMIFS($D:$D,$A:$A,$A410,$B:$B,"&lt;&gt;Patrícia Karla de Sousa Araújo",$B:$B,"&lt;&gt;Lorena Dias de Araujo",$B:$B,"&lt;&gt;Lucas Luiz Romero")*(35/1083),IF(C410="Técnico II",SUMIFS($D:$D,$A:$A,$A410,$B:$B,"&lt;&gt;Patrícia Karla de Sousa Araújo",$B:$B,"&lt;&gt;Lorena Dias de Araujo",$B:$B,"&lt;&gt;Lucas Luiz Romero")*(28/1083),IF(C410="Técnico I",SUMIFS($D:$D,$A:$A,$A410,$B:$B,"&lt;&gt;Patrícia Karla de Sousa Araújo",$B:$B,"&lt;&gt;Lorena Dias de Araujo",$B:$B,"&lt;&gt;Lucas Luiz Romero")*(23/1083),IF(C410="JR",SUMIFS($D:$D,$A:$A,$A410,$B:$B,"&lt;&gt;Patrícia Karla de Sousa Araújo",$B:$B,"&lt;&gt;Lorena Dias de Araujo",$B:$B,"&lt;&gt;Lucas Luiz Romero")*(20/1083),IF(C410="Estágio",SUMIFS($D:$D,$A:$A,$A410,$B:$B,"&lt;&gt;Patrícia Karla de Sousa Araújo",$B:$B,"&lt;&gt;Lorena Dias de Araujo",$B:$B,"&lt;&gt;Lucas Luiz Romero")*(10/1083),0)))))),0)</f>
        <v/>
      </c>
      <c r="K410" s="3">
        <f>I410-J410</f>
        <v/>
      </c>
      <c r="L410" s="3">
        <f>IF(K410&lt;-5,"CRÍTICO",IF(K410&lt;0,"ATENÇÃO",IF(K410&lt;=5,"BOM","EXCELENTE")))</f>
        <v/>
      </c>
      <c r="M410" t="n">
        <v>23</v>
      </c>
      <c r="N410" t="n">
        <v>100</v>
      </c>
      <c r="O410" t="n">
        <v>13.8121546961326</v>
      </c>
    </row>
    <row r="411" hidden="1">
      <c r="A411" s="5" t="n">
        <v>46157</v>
      </c>
      <c r="B411" s="6" t="inlineStr">
        <is>
          <t>Francilene Ferreira de Jesus</t>
        </is>
      </c>
      <c r="C411" s="3" t="inlineStr">
        <is>
          <t>Técnico II</t>
        </is>
      </c>
      <c r="D411" s="3" t="n">
        <v>0</v>
      </c>
      <c r="E411" s="3" t="n">
        <v>0</v>
      </c>
      <c r="F411" s="3" t="n">
        <v>0</v>
      </c>
      <c r="G411" s="3" t="n">
        <v>0</v>
      </c>
      <c r="H411" s="3" t="n">
        <v>0</v>
      </c>
      <c r="I411" s="3" t="n">
        <v>0</v>
      </c>
      <c r="J411" s="3" t="n">
        <v>0</v>
      </c>
      <c r="K411" s="3" t="n">
        <v>0</v>
      </c>
      <c r="L411" s="3">
        <f>IF(K411&lt;-5,"CRÍTICO",IF(K411&lt;0,"ATENÇÃO",IF(K411&lt;=5,"BOM","EXCELENTE")))</f>
        <v/>
      </c>
      <c r="M411" s="9" t="n">
        <v>0</v>
      </c>
      <c r="N411" s="9" t="n">
        <v>100</v>
      </c>
      <c r="O411" s="9" t="n">
        <v>17.24137931034483</v>
      </c>
    </row>
    <row r="412">
      <c r="A412" s="5" t="n">
        <v>46157</v>
      </c>
      <c r="B412" s="6" t="inlineStr">
        <is>
          <t>Gabriel Gomes de Andrade</t>
        </is>
      </c>
      <c r="C412" s="3" t="inlineStr">
        <is>
          <t>Técnico I</t>
        </is>
      </c>
      <c r="D412" s="3" t="n">
        <v>19</v>
      </c>
      <c r="E412" s="3" t="n">
        <v>16</v>
      </c>
      <c r="G412" s="3" t="n">
        <v>6</v>
      </c>
      <c r="H412" s="3" t="n">
        <v>1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15</v>
      </c>
      <c r="N412" t="n">
        <v>98.8</v>
      </c>
      <c r="O412" t="n">
        <v>15.41353383458646</v>
      </c>
    </row>
    <row r="413" hidden="1">
      <c r="A413" s="5" t="n">
        <v>46157</v>
      </c>
      <c r="B413" s="6" t="inlineStr">
        <is>
          <t>Isabella Borges de Oliveira</t>
        </is>
      </c>
      <c r="C413" s="9" t="inlineStr">
        <is>
          <t>Técnico II</t>
        </is>
      </c>
      <c r="D413" s="3" t="n">
        <v>28</v>
      </c>
      <c r="E413" s="3" t="n">
        <v>25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23</v>
      </c>
      <c r="N413" t="n">
        <v>98.63</v>
      </c>
      <c r="O413" t="n">
        <v>15.75757575757576</v>
      </c>
    </row>
    <row r="414" hidden="1">
      <c r="A414" s="5" t="n">
        <v>46157</v>
      </c>
      <c r="B414" s="6" t="inlineStr">
        <is>
          <t>Janaina Lima dos Reis Urany</t>
        </is>
      </c>
      <c r="C414" s="3" t="inlineStr">
        <is>
          <t>Técnico III</t>
        </is>
      </c>
      <c r="D414" s="3" t="n">
        <v>44</v>
      </c>
      <c r="E414" s="3" t="n">
        <v>38</v>
      </c>
      <c r="G414" s="3" t="n">
        <v>6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39</v>
      </c>
      <c r="N414" t="n">
        <v>98.64</v>
      </c>
      <c r="O414" t="n">
        <v>16.6383701188455</v>
      </c>
    </row>
    <row r="415" hidden="1">
      <c r="A415" s="5" t="n">
        <v>46157</v>
      </c>
      <c r="B415" s="6" t="inlineStr">
        <is>
          <t>Jaqueline Evangelista da Silva Martins</t>
        </is>
      </c>
      <c r="C415" s="3" t="inlineStr">
        <is>
          <t>Técnico III</t>
        </is>
      </c>
      <c r="D415" s="3" t="n">
        <v>30</v>
      </c>
      <c r="E415" s="3" t="n">
        <v>29</v>
      </c>
      <c r="G415" s="3" t="n">
        <v>5</v>
      </c>
      <c r="H415" s="3" t="n">
        <v>0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23</v>
      </c>
      <c r="N415" t="n">
        <v>95.40000000000001</v>
      </c>
      <c r="O415" t="n">
        <v>20.53333333333333</v>
      </c>
    </row>
    <row r="416" hidden="1">
      <c r="A416" s="5" t="n">
        <v>46157</v>
      </c>
      <c r="B416" s="6" t="inlineStr">
        <is>
          <t>Jessica Faria da Silveira</t>
        </is>
      </c>
      <c r="C416" s="3" t="inlineStr">
        <is>
          <t>Técnico II</t>
        </is>
      </c>
      <c r="D416" s="3" t="n">
        <v>17</v>
      </c>
      <c r="E416" s="3" t="n">
        <v>14</v>
      </c>
      <c r="G416" s="3" t="n">
        <v>1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14</v>
      </c>
      <c r="N416" t="n">
        <v>98.61</v>
      </c>
      <c r="O416" t="n">
        <v>16.97530864197531</v>
      </c>
    </row>
    <row r="417" hidden="1">
      <c r="A417" s="5" t="n">
        <v>46157</v>
      </c>
      <c r="B417" s="6" t="inlineStr">
        <is>
          <t>Jéssica Fé Moura</t>
        </is>
      </c>
      <c r="C417" s="3" t="inlineStr">
        <is>
          <t>Técnico III</t>
        </is>
      </c>
      <c r="D417" s="3" t="n">
        <v>0</v>
      </c>
      <c r="E417" s="3" t="n">
        <v>0</v>
      </c>
      <c r="F417" s="3" t="n">
        <v>0</v>
      </c>
      <c r="G417" s="3" t="n">
        <v>0</v>
      </c>
      <c r="H417" s="3" t="n">
        <v>0</v>
      </c>
      <c r="I417" s="3" t="n">
        <v>0</v>
      </c>
      <c r="J417" s="3" t="n">
        <v>0</v>
      </c>
      <c r="K417" s="3" t="n">
        <v>0</v>
      </c>
      <c r="L417" s="3">
        <f>IF(K417&lt;-5,"CRÍTICO",IF(K417&lt;0,"ATENÇÃO",IF(K417&lt;=5,"BOM","EXCELENTE")))</f>
        <v/>
      </c>
      <c r="M417" s="9" t="n">
        <v>0</v>
      </c>
      <c r="N417" s="9" t="n">
        <v>0</v>
      </c>
      <c r="O417" s="9" t="n">
        <v>0</v>
      </c>
    </row>
    <row r="418" hidden="1">
      <c r="A418" s="5" t="n">
        <v>46157</v>
      </c>
      <c r="B418" s="6" t="inlineStr">
        <is>
          <t>Karina Gonçalves Martins</t>
        </is>
      </c>
      <c r="C418" s="3" t="inlineStr">
        <is>
          <t>JR</t>
        </is>
      </c>
      <c r="D418" s="3" t="n">
        <v>23</v>
      </c>
      <c r="E418" s="3" t="n">
        <v>20</v>
      </c>
      <c r="G418" s="3" t="n">
        <v>5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23</v>
      </c>
      <c r="N418" t="n">
        <v>97.01000000000001</v>
      </c>
      <c r="O418" t="n">
        <v>13.96103896103896</v>
      </c>
    </row>
    <row r="419" hidden="1">
      <c r="A419" s="5" t="n">
        <v>46157</v>
      </c>
      <c r="B419" s="6" t="inlineStr">
        <is>
          <t>Leandro de Souza Silva</t>
        </is>
      </c>
      <c r="C419" s="3" t="inlineStr">
        <is>
          <t>JR</t>
        </is>
      </c>
      <c r="D419" s="3" t="n">
        <v>15</v>
      </c>
      <c r="E419" s="3" t="n">
        <v>14</v>
      </c>
      <c r="G419" s="3" t="n">
        <v>2</v>
      </c>
      <c r="H419" s="3" t="n">
        <v>0</v>
      </c>
      <c r="I419" s="3">
        <f>E419+G419+H419</f>
        <v/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/>
      </c>
      <c r="K419" s="3">
        <f>I419-J419</f>
        <v/>
      </c>
      <c r="L419" s="3">
        <f>IF(K419&lt;-5,"CRÍTICO",IF(K419&lt;0,"ATENÇÃO",IF(K419&lt;=5,"BOM","EXCELENTE")))</f>
        <v/>
      </c>
      <c r="M419" t="n">
        <v>11</v>
      </c>
      <c r="N419" t="n">
        <v>100</v>
      </c>
      <c r="O419" t="n">
        <v>16.95906432748538</v>
      </c>
    </row>
    <row r="420" hidden="1">
      <c r="A420" s="5" t="n">
        <v>46157</v>
      </c>
      <c r="B420" s="6" t="inlineStr">
        <is>
          <t>Leandro Oliveira de Sousa</t>
        </is>
      </c>
      <c r="C420" s="9" t="inlineStr">
        <is>
          <t>Técnico III</t>
        </is>
      </c>
      <c r="D420" s="3" t="n">
        <v>23</v>
      </c>
      <c r="E420" s="3" t="n">
        <v>22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IF(K420&lt;-5,"CRÍTICO",IF(K420&lt;0,"ATENÇÃO",IF(K420&lt;=5,"BOM","EXCELENTE")))</f>
        <v/>
      </c>
      <c r="M420" t="n">
        <v>19</v>
      </c>
      <c r="N420" t="n">
        <v>100</v>
      </c>
      <c r="O420" t="n">
        <v>15.58441558441558</v>
      </c>
    </row>
    <row r="421" hidden="1">
      <c r="A421" s="5" t="n">
        <v>46157</v>
      </c>
      <c r="B421" s="6" t="inlineStr">
        <is>
          <t>Lizandra Gomes Duarte</t>
        </is>
      </c>
      <c r="C421" s="3" t="inlineStr">
        <is>
          <t>Técnico II</t>
        </is>
      </c>
      <c r="D421" s="3" t="n">
        <v>34</v>
      </c>
      <c r="E421" s="3" t="n">
        <v>32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IF(K421&lt;-5,"CRÍTICO",IF(K421&lt;0,"ATENÇÃO",IF(K421&lt;=5,"BOM","EXCELENTE")))</f>
        <v/>
      </c>
      <c r="M421" t="n">
        <v>13</v>
      </c>
      <c r="N421" t="n">
        <v>98.61</v>
      </c>
      <c r="O421" t="n">
        <v>16.86746987951807</v>
      </c>
    </row>
    <row r="422" hidden="1">
      <c r="A422" s="5" t="n">
        <v>46157</v>
      </c>
      <c r="B422" s="6" t="inlineStr">
        <is>
          <t>Lorena Dias de Araujo</t>
        </is>
      </c>
      <c r="C422" s="3" t="inlineStr">
        <is>
          <t>Técnico II</t>
        </is>
      </c>
      <c r="D422" s="3" t="n">
        <v>28</v>
      </c>
      <c r="E422" s="3" t="n">
        <v>25</v>
      </c>
      <c r="G422" s="3" t="n">
        <v>0</v>
      </c>
      <c r="H422" s="3" t="n">
        <v>0</v>
      </c>
      <c r="I422" s="3">
        <f>E422+G422+H422</f>
        <v/>
      </c>
      <c r="J422" s="3">
        <f>ROUND(MIN(IF(C422="Técnico III",35,IF(C422="Técnico II",28,IF(C422="Técnico I",23,IF(C422="JR",20,IF(C422="Estágio",10,0))))),IF(C422="Técnico III",SUMIFS($D:$D,$A:$A,$A422,$B:$B,"&lt;&gt;Patrícia Karla de Sousa Araújo",$B:$B,"&lt;&gt;Lorena Dias de Araujo",$B:$B,"&lt;&gt;Lucas Luiz Romero")*(35/1083),IF(C422="Técnico II",SUMIFS($D:$D,$A:$A,$A422,$B:$B,"&lt;&gt;Patrícia Karla de Sousa Araújo",$B:$B,"&lt;&gt;Lorena Dias de Araujo",$B:$B,"&lt;&gt;Lucas Luiz Romero")*(28/1083),IF(C422="Técnico I",SUMIFS($D:$D,$A:$A,$A422,$B:$B,"&lt;&gt;Patrícia Karla de Sousa Araújo",$B:$B,"&lt;&gt;Lorena Dias de Araujo",$B:$B,"&lt;&gt;Lucas Luiz Romero")*(23/1083),IF(C422="JR",SUMIFS($D:$D,$A:$A,$A422,$B:$B,"&lt;&gt;Patrícia Karla de Sousa Araújo",$B:$B,"&lt;&gt;Lorena Dias de Araujo",$B:$B,"&lt;&gt;Lucas Luiz Romero")*(20/1083),IF(C422="Estágio",SUMIFS($D:$D,$A:$A,$A422,$B:$B,"&lt;&gt;Patrícia Karla de Sousa Araújo",$B:$B,"&lt;&gt;Lorena Dias de Araujo",$B:$B,"&lt;&gt;Lucas Luiz Romero")*(10/1083),0)))))),0)</f>
        <v/>
      </c>
      <c r="K422" s="3">
        <f>I422-J422</f>
        <v/>
      </c>
      <c r="L422" s="3">
        <f>IF(K422&lt;-5,"CRÍTICO",IF(K422&lt;0,"ATENÇÃO",IF(K422&lt;=5,"BOM","EXCELENTE")))</f>
        <v/>
      </c>
      <c r="M422" t="n">
        <v>24</v>
      </c>
      <c r="N422" t="n">
        <v>100</v>
      </c>
      <c r="O422" t="n">
        <v>20.82018927444795</v>
      </c>
    </row>
    <row r="423" hidden="1">
      <c r="A423" s="5" t="n">
        <v>46157</v>
      </c>
      <c r="B423" s="6" t="inlineStr">
        <is>
          <t>Lucas Luiz Romero</t>
        </is>
      </c>
      <c r="C423" s="3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IF(K423&lt;-5,"CRÍTICO",IF(K423&lt;0,"ATENÇÃO",IF(K423&lt;=5,"BOM","EXCELENTE")))</f>
        <v/>
      </c>
      <c r="M423" s="9" t="n">
        <v>0</v>
      </c>
      <c r="N423" s="9" t="n">
        <v>100</v>
      </c>
      <c r="O423" s="9" t="n">
        <v>4.347826086956522</v>
      </c>
    </row>
    <row r="424" hidden="1">
      <c r="A424" s="5" t="n">
        <v>46157</v>
      </c>
      <c r="B424" s="6" t="inlineStr">
        <is>
          <t>Luiz Fernando de Carvalho Junior</t>
        </is>
      </c>
      <c r="C424" s="3" t="inlineStr">
        <is>
          <t>Técnico I</t>
        </is>
      </c>
      <c r="D424" s="3" t="n">
        <v>24</v>
      </c>
      <c r="E424" s="3" t="n">
        <v>21</v>
      </c>
      <c r="G424" s="3" t="n">
        <v>2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IF(K424&lt;-5,"CRÍTICO",IF(K424&lt;0,"ATENÇÃO",IF(K424&lt;=5,"BOM","EXCELENTE")))</f>
        <v/>
      </c>
      <c r="M424" t="n">
        <v>24</v>
      </c>
      <c r="N424" t="n">
        <v>93.26000000000001</v>
      </c>
      <c r="O424" t="n">
        <v>19.93957703927493</v>
      </c>
    </row>
    <row r="425" hidden="1">
      <c r="A425" s="5" t="n">
        <v>46157</v>
      </c>
      <c r="B425" s="6" t="inlineStr">
        <is>
          <t>Matheus Farias De Souza</t>
        </is>
      </c>
      <c r="C425" s="3" t="inlineStr">
        <is>
          <t>Técnico III</t>
        </is>
      </c>
      <c r="D425" s="3" t="n">
        <v>0</v>
      </c>
      <c r="E425" s="3" t="n">
        <v>0</v>
      </c>
      <c r="G425" s="3" t="n">
        <v>0</v>
      </c>
      <c r="H425" s="3" t="n">
        <v>31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IF(K425&lt;-5,"CRÍTICO",IF(K425&lt;0,"ATENÇÃO",IF(K425&lt;=5,"BOM","EXCELENTE")))</f>
        <v/>
      </c>
      <c r="M425" t="n">
        <v>19</v>
      </c>
      <c r="N425" t="n">
        <v>98.28</v>
      </c>
      <c r="O425" t="n">
        <v>9.037900874635568</v>
      </c>
    </row>
    <row r="426" hidden="1">
      <c r="A426" s="5" t="n">
        <v>46157</v>
      </c>
      <c r="B426" s="6" t="inlineStr">
        <is>
          <t>Maysa Victoria Dias Moura</t>
        </is>
      </c>
      <c r="C426" s="3" t="inlineStr">
        <is>
          <t>Técnico III</t>
        </is>
      </c>
      <c r="D426" s="3" t="n">
        <v>26</v>
      </c>
      <c r="E426" s="3" t="n">
        <v>24</v>
      </c>
      <c r="G426" s="3" t="n">
        <v>2</v>
      </c>
      <c r="H426" s="3" t="n">
        <v>0</v>
      </c>
      <c r="I426" s="3">
        <f>E426+G426+H426</f>
        <v/>
      </c>
      <c r="J426" s="3">
        <f>ROUND(MIN(IF(C426="Técnico III",35,IF(C426="Técnico II",28,IF(C426="Técnico I",23,IF(C426="JR",20,IF(C426="Estágio",10,0))))),IF(C426="Técnico III",SUMIFS($D:$D,$A:$A,$A426,$B:$B,"&lt;&gt;Patrícia Karla de Sousa Araújo",$B:$B,"&lt;&gt;Lorena Dias de Araujo",$B:$B,"&lt;&gt;Lucas Luiz Romero")*(35/1083),IF(C426="Técnico II",SUMIFS($D:$D,$A:$A,$A426,$B:$B,"&lt;&gt;Patrícia Karla de Sousa Araújo",$B:$B,"&lt;&gt;Lorena Dias de Araujo",$B:$B,"&lt;&gt;Lucas Luiz Romero")*(28/1083),IF(C426="Técnico I",SUMIFS($D:$D,$A:$A,$A426,$B:$B,"&lt;&gt;Patrícia Karla de Sousa Araújo",$B:$B,"&lt;&gt;Lorena Dias de Araujo",$B:$B,"&lt;&gt;Lucas Luiz Romero")*(23/1083),IF(C426="JR",SUMIFS($D:$D,$A:$A,$A426,$B:$B,"&lt;&gt;Patrícia Karla de Sousa Araújo",$B:$B,"&lt;&gt;Lorena Dias de Araujo",$B:$B,"&lt;&gt;Lucas Luiz Romero")*(20/1083),IF(C426="Estágio",SUMIFS($D:$D,$A:$A,$A426,$B:$B,"&lt;&gt;Patrícia Karla de Sousa Araújo",$B:$B,"&lt;&gt;Lorena Dias de Araujo",$B:$B,"&lt;&gt;Lucas Luiz Romero")*(10/1083),0)))))),0)</f>
        <v/>
      </c>
      <c r="K426" s="3">
        <f>I426-J426</f>
        <v/>
      </c>
      <c r="L426" s="3">
        <f>IF(K426&lt;-5,"CRÍTICO",IF(K426&lt;0,"ATENÇÃO",IF(K426&lt;=5,"BOM","EXCELENTE")))</f>
        <v/>
      </c>
      <c r="M426" t="n">
        <v>22</v>
      </c>
      <c r="N426" t="n">
        <v>97.22</v>
      </c>
      <c r="O426" t="n">
        <v>19.09547738693467</v>
      </c>
    </row>
    <row r="427" hidden="1">
      <c r="A427" s="5" t="n">
        <v>46157</v>
      </c>
      <c r="B427" s="6" t="inlineStr">
        <is>
          <t>Anna Luiza Rezende Tavares</t>
        </is>
      </c>
      <c r="C427" s="3" t="inlineStr">
        <is>
          <t>Estágio</t>
        </is>
      </c>
      <c r="D427" s="3" t="n">
        <v>42</v>
      </c>
      <c r="E427" s="3" t="n">
        <v>40</v>
      </c>
      <c r="G427" s="3" t="n">
        <v>0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IF(K427&lt;-5,"CRÍTICO",IF(K427&lt;0,"ATENÇÃO",IF(K427&lt;=5,"BOM","EXCELENTE")))</f>
        <v/>
      </c>
      <c r="M427" t="n">
        <v>34</v>
      </c>
      <c r="N427" t="n">
        <v>99.11</v>
      </c>
      <c r="O427" t="n">
        <v>17.72151898734177</v>
      </c>
    </row>
    <row r="428" hidden="1">
      <c r="A428" s="5" t="n">
        <v>46157</v>
      </c>
      <c r="B428" s="6" t="inlineStr">
        <is>
          <t>Claudio de Sousa Velasco Filho</t>
        </is>
      </c>
      <c r="C428" s="3" t="inlineStr">
        <is>
          <t>Estágio</t>
        </is>
      </c>
      <c r="D428" s="3" t="n">
        <v>11</v>
      </c>
      <c r="E428" s="3" t="n">
        <v>10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IF(K428&lt;-5,"CRÍTICO",IF(K428&lt;0,"ATENÇÃO",IF(K428&lt;=5,"BOM","EXCELENTE")))</f>
        <v/>
      </c>
      <c r="M428" t="n">
        <v>8</v>
      </c>
      <c r="N428" t="n">
        <v>96.43000000000001</v>
      </c>
      <c r="O428" t="n">
        <v>20</v>
      </c>
    </row>
    <row r="429" hidden="1">
      <c r="A429" s="5" t="n">
        <v>46157</v>
      </c>
      <c r="B429" s="6" t="inlineStr">
        <is>
          <t>Emilly Caylane Costa</t>
        </is>
      </c>
      <c r="C429" s="3" t="inlineStr">
        <is>
          <t>Estágio</t>
        </is>
      </c>
      <c r="D429" s="3" t="n">
        <v>39</v>
      </c>
      <c r="E429" s="3" t="n">
        <v>24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IF(K429&lt;-5,"CRÍTICO",IF(K429&lt;0,"ATENÇÃO",IF(K429&lt;=5,"BOM","EXCELENTE")))</f>
        <v/>
      </c>
      <c r="M429" t="n">
        <v>0</v>
      </c>
      <c r="N429" t="n">
        <v>100</v>
      </c>
      <c r="O429" t="n">
        <v>29.03225806451613</v>
      </c>
    </row>
    <row r="430">
      <c r="A430" s="5" t="n">
        <v>46157</v>
      </c>
      <c r="B430" s="6" t="inlineStr">
        <is>
          <t>Gabriel Alves</t>
        </is>
      </c>
      <c r="C430" s="3" t="inlineStr">
        <is>
          <t>Estágio</t>
        </is>
      </c>
      <c r="D430" s="3" t="n">
        <v>4</v>
      </c>
      <c r="E430" s="3" t="n">
        <v>4</v>
      </c>
      <c r="G430" s="3" t="n">
        <v>0</v>
      </c>
      <c r="H430" s="3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3</v>
      </c>
      <c r="N430" t="n">
        <v>100</v>
      </c>
      <c r="O430" t="n">
        <v>14.28571428571428</v>
      </c>
    </row>
    <row r="431" hidden="1">
      <c r="A431" s="5" t="n">
        <v>46157</v>
      </c>
      <c r="B431" s="6" t="inlineStr">
        <is>
          <t>Maria Eduarda Sousa Costa</t>
        </is>
      </c>
      <c r="C431" s="3" t="inlineStr">
        <is>
          <t>Estágio</t>
        </is>
      </c>
      <c r="D431" s="3" t="n">
        <v>54</v>
      </c>
      <c r="E431" s="3" t="n">
        <v>32</v>
      </c>
      <c r="G431" s="3" t="n">
        <v>0</v>
      </c>
      <c r="H431" s="3" t="n">
        <v>0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IF(K431&lt;-5,"CRÍTICO",IF(K431&lt;0,"ATENÇÃO",IF(K431&lt;=5,"BOM","EXCELENTE")))</f>
        <v/>
      </c>
      <c r="M431" t="n">
        <v>1</v>
      </c>
      <c r="N431" t="n">
        <v>100</v>
      </c>
      <c r="O431" t="n">
        <v>11.86440677966102</v>
      </c>
    </row>
    <row r="432" hidden="1">
      <c r="A432" s="5" t="n">
        <v>46157</v>
      </c>
      <c r="B432" s="6" t="inlineStr">
        <is>
          <t>Michelle G Santos</t>
        </is>
      </c>
      <c r="C432" s="3" t="inlineStr">
        <is>
          <t>Estágio</t>
        </is>
      </c>
      <c r="D432" s="3" t="n">
        <v>9</v>
      </c>
      <c r="E432" s="3" t="n">
        <v>8</v>
      </c>
      <c r="G432" s="3" t="n">
        <v>0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IF(K432&lt;-5,"CRÍTICO",IF(K432&lt;0,"ATENÇÃO",IF(K432&lt;=5,"BOM","EXCELENTE")))</f>
        <v/>
      </c>
      <c r="M432" t="n">
        <v>7</v>
      </c>
      <c r="N432" t="n">
        <v>100</v>
      </c>
      <c r="O432" t="n">
        <v>16.8141592920354</v>
      </c>
    </row>
    <row r="433" hidden="1">
      <c r="A433" s="5" t="n">
        <v>46157</v>
      </c>
      <c r="B433" s="6" t="inlineStr">
        <is>
          <t>Quirino Diogo Leite Torres</t>
        </is>
      </c>
      <c r="C433" s="3" t="inlineStr">
        <is>
          <t>Estágio</t>
        </is>
      </c>
      <c r="D433" s="3" t="n">
        <v>17</v>
      </c>
      <c r="E433" s="3" t="n">
        <v>15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IF(K433&lt;-5,"CRÍTICO",IF(K433&lt;0,"ATENÇÃO",IF(K433&lt;=5,"BOM","EXCELENTE")))</f>
        <v/>
      </c>
      <c r="M433" t="n">
        <v>14</v>
      </c>
      <c r="N433" t="n">
        <v>98.11</v>
      </c>
      <c r="O433" t="n">
        <v>20.40816326530612</v>
      </c>
    </row>
    <row r="434" hidden="1">
      <c r="A434" s="5" t="n">
        <v>46157</v>
      </c>
      <c r="B434" s="6" t="inlineStr">
        <is>
          <t>Milena Sales</t>
        </is>
      </c>
      <c r="C434" s="3" t="inlineStr">
        <is>
          <t>JR</t>
        </is>
      </c>
      <c r="D434" s="3" t="n">
        <v>29</v>
      </c>
      <c r="E434" s="3" t="n">
        <v>21</v>
      </c>
      <c r="G434" s="3" t="n">
        <v>2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IF(K434&lt;-5,"CRÍTICO",IF(K434&lt;0,"ATENÇÃO",IF(K434&lt;=5,"BOM","EXCELENTE")))</f>
        <v/>
      </c>
      <c r="M434" t="n">
        <v>19</v>
      </c>
      <c r="N434" t="n">
        <v>98</v>
      </c>
      <c r="O434" t="n">
        <v>16.43835616438356</v>
      </c>
    </row>
    <row r="435" hidden="1">
      <c r="A435" s="5" t="n">
        <v>46157</v>
      </c>
      <c r="B435" s="6" t="inlineStr">
        <is>
          <t>Patrícia Karla de Sousa Araújo</t>
        </is>
      </c>
      <c r="C435" s="3" t="inlineStr">
        <is>
          <t>Técnico II</t>
        </is>
      </c>
      <c r="D435" s="3" t="n">
        <v>13</v>
      </c>
      <c r="E435" s="3" t="n">
        <v>13</v>
      </c>
      <c r="G435" s="3" t="n">
        <v>0</v>
      </c>
      <c r="H435" s="3" t="n">
        <v>0</v>
      </c>
      <c r="I435" s="3">
        <f>E435+G435+H435</f>
        <v/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/>
      </c>
      <c r="K435" s="3">
        <f>I435-J435</f>
        <v/>
      </c>
      <c r="L435" s="3">
        <f>IF(K435&lt;-5,"CRÍTICO",IF(K435&lt;0,"ATENÇÃO",IF(K435&lt;=5,"BOM","EXCELENTE")))</f>
        <v/>
      </c>
      <c r="M435" t="n">
        <v>12</v>
      </c>
      <c r="N435" t="n">
        <v>100</v>
      </c>
      <c r="O435" t="n">
        <v>16.89497716894977</v>
      </c>
    </row>
    <row r="436" hidden="1">
      <c r="A436" s="5" t="n">
        <v>46157</v>
      </c>
      <c r="B436" s="6" t="inlineStr">
        <is>
          <t>Paulo Ricardo Santos</t>
        </is>
      </c>
      <c r="C436" s="3" t="inlineStr">
        <is>
          <t>JR</t>
        </is>
      </c>
      <c r="D436" s="3" t="n">
        <v>13</v>
      </c>
      <c r="E436" s="3" t="n">
        <v>13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IF(K436&lt;-5,"CRÍTICO",IF(K436&lt;0,"ATENÇÃO",IF(K436&lt;=5,"BOM","EXCELENTE")))</f>
        <v/>
      </c>
      <c r="M436" t="n">
        <v>14</v>
      </c>
      <c r="N436" t="n">
        <v>100</v>
      </c>
      <c r="O436" t="n">
        <v>19.13875598086124</v>
      </c>
    </row>
    <row r="437" hidden="1">
      <c r="A437" s="5" t="n">
        <v>46157</v>
      </c>
      <c r="B437" s="6" t="inlineStr">
        <is>
          <t>Pedro Luiz Mota Sousa</t>
        </is>
      </c>
      <c r="C437" s="3" t="inlineStr">
        <is>
          <t>JR</t>
        </is>
      </c>
      <c r="D437" s="3" t="n">
        <v>14</v>
      </c>
      <c r="E437" s="3" t="n">
        <v>12</v>
      </c>
      <c r="G437" s="3" t="n">
        <v>2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IF(K437&lt;-5,"CRÍTICO",IF(K437&lt;0,"ATENÇÃO",IF(K437&lt;=5,"BOM","EXCELENTE")))</f>
        <v/>
      </c>
      <c r="M437" t="n">
        <v>15</v>
      </c>
      <c r="N437" t="n">
        <v>100</v>
      </c>
      <c r="O437" t="n">
        <v>15.02145922746781</v>
      </c>
    </row>
    <row r="438" hidden="1">
      <c r="A438" s="5" t="n">
        <v>46157</v>
      </c>
      <c r="B438" s="6" t="inlineStr">
        <is>
          <t>Raane Batista Matos</t>
        </is>
      </c>
      <c r="C438" s="3" t="inlineStr">
        <is>
          <t>Técnico I</t>
        </is>
      </c>
      <c r="D438" s="3" t="n">
        <v>28</v>
      </c>
      <c r="E438" s="3" t="n">
        <v>25</v>
      </c>
      <c r="G438" s="3" t="n">
        <v>5</v>
      </c>
      <c r="H438" s="3" t="n">
        <v>0</v>
      </c>
      <c r="I438" s="3">
        <f>E438+G438+H438</f>
        <v/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/>
      </c>
      <c r="K438" s="3">
        <f>I438-J438</f>
        <v/>
      </c>
      <c r="L438" s="3">
        <f>IF(K438&lt;-5,"CRÍTICO",IF(K438&lt;0,"ATENÇÃO",IF(K438&lt;=5,"BOM","EXCELENTE")))</f>
        <v/>
      </c>
      <c r="M438" t="n">
        <v>23</v>
      </c>
      <c r="N438" t="n">
        <v>97.56</v>
      </c>
      <c r="O438" t="n">
        <v>19.28783382789317</v>
      </c>
    </row>
    <row r="439" hidden="1">
      <c r="A439" s="5" t="n">
        <v>46157</v>
      </c>
      <c r="B439" s="6" t="inlineStr">
        <is>
          <t>Rafael Gomes de Morais</t>
        </is>
      </c>
      <c r="C439" s="3" t="inlineStr">
        <is>
          <t>Técnico III</t>
        </is>
      </c>
      <c r="D439" s="3" t="n">
        <v>31</v>
      </c>
      <c r="E439" s="3" t="n">
        <v>29</v>
      </c>
      <c r="G439" s="3" t="n">
        <v>2</v>
      </c>
      <c r="H439" s="3" t="n">
        <v>0</v>
      </c>
      <c r="I439" s="3">
        <f>E439+G439+H439</f>
        <v/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/>
      </c>
      <c r="K439" s="3">
        <f>I439-J439</f>
        <v/>
      </c>
      <c r="L439" s="3">
        <f>IF(K439&lt;-5,"CRÍTICO",IF(K439&lt;0,"ATENÇÃO",IF(K439&lt;=5,"BOM","EXCELENTE")))</f>
        <v/>
      </c>
      <c r="M439" t="n">
        <v>29</v>
      </c>
      <c r="N439" t="n">
        <v>99.29000000000001</v>
      </c>
      <c r="O439" t="n">
        <v>22.49443207126949</v>
      </c>
    </row>
    <row r="440" hidden="1">
      <c r="A440" s="5" t="n">
        <v>46157</v>
      </c>
      <c r="B440" s="6" t="inlineStr">
        <is>
          <t>Sara Maria Monteiro Lopes</t>
        </is>
      </c>
      <c r="C440" s="3" t="inlineStr">
        <is>
          <t>Técnico I</t>
        </is>
      </c>
      <c r="D440" s="3" t="n">
        <v>18</v>
      </c>
      <c r="E440" s="3" t="n">
        <v>17</v>
      </c>
      <c r="G440" s="3" t="n">
        <v>3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IF(K440&lt;-5,"CRÍTICO",IF(K440&lt;0,"ATENÇÃO",IF(K440&lt;=5,"BOM","EXCELENTE")))</f>
        <v/>
      </c>
      <c r="M440" t="n">
        <v>14</v>
      </c>
      <c r="N440" t="n">
        <v>100</v>
      </c>
      <c r="O440" t="n">
        <v>16.97247706422019</v>
      </c>
    </row>
    <row r="441" hidden="1">
      <c r="A441" s="5" t="n">
        <v>46157</v>
      </c>
      <c r="B441" s="6" t="inlineStr">
        <is>
          <t>Sarah Steffanie de Lima Borges</t>
        </is>
      </c>
      <c r="C441" s="3" t="inlineStr">
        <is>
          <t>Técnico III</t>
        </is>
      </c>
      <c r="D441" s="3" t="n">
        <v>20</v>
      </c>
      <c r="E441" s="3" t="n">
        <v>20</v>
      </c>
      <c r="G441" s="3" t="n">
        <v>1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IF(K441&lt;-5,"CRÍTICO",IF(K441&lt;0,"ATENÇÃO",IF(K441&lt;=5,"BOM","EXCELENTE")))</f>
        <v/>
      </c>
      <c r="M441" t="n">
        <v>17</v>
      </c>
      <c r="N441" t="n">
        <v>97.33</v>
      </c>
      <c r="O441" t="n">
        <v>15.80547112462006</v>
      </c>
    </row>
    <row r="442" hidden="1">
      <c r="A442" s="5" t="n">
        <v>46160</v>
      </c>
      <c r="B442" s="6" t="inlineStr">
        <is>
          <t>Alisson de Freitas Silva</t>
        </is>
      </c>
      <c r="C442" s="3" t="inlineStr">
        <is>
          <t>Técnico II</t>
        </is>
      </c>
      <c r="D442" s="3" t="n">
        <v>42</v>
      </c>
      <c r="E442" s="3" t="n">
        <v>27</v>
      </c>
      <c r="G442" s="3" t="n">
        <v>4</v>
      </c>
      <c r="H442" s="3" t="n">
        <v>0</v>
      </c>
      <c r="I442" s="3">
        <f>E442+G442+H442</f>
        <v/>
      </c>
      <c r="J442" s="3">
        <f>ROUND(MIN(IF(C442="Técnico III",35,IF(C442="Técnico II",28,IF(C442="Técnico I",23,IF(C442="JR",20,IF(C442="Estágio",10,0))))),IF(C442="Técnico III",SUMIFS($D:$D,$A:$A,$A442,$B:$B,"&lt;&gt;Patrícia Karla de Sousa Araújo",$B:$B,"&lt;&gt;Lorena Dias de Araujo",$B:$B,"&lt;&gt;Lucas Luiz Romero")*(35/1083),IF(C442="Técnico II",SUMIFS($D:$D,$A:$A,$A442,$B:$B,"&lt;&gt;Patrícia Karla de Sousa Araújo",$B:$B,"&lt;&gt;Lorena Dias de Araujo",$B:$B,"&lt;&gt;Lucas Luiz Romero")*(28/1083),IF(C442="Técnico I",SUMIFS($D:$D,$A:$A,$A442,$B:$B,"&lt;&gt;Patrícia Karla de Sousa Araújo",$B:$B,"&lt;&gt;Lorena Dias de Araujo",$B:$B,"&lt;&gt;Lucas Luiz Romero")*(23/1083),IF(C442="JR",SUMIFS($D:$D,$A:$A,$A442,$B:$B,"&lt;&gt;Patrícia Karla de Sousa Araújo",$B:$B,"&lt;&gt;Lorena Dias de Araujo",$B:$B,"&lt;&gt;Lucas Luiz Romero")*(20/1083),IF(C442="Estágio",SUMIFS($D:$D,$A:$A,$A442,$B:$B,"&lt;&gt;Patrícia Karla de Sousa Araújo",$B:$B,"&lt;&gt;Lorena Dias de Araujo",$B:$B,"&lt;&gt;Lucas Luiz Romero")*(10/1083),0)))))),0)</f>
        <v/>
      </c>
      <c r="K442" s="3">
        <f>I442-J442</f>
        <v/>
      </c>
      <c r="L442" s="3">
        <f>IF(K442&lt;-5,"CRÍTICO",IF(K442&lt;0,"ATENÇÃO",IF(K442&lt;=5,"BOM","EXCELENTE")))</f>
        <v/>
      </c>
      <c r="M442" s="3" t="n">
        <v>19</v>
      </c>
      <c r="N442" s="3" t="n">
        <v>98.94</v>
      </c>
      <c r="O442" s="3" t="n">
        <v>19.61414790996785</v>
      </c>
    </row>
    <row r="443" hidden="1">
      <c r="A443" s="5" t="n">
        <v>46160</v>
      </c>
      <c r="B443" s="6" t="inlineStr">
        <is>
          <t>Amanda Moura Ferreira</t>
        </is>
      </c>
      <c r="C443" s="3" t="inlineStr">
        <is>
          <t>Técnico III</t>
        </is>
      </c>
      <c r="D443" s="3" t="n">
        <v>0</v>
      </c>
      <c r="E443" s="3" t="n">
        <v>0</v>
      </c>
      <c r="F443" s="3" t="n">
        <v>0</v>
      </c>
      <c r="G443" s="3" t="n">
        <v>0</v>
      </c>
      <c r="H443" s="3" t="n">
        <v>0</v>
      </c>
      <c r="I443" s="3" t="n">
        <v>0</v>
      </c>
      <c r="J443" s="3" t="n">
        <v>0</v>
      </c>
      <c r="K443" s="3" t="n">
        <v>0</v>
      </c>
      <c r="L443" s="3">
        <f>IF(K443&lt;-5,"CRÍTICO",IF(K443&lt;0,"ATENÇÃO",IF(K443&lt;=5,"BOM","EXCELENTE")))</f>
        <v/>
      </c>
      <c r="M443" s="9" t="n">
        <v>0</v>
      </c>
      <c r="N443" s="9" t="n">
        <v>100</v>
      </c>
      <c r="O443" s="9" t="n">
        <v>0</v>
      </c>
    </row>
    <row r="444" hidden="1">
      <c r="A444" s="5" t="n">
        <v>46160</v>
      </c>
      <c r="B444" s="6" t="inlineStr">
        <is>
          <t>Ana Karollyne Souza Faria</t>
        </is>
      </c>
      <c r="C444" s="3" t="inlineStr">
        <is>
          <t>Técnico I</t>
        </is>
      </c>
      <c r="D444" s="3" t="n">
        <v>18</v>
      </c>
      <c r="E444" s="3" t="n">
        <v>17</v>
      </c>
      <c r="G444" s="3" t="n">
        <v>2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IF(K444&lt;-5,"CRÍTICO",IF(K444&lt;0,"ATENÇÃO",IF(K444&lt;=5,"BOM","EXCELENTE")))</f>
        <v/>
      </c>
      <c r="M444" s="3" t="n">
        <v>18</v>
      </c>
      <c r="N444" s="3" t="n">
        <v>95.38</v>
      </c>
      <c r="O444" s="3" t="n">
        <v>21.5962441314554</v>
      </c>
    </row>
    <row r="445" hidden="1">
      <c r="A445" s="5" t="n">
        <v>46160</v>
      </c>
      <c r="B445" s="6" t="inlineStr">
        <is>
          <t>Ana Paula Da Luz Silva Aleixo</t>
        </is>
      </c>
      <c r="C445" s="9" t="inlineStr">
        <is>
          <t>Técnico III</t>
        </is>
      </c>
      <c r="D445" s="3" t="n">
        <v>0</v>
      </c>
      <c r="E445" s="3" t="n">
        <v>0</v>
      </c>
      <c r="F445" s="3" t="n">
        <v>0</v>
      </c>
      <c r="G445" s="3" t="n">
        <v>0</v>
      </c>
      <c r="H445" s="3" t="n">
        <v>0</v>
      </c>
      <c r="I445" s="3" t="n">
        <v>0</v>
      </c>
      <c r="J445" s="3" t="n">
        <v>0</v>
      </c>
      <c r="K445" s="3" t="n">
        <v>0</v>
      </c>
      <c r="L445" s="3">
        <f>IF(K445&lt;-5,"CRÍTICO",IF(K445&lt;0,"ATENÇÃO",IF(K445&lt;=5,"BOM","EXCELENTE")))</f>
        <v/>
      </c>
      <c r="M445" s="9" t="n">
        <v>0</v>
      </c>
      <c r="N445" s="9" t="n">
        <v>96.34</v>
      </c>
      <c r="O445" s="9" t="n">
        <v>17.57188498402556</v>
      </c>
    </row>
    <row r="446" hidden="1">
      <c r="A446" s="5" t="n">
        <v>46160</v>
      </c>
      <c r="B446" s="6" t="inlineStr">
        <is>
          <t>Anna Luiza Rezende Tavares</t>
        </is>
      </c>
      <c r="C446" s="3" t="inlineStr">
        <is>
          <t>JR</t>
        </is>
      </c>
      <c r="D446" s="3" t="n">
        <v>28</v>
      </c>
      <c r="E446" s="3" t="n">
        <v>27</v>
      </c>
      <c r="G446" s="3" t="n">
        <v>0</v>
      </c>
      <c r="H446" s="3" t="n">
        <v>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IF(K446&lt;-5,"CRÍTICO",IF(K446&lt;0,"ATENÇÃO",IF(K446&lt;=5,"BOM","EXCELENTE")))</f>
        <v/>
      </c>
      <c r="M446" t="n">
        <v>28</v>
      </c>
      <c r="N446" t="n">
        <v>99.11</v>
      </c>
      <c r="O446" t="n">
        <v>17.72151898734177</v>
      </c>
    </row>
    <row r="447" hidden="1">
      <c r="A447" s="5" t="n">
        <v>46160</v>
      </c>
      <c r="B447" s="6" t="inlineStr">
        <is>
          <t>Brenda de Menezes Silva</t>
        </is>
      </c>
      <c r="C447" s="3" t="inlineStr">
        <is>
          <t>Técnico II</t>
        </is>
      </c>
      <c r="D447" s="3" t="n">
        <v>46</v>
      </c>
      <c r="E447" s="3" t="n">
        <v>39</v>
      </c>
      <c r="G447" s="3" t="n">
        <v>7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IF(K447&lt;-5,"CRÍTICO",IF(K447&lt;0,"ATENÇÃO",IF(K447&lt;=5,"BOM","EXCELENTE")))</f>
        <v/>
      </c>
      <c r="M447" t="n">
        <v>42</v>
      </c>
      <c r="N447" t="n">
        <v>99.13</v>
      </c>
      <c r="O447" t="n">
        <v>14.7239263803681</v>
      </c>
    </row>
    <row r="448" hidden="1">
      <c r="A448" s="5" t="n">
        <v>46160</v>
      </c>
      <c r="B448" s="6" t="inlineStr">
        <is>
          <t>Carlos Mateus Cassimiro Nunes</t>
        </is>
      </c>
      <c r="C448" s="9" t="inlineStr">
        <is>
          <t>Técnico II</t>
        </is>
      </c>
      <c r="D448" s="3" t="n">
        <v>23</v>
      </c>
      <c r="E448" s="3" t="n">
        <v>23</v>
      </c>
      <c r="G448" s="3" t="n">
        <v>3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IF(K448&lt;-5,"CRÍTICO",IF(K448&lt;0,"ATENÇÃO",IF(K448&lt;=5,"BOM","EXCELENTE")))</f>
        <v/>
      </c>
      <c r="M448" t="n">
        <v>26</v>
      </c>
      <c r="N448" t="n">
        <v>98.8</v>
      </c>
      <c r="O448" t="n">
        <v>16.89750692520776</v>
      </c>
    </row>
    <row r="449" hidden="1">
      <c r="A449" s="5" t="n">
        <v>46160</v>
      </c>
      <c r="B449" s="6" t="inlineStr">
        <is>
          <t>Clessiane Pereira dos Santos</t>
        </is>
      </c>
      <c r="C449" s="3" t="inlineStr">
        <is>
          <t>Técnico I</t>
        </is>
      </c>
      <c r="D449" s="3" t="n">
        <v>22</v>
      </c>
      <c r="E449" s="3" t="n">
        <v>21</v>
      </c>
      <c r="G449" s="3" t="n">
        <v>3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IF(K449&lt;-5,"CRÍTICO",IF(K449&lt;0,"ATENÇÃO",IF(K449&lt;=5,"BOM","EXCELENTE")))</f>
        <v/>
      </c>
      <c r="M449" t="n">
        <v>22</v>
      </c>
      <c r="N449" t="n">
        <v>96.88</v>
      </c>
      <c r="O449" t="n">
        <v>19.52662721893491</v>
      </c>
    </row>
    <row r="450" hidden="1">
      <c r="A450" s="5" t="n">
        <v>46160</v>
      </c>
      <c r="B450" s="6" t="inlineStr">
        <is>
          <t>Cristiane Ramos da Silva Rocha</t>
        </is>
      </c>
      <c r="C450" s="3" t="inlineStr">
        <is>
          <t>Técnico III</t>
        </is>
      </c>
      <c r="D450" s="3" t="n">
        <v>30</v>
      </c>
      <c r="E450" s="3" t="n">
        <v>27</v>
      </c>
      <c r="G450" s="3" t="n">
        <v>0</v>
      </c>
      <c r="H450" s="3" t="n">
        <v>0</v>
      </c>
      <c r="I450" s="3">
        <f>E450+G450+H450</f>
        <v/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/>
      </c>
      <c r="K450" s="3">
        <f>I450-J450</f>
        <v/>
      </c>
      <c r="L450" s="3">
        <f>IF(K450&lt;-5,"CRÍTICO",IF(K450&lt;0,"ATENÇÃO",IF(K450&lt;=5,"BOM","EXCELENTE")))</f>
        <v/>
      </c>
      <c r="M450" t="n">
        <v>25</v>
      </c>
      <c r="N450" t="n">
        <v>91.84999999999999</v>
      </c>
      <c r="O450" t="n">
        <v>20.87155963302752</v>
      </c>
    </row>
    <row r="451" hidden="1">
      <c r="A451" s="5" t="n">
        <v>46160</v>
      </c>
      <c r="B451" s="6" t="inlineStr">
        <is>
          <t>Damyllis Lorraine de Oliveira Gonçalves</t>
        </is>
      </c>
      <c r="C451" s="3" t="inlineStr">
        <is>
          <t>Técnico II</t>
        </is>
      </c>
      <c r="D451" s="3" t="n">
        <v>0</v>
      </c>
      <c r="E451" s="3" t="n">
        <v>0</v>
      </c>
      <c r="F451" s="3" t="n">
        <v>0</v>
      </c>
      <c r="G451" s="3" t="n">
        <v>0</v>
      </c>
      <c r="H451" s="3" t="n">
        <v>0</v>
      </c>
      <c r="I451" s="3" t="n">
        <v>0</v>
      </c>
      <c r="J451" s="3" t="n">
        <v>0</v>
      </c>
      <c r="K451" s="3" t="n">
        <v>0</v>
      </c>
      <c r="L451" s="3">
        <f>IF(K451&lt;-5,"CRÍTICO",IF(K451&lt;0,"ATENÇÃO",IF(K451&lt;=5,"BOM","EXCELENTE")))</f>
        <v/>
      </c>
      <c r="M451" s="9" t="n">
        <v>0</v>
      </c>
      <c r="N451" s="9" t="n">
        <v>98.63</v>
      </c>
      <c r="O451" s="9" t="n">
        <v>18.75</v>
      </c>
    </row>
    <row r="452" hidden="1">
      <c r="A452" s="5" t="n">
        <v>46160</v>
      </c>
      <c r="B452" s="6" t="inlineStr">
        <is>
          <t>Daniel Gomes da Silva</t>
        </is>
      </c>
      <c r="C452" s="3" t="inlineStr">
        <is>
          <t>Técnico I</t>
        </is>
      </c>
      <c r="D452" s="3" t="n">
        <v>20</v>
      </c>
      <c r="E452" s="3" t="n">
        <v>19</v>
      </c>
      <c r="G452" s="3" t="n">
        <v>3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IF(K452&lt;-5,"CRÍTICO",IF(K452&lt;0,"ATENÇÃO",IF(K452&lt;=5,"BOM","EXCELENTE")))</f>
        <v/>
      </c>
      <c r="M452" t="n">
        <v>18</v>
      </c>
      <c r="N452" t="n">
        <v>100</v>
      </c>
      <c r="O452" t="n">
        <v>18.14516129032258</v>
      </c>
    </row>
    <row r="453" hidden="1">
      <c r="A453" s="5" t="n">
        <v>46160</v>
      </c>
      <c r="B453" s="6" t="inlineStr">
        <is>
          <t>Davylla Rodrigues Freitas Silva</t>
        </is>
      </c>
      <c r="C453" s="9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IF(K453&lt;-5,"CRÍTICO",IF(K453&lt;0,"ATENÇÃO",IF(K453&lt;=5,"BOM","EXCELENTE")))</f>
        <v/>
      </c>
      <c r="M453" s="9" t="n">
        <v>0</v>
      </c>
      <c r="N453" s="9" t="n">
        <v>99.06</v>
      </c>
      <c r="O453" s="9" t="n">
        <v>22.95719844357977</v>
      </c>
    </row>
    <row r="454" hidden="1">
      <c r="A454" s="5" t="n">
        <v>46160</v>
      </c>
      <c r="B454" s="6" t="inlineStr">
        <is>
          <t>Emilly Kamilly Medeiros Miranda</t>
        </is>
      </c>
      <c r="C454" s="3" t="inlineStr">
        <is>
          <t>Técnico II</t>
        </is>
      </c>
      <c r="D454" s="3" t="n">
        <v>29</v>
      </c>
      <c r="E454" s="3" t="n">
        <v>27</v>
      </c>
      <c r="G454" s="3" t="n">
        <v>3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IF(K454&lt;-5,"CRÍTICO",IF(K454&lt;0,"ATENÇÃO",IF(K454&lt;=5,"BOM","EXCELENTE")))</f>
        <v/>
      </c>
      <c r="M454" t="n">
        <v>25</v>
      </c>
      <c r="N454" t="n">
        <v>100</v>
      </c>
      <c r="O454" t="n">
        <v>13.8121546961326</v>
      </c>
    </row>
    <row r="455" hidden="1">
      <c r="A455" s="5" t="n">
        <v>46160</v>
      </c>
      <c r="B455" s="6" t="inlineStr">
        <is>
          <t>Francilene Ferreira de Jesus</t>
        </is>
      </c>
      <c r="C455" s="3" t="inlineStr">
        <is>
          <t>Técnico II</t>
        </is>
      </c>
      <c r="D455" s="3" t="n">
        <v>0</v>
      </c>
      <c r="E455" s="3" t="n">
        <v>0</v>
      </c>
      <c r="F455" s="3" t="n">
        <v>0</v>
      </c>
      <c r="G455" s="3" t="n">
        <v>0</v>
      </c>
      <c r="H455" s="3" t="n">
        <v>0</v>
      </c>
      <c r="I455" s="3" t="n">
        <v>0</v>
      </c>
      <c r="J455" s="3" t="n">
        <v>0</v>
      </c>
      <c r="K455" s="3" t="n">
        <v>0</v>
      </c>
      <c r="L455" s="3">
        <f>IF(K455&lt;-5,"CRÍTICO",IF(K455&lt;0,"ATENÇÃO",IF(K455&lt;=5,"BOM","EXCELENTE")))</f>
        <v/>
      </c>
      <c r="M455" s="9" t="n">
        <v>0</v>
      </c>
      <c r="N455" s="9" t="n">
        <v>100</v>
      </c>
      <c r="O455" s="9" t="n">
        <v>17.24137931034483</v>
      </c>
    </row>
    <row r="456">
      <c r="A456" s="5" t="n">
        <v>46160</v>
      </c>
      <c r="B456" s="6" t="inlineStr">
        <is>
          <t>Gabriel Gomes de Andrade</t>
        </is>
      </c>
      <c r="C456" s="3" t="inlineStr">
        <is>
          <t>Técnico I</t>
        </is>
      </c>
      <c r="D456" s="3" t="n">
        <v>21</v>
      </c>
      <c r="E456" s="3" t="n">
        <v>18</v>
      </c>
      <c r="G456" s="3" t="n">
        <v>6</v>
      </c>
      <c r="H456" s="3" t="n">
        <v>1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18</v>
      </c>
      <c r="N456" t="n">
        <v>98.8</v>
      </c>
      <c r="O456" t="n">
        <v>15.41353383458646</v>
      </c>
    </row>
    <row r="457" hidden="1">
      <c r="A457" s="5" t="n">
        <v>46160</v>
      </c>
      <c r="B457" s="6" t="inlineStr">
        <is>
          <t>Isabella Borges de Oliveira</t>
        </is>
      </c>
      <c r="C457" s="9" t="inlineStr">
        <is>
          <t>Técnico II</t>
        </is>
      </c>
      <c r="D457" s="3" t="n">
        <v>20</v>
      </c>
      <c r="E457" s="3" t="n">
        <v>20</v>
      </c>
      <c r="G457" s="3" t="n">
        <v>3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IF(K457&lt;-5,"CRÍTICO",IF(K457&lt;0,"ATENÇÃO",IF(K457&lt;=5,"BOM","EXCELENTE")))</f>
        <v/>
      </c>
      <c r="M457" t="n">
        <v>21</v>
      </c>
      <c r="N457" t="n">
        <v>98.63</v>
      </c>
      <c r="O457" t="n">
        <v>15.75757575757576</v>
      </c>
    </row>
    <row r="458" hidden="1">
      <c r="A458" s="5" t="n">
        <v>46160</v>
      </c>
      <c r="B458" s="6" t="inlineStr">
        <is>
          <t>Janaina Lima dos Reis Urany</t>
        </is>
      </c>
      <c r="C458" s="3" t="inlineStr">
        <is>
          <t>Técnico III</t>
        </is>
      </c>
      <c r="D458" s="3" t="n">
        <v>37</v>
      </c>
      <c r="E458" s="3" t="n">
        <v>32</v>
      </c>
      <c r="G458" s="3" t="n">
        <v>5</v>
      </c>
      <c r="H458" s="3" t="n">
        <v>0</v>
      </c>
      <c r="I458" s="3">
        <f>E458+G458+H458</f>
        <v/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/>
      </c>
      <c r="K458" s="3">
        <f>I458-J458</f>
        <v/>
      </c>
      <c r="L458" s="3">
        <f>IF(K458&lt;-5,"CRÍTICO",IF(K458&lt;0,"ATENÇÃO",IF(K458&lt;=5,"BOM","EXCELENTE")))</f>
        <v/>
      </c>
      <c r="M458" t="n">
        <v>34</v>
      </c>
      <c r="N458" t="n">
        <v>98.64</v>
      </c>
      <c r="O458" t="n">
        <v>16.6383701188455</v>
      </c>
    </row>
    <row r="459" hidden="1">
      <c r="A459" s="5" t="n">
        <v>46160</v>
      </c>
      <c r="B459" s="6" t="inlineStr">
        <is>
          <t>Jaqueline Evangelista da Silva Martins</t>
        </is>
      </c>
      <c r="C459" s="3" t="inlineStr">
        <is>
          <t>Técnico III</t>
        </is>
      </c>
      <c r="D459" s="3" t="n">
        <v>26</v>
      </c>
      <c r="E459" s="3" t="n">
        <v>25</v>
      </c>
      <c r="G459" s="3" t="n">
        <v>6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IF(K459&lt;-5,"CRÍTICO",IF(K459&lt;0,"ATENÇÃO",IF(K459&lt;=5,"BOM","EXCELENTE")))</f>
        <v/>
      </c>
      <c r="M459" t="n">
        <v>23</v>
      </c>
      <c r="N459" t="n">
        <v>95.40000000000001</v>
      </c>
      <c r="O459" t="n">
        <v>20.53333333333333</v>
      </c>
    </row>
    <row r="460" hidden="1">
      <c r="A460" s="5" t="n">
        <v>46160</v>
      </c>
      <c r="B460" s="6" t="inlineStr">
        <is>
          <t>Jessica Faria da Silveira</t>
        </is>
      </c>
      <c r="C460" s="3" t="inlineStr">
        <is>
          <t>Técnico II</t>
        </is>
      </c>
      <c r="D460" s="3" t="n">
        <v>28</v>
      </c>
      <c r="E460" s="3" t="n">
        <v>22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IF(K460&lt;-5,"CRÍTICO",IF(K460&lt;0,"ATENÇÃO",IF(K460&lt;=5,"BOM","EXCELENTE")))</f>
        <v/>
      </c>
      <c r="M460" t="n">
        <v>19</v>
      </c>
      <c r="N460" t="n">
        <v>98.61</v>
      </c>
      <c r="O460" t="n">
        <v>16.97530864197531</v>
      </c>
    </row>
    <row r="461" hidden="1">
      <c r="A461" s="5" t="n">
        <v>46160</v>
      </c>
      <c r="B461" s="6" t="inlineStr">
        <is>
          <t>Jéssica Fé Moura</t>
        </is>
      </c>
      <c r="C461" s="3" t="inlineStr">
        <is>
          <t>Técnico III</t>
        </is>
      </c>
      <c r="D461" s="3" t="n">
        <v>0</v>
      </c>
      <c r="E461" s="3" t="n">
        <v>0</v>
      </c>
      <c r="F461" s="3" t="n">
        <v>0</v>
      </c>
      <c r="G461" s="3" t="n">
        <v>0</v>
      </c>
      <c r="H461" s="3" t="n">
        <v>0</v>
      </c>
      <c r="I461" s="3" t="n">
        <v>0</v>
      </c>
      <c r="J461" s="3" t="n">
        <v>0</v>
      </c>
      <c r="K461" s="3" t="n">
        <v>0</v>
      </c>
      <c r="L461" s="3">
        <f>IF(K461&lt;-5,"CRÍTICO",IF(K461&lt;0,"ATENÇÃO",IF(K461&lt;=5,"BOM","EXCELENTE")))</f>
        <v/>
      </c>
      <c r="M461" s="9" t="n">
        <v>0</v>
      </c>
      <c r="N461" s="9" t="n">
        <v>0</v>
      </c>
      <c r="O461" s="9" t="n">
        <v>0</v>
      </c>
    </row>
    <row r="462" hidden="1">
      <c r="A462" s="5" t="n">
        <v>46160</v>
      </c>
      <c r="B462" s="6" t="inlineStr">
        <is>
          <t>Karina Gonçalves Martins</t>
        </is>
      </c>
      <c r="C462" s="3" t="inlineStr">
        <is>
          <t>JR</t>
        </is>
      </c>
      <c r="D462" s="3" t="n">
        <v>18</v>
      </c>
      <c r="E462" s="3" t="n">
        <v>17</v>
      </c>
      <c r="G462" s="3" t="n">
        <v>2</v>
      </c>
      <c r="H462" s="3" t="n">
        <v>0</v>
      </c>
      <c r="I462" s="3">
        <f>E462+G462+H462</f>
        <v/>
      </c>
      <c r="J462" s="3">
        <f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/>
      </c>
      <c r="K462" s="3">
        <f>I462-J462</f>
        <v/>
      </c>
      <c r="L462" s="3">
        <f>IF(K462&lt;-5,"CRÍTICO",IF(K462&lt;0,"ATENÇÃO",IF(K462&lt;=5,"BOM","EXCELENTE")))</f>
        <v/>
      </c>
      <c r="M462" t="n">
        <v>21</v>
      </c>
      <c r="N462" t="n">
        <v>97.01000000000001</v>
      </c>
      <c r="O462" t="n">
        <v>13.96103896103896</v>
      </c>
    </row>
    <row r="463" hidden="1">
      <c r="A463" s="5" t="n">
        <v>46160</v>
      </c>
      <c r="B463" s="6" t="inlineStr">
        <is>
          <t>Kerollen Cristielly de Jesus Siqueira</t>
        </is>
      </c>
      <c r="C463" s="9" t="inlineStr">
        <is>
          <t>Técnico III</t>
        </is>
      </c>
      <c r="D463" s="3" t="n">
        <v>25</v>
      </c>
      <c r="E463" s="3" t="n">
        <v>24</v>
      </c>
      <c r="G463" s="3" t="n">
        <v>0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IF(K463&lt;-5,"CRÍTICO",IF(K463&lt;0,"ATENÇÃO",IF(K463&lt;=5,"BOM","EXCELENTE")))</f>
        <v/>
      </c>
      <c r="M463" t="n">
        <v>21</v>
      </c>
      <c r="N463" t="n">
        <v>95.52</v>
      </c>
      <c r="O463" t="n">
        <v>10.56105610561056</v>
      </c>
    </row>
    <row r="464" hidden="1">
      <c r="A464" s="5" t="n">
        <v>46160</v>
      </c>
      <c r="B464" s="6" t="inlineStr">
        <is>
          <t>Leandro de Souza Silva</t>
        </is>
      </c>
      <c r="C464" s="3" t="inlineStr">
        <is>
          <t>JR</t>
        </is>
      </c>
      <c r="D464" s="3" t="n">
        <v>16</v>
      </c>
      <c r="E464" s="3" t="n">
        <v>13</v>
      </c>
      <c r="G464" s="3" t="n">
        <v>4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IF(K464&lt;-5,"CRÍTICO",IF(K464&lt;0,"ATENÇÃO",IF(K464&lt;=5,"BOM","EXCELENTE")))</f>
        <v/>
      </c>
      <c r="M464" t="n">
        <v>14</v>
      </c>
      <c r="N464" t="n">
        <v>100</v>
      </c>
      <c r="O464" t="n">
        <v>16.95906432748538</v>
      </c>
    </row>
    <row r="465" hidden="1">
      <c r="A465" s="5" t="n">
        <v>46160</v>
      </c>
      <c r="B465" s="6" t="inlineStr">
        <is>
          <t>Leandro Oliveira de Sousa</t>
        </is>
      </c>
      <c r="C465" s="9" t="inlineStr">
        <is>
          <t>Técnico III</t>
        </is>
      </c>
      <c r="D465" s="3" t="n">
        <v>28</v>
      </c>
      <c r="E465" s="3" t="n">
        <v>25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IF(K465&lt;-5,"CRÍTICO",IF(K465&lt;0,"ATENÇÃO",IF(K465&lt;=5,"BOM","EXCELENTE")))</f>
        <v/>
      </c>
      <c r="M465" t="n">
        <v>25</v>
      </c>
      <c r="N465" t="n">
        <v>100</v>
      </c>
      <c r="O465" t="n">
        <v>15.58441558441558</v>
      </c>
    </row>
    <row r="466" hidden="1">
      <c r="A466" s="5" t="n">
        <v>46160</v>
      </c>
      <c r="B466" s="6" t="inlineStr">
        <is>
          <t>Lizandra Gomes Duarte</t>
        </is>
      </c>
      <c r="C466" s="3" t="inlineStr">
        <is>
          <t>Técnico II</t>
        </is>
      </c>
      <c r="D466" s="3" t="n">
        <v>25</v>
      </c>
      <c r="E466" s="3" t="n">
        <v>23</v>
      </c>
      <c r="G466" s="3" t="n">
        <v>2</v>
      </c>
      <c r="H466" s="3" t="n">
        <v>0</v>
      </c>
      <c r="I466" s="3">
        <f>E466+G466+H466</f>
        <v/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/>
      </c>
      <c r="K466" s="3">
        <f>I466-J466</f>
        <v/>
      </c>
      <c r="L466" s="3">
        <f>IF(K466&lt;-5,"CRÍTICO",IF(K466&lt;0,"ATENÇÃO",IF(K466&lt;=5,"BOM","EXCELENTE")))</f>
        <v/>
      </c>
      <c r="M466" t="n">
        <v>20</v>
      </c>
      <c r="N466" t="n">
        <v>98.61</v>
      </c>
      <c r="O466" t="n">
        <v>16.86746987951807</v>
      </c>
    </row>
    <row r="467" hidden="1">
      <c r="A467" s="5" t="n">
        <v>46160</v>
      </c>
      <c r="B467" s="6" t="inlineStr">
        <is>
          <t>Lorena Dias de Araujo</t>
        </is>
      </c>
      <c r="C467" s="3" t="inlineStr">
        <is>
          <t>Técnico II</t>
        </is>
      </c>
      <c r="D467" s="3" t="n">
        <v>28</v>
      </c>
      <c r="E467" s="3" t="n">
        <v>26</v>
      </c>
      <c r="G467" s="3" t="n">
        <v>0</v>
      </c>
      <c r="H467" s="3" t="n">
        <v>0</v>
      </c>
      <c r="I467" s="3">
        <f>E467+G467+H467</f>
        <v/>
      </c>
      <c r="J467" s="3">
        <f>ROUND(MIN(IF(C467="Técnico III",35,IF(C467="Técnico II",28,IF(C467="Técnico I",23,IF(C467="JR",20,IF(C467="Estágio",10,0))))),IF(C467="Técnico III",SUMIFS($D:$D,$A:$A,$A467,$B:$B,"&lt;&gt;Patrícia Karla de Sousa Araújo",$B:$B,"&lt;&gt;Lorena Dias de Araujo",$B:$B,"&lt;&gt;Lucas Luiz Romero")*(35/1083),IF(C467="Técnico II",SUMIFS($D:$D,$A:$A,$A467,$B:$B,"&lt;&gt;Patrícia Karla de Sousa Araújo",$B:$B,"&lt;&gt;Lorena Dias de Araujo",$B:$B,"&lt;&gt;Lucas Luiz Romero")*(28/1083),IF(C467="Técnico I",SUMIFS($D:$D,$A:$A,$A467,$B:$B,"&lt;&gt;Patrícia Karla de Sousa Araújo",$B:$B,"&lt;&gt;Lorena Dias de Araujo",$B:$B,"&lt;&gt;Lucas Luiz Romero")*(23/1083),IF(C467="JR",SUMIFS($D:$D,$A:$A,$A467,$B:$B,"&lt;&gt;Patrícia Karla de Sousa Araújo",$B:$B,"&lt;&gt;Lorena Dias de Araujo",$B:$B,"&lt;&gt;Lucas Luiz Romero")*(20/1083),IF(C467="Estágio",SUMIFS($D:$D,$A:$A,$A467,$B:$B,"&lt;&gt;Patrícia Karla de Sousa Araújo",$B:$B,"&lt;&gt;Lorena Dias de Araujo",$B:$B,"&lt;&gt;Lucas Luiz Romero")*(10/1083),0)))))),0)</f>
        <v/>
      </c>
      <c r="K467" s="3">
        <f>I467-J467</f>
        <v/>
      </c>
      <c r="L467" s="3">
        <f>IF(K467&lt;-5,"CRÍTICO",IF(K467&lt;0,"ATENÇÃO",IF(K467&lt;=5,"BOM","EXCELENTE")))</f>
        <v/>
      </c>
      <c r="M467" t="n">
        <v>23</v>
      </c>
      <c r="N467" t="n">
        <v>100</v>
      </c>
      <c r="O467" t="n">
        <v>20.82018927444795</v>
      </c>
    </row>
    <row r="468" hidden="1">
      <c r="A468" s="5" t="n">
        <v>46160</v>
      </c>
      <c r="B468" s="6" t="inlineStr">
        <is>
          <t>Lucas Luiz Romero</t>
        </is>
      </c>
      <c r="C468" s="3" t="inlineStr">
        <is>
          <t>Técnico III</t>
        </is>
      </c>
      <c r="D468" s="3" t="n">
        <v>0</v>
      </c>
      <c r="E468" s="3" t="n">
        <v>0</v>
      </c>
      <c r="F468" s="3" t="n">
        <v>0</v>
      </c>
      <c r="G468" s="3" t="n">
        <v>0</v>
      </c>
      <c r="H468" s="3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IF(K468&lt;-5,"CRÍTICO",IF(K468&lt;0,"ATENÇÃO",IF(K468&lt;=5,"BOM","EXCELENTE")))</f>
        <v/>
      </c>
      <c r="M468" s="9" t="n">
        <v>0</v>
      </c>
      <c r="N468" s="9" t="n">
        <v>100</v>
      </c>
      <c r="O468" s="9" t="n">
        <v>4.347826086956522</v>
      </c>
    </row>
    <row r="469" hidden="1">
      <c r="A469" s="5" t="n">
        <v>46160</v>
      </c>
      <c r="B469" s="6" t="inlineStr">
        <is>
          <t>Luiz Fernando de Carvalho Junior</t>
        </is>
      </c>
      <c r="C469" s="3" t="inlineStr">
        <is>
          <t>Técnico I</t>
        </is>
      </c>
      <c r="D469" s="3" t="n">
        <v>21</v>
      </c>
      <c r="E469" s="3" t="n">
        <v>20</v>
      </c>
      <c r="G469" s="3" t="n">
        <v>2</v>
      </c>
      <c r="H469" s="3" t="n">
        <v>0</v>
      </c>
      <c r="I469" s="3">
        <f>E469+G469+H469</f>
        <v/>
      </c>
      <c r="J469" s="3">
        <f>ROUND(MIN(IF(C469="Técnico III",35,IF(C469="Técnico II",28,IF(C469="Técnico I",23,IF(C469="JR",20,IF(C469="Estágio",10,0))))),IF(C469="Técnico III",SUMIFS($D:$D,$A:$A,$A469,$B:$B,"&lt;&gt;Patrícia Karla de Sousa Araújo",$B:$B,"&lt;&gt;Lorena Dias de Araujo",$B:$B,"&lt;&gt;Lucas Luiz Romero")*(35/1083),IF(C469="Técnico II",SUMIFS($D:$D,$A:$A,$A469,$B:$B,"&lt;&gt;Patrícia Karla de Sousa Araújo",$B:$B,"&lt;&gt;Lorena Dias de Araujo",$B:$B,"&lt;&gt;Lucas Luiz Romero")*(28/1083),IF(C469="Técnico I",SUMIFS($D:$D,$A:$A,$A469,$B:$B,"&lt;&gt;Patrícia Karla de Sousa Araújo",$B:$B,"&lt;&gt;Lorena Dias de Araujo",$B:$B,"&lt;&gt;Lucas Luiz Romero")*(23/1083),IF(C469="JR",SUMIFS($D:$D,$A:$A,$A469,$B:$B,"&lt;&gt;Patrícia Karla de Sousa Araújo",$B:$B,"&lt;&gt;Lorena Dias de Araujo",$B:$B,"&lt;&gt;Lucas Luiz Romero")*(20/1083),IF(C469="Estágio",SUMIFS($D:$D,$A:$A,$A469,$B:$B,"&lt;&gt;Patrícia Karla de Sousa Araújo",$B:$B,"&lt;&gt;Lorena Dias de Araujo",$B:$B,"&lt;&gt;Lucas Luiz Romero")*(10/1083),0)))))),0)</f>
        <v/>
      </c>
      <c r="K469" s="3">
        <f>I469-J469</f>
        <v/>
      </c>
      <c r="L469" s="3">
        <f>IF(K469&lt;-5,"CRÍTICO",IF(K469&lt;0,"ATENÇÃO",IF(K469&lt;=5,"BOM","EXCELENTE")))</f>
        <v/>
      </c>
      <c r="M469" t="n">
        <v>20</v>
      </c>
      <c r="N469" t="n">
        <v>93.26000000000001</v>
      </c>
      <c r="O469" t="n">
        <v>19.93957703927493</v>
      </c>
    </row>
    <row r="470" hidden="1">
      <c r="A470" s="5" t="n">
        <v>46160</v>
      </c>
      <c r="B470" s="6" t="inlineStr">
        <is>
          <t>Matheus Farias De Souza</t>
        </is>
      </c>
      <c r="C470" s="3" t="inlineStr">
        <is>
          <t>Técnico III</t>
        </is>
      </c>
      <c r="D470" s="3" t="n">
        <v>0</v>
      </c>
      <c r="E470" s="3" t="n">
        <v>0</v>
      </c>
      <c r="G470" s="3" t="n">
        <v>0</v>
      </c>
      <c r="H470" s="3" t="n">
        <v>32</v>
      </c>
      <c r="I470" s="3">
        <f>E470+G470+H470</f>
        <v/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/>
      </c>
      <c r="K470" s="3">
        <f>I470-J470</f>
        <v/>
      </c>
      <c r="L470" s="3">
        <f>IF(K470&lt;-5,"CRÍTICO",IF(K470&lt;0,"ATENÇÃO",IF(K470&lt;=5,"BOM","EXCELENTE")))</f>
        <v/>
      </c>
      <c r="M470" t="n">
        <v>16</v>
      </c>
      <c r="N470" t="n">
        <v>98.28</v>
      </c>
      <c r="O470" t="n">
        <v>9.037900874635568</v>
      </c>
    </row>
    <row r="471" hidden="1">
      <c r="A471" s="5" t="n">
        <v>46160</v>
      </c>
      <c r="B471" s="6" t="inlineStr">
        <is>
          <t>Maysa Victoria Dias Moura</t>
        </is>
      </c>
      <c r="C471" s="3" t="inlineStr">
        <is>
          <t>Técnico III</t>
        </is>
      </c>
      <c r="D471" s="3" t="n">
        <v>30</v>
      </c>
      <c r="E471" s="3" t="n">
        <v>27</v>
      </c>
      <c r="G471" s="3" t="n">
        <v>2</v>
      </c>
      <c r="H471" s="3" t="n">
        <v>0</v>
      </c>
      <c r="I471" s="3">
        <f>E471+G471+H471</f>
        <v/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/>
      </c>
      <c r="K471" s="3">
        <f>I471-J471</f>
        <v/>
      </c>
      <c r="L471" s="3">
        <f>IF(K471&lt;-5,"CRÍTICO",IF(K471&lt;0,"ATENÇÃO",IF(K471&lt;=5,"BOM","EXCELENTE")))</f>
        <v/>
      </c>
      <c r="M471" t="n">
        <v>27</v>
      </c>
      <c r="N471" t="n">
        <v>97.22</v>
      </c>
      <c r="O471" t="n">
        <v>19.09547738693467</v>
      </c>
    </row>
    <row r="472" hidden="1">
      <c r="A472" s="5" t="n">
        <v>46160</v>
      </c>
      <c r="B472" s="6" t="inlineStr">
        <is>
          <t>Milena Sales</t>
        </is>
      </c>
      <c r="C472" s="3" t="inlineStr">
        <is>
          <t>JR</t>
        </is>
      </c>
      <c r="D472" s="3" t="n">
        <v>11</v>
      </c>
      <c r="E472" s="3" t="n">
        <v>9</v>
      </c>
      <c r="G472" s="3" t="n">
        <v>1</v>
      </c>
      <c r="H472" s="3" t="n">
        <v>0</v>
      </c>
      <c r="I472" s="3">
        <f>E472+G472+H472</f>
        <v/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/>
      </c>
      <c r="K472" s="3">
        <f>I472-J472</f>
        <v/>
      </c>
      <c r="L472" s="3">
        <f>IF(K472&lt;-5,"CRÍTICO",IF(K472&lt;0,"ATENÇÃO",IF(K472&lt;=5,"BOM","EXCELENTE")))</f>
        <v/>
      </c>
      <c r="M472" t="n">
        <v>6</v>
      </c>
      <c r="N472" t="n">
        <v>98</v>
      </c>
      <c r="O472" t="n">
        <v>16.43835616438356</v>
      </c>
    </row>
    <row r="473" hidden="1">
      <c r="A473" s="5" t="n">
        <v>46160</v>
      </c>
      <c r="B473" s="6" t="inlineStr">
        <is>
          <t>Patrícia Karla de Sousa Araújo</t>
        </is>
      </c>
      <c r="C473" s="3" t="inlineStr">
        <is>
          <t>Técnico II</t>
        </is>
      </c>
      <c r="D473" s="3" t="n">
        <v>16</v>
      </c>
      <c r="E473" s="3" t="n">
        <v>15</v>
      </c>
      <c r="G473" s="3" t="n">
        <v>0</v>
      </c>
      <c r="H473" s="3" t="n">
        <v>0</v>
      </c>
      <c r="I473" s="3">
        <f>E473+G473+H473</f>
        <v/>
      </c>
      <c r="J473" s="3">
        <f>ROUND(MIN(IF(C473="Técnico III",35,IF(C473="Técnico II",28,IF(C473="Técnico I",23,IF(C473="JR",20,IF(C473="Estágio",10,0))))),IF(C473="Técnico III",SUMIFS($D:$D,$A:$A,$A473,$B:$B,"&lt;&gt;Patrícia Karla de Sousa Araújo",$B:$B,"&lt;&gt;Lorena Dias de Araujo",$B:$B,"&lt;&gt;Lucas Luiz Romero")*(35/1083),IF(C473="Técnico II",SUMIFS($D:$D,$A:$A,$A473,$B:$B,"&lt;&gt;Patrícia Karla de Sousa Araújo",$B:$B,"&lt;&gt;Lorena Dias de Araujo",$B:$B,"&lt;&gt;Lucas Luiz Romero")*(28/1083),IF(C473="Técnico I",SUMIFS($D:$D,$A:$A,$A473,$B:$B,"&lt;&gt;Patrícia Karla de Sousa Araújo",$B:$B,"&lt;&gt;Lorena Dias de Araujo",$B:$B,"&lt;&gt;Lucas Luiz Romero")*(23/1083),IF(C473="JR",SUMIFS($D:$D,$A:$A,$A473,$B:$B,"&lt;&gt;Patrícia Karla de Sousa Araújo",$B:$B,"&lt;&gt;Lorena Dias de Araujo",$B:$B,"&lt;&gt;Lucas Luiz Romero")*(20/1083),IF(C473="Estágio",SUMIFS($D:$D,$A:$A,$A473,$B:$B,"&lt;&gt;Patrícia Karla de Sousa Araújo",$B:$B,"&lt;&gt;Lorena Dias de Araujo",$B:$B,"&lt;&gt;Lucas Luiz Romero")*(10/1083),0)))))),0)</f>
        <v/>
      </c>
      <c r="K473" s="3">
        <f>I473-J473</f>
        <v/>
      </c>
      <c r="L473" s="3">
        <f>IF(K473&lt;-5,"CRÍTICO",IF(K473&lt;0,"ATENÇÃO",IF(K473&lt;=5,"BOM","EXCELENTE")))</f>
        <v/>
      </c>
      <c r="M473" t="n">
        <v>13</v>
      </c>
      <c r="N473" t="n">
        <v>100</v>
      </c>
      <c r="O473" t="n">
        <v>16.89497716894977</v>
      </c>
    </row>
    <row r="474" hidden="1">
      <c r="A474" s="5" t="n">
        <v>46160</v>
      </c>
      <c r="B474" s="6" t="inlineStr">
        <is>
          <t>Paulo Ricardo Santos</t>
        </is>
      </c>
      <c r="C474" s="3" t="inlineStr">
        <is>
          <t>JR</t>
        </is>
      </c>
      <c r="D474" s="3" t="n">
        <v>11</v>
      </c>
      <c r="E474" s="3" t="n">
        <v>10</v>
      </c>
      <c r="G474" s="3" t="n">
        <v>0</v>
      </c>
      <c r="H474" s="3" t="n">
        <v>0</v>
      </c>
      <c r="I474" s="3">
        <f>E474+G474+H474</f>
        <v/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/>
      </c>
      <c r="K474" s="3">
        <f>I474-J474</f>
        <v/>
      </c>
      <c r="L474" s="3">
        <f>IF(K474&lt;-5,"CRÍTICO",IF(K474&lt;0,"ATENÇÃO",IF(K474&lt;=5,"BOM","EXCELENTE")))</f>
        <v/>
      </c>
      <c r="M474" t="n">
        <v>11</v>
      </c>
      <c r="N474" t="n">
        <v>100</v>
      </c>
      <c r="O474" t="n">
        <v>19.13875598086124</v>
      </c>
    </row>
    <row r="475" hidden="1">
      <c r="A475" s="5" t="n">
        <v>46160</v>
      </c>
      <c r="B475" s="6" t="inlineStr">
        <is>
          <t>Pedro Luiz Mota Sousa</t>
        </is>
      </c>
      <c r="C475" s="3" t="inlineStr">
        <is>
          <t>JR</t>
        </is>
      </c>
      <c r="D475" s="3" t="n">
        <v>14</v>
      </c>
      <c r="E475" s="3" t="n">
        <v>13</v>
      </c>
      <c r="G475" s="3" t="n">
        <v>2</v>
      </c>
      <c r="H475" s="3" t="n">
        <v>0</v>
      </c>
      <c r="I475" s="3">
        <f>E475+G475+H475</f>
        <v/>
      </c>
      <c r="J475" s="3">
        <f>ROUND(MIN(IF(C475="Técnico III",35,IF(C475="Técnico II",28,IF(C475="Técnico I",23,IF(C475="JR",20,IF(C475="Estágio",10,0))))),IF(C475="Técnico III",SUMIFS($D:$D,$A:$A,$A475,$B:$B,"&lt;&gt;Patrícia Karla de Sousa Araújo",$B:$B,"&lt;&gt;Lorena Dias de Araujo",$B:$B,"&lt;&gt;Lucas Luiz Romero")*(35/1083),IF(C475="Técnico II",SUMIFS($D:$D,$A:$A,$A475,$B:$B,"&lt;&gt;Patrícia Karla de Sousa Araújo",$B:$B,"&lt;&gt;Lorena Dias de Araujo",$B:$B,"&lt;&gt;Lucas Luiz Romero")*(28/1083),IF(C475="Técnico I",SUMIFS($D:$D,$A:$A,$A475,$B:$B,"&lt;&gt;Patrícia Karla de Sousa Araújo",$B:$B,"&lt;&gt;Lorena Dias de Araujo",$B:$B,"&lt;&gt;Lucas Luiz Romero")*(23/1083),IF(C475="JR",SUMIFS($D:$D,$A:$A,$A475,$B:$B,"&lt;&gt;Patrícia Karla de Sousa Araújo",$B:$B,"&lt;&gt;Lorena Dias de Araujo",$B:$B,"&lt;&gt;Lucas Luiz Romero")*(20/1083),IF(C475="Estágio",SUMIFS($D:$D,$A:$A,$A475,$B:$B,"&lt;&gt;Patrícia Karla de Sousa Araújo",$B:$B,"&lt;&gt;Lorena Dias de Araujo",$B:$B,"&lt;&gt;Lucas Luiz Romero")*(10/1083),0)))))),0)</f>
        <v/>
      </c>
      <c r="K475" s="3">
        <f>I475-J475</f>
        <v/>
      </c>
      <c r="L475" s="3">
        <f>IF(K475&lt;-5,"CRÍTICO",IF(K475&lt;0,"ATENÇÃO",IF(K475&lt;=5,"BOM","EXCELENTE")))</f>
        <v/>
      </c>
      <c r="M475" t="n">
        <v>14</v>
      </c>
      <c r="N475" t="n">
        <v>100</v>
      </c>
      <c r="O475" t="n">
        <v>15.02145922746781</v>
      </c>
    </row>
    <row r="476" hidden="1">
      <c r="A476" s="5" t="n">
        <v>46160</v>
      </c>
      <c r="B476" s="6" t="inlineStr">
        <is>
          <t>Claudio de Sousa Velasco Filho</t>
        </is>
      </c>
      <c r="C476" s="3" t="inlineStr">
        <is>
          <t>Estágio</t>
        </is>
      </c>
      <c r="D476" s="3" t="n">
        <v>6</v>
      </c>
      <c r="E476" s="3" t="n">
        <v>6</v>
      </c>
      <c r="G476" s="3" t="n">
        <v>0</v>
      </c>
      <c r="H476" s="3" t="n">
        <v>0</v>
      </c>
      <c r="I476" s="3">
        <f>E476+G476+H476</f>
        <v/>
      </c>
      <c r="J476" s="3">
        <f>ROUND(MIN(IF(C476="Técnico III",35,IF(C476="Técnico II",28,IF(C476="Técnico I",23,IF(C476="JR",20,IF(C476="Estágio",10,0))))),IF(C476="Técnico III",SUMIFS($D:$D,$A:$A,$A476,$B:$B,"&lt;&gt;Patrícia Karla de Sousa Araújo",$B:$B,"&lt;&gt;Lorena Dias de Araujo",$B:$B,"&lt;&gt;Lucas Luiz Romero")*(35/1083),IF(C476="Técnico II",SUMIFS($D:$D,$A:$A,$A476,$B:$B,"&lt;&gt;Patrícia Karla de Sousa Araújo",$B:$B,"&lt;&gt;Lorena Dias de Araujo",$B:$B,"&lt;&gt;Lucas Luiz Romero")*(28/1083),IF(C476="Técnico I",SUMIFS($D:$D,$A:$A,$A476,$B:$B,"&lt;&gt;Patrícia Karla de Sousa Araújo",$B:$B,"&lt;&gt;Lorena Dias de Araujo",$B:$B,"&lt;&gt;Lucas Luiz Romero")*(23/1083),IF(C476="JR",SUMIFS($D:$D,$A:$A,$A476,$B:$B,"&lt;&gt;Patrícia Karla de Sousa Araújo",$B:$B,"&lt;&gt;Lorena Dias de Araujo",$B:$B,"&lt;&gt;Lucas Luiz Romero")*(20/1083),IF(C476="Estágio",SUMIFS($D:$D,$A:$A,$A476,$B:$B,"&lt;&gt;Patrícia Karla de Sousa Araújo",$B:$B,"&lt;&gt;Lorena Dias de Araujo",$B:$B,"&lt;&gt;Lucas Luiz Romero")*(10/1083),0)))))),0)</f>
        <v/>
      </c>
      <c r="K476" s="3">
        <f>I476-J476</f>
        <v/>
      </c>
      <c r="L476" s="3">
        <f>IF(K476&lt;-5,"CRÍTICO",IF(K476&lt;0,"ATENÇÃO",IF(K476&lt;=5,"BOM","EXCELENTE")))</f>
        <v/>
      </c>
      <c r="M476" t="n">
        <v>6</v>
      </c>
      <c r="N476" t="n">
        <v>96.43000000000001</v>
      </c>
      <c r="O476" t="n">
        <v>20</v>
      </c>
    </row>
    <row r="477" hidden="1">
      <c r="A477" s="5" t="n">
        <v>46160</v>
      </c>
      <c r="B477" s="6" t="inlineStr">
        <is>
          <t>Emilly Caylane Costa</t>
        </is>
      </c>
      <c r="C477" s="3" t="inlineStr">
        <is>
          <t>Estágio</t>
        </is>
      </c>
      <c r="D477" s="3" t="n">
        <v>32</v>
      </c>
      <c r="E477" s="3" t="n">
        <v>13</v>
      </c>
      <c r="G477" s="3" t="n">
        <v>0</v>
      </c>
      <c r="H477" s="3" t="n">
        <v>0</v>
      </c>
      <c r="I477" s="3">
        <f>E477+G477+H477</f>
        <v/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/>
      </c>
      <c r="K477" s="3">
        <f>I477-J477</f>
        <v/>
      </c>
      <c r="L477" s="3">
        <f>IF(K477&lt;-5,"CRÍTICO",IF(K477&lt;0,"ATENÇÃO",IF(K477&lt;=5,"BOM","EXCELENTE")))</f>
        <v/>
      </c>
      <c r="M477" t="n">
        <v>0</v>
      </c>
      <c r="N477" t="n">
        <v>100</v>
      </c>
      <c r="O477" t="n">
        <v>29.03225806451613</v>
      </c>
    </row>
    <row r="478">
      <c r="A478" s="5" t="n">
        <v>46160</v>
      </c>
      <c r="B478" s="6" t="inlineStr">
        <is>
          <t>Gabriel Alves</t>
        </is>
      </c>
      <c r="C478" s="3" t="inlineStr">
        <is>
          <t>Estágio</t>
        </is>
      </c>
      <c r="D478" s="3" t="n">
        <v>2</v>
      </c>
      <c r="E478" s="3" t="n">
        <v>2</v>
      </c>
      <c r="G478" s="3" t="n">
        <v>0</v>
      </c>
      <c r="H478" s="3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M478" t="n">
        <v>2</v>
      </c>
      <c r="N478" t="n">
        <v>100</v>
      </c>
      <c r="O478" t="n">
        <v>14.28571428571428</v>
      </c>
    </row>
    <row r="479" hidden="1">
      <c r="A479" s="5" t="n">
        <v>46160</v>
      </c>
      <c r="B479" s="6" t="inlineStr">
        <is>
          <t>Maria Eduarda Sousa Costa</t>
        </is>
      </c>
      <c r="C479" s="3" t="inlineStr">
        <is>
          <t>Estágio</t>
        </is>
      </c>
      <c r="D479" s="3" t="n">
        <v>72</v>
      </c>
      <c r="E479" s="3" t="n">
        <v>45</v>
      </c>
      <c r="G479" s="3" t="n">
        <v>0</v>
      </c>
      <c r="H479" s="3" t="n">
        <v>0</v>
      </c>
      <c r="I479" s="3">
        <f>E479+G479+H479</f>
        <v/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/>
      </c>
      <c r="K479" s="3">
        <f>I479-J479</f>
        <v/>
      </c>
      <c r="L479" s="3">
        <f>IF(K479&lt;-5,"CRÍTICO",IF(K479&lt;0,"ATENÇÃO",IF(K479&lt;=5,"BOM","EXCELENTE")))</f>
        <v/>
      </c>
      <c r="M479" t="n">
        <v>11</v>
      </c>
      <c r="N479" t="n">
        <v>100</v>
      </c>
      <c r="O479" t="n">
        <v>11.86440677966102</v>
      </c>
    </row>
    <row r="480" hidden="1">
      <c r="A480" s="5" t="n">
        <v>46160</v>
      </c>
      <c r="B480" s="6" t="inlineStr">
        <is>
          <t>Michelle G Santos</t>
        </is>
      </c>
      <c r="C480" s="3" t="inlineStr">
        <is>
          <t>Estágio</t>
        </is>
      </c>
      <c r="D480" s="3" t="n">
        <v>7</v>
      </c>
      <c r="E480" s="3" t="n">
        <v>7</v>
      </c>
      <c r="G480" s="3" t="n">
        <v>0</v>
      </c>
      <c r="H480" s="3" t="n">
        <v>0</v>
      </c>
      <c r="I480" s="3">
        <f>E480+G480+H480</f>
        <v/>
      </c>
      <c r="J480" s="3">
        <f>ROUND(MIN(IF(C480="Técnico III",35,IF(C480="Técnico II",28,IF(C480="Técnico I",23,IF(C480="JR",20,IF(C480="Estágio",10,0))))),IF(C480="Técnico III",SUMIFS($D:$D,$A:$A,$A480,$B:$B,"&lt;&gt;Patrícia Karla de Sousa Araújo",$B:$B,"&lt;&gt;Lorena Dias de Araujo",$B:$B,"&lt;&gt;Lucas Luiz Romero")*(35/1083),IF(C480="Técnico II",SUMIFS($D:$D,$A:$A,$A480,$B:$B,"&lt;&gt;Patrícia Karla de Sousa Araújo",$B:$B,"&lt;&gt;Lorena Dias de Araujo",$B:$B,"&lt;&gt;Lucas Luiz Romero")*(28/1083),IF(C480="Técnico I",SUMIFS($D:$D,$A:$A,$A480,$B:$B,"&lt;&gt;Patrícia Karla de Sousa Araújo",$B:$B,"&lt;&gt;Lorena Dias de Araujo",$B:$B,"&lt;&gt;Lucas Luiz Romero")*(23/1083),IF(C480="JR",SUMIFS($D:$D,$A:$A,$A480,$B:$B,"&lt;&gt;Patrícia Karla de Sousa Araújo",$B:$B,"&lt;&gt;Lorena Dias de Araujo",$B:$B,"&lt;&gt;Lucas Luiz Romero")*(20/1083),IF(C480="Estágio",SUMIFS($D:$D,$A:$A,$A480,$B:$B,"&lt;&gt;Patrícia Karla de Sousa Araújo",$B:$B,"&lt;&gt;Lorena Dias de Araujo",$B:$B,"&lt;&gt;Lucas Luiz Romero")*(10/1083),0)))))),0)</f>
        <v/>
      </c>
      <c r="K480" s="3">
        <f>I480-J480</f>
        <v/>
      </c>
      <c r="L480" s="3">
        <f>IF(K480&lt;-5,"CRÍTICO",IF(K480&lt;0,"ATENÇÃO",IF(K480&lt;=5,"BOM","EXCELENTE")))</f>
        <v/>
      </c>
      <c r="M480" t="n">
        <v>6</v>
      </c>
      <c r="N480" t="n">
        <v>100</v>
      </c>
      <c r="O480" t="n">
        <v>16.8141592920354</v>
      </c>
    </row>
    <row r="481" hidden="1">
      <c r="A481" s="5" t="n">
        <v>46160</v>
      </c>
      <c r="B481" s="6" t="inlineStr">
        <is>
          <t>Quirino Diogo Leite Torres</t>
        </is>
      </c>
      <c r="C481" s="3" t="inlineStr">
        <is>
          <t>Estágio</t>
        </is>
      </c>
      <c r="D481" s="3" t="n">
        <v>14</v>
      </c>
      <c r="E481" s="3" t="n">
        <v>13</v>
      </c>
      <c r="G481" s="3" t="n">
        <v>0</v>
      </c>
      <c r="H481" s="3" t="n">
        <v>0</v>
      </c>
      <c r="I481" s="3">
        <f>E481+G481+H481</f>
        <v/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/>
      </c>
      <c r="K481" s="3">
        <f>I481-J481</f>
        <v/>
      </c>
      <c r="L481" s="3">
        <f>IF(K481&lt;-5,"CRÍTICO",IF(K481&lt;0,"ATENÇÃO",IF(K481&lt;=5,"BOM","EXCELENTE")))</f>
        <v/>
      </c>
      <c r="M481" t="n">
        <v>9</v>
      </c>
      <c r="N481" t="n">
        <v>98.11</v>
      </c>
      <c r="O481" t="n">
        <v>20.40816326530612</v>
      </c>
    </row>
    <row r="482" hidden="1">
      <c r="A482" s="5" t="n">
        <v>46160</v>
      </c>
      <c r="B482" s="6" t="inlineStr">
        <is>
          <t>Raane Batista Matos</t>
        </is>
      </c>
      <c r="C482" s="3" t="inlineStr">
        <is>
          <t>Técnico I</t>
        </is>
      </c>
      <c r="D482" s="3" t="n">
        <v>28</v>
      </c>
      <c r="E482" s="3" t="n">
        <v>25</v>
      </c>
      <c r="G482" s="3" t="n">
        <v>1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t="n">
        <v>20</v>
      </c>
      <c r="N482" t="n">
        <v>97.56</v>
      </c>
      <c r="O482" t="n">
        <v>19.28783382789317</v>
      </c>
    </row>
    <row r="483" hidden="1">
      <c r="A483" s="5" t="n">
        <v>46160</v>
      </c>
      <c r="B483" s="6" t="inlineStr">
        <is>
          <t>Rafael Gomes de Morais</t>
        </is>
      </c>
      <c r="C483" s="3" t="inlineStr">
        <is>
          <t>Técnico III</t>
        </is>
      </c>
      <c r="D483" s="3" t="n">
        <v>34</v>
      </c>
      <c r="E483" s="3" t="n">
        <v>28</v>
      </c>
      <c r="G483" s="3" t="n">
        <v>3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t="n">
        <v>26</v>
      </c>
      <c r="N483" t="n">
        <v>99.29000000000001</v>
      </c>
      <c r="O483" t="n">
        <v>22.49443207126949</v>
      </c>
    </row>
    <row r="484" hidden="1">
      <c r="A484" s="5" t="n">
        <v>46160</v>
      </c>
      <c r="B484" s="6" t="inlineStr">
        <is>
          <t>Sara Maria Monteiro Lopes</t>
        </is>
      </c>
      <c r="C484" s="3" t="inlineStr">
        <is>
          <t>Técnico I</t>
        </is>
      </c>
      <c r="D484" s="3" t="n">
        <v>23</v>
      </c>
      <c r="E484" s="3" t="n">
        <v>19</v>
      </c>
      <c r="G484" s="3" t="n">
        <v>3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t="n">
        <v>18</v>
      </c>
      <c r="N484" t="n">
        <v>100</v>
      </c>
      <c r="O484" t="n">
        <v>16.97247706422019</v>
      </c>
    </row>
    <row r="485" hidden="1">
      <c r="A485" s="5" t="n">
        <v>46160</v>
      </c>
      <c r="B485" s="6" t="inlineStr">
        <is>
          <t>Sarah Steffanie de Lima Borges</t>
        </is>
      </c>
      <c r="C485" s="3" t="inlineStr">
        <is>
          <t>Técnico III</t>
        </is>
      </c>
      <c r="D485" s="3" t="n">
        <v>25</v>
      </c>
      <c r="E485" s="3" t="n">
        <v>22</v>
      </c>
      <c r="G485" s="3" t="n">
        <v>4</v>
      </c>
      <c r="H485" s="3" t="n">
        <v>0</v>
      </c>
      <c r="I485" s="3">
        <f>E485+G485+H485</f>
        <v/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/>
      </c>
      <c r="K485" s="3">
        <f>I485-J485</f>
        <v/>
      </c>
      <c r="L485" s="3">
        <f>IF(K485&lt;-5,"CRÍTICO",IF(K485&lt;0,"ATENÇÃO",IF(K485&lt;=5,"BOM","EXCELENTE")))</f>
        <v/>
      </c>
      <c r="M485" t="n">
        <v>21</v>
      </c>
      <c r="N485" t="n">
        <v>97.33</v>
      </c>
      <c r="O485" t="n">
        <v>15.80547112462006</v>
      </c>
    </row>
    <row r="486" hidden="1">
      <c r="A486" s="7" t="n">
        <v>46161</v>
      </c>
      <c r="B486" s="8" t="inlineStr">
        <is>
          <t>Alisson de Freitas Silva</t>
        </is>
      </c>
      <c r="C486" s="9" t="inlineStr">
        <is>
          <t>Técnico II</t>
        </is>
      </c>
      <c r="D486" s="3" t="n">
        <v>38</v>
      </c>
      <c r="E486" s="3" t="n">
        <v>33</v>
      </c>
      <c r="G486" s="3" t="n">
        <v>1</v>
      </c>
      <c r="H486" s="3" t="n">
        <v>0</v>
      </c>
      <c r="I486" s="3">
        <f>E486+G486+H486</f>
        <v/>
      </c>
      <c r="J486" s="3">
        <f>ROUND(MIN(IF(C486="Técnico III",35,IF(C486="Técnico II",28,IF(C486="Técnico I",23,IF(C486="JR",20,IF(C486="Estágio",10,0))))),IF(C486="Técnico III",SUMIFS($D:$D,$A:$A,$A486,$B:$B,"&lt;&gt;Patrícia Karla de Sousa Araújo",$B:$B,"&lt;&gt;Lorena Dias de Araujo",$B:$B,"&lt;&gt;Lucas Luiz Romero")*(35/1083),IF(C486="Técnico II",SUMIFS($D:$D,$A:$A,$A486,$B:$B,"&lt;&gt;Patrícia Karla de Sousa Araújo",$B:$B,"&lt;&gt;Lorena Dias de Araujo",$B:$B,"&lt;&gt;Lucas Luiz Romero")*(28/1083),IF(C486="Técnico I",SUMIFS($D:$D,$A:$A,$A486,$B:$B,"&lt;&gt;Patrícia Karla de Sousa Araújo",$B:$B,"&lt;&gt;Lorena Dias de Araujo",$B:$B,"&lt;&gt;Lucas Luiz Romero")*(23/1083),IF(C486="JR",SUMIFS($D:$D,$A:$A,$A486,$B:$B,"&lt;&gt;Patrícia Karla de Sousa Araújo",$B:$B,"&lt;&gt;Lorena Dias de Araujo",$B:$B,"&lt;&gt;Lucas Luiz Romero")*(20/1083),IF(C486="Estágio",SUMIFS($D:$D,$A:$A,$A486,$B:$B,"&lt;&gt;Patrícia Karla de Sousa Araújo",$B:$B,"&lt;&gt;Lorena Dias de Araujo",$B:$B,"&lt;&gt;Lucas Luiz Romero")*(10/1083),0)))))),0)</f>
        <v/>
      </c>
      <c r="K486" s="3">
        <f>I486-J486</f>
        <v/>
      </c>
      <c r="L486" s="3">
        <f>IF(K486&lt;-5,"CRÍTICO",IF(K486&lt;0,"ATENÇÃO",IF(K486&lt;=5,"BOM","EXCELENTE")))</f>
        <v/>
      </c>
      <c r="M486" s="3" t="n">
        <v>17</v>
      </c>
      <c r="N486" s="3" t="n">
        <v>98.94</v>
      </c>
      <c r="O486" s="3" t="n">
        <v>19.61414790996785</v>
      </c>
    </row>
    <row r="487" hidden="1">
      <c r="A487" s="7" t="n">
        <v>46161</v>
      </c>
      <c r="B487" s="8" t="inlineStr">
        <is>
          <t>Amanda Moura Ferreira</t>
        </is>
      </c>
      <c r="C487" s="9" t="inlineStr">
        <is>
          <t>Técnico III</t>
        </is>
      </c>
      <c r="D487" s="3" t="n">
        <v>0</v>
      </c>
      <c r="E487" s="3" t="n">
        <v>0</v>
      </c>
      <c r="F487" s="3" t="n">
        <v>0</v>
      </c>
      <c r="G487" s="3" t="n">
        <v>0</v>
      </c>
      <c r="H487" s="3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IF(K487&lt;-5,"CRÍTICO",IF(K487&lt;0,"ATENÇÃO",IF(K487&lt;=5,"BOM","EXCELENTE")))</f>
        <v/>
      </c>
      <c r="M487" s="9" t="n">
        <v>0</v>
      </c>
      <c r="N487" s="9" t="n">
        <v>100</v>
      </c>
      <c r="O487" s="9" t="n">
        <v>0</v>
      </c>
    </row>
    <row r="488" hidden="1">
      <c r="A488" s="7" t="n">
        <v>46161</v>
      </c>
      <c r="B488" s="8" t="inlineStr">
        <is>
          <t>Ana Karollyne Souza Faria</t>
        </is>
      </c>
      <c r="C488" s="9" t="inlineStr">
        <is>
          <t>Técnico I</t>
        </is>
      </c>
      <c r="D488" s="3" t="n">
        <v>30</v>
      </c>
      <c r="E488" s="3" t="n">
        <v>29</v>
      </c>
      <c r="G488" s="3" t="n">
        <v>1</v>
      </c>
      <c r="H488" s="3" t="n">
        <v>0</v>
      </c>
      <c r="I488" s="3">
        <f>E488+G488+H488</f>
        <v/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/>
      </c>
      <c r="K488" s="3">
        <f>I488-J488</f>
        <v/>
      </c>
      <c r="L488" s="3">
        <f>IF(K488&lt;-5,"CRÍTICO",IF(K488&lt;0,"ATENÇÃO",IF(K488&lt;=5,"BOM","EXCELENTE")))</f>
        <v/>
      </c>
      <c r="M488" s="3" t="n">
        <v>29</v>
      </c>
      <c r="N488" s="3" t="n">
        <v>95.38</v>
      </c>
      <c r="O488" s="3" t="n">
        <v>21.5962441314554</v>
      </c>
    </row>
    <row r="489" hidden="1">
      <c r="A489" s="7" t="n">
        <v>46161</v>
      </c>
      <c r="B489" s="8" t="inlineStr">
        <is>
          <t>Ana Paula Da Luz Silva Aleixo</t>
        </is>
      </c>
      <c r="C489" s="9" t="inlineStr">
        <is>
          <t>Técnico III</t>
        </is>
      </c>
      <c r="D489" s="3" t="n">
        <v>22</v>
      </c>
      <c r="E489" s="3" t="n">
        <v>19</v>
      </c>
      <c r="G489" s="3" t="n">
        <v>1</v>
      </c>
      <c r="H489" s="3" t="n">
        <v>0</v>
      </c>
      <c r="I489" s="3">
        <f>E489+G489+H489</f>
        <v/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/>
      </c>
      <c r="K489" s="3">
        <f>I489-J489</f>
        <v/>
      </c>
      <c r="L489" s="3">
        <f>IF(K489&lt;-5,"CRÍTICO",IF(K489&lt;0,"ATENÇÃO",IF(K489&lt;=5,"BOM","EXCELENTE")))</f>
        <v/>
      </c>
      <c r="M489" s="3" t="n">
        <v>16</v>
      </c>
      <c r="N489" s="3" t="n">
        <v>96.34</v>
      </c>
      <c r="O489" s="3" t="n">
        <v>17.57188498402556</v>
      </c>
    </row>
    <row r="490" hidden="1">
      <c r="A490" s="7" t="n">
        <v>46161</v>
      </c>
      <c r="B490" s="8" t="inlineStr">
        <is>
          <t>Anna Luiza Rezende Tavares</t>
        </is>
      </c>
      <c r="C490" s="9" t="inlineStr">
        <is>
          <t>JR</t>
        </is>
      </c>
      <c r="D490" s="3" t="n">
        <v>30</v>
      </c>
      <c r="E490" s="3" t="n">
        <v>29</v>
      </c>
      <c r="G490" s="3" t="n">
        <v>0</v>
      </c>
      <c r="H490" s="3" t="n">
        <v>0</v>
      </c>
      <c r="I490" s="3">
        <f>E490+G490+H490</f>
        <v/>
      </c>
      <c r="J490" s="3">
        <f>ROUND(MIN(IF(C490="Técnico III",35,IF(C490="Técnico II",28,IF(C490="Técnico I",23,IF(C490="JR",20,IF(C490="Estágio",10,0))))),IF(C490="Técnico III",SUMIFS($D:$D,$A:$A,$A490,$B:$B,"&lt;&gt;Patrícia Karla de Sousa Araújo",$B:$B,"&lt;&gt;Lorena Dias de Araujo",$B:$B,"&lt;&gt;Lucas Luiz Romero")*(35/1083),IF(C490="Técnico II",SUMIFS($D:$D,$A:$A,$A490,$B:$B,"&lt;&gt;Patrícia Karla de Sousa Araújo",$B:$B,"&lt;&gt;Lorena Dias de Araujo",$B:$B,"&lt;&gt;Lucas Luiz Romero")*(28/1083),IF(C490="Técnico I",SUMIFS($D:$D,$A:$A,$A490,$B:$B,"&lt;&gt;Patrícia Karla de Sousa Araújo",$B:$B,"&lt;&gt;Lorena Dias de Araujo",$B:$B,"&lt;&gt;Lucas Luiz Romero")*(23/1083),IF(C490="JR",SUMIFS($D:$D,$A:$A,$A490,$B:$B,"&lt;&gt;Patrícia Karla de Sousa Araújo",$B:$B,"&lt;&gt;Lorena Dias de Araujo",$B:$B,"&lt;&gt;Lucas Luiz Romero")*(20/1083),IF(C490="Estágio",SUMIFS($D:$D,$A:$A,$A490,$B:$B,"&lt;&gt;Patrícia Karla de Sousa Araújo",$B:$B,"&lt;&gt;Lorena Dias de Araujo",$B:$B,"&lt;&gt;Lucas Luiz Romero")*(10/1083),0)))))),0)</f>
        <v/>
      </c>
      <c r="K490" s="3">
        <f>I490-J490</f>
        <v/>
      </c>
      <c r="L490" s="3">
        <f>IF(K490&lt;-5,"CRÍTICO",IF(K490&lt;0,"ATENÇÃO",IF(K490&lt;=5,"BOM","EXCELENTE")))</f>
        <v/>
      </c>
      <c r="M490" t="n">
        <v>28</v>
      </c>
      <c r="N490" t="n">
        <v>99.11</v>
      </c>
      <c r="O490" t="n">
        <v>17.72151898734177</v>
      </c>
    </row>
    <row r="491" hidden="1">
      <c r="A491" s="7" t="n">
        <v>46161</v>
      </c>
      <c r="B491" s="8" t="inlineStr">
        <is>
          <t>Brenda de Menezes Silva</t>
        </is>
      </c>
      <c r="C491" s="9" t="inlineStr">
        <is>
          <t>Técnico II</t>
        </is>
      </c>
      <c r="D491" s="3" t="n">
        <v>33</v>
      </c>
      <c r="E491" s="3" t="n">
        <v>31</v>
      </c>
      <c r="G491" s="3" t="n">
        <v>3</v>
      </c>
      <c r="H491" s="3" t="n">
        <v>0</v>
      </c>
      <c r="I491" s="3">
        <f>E491+G491+H491</f>
        <v/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/>
      </c>
      <c r="K491" s="3">
        <f>I491-J491</f>
        <v/>
      </c>
      <c r="L491" s="3">
        <f>IF(K491&lt;-5,"CRÍTICO",IF(K491&lt;0,"ATENÇÃO",IF(K491&lt;=5,"BOM","EXCELENTE")))</f>
        <v/>
      </c>
      <c r="M491" t="n">
        <v>33</v>
      </c>
      <c r="N491" t="n">
        <v>99.13</v>
      </c>
      <c r="O491" t="n">
        <v>14.7239263803681</v>
      </c>
    </row>
    <row r="492" hidden="1">
      <c r="A492" s="7" t="n">
        <v>46161</v>
      </c>
      <c r="B492" s="8" t="inlineStr">
        <is>
          <t>Carlos Mateus Cassimiro Nunes</t>
        </is>
      </c>
      <c r="C492" s="9" t="inlineStr">
        <is>
          <t>Técnico II</t>
        </is>
      </c>
      <c r="D492" s="3" t="n">
        <v>33</v>
      </c>
      <c r="E492" s="3" t="n">
        <v>32</v>
      </c>
      <c r="G492" s="3" t="n">
        <v>2</v>
      </c>
      <c r="H492" s="3" t="n">
        <v>0</v>
      </c>
      <c r="I492" s="3">
        <f>E492+G492+H492</f>
        <v/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/>
      </c>
      <c r="K492" s="3">
        <f>I492-J492</f>
        <v/>
      </c>
      <c r="L492" s="3">
        <f>IF(K492&lt;-5,"CRÍTICO",IF(K492&lt;0,"ATENÇÃO",IF(K492&lt;=5,"BOM","EXCELENTE")))</f>
        <v/>
      </c>
      <c r="M492" t="n">
        <v>29</v>
      </c>
      <c r="N492" t="n">
        <v>98.8</v>
      </c>
      <c r="O492" t="n">
        <v>16.89750692520776</v>
      </c>
    </row>
    <row r="493" hidden="1">
      <c r="A493" s="7" t="n">
        <v>46161</v>
      </c>
      <c r="B493" s="8" t="inlineStr">
        <is>
          <t>Claudio de Sousa Velasco Filho</t>
        </is>
      </c>
      <c r="C493" s="9" t="inlineStr">
        <is>
          <t>Estágio</t>
        </is>
      </c>
      <c r="D493" s="3" t="n">
        <v>9</v>
      </c>
      <c r="E493" s="3" t="n">
        <v>9</v>
      </c>
      <c r="G493" s="3" t="n">
        <v>0</v>
      </c>
      <c r="H493" s="3" t="n">
        <v>0</v>
      </c>
      <c r="I493" s="3">
        <f>E493+G493+H493</f>
        <v/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/>
      </c>
      <c r="K493" s="3">
        <f>I493-J493</f>
        <v/>
      </c>
      <c r="L493" s="3">
        <f>IF(K493&lt;-5,"CRÍTICO",IF(K493&lt;0,"ATENÇÃO",IF(K493&lt;=5,"BOM","EXCELENTE")))</f>
        <v/>
      </c>
      <c r="M493" t="n">
        <v>7</v>
      </c>
      <c r="N493" t="n">
        <v>96.43000000000001</v>
      </c>
      <c r="O493" t="n">
        <v>20</v>
      </c>
    </row>
    <row r="494" hidden="1">
      <c r="A494" s="7" t="n">
        <v>46161</v>
      </c>
      <c r="B494" s="8" t="inlineStr">
        <is>
          <t>Clessiane Pereira dos Santos</t>
        </is>
      </c>
      <c r="C494" s="9" t="inlineStr">
        <is>
          <t>Técnico I</t>
        </is>
      </c>
      <c r="D494" s="3" t="n">
        <v>26</v>
      </c>
      <c r="E494" s="3" t="n">
        <v>25</v>
      </c>
      <c r="G494" s="3" t="n">
        <v>1</v>
      </c>
      <c r="H494" s="3" t="n">
        <v>0</v>
      </c>
      <c r="I494" s="3">
        <f>E494+G494+H494</f>
        <v/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/>
      </c>
      <c r="K494" s="3">
        <f>I494-J494</f>
        <v/>
      </c>
      <c r="L494" s="3">
        <f>IF(K494&lt;-5,"CRÍTICO",IF(K494&lt;0,"ATENÇÃO",IF(K494&lt;=5,"BOM","EXCELENTE")))</f>
        <v/>
      </c>
      <c r="M494" t="n">
        <v>19</v>
      </c>
      <c r="N494" t="n">
        <v>96.88</v>
      </c>
      <c r="O494" t="n">
        <v>19.52662721893491</v>
      </c>
    </row>
    <row r="495" hidden="1">
      <c r="A495" s="7" t="n">
        <v>46161</v>
      </c>
      <c r="B495" s="8" t="inlineStr">
        <is>
          <t>Cristiane Ramos da Silva Rocha</t>
        </is>
      </c>
      <c r="C495" s="9" t="inlineStr">
        <is>
          <t>Técnico III</t>
        </is>
      </c>
      <c r="D495" s="3" t="n">
        <v>33</v>
      </c>
      <c r="E495" s="3" t="n">
        <v>30</v>
      </c>
      <c r="G495" s="3" t="n">
        <v>0</v>
      </c>
      <c r="H495" s="3" t="n">
        <v>0</v>
      </c>
      <c r="I495" s="3">
        <f>E495+G495+H495</f>
        <v/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/>
      </c>
      <c r="K495" s="3">
        <f>I495-J495</f>
        <v/>
      </c>
      <c r="L495" s="3">
        <f>IF(K495&lt;-5,"CRÍTICO",IF(K495&lt;0,"ATENÇÃO",IF(K495&lt;=5,"BOM","EXCELENTE")))</f>
        <v/>
      </c>
      <c r="M495" t="n">
        <v>30</v>
      </c>
      <c r="N495" t="n">
        <v>91.84999999999999</v>
      </c>
      <c r="O495" t="n">
        <v>20.87155963302752</v>
      </c>
    </row>
    <row r="496" hidden="1">
      <c r="A496" s="7" t="n">
        <v>46161</v>
      </c>
      <c r="B496" s="8" t="inlineStr">
        <is>
          <t>Damyllis Lorraine de Oliveira Gonçalves</t>
        </is>
      </c>
      <c r="C496" s="9" t="inlineStr">
        <is>
          <t>Técnico II</t>
        </is>
      </c>
      <c r="D496" s="3" t="n">
        <v>0</v>
      </c>
      <c r="E496" s="3" t="n">
        <v>0</v>
      </c>
      <c r="F496" s="3" t="n">
        <v>0</v>
      </c>
      <c r="G496" s="3" t="n">
        <v>0</v>
      </c>
      <c r="H496" s="3" t="n">
        <v>0</v>
      </c>
      <c r="I496" s="3" t="n">
        <v>0</v>
      </c>
      <c r="J496" s="3" t="n">
        <v>0</v>
      </c>
      <c r="K496" s="3" t="n">
        <v>0</v>
      </c>
      <c r="L496" s="3">
        <f>IF(K496&lt;-5,"CRÍTICO",IF(K496&lt;0,"ATENÇÃO",IF(K496&lt;=5,"BOM","EXCELENTE")))</f>
        <v/>
      </c>
      <c r="M496" s="9" t="n">
        <v>0</v>
      </c>
      <c r="N496" s="9" t="n">
        <v>98.63</v>
      </c>
      <c r="O496" s="9" t="n">
        <v>18.75</v>
      </c>
    </row>
    <row r="497" hidden="1">
      <c r="A497" s="7" t="n">
        <v>46161</v>
      </c>
      <c r="B497" s="8" t="inlineStr">
        <is>
          <t>Daniel Gomes da Silva</t>
        </is>
      </c>
      <c r="C497" s="9" t="inlineStr">
        <is>
          <t>Técnico I</t>
        </is>
      </c>
      <c r="D497" s="3" t="n">
        <v>21</v>
      </c>
      <c r="E497" s="3" t="n">
        <v>20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t="n">
        <v>15</v>
      </c>
      <c r="N497" t="n">
        <v>100</v>
      </c>
      <c r="O497" t="n">
        <v>18.14516129032258</v>
      </c>
    </row>
    <row r="498" hidden="1">
      <c r="A498" s="7" t="n">
        <v>46161</v>
      </c>
      <c r="B498" s="8" t="inlineStr">
        <is>
          <t>Davylla Rodrigues Freitas Silva</t>
        </is>
      </c>
      <c r="C498" s="9" t="inlineStr">
        <is>
          <t>Técnico III</t>
        </is>
      </c>
      <c r="D498" s="3" t="n">
        <v>0</v>
      </c>
      <c r="E498" s="3" t="n">
        <v>0</v>
      </c>
      <c r="F498" s="3" t="n">
        <v>0</v>
      </c>
      <c r="G498" s="3" t="n">
        <v>0</v>
      </c>
      <c r="H498" s="3" t="n">
        <v>0</v>
      </c>
      <c r="I498" s="3" t="n">
        <v>0</v>
      </c>
      <c r="J498" s="3" t="n">
        <v>0</v>
      </c>
      <c r="K498" s="3" t="n">
        <v>0</v>
      </c>
      <c r="L498" s="3">
        <f>IF(K498&lt;-5,"CRÍTICO",IF(K498&lt;0,"ATENÇÃO",IF(K498&lt;=5,"BOM","EXCELENTE")))</f>
        <v/>
      </c>
      <c r="M498" s="9" t="n">
        <v>0</v>
      </c>
      <c r="N498" s="9" t="n">
        <v>99.06</v>
      </c>
      <c r="O498" s="9" t="n">
        <v>22.95719844357977</v>
      </c>
    </row>
    <row r="499" hidden="1">
      <c r="A499" s="7" t="n">
        <v>46161</v>
      </c>
      <c r="B499" s="8" t="inlineStr">
        <is>
          <t>Emilly Caylane Costa</t>
        </is>
      </c>
      <c r="C499" s="9" t="inlineStr">
        <is>
          <t>Estágio</t>
        </is>
      </c>
      <c r="D499" s="3" t="n">
        <v>17</v>
      </c>
      <c r="E499" s="3" t="n">
        <v>5</v>
      </c>
      <c r="G499" s="3" t="n">
        <v>0</v>
      </c>
      <c r="H499" s="3" t="n">
        <v>0</v>
      </c>
      <c r="I499" s="3">
        <f>E499+G499+H499</f>
        <v/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/>
      </c>
      <c r="K499" s="3">
        <f>I499-J499</f>
        <v/>
      </c>
      <c r="L499" s="3">
        <f>IF(K499&lt;-5,"CRÍTICO",IF(K499&lt;0,"ATENÇÃO",IF(K499&lt;=5,"BOM","EXCELENTE")))</f>
        <v/>
      </c>
      <c r="M499" t="n">
        <v>0</v>
      </c>
      <c r="N499" t="n">
        <v>100</v>
      </c>
      <c r="O499" t="n">
        <v>29.03225806451613</v>
      </c>
    </row>
    <row r="500" hidden="1">
      <c r="A500" s="7" t="n">
        <v>46161</v>
      </c>
      <c r="B500" s="8" t="inlineStr">
        <is>
          <t>Emilly Kamilly Medeiros Miranda</t>
        </is>
      </c>
      <c r="C500" s="9" t="inlineStr">
        <is>
          <t>Técnico II</t>
        </is>
      </c>
      <c r="D500" s="3" t="n">
        <v>23</v>
      </c>
      <c r="E500" s="3" t="n">
        <v>22</v>
      </c>
      <c r="G500" s="3" t="n">
        <v>2</v>
      </c>
      <c r="H500" s="3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IF(K500&lt;-5,"CRÍTICO",IF(K500&lt;0,"ATENÇÃO",IF(K500&lt;=5,"BOM","EXCELENTE")))</f>
        <v/>
      </c>
      <c r="M500" t="n">
        <v>23</v>
      </c>
      <c r="N500" t="n">
        <v>100</v>
      </c>
      <c r="O500" t="n">
        <v>13.8121546961326</v>
      </c>
    </row>
    <row r="501" hidden="1">
      <c r="A501" s="7" t="n">
        <v>46161</v>
      </c>
      <c r="B501" s="8" t="inlineStr">
        <is>
          <t>Francielson de Oliveira</t>
        </is>
      </c>
      <c r="C501" s="9" t="inlineStr">
        <is>
          <t>Técnico III</t>
        </is>
      </c>
      <c r="D501" s="3" t="n">
        <v>12</v>
      </c>
      <c r="E501" s="3" t="n">
        <v>12</v>
      </c>
      <c r="F501" s="3" t="n">
        <v>0</v>
      </c>
      <c r="G501" s="3" t="n">
        <v>0</v>
      </c>
      <c r="H501" s="3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IF(K501&lt;-5,"CRÍTICO",IF(K501&lt;0,"ATENÇÃO",IF(K501&lt;=5,"BOM","EXCELENTE")))</f>
        <v/>
      </c>
      <c r="M501" t="n">
        <v>11</v>
      </c>
      <c r="N501" t="n">
        <v>100</v>
      </c>
      <c r="O501" t="n">
        <v>9.523809523809524</v>
      </c>
    </row>
    <row r="502" hidden="1">
      <c r="A502" s="7" t="n">
        <v>46161</v>
      </c>
      <c r="B502" s="8" t="inlineStr">
        <is>
          <t>Francilene Ferreira de Jesus</t>
        </is>
      </c>
      <c r="C502" s="9" t="inlineStr">
        <is>
          <t>Técnico II</t>
        </is>
      </c>
      <c r="D502" s="3" t="n">
        <v>0</v>
      </c>
      <c r="E502" s="3" t="n">
        <v>0</v>
      </c>
      <c r="F502" s="3" t="n">
        <v>0</v>
      </c>
      <c r="G502" s="3" t="n">
        <v>0</v>
      </c>
      <c r="H502" s="3" t="n">
        <v>0</v>
      </c>
      <c r="I502" s="3" t="n">
        <v>0</v>
      </c>
      <c r="J502" s="3" t="n">
        <v>0</v>
      </c>
      <c r="K502" s="3" t="n">
        <v>0</v>
      </c>
      <c r="L502" s="3">
        <f>IF(K502&lt;-5,"CRÍTICO",IF(K502&lt;0,"ATENÇÃO",IF(K502&lt;=5,"BOM","EXCELENTE")))</f>
        <v/>
      </c>
      <c r="M502" s="9" t="n">
        <v>0</v>
      </c>
      <c r="N502" s="9" t="n">
        <v>100</v>
      </c>
      <c r="O502" s="9" t="n">
        <v>17.24137931034483</v>
      </c>
    </row>
    <row r="503">
      <c r="A503" s="7" t="n">
        <v>46161</v>
      </c>
      <c r="B503" s="8" t="inlineStr">
        <is>
          <t>Gabriel Alves</t>
        </is>
      </c>
      <c r="C503" s="9" t="inlineStr">
        <is>
          <t>Estágio</t>
        </is>
      </c>
      <c r="D503" s="3" t="n">
        <v>4</v>
      </c>
      <c r="E503" s="3" t="n">
        <v>4</v>
      </c>
      <c r="G503" s="3" t="n">
        <v>0</v>
      </c>
      <c r="H503" s="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M503" t="n">
        <v>3</v>
      </c>
      <c r="N503" t="n">
        <v>100</v>
      </c>
      <c r="O503" t="n">
        <v>14.28571428571428</v>
      </c>
    </row>
    <row r="504">
      <c r="A504" s="7" t="n">
        <v>46161</v>
      </c>
      <c r="B504" s="8" t="inlineStr">
        <is>
          <t>Gabriel Gomes de Andrade</t>
        </is>
      </c>
      <c r="C504" s="9" t="inlineStr">
        <is>
          <t>Técnico I</t>
        </is>
      </c>
      <c r="D504" s="3" t="n">
        <v>19</v>
      </c>
      <c r="E504" s="3" t="n">
        <v>18</v>
      </c>
      <c r="G504" s="3" t="n">
        <v>3</v>
      </c>
      <c r="H504" s="3" t="n">
        <v>3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M504" t="n">
        <v>20</v>
      </c>
      <c r="N504" t="n">
        <v>98.8</v>
      </c>
      <c r="O504" t="n">
        <v>15.41353383458646</v>
      </c>
    </row>
    <row r="505" hidden="1">
      <c r="A505" s="7" t="n">
        <v>46161</v>
      </c>
      <c r="B505" s="8" t="inlineStr">
        <is>
          <t>Isabella Borges de Oliveira</t>
        </is>
      </c>
      <c r="C505" s="9" t="inlineStr">
        <is>
          <t>Técnico II</t>
        </is>
      </c>
      <c r="D505" s="3" t="n">
        <v>28</v>
      </c>
      <c r="E505" s="3" t="n">
        <v>25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t="n">
        <v>22</v>
      </c>
      <c r="N505" t="n">
        <v>98.63</v>
      </c>
      <c r="O505" t="n">
        <v>15.75757575757576</v>
      </c>
    </row>
    <row r="506" hidden="1">
      <c r="A506" s="7" t="n">
        <v>46161</v>
      </c>
      <c r="B506" s="8" t="inlineStr">
        <is>
          <t>Janaina Lima dos Reis Urany</t>
        </is>
      </c>
      <c r="C506" s="9" t="inlineStr">
        <is>
          <t>Técnico III</t>
        </is>
      </c>
      <c r="D506" s="3" t="n">
        <v>43</v>
      </c>
      <c r="E506" s="3" t="n">
        <v>39</v>
      </c>
      <c r="G506" s="3" t="n">
        <v>3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t="n">
        <v>40</v>
      </c>
      <c r="N506" t="n">
        <v>98.64</v>
      </c>
      <c r="O506" t="n">
        <v>16.6383701188455</v>
      </c>
    </row>
    <row r="507" hidden="1">
      <c r="A507" s="7" t="n">
        <v>46161</v>
      </c>
      <c r="B507" s="8" t="inlineStr">
        <is>
          <t>Jaqueline Evangelista da Silva Martins</t>
        </is>
      </c>
      <c r="C507" s="9" t="inlineStr">
        <is>
          <t>Técnico III</t>
        </is>
      </c>
      <c r="D507" s="3" t="n">
        <v>11</v>
      </c>
      <c r="E507" s="3" t="n">
        <v>10</v>
      </c>
      <c r="G507" s="3" t="n">
        <v>4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t="n">
        <v>12</v>
      </c>
      <c r="N507" t="n">
        <v>95.40000000000001</v>
      </c>
      <c r="O507" t="n">
        <v>20.53333333333333</v>
      </c>
    </row>
    <row r="508" hidden="1">
      <c r="A508" s="7" t="n">
        <v>46161</v>
      </c>
      <c r="B508" s="8" t="inlineStr">
        <is>
          <t>Jessica Faria da Silveira</t>
        </is>
      </c>
      <c r="C508" s="9" t="inlineStr">
        <is>
          <t>Técnico II</t>
        </is>
      </c>
      <c r="D508" s="3" t="n">
        <v>24</v>
      </c>
      <c r="E508" s="3" t="n">
        <v>20</v>
      </c>
      <c r="G508" s="3" t="n">
        <v>2</v>
      </c>
      <c r="H508" s="3" t="n">
        <v>0</v>
      </c>
      <c r="I508" s="3">
        <f>E508+G508+H508</f>
        <v/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/>
      </c>
      <c r="K508" s="3">
        <f>I508-J508</f>
        <v/>
      </c>
      <c r="L508" s="3">
        <f>IF(K508&lt;-5,"CRÍTICO",IF(K508&lt;0,"ATENÇÃO",IF(K508&lt;=5,"BOM","EXCELENTE")))</f>
        <v/>
      </c>
      <c r="M508" t="n">
        <v>16</v>
      </c>
      <c r="N508" t="n">
        <v>98.61</v>
      </c>
      <c r="O508" t="n">
        <v>16.97530864197531</v>
      </c>
    </row>
    <row r="509" hidden="1">
      <c r="A509" s="7" t="n">
        <v>46161</v>
      </c>
      <c r="B509" s="8" t="inlineStr">
        <is>
          <t>Jéssica Fé Moura</t>
        </is>
      </c>
      <c r="C509" s="9" t="inlineStr">
        <is>
          <t>Técnico III</t>
        </is>
      </c>
      <c r="D509" s="3" t="n">
        <v>0</v>
      </c>
      <c r="E509" s="3" t="n">
        <v>0</v>
      </c>
      <c r="F509" s="3" t="n">
        <v>0</v>
      </c>
      <c r="G509" s="3" t="n">
        <v>0</v>
      </c>
      <c r="H509" s="3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IF(K509&lt;-5,"CRÍTICO",IF(K509&lt;0,"ATENÇÃO",IF(K509&lt;=5,"BOM","EXCELENTE")))</f>
        <v/>
      </c>
      <c r="M509" s="9" t="n">
        <v>0</v>
      </c>
      <c r="N509" s="9" t="n">
        <v>0</v>
      </c>
      <c r="O509" s="9" t="n">
        <v>0</v>
      </c>
    </row>
    <row r="510" hidden="1">
      <c r="A510" s="7" t="n">
        <v>46161</v>
      </c>
      <c r="B510" s="8" t="inlineStr">
        <is>
          <t>Karina Gonçalves Martins</t>
        </is>
      </c>
      <c r="C510" s="9" t="inlineStr">
        <is>
          <t>JR</t>
        </is>
      </c>
      <c r="D510" s="3" t="n">
        <v>20</v>
      </c>
      <c r="E510" s="3" t="n">
        <v>19</v>
      </c>
      <c r="G510" s="3" t="n">
        <v>2</v>
      </c>
      <c r="H510" s="3" t="n">
        <v>0</v>
      </c>
      <c r="I510" s="3">
        <f>E510+G510+H510</f>
        <v/>
      </c>
      <c r="J510" s="3">
        <f>ROUND(MIN(IF(C510="Técnico III",35,IF(C510="Técnico II",28,IF(C510="Técnico I",23,IF(C510="JR",20,IF(C510="Estágio",10,0))))),IF(C510="Técnico III",SUMIFS($D:$D,$A:$A,$A510,$B:$B,"&lt;&gt;Patrícia Karla de Sousa Araújo",$B:$B,"&lt;&gt;Lorena Dias de Araujo",$B:$B,"&lt;&gt;Lucas Luiz Romero")*(35/1083),IF(C510="Técnico II",SUMIFS($D:$D,$A:$A,$A510,$B:$B,"&lt;&gt;Patrícia Karla de Sousa Araújo",$B:$B,"&lt;&gt;Lorena Dias de Araujo",$B:$B,"&lt;&gt;Lucas Luiz Romero")*(28/1083),IF(C510="Técnico I",SUMIFS($D:$D,$A:$A,$A510,$B:$B,"&lt;&gt;Patrícia Karla de Sousa Araújo",$B:$B,"&lt;&gt;Lorena Dias de Araujo",$B:$B,"&lt;&gt;Lucas Luiz Romero")*(23/1083),IF(C510="JR",SUMIFS($D:$D,$A:$A,$A510,$B:$B,"&lt;&gt;Patrícia Karla de Sousa Araújo",$B:$B,"&lt;&gt;Lorena Dias de Araujo",$B:$B,"&lt;&gt;Lucas Luiz Romero")*(20/1083),IF(C510="Estágio",SUMIFS($D:$D,$A:$A,$A510,$B:$B,"&lt;&gt;Patrícia Karla de Sousa Araújo",$B:$B,"&lt;&gt;Lorena Dias de Araujo",$B:$B,"&lt;&gt;Lucas Luiz Romero")*(10/1083),0)))))),0)</f>
        <v/>
      </c>
      <c r="K510" s="3">
        <f>I510-J510</f>
        <v/>
      </c>
      <c r="L510" s="3">
        <f>IF(K510&lt;-5,"CRÍTICO",IF(K510&lt;0,"ATENÇÃO",IF(K510&lt;=5,"BOM","EXCELENTE")))</f>
        <v/>
      </c>
      <c r="M510" t="n">
        <v>20</v>
      </c>
      <c r="N510" t="n">
        <v>97.01000000000001</v>
      </c>
      <c r="O510" t="n">
        <v>13.96103896103896</v>
      </c>
    </row>
    <row r="511" hidden="1">
      <c r="A511" s="7" t="n">
        <v>46161</v>
      </c>
      <c r="B511" s="8" t="inlineStr">
        <is>
          <t>Kerollen Cristielly de Jesus Siqueira</t>
        </is>
      </c>
      <c r="C511" s="9" t="inlineStr">
        <is>
          <t>Técnico III</t>
        </is>
      </c>
      <c r="D511" s="3" t="n">
        <v>32</v>
      </c>
      <c r="E511" s="3" t="n">
        <v>32</v>
      </c>
      <c r="G511" s="3" t="n">
        <v>0</v>
      </c>
      <c r="H511" s="3" t="n">
        <v>0</v>
      </c>
      <c r="I511" s="3">
        <f>E511+G511+H511</f>
        <v/>
      </c>
      <c r="J511" s="3">
        <f>ROUND(MIN(IF(C511="Técnico III",35,IF(C511="Técnico II",28,IF(C511="Técnico I",23,IF(C511="JR",20,IF(C511="Estágio",10,0))))),IF(C511="Técnico III",SUMIFS($D:$D,$A:$A,$A511,$B:$B,"&lt;&gt;Patrícia Karla de Sousa Araújo",$B:$B,"&lt;&gt;Lorena Dias de Araujo",$B:$B,"&lt;&gt;Lucas Luiz Romero")*(35/1083),IF(C511="Técnico II",SUMIFS($D:$D,$A:$A,$A511,$B:$B,"&lt;&gt;Patrícia Karla de Sousa Araújo",$B:$B,"&lt;&gt;Lorena Dias de Araujo",$B:$B,"&lt;&gt;Lucas Luiz Romero")*(28/1083),IF(C511="Técnico I",SUMIFS($D:$D,$A:$A,$A511,$B:$B,"&lt;&gt;Patrícia Karla de Sousa Araújo",$B:$B,"&lt;&gt;Lorena Dias de Araujo",$B:$B,"&lt;&gt;Lucas Luiz Romero")*(23/1083),IF(C511="JR",SUMIFS($D:$D,$A:$A,$A511,$B:$B,"&lt;&gt;Patrícia Karla de Sousa Araújo",$B:$B,"&lt;&gt;Lorena Dias de Araujo",$B:$B,"&lt;&gt;Lucas Luiz Romero")*(20/1083),IF(C511="Estágio",SUMIFS($D:$D,$A:$A,$A511,$B:$B,"&lt;&gt;Patrícia Karla de Sousa Araújo",$B:$B,"&lt;&gt;Lorena Dias de Araujo",$B:$B,"&lt;&gt;Lucas Luiz Romero")*(10/1083),0)))))),0)</f>
        <v/>
      </c>
      <c r="K511" s="3">
        <f>I511-J511</f>
        <v/>
      </c>
      <c r="L511" s="3">
        <f>IF(K511&lt;-5,"CRÍTICO",IF(K511&lt;0,"ATENÇÃO",IF(K511&lt;=5,"BOM","EXCELENTE")))</f>
        <v/>
      </c>
      <c r="M511" t="n">
        <v>28</v>
      </c>
      <c r="N511" t="n">
        <v>95.52</v>
      </c>
      <c r="O511" t="n">
        <v>10.56105610561056</v>
      </c>
    </row>
    <row r="512" hidden="1">
      <c r="A512" s="7" t="n">
        <v>46161</v>
      </c>
      <c r="B512" s="8" t="inlineStr">
        <is>
          <t>Leandro de Souza Silva</t>
        </is>
      </c>
      <c r="C512" s="9" t="inlineStr">
        <is>
          <t>JR</t>
        </is>
      </c>
      <c r="D512" s="3" t="n">
        <v>19</v>
      </c>
      <c r="E512" s="3" t="n">
        <v>17</v>
      </c>
      <c r="G512" s="3" t="n">
        <v>1</v>
      </c>
      <c r="H512" s="3" t="n">
        <v>0</v>
      </c>
      <c r="I512" s="3">
        <f>E512+G512+H512</f>
        <v/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/>
      </c>
      <c r="K512" s="3">
        <f>I512-J512</f>
        <v/>
      </c>
      <c r="L512" s="3">
        <f>IF(K512&lt;-5,"CRÍTICO",IF(K512&lt;0,"ATENÇÃO",IF(K512&lt;=5,"BOM","EXCELENTE")))</f>
        <v/>
      </c>
      <c r="M512" t="n">
        <v>15</v>
      </c>
      <c r="N512" t="n">
        <v>100</v>
      </c>
      <c r="O512" t="n">
        <v>16.95906432748538</v>
      </c>
    </row>
    <row r="513" hidden="1">
      <c r="A513" s="7" t="n">
        <v>46161</v>
      </c>
      <c r="B513" s="8" t="inlineStr">
        <is>
          <t>Leandro Oliveira de Sousa</t>
        </is>
      </c>
      <c r="C513" s="9" t="inlineStr">
        <is>
          <t>Técnico III</t>
        </is>
      </c>
      <c r="D513" s="3" t="n">
        <v>27</v>
      </c>
      <c r="E513" s="3" t="n">
        <v>26</v>
      </c>
      <c r="G513" s="3" t="n">
        <v>0</v>
      </c>
      <c r="H513" s="3" t="n">
        <v>0</v>
      </c>
      <c r="I513" s="3">
        <f>E513+G513+H513</f>
        <v/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/>
      </c>
      <c r="K513" s="3">
        <f>I513-J513</f>
        <v/>
      </c>
      <c r="L513" s="3">
        <f>IF(K513&lt;-5,"CRÍTICO",IF(K513&lt;0,"ATENÇÃO",IF(K513&lt;=5,"BOM","EXCELENTE")))</f>
        <v/>
      </c>
      <c r="M513" t="n">
        <v>24</v>
      </c>
      <c r="N513" t="n">
        <v>100</v>
      </c>
      <c r="O513" t="n">
        <v>15.58441558441558</v>
      </c>
    </row>
    <row r="514" hidden="1">
      <c r="A514" s="7" t="n">
        <v>46161</v>
      </c>
      <c r="B514" s="8" t="inlineStr">
        <is>
          <t>Lizandra Gomes Duarte</t>
        </is>
      </c>
      <c r="C514" s="9" t="inlineStr">
        <is>
          <t>Técnico II</t>
        </is>
      </c>
      <c r="D514" s="3" t="n">
        <v>28</v>
      </c>
      <c r="E514" s="3" t="n">
        <v>25</v>
      </c>
      <c r="G514" s="3" t="n">
        <v>3</v>
      </c>
      <c r="H514" s="3" t="n">
        <v>0</v>
      </c>
      <c r="I514" s="3">
        <f>E514+G514+H514</f>
        <v/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/>
      </c>
      <c r="K514" s="3">
        <f>I514-J514</f>
        <v/>
      </c>
      <c r="L514" s="3">
        <f>IF(K514&lt;-5,"CRÍTICO",IF(K514&lt;0,"ATENÇÃO",IF(K514&lt;=5,"BOM","EXCELENTE")))</f>
        <v/>
      </c>
      <c r="M514" t="n">
        <v>45</v>
      </c>
      <c r="N514" t="n">
        <v>98.61</v>
      </c>
      <c r="O514" t="n">
        <v>16.86746987951807</v>
      </c>
    </row>
    <row r="515" hidden="1">
      <c r="A515" s="7" t="n">
        <v>46161</v>
      </c>
      <c r="B515" s="8" t="inlineStr">
        <is>
          <t>Lorena Dias de Araujo</t>
        </is>
      </c>
      <c r="C515" s="9" t="inlineStr">
        <is>
          <t>Técnico II</t>
        </is>
      </c>
      <c r="D515" s="3" t="n">
        <v>22</v>
      </c>
      <c r="E515" s="3" t="n">
        <v>21</v>
      </c>
      <c r="G515" s="3" t="n">
        <v>1</v>
      </c>
      <c r="H515" s="3" t="n">
        <v>0</v>
      </c>
      <c r="I515" s="3">
        <f>E515+G515+H515</f>
        <v/>
      </c>
      <c r="J515" s="3">
        <f>ROUND(MIN(IF(C515="Técnico III",35,IF(C515="Técnico II",28,IF(C515="Técnico I",23,IF(C515="JR",20,IF(C515="Estágio",10,0))))),IF(C515="Técnico III",SUMIFS($D:$D,$A:$A,$A515,$B:$B,"&lt;&gt;Patrícia Karla de Sousa Araújo",$B:$B,"&lt;&gt;Lorena Dias de Araujo",$B:$B,"&lt;&gt;Lucas Luiz Romero")*(35/1083),IF(C515="Técnico II",SUMIFS($D:$D,$A:$A,$A515,$B:$B,"&lt;&gt;Patrícia Karla de Sousa Araújo",$B:$B,"&lt;&gt;Lorena Dias de Araujo",$B:$B,"&lt;&gt;Lucas Luiz Romero")*(28/1083),IF(C515="Técnico I",SUMIFS($D:$D,$A:$A,$A515,$B:$B,"&lt;&gt;Patrícia Karla de Sousa Araújo",$B:$B,"&lt;&gt;Lorena Dias de Araujo",$B:$B,"&lt;&gt;Lucas Luiz Romero")*(23/1083),IF(C515="JR",SUMIFS($D:$D,$A:$A,$A515,$B:$B,"&lt;&gt;Patrícia Karla de Sousa Araújo",$B:$B,"&lt;&gt;Lorena Dias de Araujo",$B:$B,"&lt;&gt;Lucas Luiz Romero")*(20/1083),IF(C515="Estágio",SUMIFS($D:$D,$A:$A,$A515,$B:$B,"&lt;&gt;Patrícia Karla de Sousa Araújo",$B:$B,"&lt;&gt;Lorena Dias de Araujo",$B:$B,"&lt;&gt;Lucas Luiz Romero")*(10/1083),0)))))),0)</f>
        <v/>
      </c>
      <c r="K515" s="3">
        <f>I515-J515</f>
        <v/>
      </c>
      <c r="L515" s="3">
        <f>IF(K515&lt;-5,"CRÍTICO",IF(K515&lt;0,"ATENÇÃO",IF(K515&lt;=5,"BOM","EXCELENTE")))</f>
        <v/>
      </c>
      <c r="M515" t="n">
        <v>19</v>
      </c>
      <c r="N515" t="n">
        <v>100</v>
      </c>
      <c r="O515" t="n">
        <v>20.82018927444795</v>
      </c>
    </row>
    <row r="516" hidden="1">
      <c r="A516" s="7" t="n">
        <v>46161</v>
      </c>
      <c r="B516" s="8" t="inlineStr">
        <is>
          <t>Lucas Luiz Romero</t>
        </is>
      </c>
      <c r="C516" s="9" t="inlineStr">
        <is>
          <t>Técnico III</t>
        </is>
      </c>
      <c r="D516" s="3" t="n">
        <v>22</v>
      </c>
      <c r="E516" s="3" t="n">
        <v>20</v>
      </c>
      <c r="G516" s="3" t="n">
        <v>0</v>
      </c>
      <c r="H516" s="3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IF(K516&lt;-5,"CRÍTICO",IF(K516&lt;0,"ATENÇÃO",IF(K516&lt;=5,"BOM","EXCELENTE")))</f>
        <v/>
      </c>
      <c r="M516" t="n">
        <v>18</v>
      </c>
      <c r="N516" t="n">
        <v>100</v>
      </c>
      <c r="O516" t="n">
        <v>4.347826086956522</v>
      </c>
    </row>
    <row r="517" hidden="1">
      <c r="A517" s="7" t="n">
        <v>46161</v>
      </c>
      <c r="B517" s="8" t="inlineStr">
        <is>
          <t>Luiz Fernando de Carvalho Junior</t>
        </is>
      </c>
      <c r="C517" s="9" t="inlineStr">
        <is>
          <t>Técnico I</t>
        </is>
      </c>
      <c r="D517" s="3" t="n">
        <v>18</v>
      </c>
      <c r="E517" s="3" t="n">
        <v>17</v>
      </c>
      <c r="G517" s="3" t="n">
        <v>2</v>
      </c>
      <c r="H517" s="3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IF(K517&lt;-5,"CRÍTICO",IF(K517&lt;0,"ATENÇÃO",IF(K517&lt;=5,"BOM","EXCELENTE")))</f>
        <v/>
      </c>
      <c r="M517" t="n">
        <v>18</v>
      </c>
      <c r="N517" t="n">
        <v>93.26000000000001</v>
      </c>
      <c r="O517" t="n">
        <v>19.93957703927493</v>
      </c>
    </row>
    <row r="518" hidden="1">
      <c r="A518" s="7" t="n">
        <v>46161</v>
      </c>
      <c r="B518" s="8" t="inlineStr">
        <is>
          <t>Maria Eduarda Sousa Costa</t>
        </is>
      </c>
      <c r="C518" s="9" t="inlineStr">
        <is>
          <t>Estágio</t>
        </is>
      </c>
      <c r="D518" s="3" t="n">
        <v>36</v>
      </c>
      <c r="E518" s="3" t="n">
        <v>24</v>
      </c>
      <c r="G518" s="3" t="n">
        <v>0</v>
      </c>
      <c r="H518" s="3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IF(K518&lt;-5,"CRÍTICO",IF(K518&lt;0,"ATENÇÃO",IF(K518&lt;=5,"BOM","EXCELENTE")))</f>
        <v/>
      </c>
      <c r="M518" t="n">
        <v>12</v>
      </c>
      <c r="N518" t="n">
        <v>100</v>
      </c>
      <c r="O518" t="n">
        <v>11.86440677966102</v>
      </c>
    </row>
    <row r="519" hidden="1">
      <c r="A519" s="7" t="n">
        <v>46161</v>
      </c>
      <c r="B519" s="8" t="inlineStr">
        <is>
          <t>Matheus Farias De Souza</t>
        </is>
      </c>
      <c r="C519" s="9" t="inlineStr">
        <is>
          <t>Técnico III</t>
        </is>
      </c>
      <c r="D519" s="3" t="n">
        <v>0</v>
      </c>
      <c r="E519" s="3" t="n">
        <v>0</v>
      </c>
      <c r="G519" s="3" t="n">
        <v>0</v>
      </c>
      <c r="H519" s="3" t="n">
        <v>33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t="n">
        <v>14</v>
      </c>
      <c r="N519" t="n">
        <v>98.28</v>
      </c>
      <c r="O519" t="n">
        <v>9.037900874635568</v>
      </c>
    </row>
    <row r="520" hidden="1">
      <c r="A520" s="7" t="n">
        <v>46161</v>
      </c>
      <c r="B520" s="8" t="inlineStr">
        <is>
          <t>Maysa Victoria Dias Moura</t>
        </is>
      </c>
      <c r="C520" s="9" t="inlineStr">
        <is>
          <t>Técnico III</t>
        </is>
      </c>
      <c r="D520" s="3" t="n">
        <v>35</v>
      </c>
      <c r="E520" s="3" t="n">
        <v>31</v>
      </c>
      <c r="G520" s="3" t="n">
        <v>4</v>
      </c>
      <c r="H520" s="3" t="n">
        <v>0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t="n">
        <v>30</v>
      </c>
      <c r="N520" t="n">
        <v>97.22</v>
      </c>
      <c r="O520" t="n">
        <v>19.09547738693467</v>
      </c>
    </row>
    <row r="521" hidden="1">
      <c r="A521" s="7" t="n">
        <v>46161</v>
      </c>
      <c r="B521" s="8" t="inlineStr">
        <is>
          <t>Michelle G Santos</t>
        </is>
      </c>
      <c r="C521" s="9" t="inlineStr">
        <is>
          <t>Estágio</t>
        </is>
      </c>
      <c r="D521" s="3" t="n">
        <v>15</v>
      </c>
      <c r="E521" s="3" t="n">
        <v>13</v>
      </c>
      <c r="G521" s="3" t="n">
        <v>0</v>
      </c>
      <c r="H521" s="3" t="n">
        <v>0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t="n">
        <v>9</v>
      </c>
      <c r="N521" t="n">
        <v>100</v>
      </c>
      <c r="O521" t="n">
        <v>16.8141592920354</v>
      </c>
    </row>
    <row r="522" hidden="1">
      <c r="A522" s="7" t="n">
        <v>46161</v>
      </c>
      <c r="B522" s="8" t="inlineStr">
        <is>
          <t>Milena Sales</t>
        </is>
      </c>
      <c r="C522" s="9" t="inlineStr">
        <is>
          <t>JR</t>
        </is>
      </c>
      <c r="D522" s="3" t="n">
        <v>42</v>
      </c>
      <c r="E522" s="3" t="n">
        <v>23</v>
      </c>
      <c r="G522" s="3" t="n">
        <v>0</v>
      </c>
      <c r="H522" s="3" t="n">
        <v>0</v>
      </c>
      <c r="I522" s="3">
        <f>E522+G522+H522</f>
        <v/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/>
      </c>
      <c r="K522" s="3">
        <f>I522-J522</f>
        <v/>
      </c>
      <c r="L522" s="3">
        <f>IF(K522&lt;-5,"CRÍTICO",IF(K522&lt;0,"ATENÇÃO",IF(K522&lt;=5,"BOM","EXCELENTE")))</f>
        <v/>
      </c>
      <c r="M522" t="n">
        <v>22</v>
      </c>
      <c r="N522" t="n">
        <v>98</v>
      </c>
      <c r="O522" t="n">
        <v>16.43835616438356</v>
      </c>
    </row>
    <row r="523" hidden="1">
      <c r="A523" s="7" t="n">
        <v>46161</v>
      </c>
      <c r="B523" s="8" t="inlineStr">
        <is>
          <t>Patrícia Karla de Sousa Araújo</t>
        </is>
      </c>
      <c r="C523" s="9" t="inlineStr">
        <is>
          <t>Técnico II</t>
        </is>
      </c>
      <c r="D523" s="3" t="n">
        <v>25</v>
      </c>
      <c r="E523" s="3" t="n">
        <v>23</v>
      </c>
      <c r="G523" s="3" t="n">
        <v>0</v>
      </c>
      <c r="H523" s="3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IF(K523&lt;-5,"CRÍTICO",IF(K523&lt;0,"ATENÇÃO",IF(K523&lt;=5,"BOM","EXCELENTE")))</f>
        <v/>
      </c>
      <c r="M523" t="n">
        <v>22</v>
      </c>
      <c r="N523" t="n">
        <v>100</v>
      </c>
      <c r="O523" t="n">
        <v>16.89497716894977</v>
      </c>
    </row>
    <row r="524" hidden="1">
      <c r="A524" s="7" t="n">
        <v>46161</v>
      </c>
      <c r="B524" s="8" t="inlineStr">
        <is>
          <t>Paulo Ricardo Santos</t>
        </is>
      </c>
      <c r="C524" s="9" t="inlineStr">
        <is>
          <t>JR</t>
        </is>
      </c>
      <c r="D524" s="3" t="n">
        <v>13</v>
      </c>
      <c r="E524" s="3" t="n">
        <v>13</v>
      </c>
      <c r="G524" s="3" t="n">
        <v>0</v>
      </c>
      <c r="H524" s="3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IF(K524&lt;-5,"CRÍTICO",IF(K524&lt;0,"ATENÇÃO",IF(K524&lt;=5,"BOM","EXCELENTE")))</f>
        <v/>
      </c>
      <c r="M524" t="n">
        <v>12</v>
      </c>
      <c r="N524" t="n">
        <v>100</v>
      </c>
      <c r="O524" t="n">
        <v>19.13875598086124</v>
      </c>
    </row>
    <row r="525" hidden="1">
      <c r="A525" s="7" t="n">
        <v>46161</v>
      </c>
      <c r="B525" s="8" t="inlineStr">
        <is>
          <t>Pedro Luiz Mota Sousa</t>
        </is>
      </c>
      <c r="C525" s="9" t="inlineStr">
        <is>
          <t>JR</t>
        </is>
      </c>
      <c r="D525" s="3" t="n">
        <v>17</v>
      </c>
      <c r="E525" s="3" t="n">
        <v>17</v>
      </c>
      <c r="G525" s="3" t="n">
        <v>0</v>
      </c>
      <c r="H525" s="3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IF(K525&lt;-5,"CRÍTICO",IF(K525&lt;0,"ATENÇÃO",IF(K525&lt;=5,"BOM","EXCELENTE")))</f>
        <v/>
      </c>
      <c r="M525" t="n">
        <v>15</v>
      </c>
      <c r="N525" t="n">
        <v>100</v>
      </c>
      <c r="O525" t="n">
        <v>15.02145922746781</v>
      </c>
    </row>
    <row r="526" hidden="1">
      <c r="A526" s="7" t="n">
        <v>46161</v>
      </c>
      <c r="B526" s="8" t="inlineStr">
        <is>
          <t>Quirino Diogo Leite Torres</t>
        </is>
      </c>
      <c r="C526" s="9" t="inlineStr">
        <is>
          <t>Estágio</t>
        </is>
      </c>
      <c r="D526" s="3" t="n">
        <v>20</v>
      </c>
      <c r="E526" s="3" t="n">
        <v>19</v>
      </c>
      <c r="G526" s="3" t="n">
        <v>0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t="n">
        <v>16</v>
      </c>
      <c r="N526" t="n">
        <v>98.11</v>
      </c>
      <c r="O526" t="n">
        <v>20.40816326530612</v>
      </c>
    </row>
    <row r="527" hidden="1">
      <c r="A527" s="7" t="n">
        <v>46161</v>
      </c>
      <c r="B527" s="8" t="inlineStr">
        <is>
          <t>Raane Batista Matos</t>
        </is>
      </c>
      <c r="C527" s="9" t="inlineStr">
        <is>
          <t>Técnico I</t>
        </is>
      </c>
      <c r="D527" s="3" t="n">
        <v>35</v>
      </c>
      <c r="E527" s="3" t="n">
        <v>31</v>
      </c>
      <c r="G527" s="3" t="n">
        <v>2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t="n">
        <v>26</v>
      </c>
      <c r="N527" t="n">
        <v>97.56</v>
      </c>
      <c r="O527" t="n">
        <v>19.28783382789317</v>
      </c>
    </row>
    <row r="528" hidden="1">
      <c r="A528" s="7" t="n">
        <v>46161</v>
      </c>
      <c r="B528" s="8" t="inlineStr">
        <is>
          <t>Rafael Gomes de Morais</t>
        </is>
      </c>
      <c r="C528" s="9" t="inlineStr">
        <is>
          <t>Técnico III</t>
        </is>
      </c>
      <c r="D528" s="3" t="n">
        <v>39</v>
      </c>
      <c r="E528" s="3" t="n">
        <v>35</v>
      </c>
      <c r="G528" s="3" t="n">
        <v>3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t="n">
        <v>34</v>
      </c>
      <c r="N528" t="n">
        <v>99.29000000000001</v>
      </c>
      <c r="O528" t="n">
        <v>22.49443207126949</v>
      </c>
    </row>
    <row r="529" hidden="1">
      <c r="A529" s="7" t="n">
        <v>46161</v>
      </c>
      <c r="B529" s="8" t="inlineStr">
        <is>
          <t>Sara Maria Monteiro Lopes</t>
        </is>
      </c>
      <c r="C529" s="9" t="inlineStr">
        <is>
          <t>Técnico I</t>
        </is>
      </c>
      <c r="D529" s="3" t="n">
        <v>18</v>
      </c>
      <c r="E529" s="3" t="n">
        <v>18</v>
      </c>
      <c r="G529" s="3" t="n">
        <v>0</v>
      </c>
      <c r="H529" s="3" t="n">
        <v>0</v>
      </c>
      <c r="I529" s="3">
        <f>E529+G529+H529</f>
        <v/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/>
      </c>
      <c r="K529" s="3">
        <f>I529-J529</f>
        <v/>
      </c>
      <c r="L529" s="3">
        <f>IF(K529&lt;-5,"CRÍTICO",IF(K529&lt;0,"ATENÇÃO",IF(K529&lt;=5,"BOM","EXCELENTE")))</f>
        <v/>
      </c>
      <c r="M529" t="n">
        <v>17</v>
      </c>
      <c r="N529" t="n">
        <v>100</v>
      </c>
      <c r="O529" t="n">
        <v>16.97247706422019</v>
      </c>
    </row>
    <row r="530" hidden="1">
      <c r="A530" s="7" t="n">
        <v>46161</v>
      </c>
      <c r="B530" s="8" t="inlineStr">
        <is>
          <t>Sarah Steffanie de Lima Borges</t>
        </is>
      </c>
      <c r="C530" s="9" t="inlineStr">
        <is>
          <t>Técnico III</t>
        </is>
      </c>
      <c r="D530" s="3" t="n">
        <v>25</v>
      </c>
      <c r="E530" s="3" t="n">
        <v>24</v>
      </c>
      <c r="G530" s="3" t="n">
        <v>3</v>
      </c>
      <c r="H530" s="3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IF(K530&lt;-5,"CRÍTICO",IF(K530&lt;0,"ATENÇÃO",IF(K530&lt;=5,"BOM","EXCELENTE")))</f>
        <v/>
      </c>
      <c r="M530" t="n">
        <v>21</v>
      </c>
      <c r="N530" t="n">
        <v>97.33</v>
      </c>
      <c r="O530" t="n">
        <v>15.80547112462006</v>
      </c>
    </row>
    <row r="531" hidden="1">
      <c r="A531" s="7" t="n">
        <v>46162</v>
      </c>
      <c r="B531" s="8" t="inlineStr">
        <is>
          <t>Alisson de Freitas Silva</t>
        </is>
      </c>
      <c r="C531" s="9" t="inlineStr">
        <is>
          <t>Técnico II</t>
        </is>
      </c>
      <c r="D531" s="3" t="n">
        <v>36</v>
      </c>
      <c r="E531" s="3" t="n">
        <v>25</v>
      </c>
      <c r="F531" s="3" t="n">
        <v>7.03</v>
      </c>
      <c r="G531" s="3" t="n">
        <v>6</v>
      </c>
      <c r="H531" s="3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M531" s="3" t="n">
        <v>20</v>
      </c>
      <c r="N531" s="3" t="n">
        <v>98.94</v>
      </c>
      <c r="O531" s="3" t="n">
        <v>19.61414790996785</v>
      </c>
    </row>
    <row r="532" hidden="1">
      <c r="A532" s="7" t="n">
        <v>46162</v>
      </c>
      <c r="B532" s="8" t="inlineStr">
        <is>
          <t>Amanda Moura Ferreira</t>
        </is>
      </c>
      <c r="C532" s="9" t="inlineStr">
        <is>
          <t>Técnico III</t>
        </is>
      </c>
      <c r="D532" s="3" t="n">
        <v>0</v>
      </c>
      <c r="E532" s="3" t="n">
        <v>0</v>
      </c>
      <c r="F532" s="3" t="n">
        <v>0</v>
      </c>
      <c r="G532" s="3" t="n">
        <v>0</v>
      </c>
      <c r="H532" s="3" t="n">
        <v>0</v>
      </c>
      <c r="I532" s="3" t="n">
        <v>0</v>
      </c>
      <c r="J532" s="3" t="n">
        <v>0</v>
      </c>
      <c r="K532" s="3" t="n">
        <v>0</v>
      </c>
      <c r="L532" s="3">
        <f>IF(K532&lt;-5,"CRÍTICO",IF(K532&lt;0,"ATENÇÃO",IF(K532&lt;=5,"OPORTUNO","MUITO BOM")))</f>
        <v/>
      </c>
      <c r="M532" s="9" t="n">
        <v>0</v>
      </c>
      <c r="N532" s="9" t="n">
        <v>100</v>
      </c>
      <c r="O532" s="9" t="n">
        <v>0</v>
      </c>
    </row>
    <row r="533" hidden="1">
      <c r="A533" s="7" t="n">
        <v>46162</v>
      </c>
      <c r="B533" s="8" t="inlineStr">
        <is>
          <t>Ana Karollyne Souza Faria</t>
        </is>
      </c>
      <c r="C533" s="9" t="inlineStr">
        <is>
          <t>Técnico I</t>
        </is>
      </c>
      <c r="D533" s="3" t="n">
        <v>26</v>
      </c>
      <c r="E533" s="3" t="n">
        <v>25</v>
      </c>
      <c r="F533" s="3" t="n">
        <v>9.369999999999999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IF(K533&lt;-5,"CRÍTICO",IF(K533&lt;0,"ATENÇÃO",IF(K533&lt;=5,"OPORTUNO","MUITO BOM")))</f>
        <v/>
      </c>
      <c r="M533" s="9" t="n">
        <v>26</v>
      </c>
      <c r="N533" s="9" t="n">
        <v>95.38</v>
      </c>
      <c r="O533" s="9" t="n">
        <v>21.5962441314554</v>
      </c>
    </row>
    <row r="534" hidden="1">
      <c r="A534" s="7" t="n">
        <v>46162</v>
      </c>
      <c r="B534" s="8" t="inlineStr">
        <is>
          <t>Ana Paula Da Luz Silva Aleixo</t>
        </is>
      </c>
      <c r="C534" s="9" t="inlineStr">
        <is>
          <t>Técnico III</t>
        </is>
      </c>
      <c r="D534" s="3" t="n">
        <v>22</v>
      </c>
      <c r="E534" s="3" t="n">
        <v>21</v>
      </c>
      <c r="F534" s="3" t="n">
        <v>11.14</v>
      </c>
      <c r="G534" s="3" t="n">
        <v>1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IF(K534&lt;-5,"CRÍTICO",IF(K534&lt;0,"ATENÇÃO",IF(K534&lt;=5,"OPORTUNO","MUITO BOM")))</f>
        <v/>
      </c>
      <c r="M534" s="9" t="n">
        <v>18</v>
      </c>
      <c r="N534" s="9" t="n">
        <v>96.34</v>
      </c>
      <c r="O534" s="9" t="n">
        <v>17.57188498402556</v>
      </c>
    </row>
    <row r="535" hidden="1">
      <c r="A535" s="7" t="n">
        <v>46162</v>
      </c>
      <c r="B535" s="8" t="inlineStr">
        <is>
          <t>Anna Luiza Rezende Tavares</t>
        </is>
      </c>
      <c r="C535" s="9" t="inlineStr">
        <is>
          <t>JR</t>
        </is>
      </c>
      <c r="D535" s="3" t="n">
        <v>33</v>
      </c>
      <c r="E535" s="3" t="n">
        <v>33</v>
      </c>
      <c r="F535" s="3" t="n">
        <v>8.470000000000001</v>
      </c>
      <c r="G535" s="3" t="n">
        <v>0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IF(K535&lt;-5,"CRÍTICO",IF(K535&lt;0,"ATENÇÃO",IF(K535&lt;=5,"OPORTUNO","MUITO BOM")))</f>
        <v/>
      </c>
      <c r="M535" s="9" t="n">
        <v>32</v>
      </c>
      <c r="N535" s="9" t="n">
        <v>99.11</v>
      </c>
      <c r="O535" s="9" t="n">
        <v>17.72151898734177</v>
      </c>
    </row>
    <row r="536" hidden="1">
      <c r="A536" s="7" t="n">
        <v>46162</v>
      </c>
      <c r="B536" s="8" t="inlineStr">
        <is>
          <t>Brenda de Menezes Silva</t>
        </is>
      </c>
      <c r="C536" s="9" t="inlineStr">
        <is>
          <t>Técnico II</t>
        </is>
      </c>
      <c r="D536" s="3" t="n">
        <v>25</v>
      </c>
      <c r="E536" s="3" t="n">
        <v>23</v>
      </c>
      <c r="F536" s="3" t="n">
        <v>9.109999999999999</v>
      </c>
      <c r="G536" s="3" t="n">
        <v>2</v>
      </c>
      <c r="H536" s="3" t="n">
        <v>0</v>
      </c>
      <c r="I536" s="3">
        <f>E536+G536+H536</f>
        <v/>
      </c>
      <c r="J536" s="3">
        <f>ROUND(MIN(IF(C536="Técnico III",35,IF(C536="Técnico II",28,IF(C536="Técnico I",23,IF(C536="JR",20,IF(C536="Estágio",10,0))))),IF(C536="Técnico III",SUMIFS($D:$D,$A:$A,$A536,$B:$B,"&lt;&gt;Patrícia Karla de Sousa Araújo",$B:$B,"&lt;&gt;Lorena Dias de Araujo",$B:$B,"&lt;&gt;Lucas Luiz Romero")*(35/1083),IF(C536="Técnico II",SUMIFS($D:$D,$A:$A,$A536,$B:$B,"&lt;&gt;Patrícia Karla de Sousa Araújo",$B:$B,"&lt;&gt;Lorena Dias de Araujo",$B:$B,"&lt;&gt;Lucas Luiz Romero")*(28/1083),IF(C536="Técnico I",SUMIFS($D:$D,$A:$A,$A536,$B:$B,"&lt;&gt;Patrícia Karla de Sousa Araújo",$B:$B,"&lt;&gt;Lorena Dias de Araujo",$B:$B,"&lt;&gt;Lucas Luiz Romero")*(23/1083),IF(C536="JR",SUMIFS($D:$D,$A:$A,$A536,$B:$B,"&lt;&gt;Patrícia Karla de Sousa Araújo",$B:$B,"&lt;&gt;Lorena Dias de Araujo",$B:$B,"&lt;&gt;Lucas Luiz Romero")*(20/1083),IF(C536="Estágio",SUMIFS($D:$D,$A:$A,$A536,$B:$B,"&lt;&gt;Patrícia Karla de Sousa Araújo",$B:$B,"&lt;&gt;Lorena Dias de Araujo",$B:$B,"&lt;&gt;Lucas Luiz Romero")*(10/1083),0)))))),0)</f>
        <v/>
      </c>
      <c r="K536" s="3">
        <f>I536-J536</f>
        <v/>
      </c>
      <c r="L536" s="3">
        <f>IF(K536&lt;-5,"CRÍTICO",IF(K536&lt;0,"ATENÇÃO",IF(K536&lt;=5,"OPORTUNO","MUITO BOM")))</f>
        <v/>
      </c>
      <c r="M536" s="9" t="n">
        <v>29</v>
      </c>
      <c r="N536" s="9" t="n">
        <v>99.13</v>
      </c>
      <c r="O536" s="9" t="n">
        <v>14.7239263803681</v>
      </c>
    </row>
    <row r="537" hidden="1">
      <c r="A537" s="7" t="n">
        <v>46162</v>
      </c>
      <c r="B537" s="8" t="inlineStr">
        <is>
          <t>Carlos Mateus Cassimiro Nunes</t>
        </is>
      </c>
      <c r="C537" s="9" t="inlineStr">
        <is>
          <t>Técnico II</t>
        </is>
      </c>
      <c r="D537" s="3" t="n">
        <v>27</v>
      </c>
      <c r="E537" s="3" t="n">
        <v>26</v>
      </c>
      <c r="F537" s="3" t="n">
        <v>11.38</v>
      </c>
      <c r="G537" s="3" t="n">
        <v>1</v>
      </c>
      <c r="H537" s="3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s="9" t="n">
        <v>25</v>
      </c>
      <c r="N537" s="9" t="n">
        <v>98.8</v>
      </c>
      <c r="O537" s="9" t="n">
        <v>16.89750692520776</v>
      </c>
    </row>
    <row r="538" hidden="1">
      <c r="A538" s="7" t="n">
        <v>46162</v>
      </c>
      <c r="B538" s="8" t="inlineStr">
        <is>
          <t>Claudio de Sousa Velasco Filho</t>
        </is>
      </c>
      <c r="C538" s="9" t="inlineStr">
        <is>
          <t>Estágio</t>
        </is>
      </c>
      <c r="D538" s="3" t="n">
        <v>11</v>
      </c>
      <c r="E538" s="3" t="n">
        <v>10</v>
      </c>
      <c r="F538" s="3" t="n">
        <v>12.44</v>
      </c>
      <c r="G538" s="3" t="n">
        <v>0</v>
      </c>
      <c r="H538" s="3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s="9" t="n">
        <v>8</v>
      </c>
      <c r="N538" s="9" t="n">
        <v>96.43000000000001</v>
      </c>
      <c r="O538" s="9" t="n">
        <v>20</v>
      </c>
    </row>
    <row r="539" hidden="1">
      <c r="A539" s="7" t="n">
        <v>46162</v>
      </c>
      <c r="B539" s="8" t="inlineStr">
        <is>
          <t>Clessiane Pereira dos Santos</t>
        </is>
      </c>
      <c r="C539" s="9" t="inlineStr">
        <is>
          <t>Técnico I</t>
        </is>
      </c>
      <c r="D539" s="3" t="n">
        <v>23</v>
      </c>
      <c r="E539" s="3" t="n">
        <v>23</v>
      </c>
      <c r="F539" s="3" t="n">
        <v>9.5</v>
      </c>
      <c r="G539" s="3" t="n">
        <v>1</v>
      </c>
      <c r="H539" s="3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s="9" t="n">
        <v>22</v>
      </c>
      <c r="N539" s="9" t="n">
        <v>96.88</v>
      </c>
      <c r="O539" s="9" t="n">
        <v>19.52662721893491</v>
      </c>
    </row>
    <row r="540" hidden="1">
      <c r="A540" s="7" t="n">
        <v>46162</v>
      </c>
      <c r="B540" s="8" t="inlineStr">
        <is>
          <t>Cristiane Ramos da Silva Rocha</t>
        </is>
      </c>
      <c r="C540" s="9" t="inlineStr">
        <is>
          <t>Técnico III</t>
        </is>
      </c>
      <c r="D540" s="3" t="n">
        <v>31</v>
      </c>
      <c r="E540" s="3" t="n">
        <v>26</v>
      </c>
      <c r="F540" s="3" t="n">
        <v>8.4</v>
      </c>
      <c r="G540" s="3" t="n">
        <v>0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IF(K540&lt;-5,"CRÍTICO",IF(K540&lt;0,"ATENÇÃO",IF(K540&lt;=5,"OPORTUNO","MUITO BOM")))</f>
        <v/>
      </c>
      <c r="M540" s="9" t="n">
        <v>21</v>
      </c>
      <c r="N540" s="9" t="n">
        <v>91.84999999999999</v>
      </c>
      <c r="O540" s="9" t="n">
        <v>20.87155963302752</v>
      </c>
    </row>
    <row r="541" hidden="1">
      <c r="A541" s="7" t="n">
        <v>46162</v>
      </c>
      <c r="B541" s="8" t="inlineStr">
        <is>
          <t>Damyllis Lorraine de Oliveira Gonçalves</t>
        </is>
      </c>
      <c r="C541" s="9" t="inlineStr">
        <is>
          <t>Técnico II</t>
        </is>
      </c>
      <c r="D541" s="3" t="n">
        <v>0</v>
      </c>
      <c r="E541" s="3" t="n">
        <v>0</v>
      </c>
      <c r="F541" s="3" t="n">
        <v>0</v>
      </c>
      <c r="G541" s="3" t="n">
        <v>0</v>
      </c>
      <c r="H541" s="3" t="n">
        <v>0</v>
      </c>
      <c r="I541" s="3" t="n">
        <v>0</v>
      </c>
      <c r="J541" s="3" t="n">
        <v>0</v>
      </c>
      <c r="K541" s="3" t="n">
        <v>0</v>
      </c>
      <c r="L541" s="3">
        <f>IF(K541&lt;-5,"CRÍTICO",IF(K541&lt;0,"ATENÇÃO",IF(K541&lt;=5,"OPORTUNO","MUITO BOM")))</f>
        <v/>
      </c>
      <c r="M541" s="9" t="n">
        <v>0</v>
      </c>
      <c r="N541" s="9" t="n">
        <v>98.63</v>
      </c>
      <c r="O541" s="9" t="n">
        <v>18.75</v>
      </c>
    </row>
    <row r="542" hidden="1">
      <c r="A542" s="7" t="n">
        <v>46162</v>
      </c>
      <c r="B542" s="8" t="inlineStr">
        <is>
          <t>Daniel Gomes da Silva</t>
        </is>
      </c>
      <c r="C542" s="9" t="inlineStr">
        <is>
          <t>Técnico I</t>
        </is>
      </c>
      <c r="D542" s="3" t="n">
        <v>17</v>
      </c>
      <c r="E542" s="3" t="n">
        <v>14</v>
      </c>
      <c r="F542" s="3" t="n">
        <v>9.58</v>
      </c>
      <c r="G542" s="3" t="n">
        <v>2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IF(K542&lt;-5,"CRÍTICO",IF(K542&lt;0,"ATENÇÃO",IF(K542&lt;=5,"OPORTUNO","MUITO BOM")))</f>
        <v/>
      </c>
      <c r="M542" s="9" t="n">
        <v>13</v>
      </c>
      <c r="N542" s="9" t="n">
        <v>100</v>
      </c>
      <c r="O542" s="9" t="n">
        <v>18.14516129032258</v>
      </c>
    </row>
    <row r="543" hidden="1">
      <c r="A543" s="7" t="n">
        <v>46162</v>
      </c>
      <c r="B543" s="8" t="inlineStr">
        <is>
          <t>Davylla Rodrigues Freitas Silva</t>
        </is>
      </c>
      <c r="C543" s="9" t="inlineStr">
        <is>
          <t>Técnico III</t>
        </is>
      </c>
      <c r="D543" s="3" t="n">
        <v>0</v>
      </c>
      <c r="E543" s="3" t="n">
        <v>0</v>
      </c>
      <c r="F543" s="3" t="n">
        <v>0</v>
      </c>
      <c r="G543" s="3" t="n">
        <v>0</v>
      </c>
      <c r="H543" s="3" t="n">
        <v>0</v>
      </c>
      <c r="I543" s="3" t="n">
        <v>0</v>
      </c>
      <c r="J543" s="3" t="n">
        <v>0</v>
      </c>
      <c r="K543" s="3" t="n">
        <v>0</v>
      </c>
      <c r="L543" s="3">
        <f>IF(K543&lt;-5,"CRÍTICO",IF(K543&lt;0,"ATENÇÃO",IF(K543&lt;=5,"OPORTUNO","MUITO BOM")))</f>
        <v/>
      </c>
      <c r="M543" s="9" t="n">
        <v>0</v>
      </c>
      <c r="N543" s="9" t="n">
        <v>99.06</v>
      </c>
      <c r="O543" s="9" t="n">
        <v>22.95719844357977</v>
      </c>
    </row>
    <row r="544" hidden="1">
      <c r="A544" s="7" t="n">
        <v>46162</v>
      </c>
      <c r="B544" s="8" t="inlineStr">
        <is>
          <t>Emilly Caylane Costa</t>
        </is>
      </c>
      <c r="C544" s="9" t="inlineStr">
        <is>
          <t>Estágio</t>
        </is>
      </c>
      <c r="D544" s="3" t="n">
        <v>10</v>
      </c>
      <c r="E544" s="3" t="n">
        <v>4</v>
      </c>
      <c r="F544" s="3" t="n">
        <v>2.02</v>
      </c>
      <c r="G544" s="3" t="n">
        <v>0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IF(K544&lt;-5,"CRÍTICO",IF(K544&lt;0,"ATENÇÃO",IF(K544&lt;=5,"OPORTUNO","MUITO BOM")))</f>
        <v/>
      </c>
      <c r="M544" s="9" t="n">
        <v>0</v>
      </c>
      <c r="N544" s="9" t="n">
        <v>100</v>
      </c>
      <c r="O544" s="9" t="n">
        <v>29.03225806451613</v>
      </c>
    </row>
    <row r="545" hidden="1">
      <c r="A545" s="7" t="n">
        <v>46162</v>
      </c>
      <c r="B545" s="8" t="inlineStr">
        <is>
          <t>Emilly Kamilly Medeiros Miranda</t>
        </is>
      </c>
      <c r="C545" s="9" t="inlineStr">
        <is>
          <t>Técnico II</t>
        </is>
      </c>
      <c r="D545" s="3" t="n">
        <v>30</v>
      </c>
      <c r="E545" s="3" t="n">
        <v>28</v>
      </c>
      <c r="F545" s="3" t="n">
        <v>6.26</v>
      </c>
      <c r="G545" s="3" t="n">
        <v>2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IF(K545&lt;-5,"CRÍTICO",IF(K545&lt;0,"ATENÇÃO",IF(K545&lt;=5,"OPORTUNO","MUITO BOM")))</f>
        <v/>
      </c>
      <c r="M545" s="9" t="n">
        <v>28</v>
      </c>
      <c r="N545" s="9" t="n">
        <v>100</v>
      </c>
      <c r="O545" s="9" t="n">
        <v>13.8121546961326</v>
      </c>
    </row>
    <row r="546" hidden="1">
      <c r="A546" s="7" t="n">
        <v>46162</v>
      </c>
      <c r="B546" s="8" t="inlineStr">
        <is>
          <t>Francielson de Oliveira</t>
        </is>
      </c>
      <c r="C546" s="9" t="inlineStr">
        <is>
          <t>Técnico III</t>
        </is>
      </c>
      <c r="D546" s="3" t="n">
        <v>0</v>
      </c>
      <c r="E546" s="3" t="n">
        <v>0</v>
      </c>
      <c r="F546" s="3" t="n">
        <v>0</v>
      </c>
      <c r="G546" s="3" t="n">
        <v>0</v>
      </c>
      <c r="H546" s="3" t="n">
        <v>0</v>
      </c>
      <c r="I546" s="3" t="n">
        <v>0</v>
      </c>
      <c r="J546" s="3" t="n">
        <v>0</v>
      </c>
      <c r="K546" s="3" t="n">
        <v>0</v>
      </c>
      <c r="L546" s="3">
        <f>IF(K546&lt;-5,"CRÍTICO",IF(K546&lt;0,"ATENÇÃO",IF(K546&lt;=5,"OPORTUNO","MUITO BOM")))</f>
        <v/>
      </c>
      <c r="M546" s="9" t="n">
        <v>0</v>
      </c>
      <c r="N546" s="9" t="n">
        <v>100</v>
      </c>
      <c r="O546" s="9" t="n">
        <v>9.523809523809524</v>
      </c>
    </row>
    <row r="547" hidden="1">
      <c r="A547" s="7" t="n">
        <v>46162</v>
      </c>
      <c r="B547" s="8" t="inlineStr">
        <is>
          <t>Francilene Ferreira de Jesus</t>
        </is>
      </c>
      <c r="C547" s="9" t="inlineStr">
        <is>
          <t>Técnico II</t>
        </is>
      </c>
      <c r="D547" s="3" t="n">
        <v>0</v>
      </c>
      <c r="E547" s="3" t="n">
        <v>0</v>
      </c>
      <c r="F547" s="3" t="n">
        <v>0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IF(K547&lt;-5,"CRÍTICO",IF(K547&lt;0,"ATENÇÃO",IF(K547&lt;=5,"OPORTUNO","MUITO BOM")))</f>
        <v/>
      </c>
      <c r="M547" s="9" t="n">
        <v>0</v>
      </c>
      <c r="N547" s="9" t="n">
        <v>100</v>
      </c>
      <c r="O547" s="9" t="n">
        <v>17.24137931034483</v>
      </c>
    </row>
    <row r="548">
      <c r="A548" s="7" t="n">
        <v>46162</v>
      </c>
      <c r="B548" s="8" t="inlineStr">
        <is>
          <t>Gabriel Alves</t>
        </is>
      </c>
      <c r="C548" s="9" t="inlineStr">
        <is>
          <t>Estágio</t>
        </is>
      </c>
      <c r="D548" s="3" t="n">
        <v>7</v>
      </c>
      <c r="E548" s="3" t="n">
        <v>7</v>
      </c>
      <c r="F548" s="3" t="n">
        <v>22.26</v>
      </c>
      <c r="G548" s="3" t="n">
        <v>0</v>
      </c>
      <c r="H548" s="3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IF(K548&lt;-5,"CRÍTICO",IF(K548&lt;0,"ATENÇÃO",IF(K548&lt;=5,"OPORTUNO","MUITO BOM")))</f>
        <v/>
      </c>
      <c r="M548" s="9" t="n">
        <v>6</v>
      </c>
      <c r="N548" s="9" t="n">
        <v>100</v>
      </c>
      <c r="O548" s="9" t="n">
        <v>14.28571428571428</v>
      </c>
    </row>
    <row r="549">
      <c r="A549" s="7" t="n">
        <v>46162</v>
      </c>
      <c r="B549" s="8" t="inlineStr">
        <is>
          <t>Gabriel Gomes de Andrade</t>
        </is>
      </c>
      <c r="C549" s="9" t="inlineStr">
        <is>
          <t>Técnico I</t>
        </is>
      </c>
      <c r="D549" s="3" t="n">
        <v>26</v>
      </c>
      <c r="E549" s="3" t="n">
        <v>20</v>
      </c>
      <c r="F549" s="3" t="n">
        <v>9.09</v>
      </c>
      <c r="G549" s="3" t="n">
        <v>5</v>
      </c>
      <c r="H549" s="3" t="n">
        <v>2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IF(K549&lt;-5,"CRÍTICO",IF(K549&lt;0,"ATENÇÃO",IF(K549&lt;=5,"OPORTUNO","MUITO BOM")))</f>
        <v/>
      </c>
      <c r="M549" s="9" t="n">
        <v>21</v>
      </c>
      <c r="N549" s="9" t="n">
        <v>98.8</v>
      </c>
      <c r="O549" s="9" t="n">
        <v>15.41353383458646</v>
      </c>
    </row>
    <row r="550" hidden="1">
      <c r="A550" s="7" t="n">
        <v>46162</v>
      </c>
      <c r="B550" s="8" t="inlineStr">
        <is>
          <t>Isabella Borges de Oliveira</t>
        </is>
      </c>
      <c r="C550" s="9" t="inlineStr">
        <is>
          <t>Técnico II</t>
        </is>
      </c>
      <c r="D550" s="3" t="n">
        <v>24</v>
      </c>
      <c r="E550" s="3" t="n">
        <v>24</v>
      </c>
      <c r="F550" s="3" t="n">
        <v>14.32</v>
      </c>
      <c r="G550" s="3" t="n">
        <v>1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IF(K550&lt;-5,"CRÍTICO",IF(K550&lt;0,"ATENÇÃO",IF(K550&lt;=5,"OPORTUNO","MUITO BOM")))</f>
        <v/>
      </c>
      <c r="M550" s="9" t="n">
        <v>22</v>
      </c>
      <c r="N550" s="9" t="n">
        <v>98.63</v>
      </c>
      <c r="O550" s="9" t="n">
        <v>15.75757575757576</v>
      </c>
    </row>
    <row r="551" hidden="1">
      <c r="A551" s="7" t="n">
        <v>46162</v>
      </c>
      <c r="B551" s="8" t="inlineStr">
        <is>
          <t>Janaina Lima dos Reis Urany</t>
        </is>
      </c>
      <c r="C551" s="9" t="inlineStr">
        <is>
          <t>Técnico III</t>
        </is>
      </c>
      <c r="D551" s="3" t="n">
        <v>38</v>
      </c>
      <c r="E551" s="3" t="n">
        <v>35</v>
      </c>
      <c r="F551" s="3" t="n">
        <v>8.050000000000001</v>
      </c>
      <c r="G551" s="3" t="n">
        <v>3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IF(K551&lt;-5,"CRÍTICO",IF(K551&lt;0,"ATENÇÃO",IF(K551&lt;=5,"OPORTUNO","MUITO BOM")))</f>
        <v/>
      </c>
      <c r="M551" s="9" t="n">
        <v>34</v>
      </c>
      <c r="N551" s="9" t="n">
        <v>98.64</v>
      </c>
      <c r="O551" s="9" t="n">
        <v>16.6383701188455</v>
      </c>
    </row>
    <row r="552" hidden="1">
      <c r="A552" s="7" t="n">
        <v>46162</v>
      </c>
      <c r="B552" s="8" t="inlineStr">
        <is>
          <t>Jaqueline Evangelista da Silva Martins</t>
        </is>
      </c>
      <c r="C552" s="9" t="inlineStr">
        <is>
          <t>Técnico III</t>
        </is>
      </c>
      <c r="D552" s="3" t="n">
        <v>24</v>
      </c>
      <c r="E552" s="3" t="n">
        <v>21</v>
      </c>
      <c r="F552" s="3" t="n">
        <v>9.529999999999999</v>
      </c>
      <c r="G552" s="3" t="n">
        <v>2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IF(K552&lt;-5,"CRÍTICO",IF(K552&lt;0,"ATENÇÃO",IF(K552&lt;=5,"OPORTUNO","MUITO BOM")))</f>
        <v/>
      </c>
      <c r="M552" s="9" t="n">
        <v>19</v>
      </c>
      <c r="N552" s="9" t="n">
        <v>95.40000000000001</v>
      </c>
      <c r="O552" s="9" t="n">
        <v>20.53333333333333</v>
      </c>
    </row>
    <row r="553" hidden="1">
      <c r="A553" s="7" t="n">
        <v>46162</v>
      </c>
      <c r="B553" s="8" t="inlineStr">
        <is>
          <t>Jessica Faria da Silveira</t>
        </is>
      </c>
      <c r="C553" s="9" t="inlineStr">
        <is>
          <t>Técnico II</t>
        </is>
      </c>
      <c r="D553" s="3" t="n">
        <v>32</v>
      </c>
      <c r="E553" s="3" t="n">
        <v>26</v>
      </c>
      <c r="F553" s="3" t="n">
        <v>8.51</v>
      </c>
      <c r="G553" s="3" t="n">
        <v>0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IF(K553&lt;-5,"CRÍTICO",IF(K553&lt;0,"ATENÇÃO",IF(K553&lt;=5,"OPORTUNO","MUITO BOM")))</f>
        <v/>
      </c>
      <c r="M553" s="9" t="n">
        <v>23</v>
      </c>
      <c r="N553" s="9" t="n">
        <v>98.61</v>
      </c>
      <c r="O553" s="9" t="n">
        <v>16.97530864197531</v>
      </c>
    </row>
    <row r="554" hidden="1">
      <c r="A554" s="7" t="n">
        <v>46162</v>
      </c>
      <c r="B554" s="8" t="inlineStr">
        <is>
          <t>Jéssica Fé Moura</t>
        </is>
      </c>
      <c r="C554" s="9" t="inlineStr">
        <is>
          <t>Técnico III</t>
        </is>
      </c>
      <c r="D554" s="3" t="n">
        <v>0</v>
      </c>
      <c r="E554" s="3" t="n">
        <v>0</v>
      </c>
      <c r="F554" s="3" t="n">
        <v>0</v>
      </c>
      <c r="G554" s="3" t="n">
        <v>0</v>
      </c>
      <c r="H554" s="3" t="n">
        <v>0</v>
      </c>
      <c r="I554" s="3" t="n">
        <v>0</v>
      </c>
      <c r="J554" s="3" t="n">
        <v>0</v>
      </c>
      <c r="K554" s="3" t="n">
        <v>0</v>
      </c>
      <c r="L554" s="3">
        <f>IF(K554&lt;-5,"CRÍTICO",IF(K554&lt;0,"ATENÇÃO",IF(K554&lt;=5,"OPORTUNO","MUITO BOM")))</f>
        <v/>
      </c>
      <c r="M554" s="9" t="n">
        <v>0</v>
      </c>
      <c r="N554" s="9" t="n">
        <v>0</v>
      </c>
      <c r="O554" s="9" t="n">
        <v>0</v>
      </c>
    </row>
    <row r="555" hidden="1">
      <c r="A555" s="7" t="n">
        <v>46162</v>
      </c>
      <c r="B555" s="8" t="inlineStr">
        <is>
          <t>Karina Gonçalves Martins</t>
        </is>
      </c>
      <c r="C555" s="9" t="inlineStr">
        <is>
          <t>JR</t>
        </is>
      </c>
      <c r="D555" s="3" t="n">
        <v>21</v>
      </c>
      <c r="E555" s="3" t="n">
        <v>20</v>
      </c>
      <c r="F555" s="3" t="n">
        <v>14.07</v>
      </c>
      <c r="G555" s="3" t="n">
        <v>0</v>
      </c>
      <c r="H555" s="3" t="n">
        <v>0</v>
      </c>
      <c r="I555" s="3">
        <f>E555+G555+H555</f>
        <v/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/>
      </c>
      <c r="K555" s="3">
        <f>I555-J555</f>
        <v/>
      </c>
      <c r="L555" s="3">
        <f>IF(K555&lt;-5,"CRÍTICO",IF(K555&lt;0,"ATENÇÃO",IF(K555&lt;=5,"OPORTUNO","MUITO BOM")))</f>
        <v/>
      </c>
      <c r="M555" s="9" t="n">
        <v>20</v>
      </c>
      <c r="N555" s="9" t="n">
        <v>97.01000000000001</v>
      </c>
      <c r="O555" s="9" t="n">
        <v>13.96103896103896</v>
      </c>
    </row>
    <row r="556" hidden="1">
      <c r="A556" s="7" t="n">
        <v>46162</v>
      </c>
      <c r="B556" s="8" t="inlineStr">
        <is>
          <t>Kerollen Cristielly de Jesus Siqueira</t>
        </is>
      </c>
      <c r="C556" s="9" t="inlineStr">
        <is>
          <t>Técnico III</t>
        </is>
      </c>
      <c r="D556" s="3" t="n">
        <v>17</v>
      </c>
      <c r="E556" s="3" t="n">
        <v>16</v>
      </c>
      <c r="F556" s="3" t="n">
        <v>14.11</v>
      </c>
      <c r="G556" s="3" t="n">
        <v>1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IF(K556&lt;-5,"CRÍTICO",IF(K556&lt;0,"ATENÇÃO",IF(K556&lt;=5,"OPORTUNO","MUITO BOM")))</f>
        <v/>
      </c>
      <c r="M556" s="9" t="n">
        <v>18</v>
      </c>
      <c r="N556" s="9" t="n">
        <v>95.52</v>
      </c>
      <c r="O556" s="9" t="n">
        <v>10.56105610561056</v>
      </c>
    </row>
    <row r="557" hidden="1">
      <c r="A557" s="7" t="n">
        <v>46162</v>
      </c>
      <c r="B557" s="8" t="inlineStr">
        <is>
          <t>Leandro de Souza Silva</t>
        </is>
      </c>
      <c r="C557" s="9" t="inlineStr">
        <is>
          <t>JR</t>
        </is>
      </c>
      <c r="D557" s="3" t="n">
        <v>11</v>
      </c>
      <c r="E557" s="3" t="n">
        <v>10</v>
      </c>
      <c r="F557" s="3" t="n">
        <v>17.02</v>
      </c>
      <c r="G557" s="3" t="n">
        <v>2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IF(K557&lt;-5,"CRÍTICO",IF(K557&lt;0,"ATENÇÃO",IF(K557&lt;=5,"OPORTUNO","MUITO BOM")))</f>
        <v/>
      </c>
      <c r="M557" s="9" t="n">
        <v>12</v>
      </c>
      <c r="N557" s="9" t="n">
        <v>100</v>
      </c>
      <c r="O557" s="9" t="n">
        <v>16.95906432748538</v>
      </c>
    </row>
    <row r="558" hidden="1">
      <c r="A558" s="7" t="n">
        <v>46162</v>
      </c>
      <c r="B558" s="8" t="inlineStr">
        <is>
          <t>Leandro Oliveira de Sousa</t>
        </is>
      </c>
      <c r="C558" s="9" t="inlineStr">
        <is>
          <t>Técnico III</t>
        </is>
      </c>
      <c r="D558" s="3" t="n">
        <v>34</v>
      </c>
      <c r="E558" s="3" t="n">
        <v>29</v>
      </c>
      <c r="F558" s="3" t="n">
        <v>7.53</v>
      </c>
      <c r="G558" s="3" t="n">
        <v>0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IF(K558&lt;-5,"CRÍTICO",IF(K558&lt;0,"ATENÇÃO",IF(K558&lt;=5,"OPORTUNO","MUITO BOM")))</f>
        <v/>
      </c>
      <c r="M558" s="9" t="n">
        <v>28</v>
      </c>
      <c r="N558" s="9" t="n">
        <v>100</v>
      </c>
      <c r="O558" s="9" t="n">
        <v>15.58441558441558</v>
      </c>
    </row>
    <row r="559" hidden="1">
      <c r="A559" s="7" t="n">
        <v>46162</v>
      </c>
      <c r="B559" s="8" t="inlineStr">
        <is>
          <t>Lizandra Gomes Duarte</t>
        </is>
      </c>
      <c r="C559" s="9" t="inlineStr">
        <is>
          <t>Técnico II</t>
        </is>
      </c>
      <c r="D559" s="3" t="n">
        <v>25</v>
      </c>
      <c r="E559" s="3" t="n">
        <v>23</v>
      </c>
      <c r="F559" s="3" t="n">
        <v>12.02</v>
      </c>
      <c r="G559" s="3" t="n">
        <v>2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IF(K559&lt;-5,"CRÍTICO",IF(K559&lt;0,"ATENÇÃO",IF(K559&lt;=5,"OPORTUNO","MUITO BOM")))</f>
        <v/>
      </c>
      <c r="M559" s="9" t="n">
        <v>19</v>
      </c>
      <c r="N559" s="9" t="n">
        <v>98.61</v>
      </c>
      <c r="O559" s="9" t="n">
        <v>16.86746987951807</v>
      </c>
    </row>
    <row r="560" hidden="1">
      <c r="A560" s="7" t="n">
        <v>46162</v>
      </c>
      <c r="B560" s="8" t="inlineStr">
        <is>
          <t>Lorena Dias de Araujo</t>
        </is>
      </c>
      <c r="C560" s="9" t="inlineStr">
        <is>
          <t>Técnico II</t>
        </is>
      </c>
      <c r="D560" s="3" t="n">
        <v>16</v>
      </c>
      <c r="E560" s="3" t="n">
        <v>13</v>
      </c>
      <c r="F560" s="3" t="n">
        <v>15.44</v>
      </c>
      <c r="G560" s="3" t="n">
        <v>0</v>
      </c>
      <c r="H560" s="3" t="n">
        <v>0</v>
      </c>
      <c r="I560" s="3">
        <f>E560+G560+H560</f>
        <v/>
      </c>
      <c r="J560" s="3">
        <f>ROUND(MIN(IF(C560="Técnico III",35,IF(C560="Técnico II",28,IF(C560="Técnico I",23,IF(C560="JR",20,IF(C560="Estágio",10,0))))),IF(C560="Técnico III",SUMIFS($D:$D,$A:$A,$A560,$B:$B,"&lt;&gt;Patrícia Karla de Sousa Araújo",$B:$B,"&lt;&gt;Lorena Dias de Araujo",$B:$B,"&lt;&gt;Lucas Luiz Romero")*(35/1083),IF(C560="Técnico II",SUMIFS($D:$D,$A:$A,$A560,$B:$B,"&lt;&gt;Patrícia Karla de Sousa Araújo",$B:$B,"&lt;&gt;Lorena Dias de Araujo",$B:$B,"&lt;&gt;Lucas Luiz Romero")*(28/1083),IF(C560="Técnico I",SUMIFS($D:$D,$A:$A,$A560,$B:$B,"&lt;&gt;Patrícia Karla de Sousa Araújo",$B:$B,"&lt;&gt;Lorena Dias de Araujo",$B:$B,"&lt;&gt;Lucas Luiz Romero")*(23/1083),IF(C560="JR",SUMIFS($D:$D,$A:$A,$A560,$B:$B,"&lt;&gt;Patrícia Karla de Sousa Araújo",$B:$B,"&lt;&gt;Lorena Dias de Araujo",$B:$B,"&lt;&gt;Lucas Luiz Romero")*(20/1083),IF(C560="Estágio",SUMIFS($D:$D,$A:$A,$A560,$B:$B,"&lt;&gt;Patrícia Karla de Sousa Araújo",$B:$B,"&lt;&gt;Lorena Dias de Araujo",$B:$B,"&lt;&gt;Lucas Luiz Romero")*(10/1083),0)))))),0)</f>
        <v/>
      </c>
      <c r="K560" s="3">
        <f>I560-J560</f>
        <v/>
      </c>
      <c r="L560" s="3">
        <f>IF(K560&lt;-5,"CRÍTICO",IF(K560&lt;0,"ATENÇÃO",IF(K560&lt;=5,"OPORTUNO","MUITO BOM")))</f>
        <v/>
      </c>
      <c r="M560" s="9" t="n">
        <v>8</v>
      </c>
      <c r="N560" s="9" t="n">
        <v>100</v>
      </c>
      <c r="O560" s="9" t="n">
        <v>20.82018927444795</v>
      </c>
    </row>
    <row r="561" hidden="1">
      <c r="A561" s="7" t="n">
        <v>46162</v>
      </c>
      <c r="B561" s="8" t="inlineStr">
        <is>
          <t>Lucas Luiz Romero</t>
        </is>
      </c>
      <c r="C561" s="9" t="inlineStr">
        <is>
          <t>Técnico III</t>
        </is>
      </c>
      <c r="D561" s="3" t="n">
        <v>26</v>
      </c>
      <c r="E561" s="3" t="n">
        <v>21</v>
      </c>
      <c r="F561" s="3" t="n">
        <v>9.25</v>
      </c>
      <c r="G561" s="3" t="n">
        <v>0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IF(K561&lt;-5,"CRÍTICO",IF(K561&lt;0,"ATENÇÃO",IF(K561&lt;=5,"OPORTUNO","MUITO BOM")))</f>
        <v/>
      </c>
      <c r="M561" s="9" t="n">
        <v>18</v>
      </c>
      <c r="N561" s="9" t="n">
        <v>100</v>
      </c>
      <c r="O561" s="9" t="n">
        <v>4.347826086956522</v>
      </c>
    </row>
    <row r="562" hidden="1">
      <c r="A562" s="7" t="n">
        <v>46162</v>
      </c>
      <c r="B562" s="8" t="inlineStr">
        <is>
          <t>Luiz Fernando de Carvalho Junior</t>
        </is>
      </c>
      <c r="C562" s="9" t="inlineStr">
        <is>
          <t>Técnico I</t>
        </is>
      </c>
      <c r="D562" s="3" t="n">
        <v>18</v>
      </c>
      <c r="E562" s="3" t="n">
        <v>17</v>
      </c>
      <c r="F562" s="3" t="n">
        <v>9.33</v>
      </c>
      <c r="G562" s="3" t="n">
        <v>1</v>
      </c>
      <c r="H562" s="3" t="n">
        <v>0</v>
      </c>
      <c r="I562" s="3">
        <f>E562+G562+H562</f>
        <v/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/>
      </c>
      <c r="K562" s="3">
        <f>I562-J562</f>
        <v/>
      </c>
      <c r="L562" s="3">
        <f>IF(K562&lt;-5,"CRÍTICO",IF(K562&lt;0,"ATENÇÃO",IF(K562&lt;=5,"OPORTUNO","MUITO BOM")))</f>
        <v/>
      </c>
      <c r="M562" s="9" t="n">
        <v>16</v>
      </c>
      <c r="N562" s="9" t="n">
        <v>93.26000000000001</v>
      </c>
      <c r="O562" s="9" t="n">
        <v>19.93957703927493</v>
      </c>
    </row>
    <row r="563" hidden="1">
      <c r="A563" s="7" t="n">
        <v>46162</v>
      </c>
      <c r="B563" s="8" t="inlineStr">
        <is>
          <t>Maria Eduarda Sousa Costa</t>
        </is>
      </c>
      <c r="C563" s="9" t="inlineStr">
        <is>
          <t>Estágio</t>
        </is>
      </c>
      <c r="D563" s="3" t="n">
        <v>15</v>
      </c>
      <c r="E563" s="3" t="n">
        <v>10</v>
      </c>
      <c r="F563" s="3" t="n">
        <v>6.49</v>
      </c>
      <c r="G563" s="3" t="n">
        <v>0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IF(K563&lt;-5,"CRÍTICO",IF(K563&lt;0,"ATENÇÃO",IF(K563&lt;=5,"OPORTUNO","MUITO BOM")))</f>
        <v/>
      </c>
      <c r="M563" s="9" t="n">
        <v>5</v>
      </c>
      <c r="N563" s="9" t="n">
        <v>100</v>
      </c>
      <c r="O563" s="9" t="n">
        <v>11.86440677966102</v>
      </c>
    </row>
    <row r="564" hidden="1">
      <c r="A564" s="7" t="n">
        <v>46162</v>
      </c>
      <c r="B564" s="8" t="inlineStr">
        <is>
          <t>Matheus Farias De Souza</t>
        </is>
      </c>
      <c r="C564" s="9" t="inlineStr">
        <is>
          <t>Técnico III</t>
        </is>
      </c>
      <c r="D564" s="3" t="n">
        <v>0</v>
      </c>
      <c r="E564" s="3" t="n">
        <v>0</v>
      </c>
      <c r="F564" s="3" t="n">
        <v>0</v>
      </c>
      <c r="G564" s="3" t="n">
        <v>0</v>
      </c>
      <c r="H564" s="3" t="n">
        <v>25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IF(K564&lt;-5,"CRÍTICO",IF(K564&lt;0,"ATENÇÃO",IF(K564&lt;=5,"OPORTUNO","MUITO BOM")))</f>
        <v/>
      </c>
      <c r="M564" s="9" t="n">
        <v>16</v>
      </c>
      <c r="N564" s="9" t="n">
        <v>98.28</v>
      </c>
      <c r="O564" s="9" t="n">
        <v>9.037900874635568</v>
      </c>
    </row>
    <row r="565" hidden="1">
      <c r="A565" s="7" t="n">
        <v>46162</v>
      </c>
      <c r="B565" s="8" t="inlineStr">
        <is>
          <t>Maysa Victoria Dias Moura</t>
        </is>
      </c>
      <c r="C565" s="9" t="inlineStr">
        <is>
          <t>Técnico III</t>
        </is>
      </c>
      <c r="D565" s="3" t="n">
        <v>27</v>
      </c>
      <c r="E565" s="3" t="n">
        <v>25</v>
      </c>
      <c r="F565" s="3" t="n">
        <v>9.01</v>
      </c>
      <c r="G565" s="3" t="n">
        <v>2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IF(K565&lt;-5,"CRÍTICO",IF(K565&lt;0,"ATENÇÃO",IF(K565&lt;=5,"OPORTUNO","MUITO BOM")))</f>
        <v/>
      </c>
      <c r="M565" s="9" t="n">
        <v>23</v>
      </c>
      <c r="N565" s="9" t="n">
        <v>97.22</v>
      </c>
      <c r="O565" s="9" t="n">
        <v>19.09547738693467</v>
      </c>
    </row>
    <row r="566" hidden="1">
      <c r="A566" s="7" t="n">
        <v>46162</v>
      </c>
      <c r="B566" s="8" t="inlineStr">
        <is>
          <t>Michelle G Santos</t>
        </is>
      </c>
      <c r="C566" s="9" t="inlineStr">
        <is>
          <t>Estágio</t>
        </is>
      </c>
      <c r="D566" s="3" t="n">
        <v>19</v>
      </c>
      <c r="E566" s="3" t="n">
        <v>17</v>
      </c>
      <c r="F566" s="3" t="n">
        <v>13.23</v>
      </c>
      <c r="G566" s="3" t="n">
        <v>0</v>
      </c>
      <c r="H566" s="3" t="n">
        <v>0</v>
      </c>
      <c r="I566" s="3">
        <f>E566+G566+H566</f>
        <v/>
      </c>
      <c r="J566" s="3">
        <f>ROUND(MIN(IF(C566="Técnico III",35,IF(C566="Técnico II",28,IF(C566="Técnico I",23,IF(C566="JR",20,IF(C566="Estágio",10,0))))),IF(C566="Técnico III",SUMIFS($D:$D,$A:$A,$A566,$B:$B,"&lt;&gt;Patrícia Karla de Sousa Araújo",$B:$B,"&lt;&gt;Lorena Dias de Araujo",$B:$B,"&lt;&gt;Lucas Luiz Romero")*(35/1083),IF(C566="Técnico II",SUMIFS($D:$D,$A:$A,$A566,$B:$B,"&lt;&gt;Patrícia Karla de Sousa Araújo",$B:$B,"&lt;&gt;Lorena Dias de Araujo",$B:$B,"&lt;&gt;Lucas Luiz Romero")*(28/1083),IF(C566="Técnico I",SUMIFS($D:$D,$A:$A,$A566,$B:$B,"&lt;&gt;Patrícia Karla de Sousa Araújo",$B:$B,"&lt;&gt;Lorena Dias de Araujo",$B:$B,"&lt;&gt;Lucas Luiz Romero")*(23/1083),IF(C566="JR",SUMIFS($D:$D,$A:$A,$A566,$B:$B,"&lt;&gt;Patrícia Karla de Sousa Araújo",$B:$B,"&lt;&gt;Lorena Dias de Araujo",$B:$B,"&lt;&gt;Lucas Luiz Romero")*(20/1083),IF(C566="Estágio",SUMIFS($D:$D,$A:$A,$A566,$B:$B,"&lt;&gt;Patrícia Karla de Sousa Araújo",$B:$B,"&lt;&gt;Lorena Dias de Araujo",$B:$B,"&lt;&gt;Lucas Luiz Romero")*(10/1083),0)))))),0)</f>
        <v/>
      </c>
      <c r="K566" s="3">
        <f>I566-J566</f>
        <v/>
      </c>
      <c r="L566" s="3">
        <f>IF(K566&lt;-5,"CRÍTICO",IF(K566&lt;0,"ATENÇÃO",IF(K566&lt;=5,"OPORTUNO","MUITO BOM")))</f>
        <v/>
      </c>
      <c r="M566" s="9" t="n">
        <v>14</v>
      </c>
      <c r="N566" s="9" t="n">
        <v>100</v>
      </c>
      <c r="O566" s="9" t="n">
        <v>16.8141592920354</v>
      </c>
    </row>
    <row r="567" hidden="1">
      <c r="A567" s="7" t="n">
        <v>46162</v>
      </c>
      <c r="B567" s="8" t="inlineStr">
        <is>
          <t>Milena Sales</t>
        </is>
      </c>
      <c r="C567" s="9" t="inlineStr">
        <is>
          <t>JR</t>
        </is>
      </c>
      <c r="D567" s="3" t="n">
        <v>25</v>
      </c>
      <c r="E567" s="3" t="n">
        <v>20</v>
      </c>
      <c r="F567" s="3" t="n">
        <v>9.380000000000001</v>
      </c>
      <c r="G567" s="3" t="n">
        <v>1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IF(K567&lt;-5,"CRÍTICO",IF(K567&lt;0,"ATENÇÃO",IF(K567&lt;=5,"OPORTUNO","MUITO BOM")))</f>
        <v/>
      </c>
      <c r="M567" s="9" t="n">
        <v>19</v>
      </c>
      <c r="N567" s="9" t="n">
        <v>98</v>
      </c>
      <c r="O567" s="9" t="n">
        <v>16.43835616438356</v>
      </c>
    </row>
    <row r="568" hidden="1">
      <c r="A568" s="7" t="n">
        <v>46162</v>
      </c>
      <c r="B568" s="8" t="inlineStr">
        <is>
          <t>Patrícia Karla de Sousa Araújo</t>
        </is>
      </c>
      <c r="C568" s="9" t="inlineStr">
        <is>
          <t>Técnico II</t>
        </is>
      </c>
      <c r="D568" s="3" t="n">
        <v>0</v>
      </c>
      <c r="E568" s="3" t="n">
        <v>0</v>
      </c>
      <c r="F568" s="3" t="n">
        <v>0</v>
      </c>
      <c r="G568" s="3" t="n">
        <v>0</v>
      </c>
      <c r="H568" s="3" t="n">
        <v>0</v>
      </c>
      <c r="I568" s="3" t="n">
        <v>0</v>
      </c>
      <c r="J568" s="3" t="n">
        <v>0</v>
      </c>
      <c r="K568" s="3" t="n">
        <v>0</v>
      </c>
      <c r="L568" s="3">
        <f>IF(K568&lt;-5,"CRÍTICO",IF(K568&lt;0,"ATENÇÃO",IF(K568&lt;=5,"OPORTUNO","MUITO BOM")))</f>
        <v/>
      </c>
      <c r="M568" s="9" t="n">
        <v>0</v>
      </c>
      <c r="N568" s="9" t="n">
        <v>100</v>
      </c>
      <c r="O568" s="9" t="n">
        <v>16.89497716894977</v>
      </c>
    </row>
    <row r="569" hidden="1">
      <c r="A569" s="7" t="n">
        <v>46162</v>
      </c>
      <c r="B569" s="8" t="inlineStr">
        <is>
          <t>Paulo Ricardo Santos</t>
        </is>
      </c>
      <c r="C569" s="9" t="inlineStr">
        <is>
          <t>JR</t>
        </is>
      </c>
      <c r="D569" s="3" t="n">
        <v>14</v>
      </c>
      <c r="E569" s="3" t="n">
        <v>14</v>
      </c>
      <c r="F569" s="3" t="n">
        <v>13.29</v>
      </c>
      <c r="G569" s="3" t="n">
        <v>0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IF(K569&lt;-5,"CRÍTICO",IF(K569&lt;0,"ATENÇÃO",IF(K569&lt;=5,"OPORTUNO","MUITO BOM")))</f>
        <v/>
      </c>
      <c r="M569" s="9" t="n">
        <v>11</v>
      </c>
      <c r="N569" s="9" t="n">
        <v>100</v>
      </c>
      <c r="O569" s="9" t="n">
        <v>19.13875598086124</v>
      </c>
    </row>
    <row r="570" hidden="1">
      <c r="A570" s="7" t="n">
        <v>46162</v>
      </c>
      <c r="B570" s="8" t="inlineStr">
        <is>
          <t>Pedro Luiz Mota Sousa</t>
        </is>
      </c>
      <c r="C570" s="9" t="inlineStr">
        <is>
          <t>JR</t>
        </is>
      </c>
      <c r="D570" s="3" t="n">
        <v>15</v>
      </c>
      <c r="E570" s="3" t="n">
        <v>13</v>
      </c>
      <c r="F570" s="3" t="n">
        <v>11.01</v>
      </c>
      <c r="G570" s="3" t="n">
        <v>2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IF(K570&lt;-5,"CRÍTICO",IF(K570&lt;0,"ATENÇÃO",IF(K570&lt;=5,"OPORTUNO","MUITO BOM")))</f>
        <v/>
      </c>
      <c r="M570" s="9" t="n">
        <v>15</v>
      </c>
      <c r="N570" s="9" t="n">
        <v>100</v>
      </c>
      <c r="O570" s="9" t="n">
        <v>15.02145922746781</v>
      </c>
    </row>
    <row r="571" hidden="1">
      <c r="A571" s="7" t="n">
        <v>46162</v>
      </c>
      <c r="B571" s="8" t="inlineStr">
        <is>
          <t>Quirino Diogo Leite Torres</t>
        </is>
      </c>
      <c r="C571" s="9" t="inlineStr">
        <is>
          <t>Estágio</t>
        </is>
      </c>
      <c r="D571" s="3" t="n">
        <v>18</v>
      </c>
      <c r="E571" s="3" t="n">
        <v>15</v>
      </c>
      <c r="F571" s="3" t="n">
        <v>15.22</v>
      </c>
      <c r="G571" s="3" t="n">
        <v>0</v>
      </c>
      <c r="H571" s="3" t="n">
        <v>0</v>
      </c>
      <c r="I571" s="3">
        <f>E571+G571+H571</f>
        <v/>
      </c>
      <c r="J571" s="3">
        <f>ROUND(MIN(IF(C571="Técnico III",35,IF(C571="Técnico II",28,IF(C571="Técnico I",23,IF(C571="JR",20,IF(C571="Estágio",10,0))))),IF(C571="Técnico III",SUMIFS($D:$D,$A:$A,$A571,$B:$B,"&lt;&gt;Patrícia Karla de Sousa Araújo",$B:$B,"&lt;&gt;Lorena Dias de Araujo",$B:$B,"&lt;&gt;Lucas Luiz Romero")*(35/1083),IF(C571="Técnico II",SUMIFS($D:$D,$A:$A,$A571,$B:$B,"&lt;&gt;Patrícia Karla de Sousa Araújo",$B:$B,"&lt;&gt;Lorena Dias de Araujo",$B:$B,"&lt;&gt;Lucas Luiz Romero")*(28/1083),IF(C571="Técnico I",SUMIFS($D:$D,$A:$A,$A571,$B:$B,"&lt;&gt;Patrícia Karla de Sousa Araújo",$B:$B,"&lt;&gt;Lorena Dias de Araujo",$B:$B,"&lt;&gt;Lucas Luiz Romero")*(23/1083),IF(C571="JR",SUMIFS($D:$D,$A:$A,$A571,$B:$B,"&lt;&gt;Patrícia Karla de Sousa Araújo",$B:$B,"&lt;&gt;Lorena Dias de Araujo",$B:$B,"&lt;&gt;Lucas Luiz Romero")*(20/1083),IF(C571="Estágio",SUMIFS($D:$D,$A:$A,$A571,$B:$B,"&lt;&gt;Patrícia Karla de Sousa Araújo",$B:$B,"&lt;&gt;Lorena Dias de Araujo",$B:$B,"&lt;&gt;Lucas Luiz Romero")*(10/1083),0)))))),0)</f>
        <v/>
      </c>
      <c r="K571" s="3">
        <f>I571-J571</f>
        <v/>
      </c>
      <c r="L571" s="3">
        <f>IF(K571&lt;-5,"CRÍTICO",IF(K571&lt;0,"ATENÇÃO",IF(K571&lt;=5,"OPORTUNO","MUITO BOM")))</f>
        <v/>
      </c>
      <c r="M571" s="9" t="n">
        <v>13</v>
      </c>
      <c r="N571" s="9" t="n">
        <v>98.11</v>
      </c>
      <c r="O571" s="9" t="n">
        <v>20.40816326530612</v>
      </c>
    </row>
    <row r="572" hidden="1">
      <c r="A572" s="7" t="n">
        <v>46162</v>
      </c>
      <c r="B572" s="8" t="inlineStr">
        <is>
          <t>Raane Batista Matos</t>
        </is>
      </c>
      <c r="C572" s="9" t="inlineStr">
        <is>
          <t>Técnico I</t>
        </is>
      </c>
      <c r="D572" s="3" t="n">
        <v>25</v>
      </c>
      <c r="E572" s="3" t="n">
        <v>24</v>
      </c>
      <c r="F572" s="3" t="n">
        <v>10.26</v>
      </c>
      <c r="G572" s="3" t="n">
        <v>1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IF(K572&lt;-5,"CRÍTICO",IF(K572&lt;0,"ATENÇÃO",IF(K572&lt;=5,"OPORTUNO","MUITO BOM")))</f>
        <v/>
      </c>
      <c r="M572" s="9" t="n">
        <v>18</v>
      </c>
      <c r="N572" s="9" t="n">
        <v>97.56</v>
      </c>
      <c r="O572" s="9" t="n">
        <v>19.28783382789317</v>
      </c>
    </row>
    <row r="573" hidden="1">
      <c r="A573" s="7" t="n">
        <v>46162</v>
      </c>
      <c r="B573" s="8" t="inlineStr">
        <is>
          <t>Rafael Gomes de Morais</t>
        </is>
      </c>
      <c r="C573" s="9" t="inlineStr">
        <is>
          <t>Técnico III</t>
        </is>
      </c>
      <c r="D573" s="3" t="n">
        <v>37</v>
      </c>
      <c r="E573" s="3" t="n">
        <v>33</v>
      </c>
      <c r="F573" s="3" t="n">
        <v>9.26</v>
      </c>
      <c r="G573" s="3" t="n">
        <v>0</v>
      </c>
      <c r="H573" s="3" t="n">
        <v>0</v>
      </c>
      <c r="I573" s="3">
        <f>E573+G573+H573</f>
        <v/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/>
      </c>
      <c r="K573" s="3">
        <f>I573-J573</f>
        <v/>
      </c>
      <c r="L573" s="3">
        <f>IF(K573&lt;-5,"CRÍTICO",IF(K573&lt;0,"ATENÇÃO",IF(K573&lt;=5,"OPORTUNO","MUITO BOM")))</f>
        <v/>
      </c>
      <c r="M573" s="9" t="n">
        <v>28</v>
      </c>
      <c r="N573" s="9" t="n">
        <v>99.29000000000001</v>
      </c>
      <c r="O573" s="9" t="n">
        <v>22.49443207126949</v>
      </c>
    </row>
    <row r="574" hidden="1">
      <c r="A574" s="7" t="n">
        <v>46162</v>
      </c>
      <c r="B574" s="8" t="inlineStr">
        <is>
          <t>Sara Maria Monteiro Lopes</t>
        </is>
      </c>
      <c r="C574" s="9" t="inlineStr">
        <is>
          <t>Técnico I</t>
        </is>
      </c>
      <c r="D574" s="3" t="n">
        <v>17</v>
      </c>
      <c r="E574" s="3" t="n">
        <v>17</v>
      </c>
      <c r="F574" s="3" t="n">
        <v>20.44</v>
      </c>
      <c r="G574" s="3" t="n">
        <v>1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IF(K574&lt;-5,"CRÍTICO",IF(K574&lt;0,"ATENÇÃO",IF(K574&lt;=5,"OPORTUNO","MUITO BOM")))</f>
        <v/>
      </c>
      <c r="M574" s="9" t="n">
        <v>14</v>
      </c>
      <c r="N574" s="9" t="n">
        <v>100</v>
      </c>
      <c r="O574" s="9" t="n">
        <v>16.97247706422019</v>
      </c>
    </row>
    <row r="575" hidden="1">
      <c r="A575" s="7" t="n">
        <v>46162</v>
      </c>
      <c r="B575" s="8" t="inlineStr">
        <is>
          <t>Sarah Steffanie de Lima Borges</t>
        </is>
      </c>
      <c r="C575" s="9" t="inlineStr">
        <is>
          <t>Técnico III</t>
        </is>
      </c>
      <c r="D575" s="3" t="n">
        <v>25</v>
      </c>
      <c r="E575" s="3" t="n">
        <v>23</v>
      </c>
      <c r="F575" s="3" t="n">
        <v>7.27</v>
      </c>
      <c r="G575" s="3" t="n">
        <v>1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IF(K575&lt;-5,"CRÍTICO",IF(K575&lt;0,"ATENÇÃO",IF(K575&lt;=5,"OPORTUNO","MUITO BOM")))</f>
        <v/>
      </c>
      <c r="M575" s="9" t="n">
        <v>21</v>
      </c>
      <c r="N575" s="9" t="n">
        <v>97.33</v>
      </c>
      <c r="O575" s="9" t="n">
        <v>15.80547112462006</v>
      </c>
    </row>
    <row r="576" hidden="1">
      <c r="A576" s="5" t="n">
        <v>46163</v>
      </c>
      <c r="B576" s="6" t="inlineStr">
        <is>
          <t>Alisson de Freitas Silva</t>
        </is>
      </c>
      <c r="C576" s="3" t="inlineStr">
        <is>
          <t>Técnico II</t>
        </is>
      </c>
      <c r="D576" s="3" t="n">
        <v>31</v>
      </c>
      <c r="E576" s="3" t="n">
        <v>19</v>
      </c>
      <c r="F576" s="3" t="n">
        <v>5.55</v>
      </c>
      <c r="G576" s="3" t="n">
        <v>1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17</v>
      </c>
      <c r="N576" s="3" t="n">
        <v>98.94</v>
      </c>
      <c r="O576" s="3" t="n">
        <v>19.61414790996785</v>
      </c>
    </row>
    <row r="577" hidden="1">
      <c r="A577" s="5" t="n">
        <v>46163</v>
      </c>
      <c r="B577" s="6" t="inlineStr">
        <is>
          <t>Amanda Moura Ferreira</t>
        </is>
      </c>
      <c r="C577" s="3" t="inlineStr">
        <is>
          <t>Técnico III</t>
        </is>
      </c>
      <c r="D577" s="3" t="n">
        <v>0</v>
      </c>
      <c r="E577" s="3" t="n">
        <v>0</v>
      </c>
      <c r="F577" s="3" t="n">
        <v>0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IF(K577&lt;-5,"CRÍTICO",IF(K577&lt;0,"ATENÇÃO",IF(K577&lt;=5,"OPORTUNO","MUITO BOM")))</f>
        <v/>
      </c>
      <c r="M577" s="3" t="n">
        <v>0</v>
      </c>
      <c r="N577" s="3" t="n">
        <v>100</v>
      </c>
      <c r="O577" s="3" t="n">
        <v>0</v>
      </c>
    </row>
    <row r="578" hidden="1">
      <c r="A578" s="5" t="n">
        <v>46163</v>
      </c>
      <c r="B578" s="6" t="inlineStr">
        <is>
          <t>Ana Karollyne Souza Faria</t>
        </is>
      </c>
      <c r="C578" s="3" t="inlineStr">
        <is>
          <t>Técnico I</t>
        </is>
      </c>
      <c r="D578" s="3" t="n">
        <v>24</v>
      </c>
      <c r="E578" s="3" t="n">
        <v>23</v>
      </c>
      <c r="F578" s="3" t="n">
        <v>10.27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21</v>
      </c>
      <c r="N578" s="3" t="n">
        <v>95.38</v>
      </c>
      <c r="O578" s="3" t="n">
        <v>21.5962441314554</v>
      </c>
    </row>
    <row r="579" hidden="1">
      <c r="A579" s="5" t="n">
        <v>46163</v>
      </c>
      <c r="B579" s="6" t="inlineStr">
        <is>
          <t>Ana Paula Da Luz Silva Aleixo</t>
        </is>
      </c>
      <c r="C579" s="3" t="inlineStr">
        <is>
          <t>Técnico III</t>
        </is>
      </c>
      <c r="D579" s="3" t="n">
        <v>17</v>
      </c>
      <c r="E579" s="3" t="n">
        <v>15</v>
      </c>
      <c r="F579" s="3" t="n">
        <v>20.24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IF(K579&lt;-5,"CRÍTICO",IF(K579&lt;0,"ATENÇÃO",IF(K579&lt;=5,"OPORTUNO","MUITO BOM")))</f>
        <v/>
      </c>
      <c r="M579" s="3" t="n">
        <v>13</v>
      </c>
      <c r="N579" s="3" t="n">
        <v>96.34</v>
      </c>
      <c r="O579" s="3" t="n">
        <v>17.57188498402556</v>
      </c>
    </row>
    <row r="580" hidden="1">
      <c r="A580" s="5" t="n">
        <v>46163</v>
      </c>
      <c r="B580" s="6" t="inlineStr">
        <is>
          <t>Anna Luiza Rezende Tavares</t>
        </is>
      </c>
      <c r="C580" s="3" t="inlineStr">
        <is>
          <t>JR</t>
        </is>
      </c>
      <c r="D580" s="3" t="n">
        <v>24</v>
      </c>
      <c r="E580" s="3" t="n">
        <v>22</v>
      </c>
      <c r="F580" s="3" t="n">
        <v>9.57</v>
      </c>
      <c r="G580" s="3" t="n">
        <v>0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20</v>
      </c>
      <c r="N580" s="3" t="n">
        <v>99.11</v>
      </c>
      <c r="O580" s="3" t="n">
        <v>17.72151898734177</v>
      </c>
    </row>
    <row r="581" hidden="1">
      <c r="A581" s="5" t="n">
        <v>46163</v>
      </c>
      <c r="B581" s="6" t="inlineStr">
        <is>
          <t>Brenda de Menezes Silva</t>
        </is>
      </c>
      <c r="C581" s="3" t="inlineStr">
        <is>
          <t>Técnico II</t>
        </is>
      </c>
      <c r="D581" s="3" t="n">
        <v>31</v>
      </c>
      <c r="E581" s="3" t="n">
        <v>27</v>
      </c>
      <c r="F581" s="3" t="n">
        <v>6.15</v>
      </c>
      <c r="G581" s="3" t="n">
        <v>4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28</v>
      </c>
      <c r="N581" s="3" t="n">
        <v>99.13</v>
      </c>
      <c r="O581" s="3" t="n">
        <v>14.7239263803681</v>
      </c>
    </row>
    <row r="582" hidden="1">
      <c r="A582" s="5" t="n">
        <v>46163</v>
      </c>
      <c r="B582" s="6" t="inlineStr">
        <is>
          <t>Carlos Mateus Cassimiro Nunes</t>
        </is>
      </c>
      <c r="C582" s="3" t="inlineStr">
        <is>
          <t>Técnico II</t>
        </is>
      </c>
      <c r="D582" s="3" t="n">
        <v>24</v>
      </c>
      <c r="E582" s="3" t="n">
        <v>22</v>
      </c>
      <c r="F582" s="3" t="n">
        <v>11.35</v>
      </c>
      <c r="G582" s="3" t="n">
        <v>1</v>
      </c>
      <c r="H582" s="3" t="n">
        <v>0</v>
      </c>
      <c r="I582" s="3">
        <f>E582+G582+H582</f>
        <v/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21</v>
      </c>
      <c r="N582" s="3" t="n">
        <v>98.8</v>
      </c>
      <c r="O582" s="3" t="n">
        <v>16.89750692520776</v>
      </c>
    </row>
    <row r="583" hidden="1">
      <c r="A583" s="5" t="n">
        <v>46163</v>
      </c>
      <c r="B583" s="6" t="inlineStr">
        <is>
          <t>Claudio de Sousa Velasco Filho</t>
        </is>
      </c>
      <c r="C583" s="3" t="inlineStr">
        <is>
          <t>Estágio</t>
        </is>
      </c>
      <c r="D583" s="3" t="n">
        <v>7</v>
      </c>
      <c r="E583" s="3" t="n">
        <v>6</v>
      </c>
      <c r="F583" s="3" t="n">
        <v>16.34</v>
      </c>
      <c r="G583" s="3" t="n">
        <v>0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IF(K583&lt;-5,"CRÍTICO",IF(K583&lt;0,"ATENÇÃO",IF(K583&lt;=5,"OPORTUNO","MUITO BOM")))</f>
        <v/>
      </c>
      <c r="M583" s="3" t="n">
        <v>4</v>
      </c>
      <c r="N583" s="3" t="n">
        <v>96.43000000000001</v>
      </c>
      <c r="O583" s="3" t="n">
        <v>20</v>
      </c>
    </row>
    <row r="584" hidden="1">
      <c r="A584" s="5" t="n">
        <v>46163</v>
      </c>
      <c r="B584" s="6" t="inlineStr">
        <is>
          <t>Clessiane Pereira dos Santos</t>
        </is>
      </c>
      <c r="C584" s="3" t="inlineStr">
        <is>
          <t>Técnico I</t>
        </is>
      </c>
      <c r="D584" s="3" t="n">
        <v>23</v>
      </c>
      <c r="E584" s="3" t="n">
        <v>22</v>
      </c>
      <c r="F584" s="3" t="n">
        <v>17.08</v>
      </c>
      <c r="G584" s="3" t="n">
        <v>0</v>
      </c>
      <c r="H584" s="3" t="n">
        <v>0</v>
      </c>
      <c r="I584" s="3">
        <f>E584+G584+H584</f>
        <v/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17</v>
      </c>
      <c r="N584" s="3" t="n">
        <v>96.88</v>
      </c>
      <c r="O584" s="3" t="n">
        <v>19.52662721893491</v>
      </c>
    </row>
    <row r="585" hidden="1">
      <c r="A585" s="5" t="n">
        <v>46163</v>
      </c>
      <c r="B585" s="6" t="inlineStr">
        <is>
          <t>Cristiane Ramos da Silva Rocha</t>
        </is>
      </c>
      <c r="C585" s="3" t="inlineStr">
        <is>
          <t>Técnico III</t>
        </is>
      </c>
      <c r="D585" s="3" t="n">
        <v>22</v>
      </c>
      <c r="E585" s="3" t="n">
        <v>22</v>
      </c>
      <c r="F585" s="3" t="n">
        <v>8.220000000000001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20</v>
      </c>
      <c r="N585" s="3" t="n">
        <v>91.84999999999999</v>
      </c>
      <c r="O585" s="3" t="n">
        <v>20.87155963302752</v>
      </c>
    </row>
    <row r="586" hidden="1">
      <c r="A586" s="5" t="n">
        <v>46163</v>
      </c>
      <c r="B586" s="6" t="inlineStr">
        <is>
          <t>Damyllis Lorraine de Oliveira Gonçalves</t>
        </is>
      </c>
      <c r="C586" s="3" t="inlineStr">
        <is>
          <t>Técnico II</t>
        </is>
      </c>
      <c r="D586" s="3" t="n">
        <v>0</v>
      </c>
      <c r="E586" s="3" t="n">
        <v>0</v>
      </c>
      <c r="F586" s="3" t="n">
        <v>0</v>
      </c>
      <c r="G586" s="3" t="n">
        <v>0</v>
      </c>
      <c r="H586" s="3" t="n">
        <v>0</v>
      </c>
      <c r="I586" s="3" t="n">
        <v>0</v>
      </c>
      <c r="J586" s="3" t="n">
        <v>0</v>
      </c>
      <c r="K586" s="3" t="n">
        <v>0</v>
      </c>
      <c r="L586" s="3">
        <f>IF(K586&lt;-5,"CRÍTICO",IF(K586&lt;0,"ATENÇÃO",IF(K586&lt;=5,"OPORTUNO","MUITO BOM")))</f>
        <v/>
      </c>
      <c r="M586" s="3" t="n">
        <v>0</v>
      </c>
      <c r="N586" s="3" t="n">
        <v>98.63</v>
      </c>
      <c r="O586" s="3" t="n">
        <v>18.75</v>
      </c>
    </row>
    <row r="587" hidden="1">
      <c r="A587" s="5" t="n">
        <v>46163</v>
      </c>
      <c r="B587" s="6" t="inlineStr">
        <is>
          <t>Daniel Gomes da Silva</t>
        </is>
      </c>
      <c r="C587" s="3" t="inlineStr">
        <is>
          <t>Técnico I</t>
        </is>
      </c>
      <c r="D587" s="3" t="n">
        <v>16</v>
      </c>
      <c r="E587" s="3" t="n">
        <v>16</v>
      </c>
      <c r="F587" s="3" t="n">
        <v>26.5</v>
      </c>
      <c r="G587" s="3" t="n">
        <v>0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14</v>
      </c>
      <c r="N587" s="3" t="n">
        <v>100</v>
      </c>
      <c r="O587" s="3" t="n">
        <v>18.14516129032258</v>
      </c>
    </row>
    <row r="588" hidden="1">
      <c r="A588" s="5" t="n">
        <v>46163</v>
      </c>
      <c r="B588" s="6" t="inlineStr">
        <is>
          <t>Davylla Rodrigues Freitas Silva</t>
        </is>
      </c>
      <c r="C588" s="3" t="inlineStr">
        <is>
          <t>Técnico III</t>
        </is>
      </c>
      <c r="D588" s="3" t="n">
        <v>0</v>
      </c>
      <c r="E588" s="3" t="n">
        <v>0</v>
      </c>
      <c r="F588" s="3" t="n">
        <v>0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IF(K588&lt;-5,"CRÍTICO",IF(K588&lt;0,"ATENÇÃO",IF(K588&lt;=5,"OPORTUNO","MUITO BOM")))</f>
        <v/>
      </c>
      <c r="M588" s="3" t="n">
        <v>0</v>
      </c>
      <c r="N588" s="3" t="n">
        <v>99.06</v>
      </c>
      <c r="O588" s="3" t="n">
        <v>22.95719844357977</v>
      </c>
    </row>
    <row r="589" hidden="1">
      <c r="A589" s="5" t="n">
        <v>46163</v>
      </c>
      <c r="B589" s="6" t="inlineStr">
        <is>
          <t>Emilly Caylane Costa</t>
        </is>
      </c>
      <c r="C589" s="3" t="inlineStr">
        <is>
          <t>Estágio</t>
        </is>
      </c>
      <c r="D589" s="3" t="n">
        <v>9</v>
      </c>
      <c r="E589" s="3" t="n">
        <v>8</v>
      </c>
      <c r="F589" s="3" t="n">
        <v>23.57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IF(K589&lt;-5,"CRÍTICO",IF(K589&lt;0,"ATENÇÃO",IF(K589&lt;=5,"OPORTUNO","MUITO BOM")))</f>
        <v/>
      </c>
      <c r="M589" s="3" t="n">
        <v>6</v>
      </c>
      <c r="N589" s="3" t="n">
        <v>100</v>
      </c>
      <c r="O589" s="3" t="n">
        <v>29.03225806451613</v>
      </c>
    </row>
    <row r="590" hidden="1">
      <c r="A590" s="5" t="n">
        <v>46163</v>
      </c>
      <c r="B590" s="6" t="inlineStr">
        <is>
          <t>Emilly Kamilly Medeiros Miranda</t>
        </is>
      </c>
      <c r="C590" s="3" t="inlineStr">
        <is>
          <t>Técnico II</t>
        </is>
      </c>
      <c r="D590" s="3" t="n">
        <v>28</v>
      </c>
      <c r="E590" s="3" t="n">
        <v>23</v>
      </c>
      <c r="F590" s="3" t="n">
        <v>5.42</v>
      </c>
      <c r="G590" s="3" t="n">
        <v>3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IF(K590&lt;-5,"CRÍTICO",IF(K590&lt;0,"ATENÇÃO",IF(K590&lt;=5,"OPORTUNO","MUITO BOM")))</f>
        <v/>
      </c>
      <c r="M590" s="3" t="n">
        <v>25</v>
      </c>
      <c r="N590" s="3" t="n">
        <v>100</v>
      </c>
      <c r="O590" s="3" t="n">
        <v>13.8121546961326</v>
      </c>
    </row>
    <row r="591" hidden="1">
      <c r="A591" s="5" t="n">
        <v>46163</v>
      </c>
      <c r="B591" s="6" t="inlineStr">
        <is>
          <t>Francielson de Oliveira</t>
        </is>
      </c>
      <c r="C591" s="3" t="inlineStr">
        <is>
          <t>Técnico III</t>
        </is>
      </c>
      <c r="D591" s="3" t="n">
        <v>0</v>
      </c>
      <c r="E591" s="3" t="n">
        <v>0</v>
      </c>
      <c r="F591" s="3" t="n">
        <v>0</v>
      </c>
      <c r="G591" s="3" t="n">
        <v>0</v>
      </c>
      <c r="H591" s="3" t="n">
        <v>0</v>
      </c>
      <c r="I591" s="3" t="n">
        <v>0</v>
      </c>
      <c r="J591" s="3" t="n">
        <v>0</v>
      </c>
      <c r="K591" s="3" t="n">
        <v>0</v>
      </c>
      <c r="L591" s="3">
        <f>IF(K591&lt;-5,"CRÍTICO",IF(K591&lt;0,"ATENÇÃO",IF(K591&lt;=5,"OPORTUNO","MUITO BOM")))</f>
        <v/>
      </c>
      <c r="M591" s="3" t="n">
        <v>0</v>
      </c>
      <c r="N591" s="3" t="n">
        <v>100</v>
      </c>
      <c r="O591" s="3" t="n">
        <v>9.523809523809524</v>
      </c>
    </row>
    <row r="592" hidden="1">
      <c r="A592" s="5" t="n">
        <v>46163</v>
      </c>
      <c r="B592" s="6" t="inlineStr">
        <is>
          <t>Francilene Ferreira de Jesus</t>
        </is>
      </c>
      <c r="C592" s="3" t="inlineStr">
        <is>
          <t>Técnico II</t>
        </is>
      </c>
      <c r="D592" s="3" t="n">
        <v>0</v>
      </c>
      <c r="E592" s="3" t="n">
        <v>0</v>
      </c>
      <c r="F592" s="3" t="n">
        <v>0</v>
      </c>
      <c r="G592" s="3" t="n">
        <v>0</v>
      </c>
      <c r="H592" s="3" t="n">
        <v>0</v>
      </c>
      <c r="I592" s="3" t="n">
        <v>0</v>
      </c>
      <c r="J592" s="3" t="n">
        <v>0</v>
      </c>
      <c r="K592" s="3" t="n">
        <v>0</v>
      </c>
      <c r="L592" s="3">
        <f>IF(K592&lt;-5,"CRÍTICO",IF(K592&lt;0,"ATENÇÃO",IF(K592&lt;=5,"OPORTUNO","MUITO BOM")))</f>
        <v/>
      </c>
      <c r="M592" s="3" t="n">
        <v>0</v>
      </c>
      <c r="N592" s="3" t="n">
        <v>100</v>
      </c>
      <c r="O592" s="3" t="n">
        <v>17.24137931034483</v>
      </c>
    </row>
    <row r="593">
      <c r="A593" s="5" t="n">
        <v>46163</v>
      </c>
      <c r="B593" s="6" t="inlineStr">
        <is>
          <t>Gabriel Alves</t>
        </is>
      </c>
      <c r="C593" s="3" t="inlineStr">
        <is>
          <t>Estágio</t>
        </is>
      </c>
      <c r="D593" s="3" t="n">
        <v>0</v>
      </c>
      <c r="E593" s="3" t="n">
        <v>0</v>
      </c>
      <c r="F593" s="3" t="n">
        <v>0</v>
      </c>
      <c r="G593" s="3" t="n">
        <v>0</v>
      </c>
      <c r="H593" s="3" t="n">
        <v>0</v>
      </c>
      <c r="I593" s="3" t="n">
        <v>0</v>
      </c>
      <c r="J593" s="3" t="n">
        <v>0</v>
      </c>
      <c r="K593" s="3" t="n">
        <v>0</v>
      </c>
      <c r="L593" s="3">
        <f>IF(K593&lt;-5,"CRÍTICO",IF(K593&lt;0,"ATENÇÃO",IF(K593&lt;=5,"OPORTUNO","MUITO BOM")))</f>
        <v/>
      </c>
      <c r="M593" s="3" t="n">
        <v>0</v>
      </c>
      <c r="N593" s="3" t="n">
        <v>100</v>
      </c>
      <c r="O593" s="3" t="n">
        <v>14.28571428571428</v>
      </c>
    </row>
    <row r="594">
      <c r="A594" s="5" t="n">
        <v>46163</v>
      </c>
      <c r="B594" s="6" t="inlineStr">
        <is>
          <t>Gabriel Gomes de Andrade</t>
        </is>
      </c>
      <c r="C594" s="3" t="inlineStr">
        <is>
          <t>Técnico I</t>
        </is>
      </c>
      <c r="D594" s="3" t="n">
        <v>16</v>
      </c>
      <c r="E594" s="3" t="n">
        <v>15</v>
      </c>
      <c r="F594" s="3" t="n">
        <v>25.07</v>
      </c>
      <c r="G594" s="3" t="n">
        <v>3</v>
      </c>
      <c r="H594" s="3" t="n">
        <v>0</v>
      </c>
      <c r="I594" s="3">
        <f>E594+G594+H594</f>
        <v/>
      </c>
      <c r="J594" s="3">
        <f>ROUND(MIN(IF(C594="Técnico III",35,IF(C594="Técnico II",28,IF(C594="Técnico I",23,IF(C594="JR",20,IF(C594="Estágio",10,0))))),IF(C594="Técnico III",SUMIFS($D:$D,$A:$A,$A594,$B:$B,"&lt;&gt;Patrícia Karla de Sousa Araújo",$B:$B,"&lt;&gt;Lorena Dias de Araujo",$B:$B,"&lt;&gt;Lucas Luiz Romero")*(35/1083),IF(C594="Técnico II",SUMIFS($D:$D,$A:$A,$A594,$B:$B,"&lt;&gt;Patrícia Karla de Sousa Araújo",$B:$B,"&lt;&gt;Lorena Dias de Araujo",$B:$B,"&lt;&gt;Lucas Luiz Romero")*(28/1083),IF(C594="Técnico I",SUMIFS($D:$D,$A:$A,$A594,$B:$B,"&lt;&gt;Patrícia Karla de Sousa Araújo",$B:$B,"&lt;&gt;Lorena Dias de Araujo",$B:$B,"&lt;&gt;Lucas Luiz Romero")*(23/1083),IF(C594="JR",SUMIFS($D:$D,$A:$A,$A594,$B:$B,"&lt;&gt;Patrícia Karla de Sousa Araújo",$B:$B,"&lt;&gt;Lorena Dias de Araujo",$B:$B,"&lt;&gt;Lucas Luiz Romero")*(20/1083),IF(C594="Estágio",SUMIFS($D:$D,$A:$A,$A594,$B:$B,"&lt;&gt;Patrícia Karla de Sousa Araújo",$B:$B,"&lt;&gt;Lorena Dias de Araujo",$B:$B,"&lt;&gt;Lucas Luiz Romero")*(10/1083),0)))))),0)</f>
        <v/>
      </c>
      <c r="K594" s="3">
        <f>I594-J594</f>
        <v/>
      </c>
      <c r="L594" s="3">
        <f>IF(K594&lt;-5,"CRÍTICO",IF(K594&lt;0,"ATENÇÃO",IF(K594&lt;=5,"OPORTUNO","MUITO BOM")))</f>
        <v/>
      </c>
      <c r="M594" s="3" t="n">
        <v>15</v>
      </c>
      <c r="N594" s="3" t="n">
        <v>98.8</v>
      </c>
      <c r="O594" s="3" t="n">
        <v>15.41353383458646</v>
      </c>
    </row>
    <row r="595" hidden="1">
      <c r="A595" s="5" t="n">
        <v>46163</v>
      </c>
      <c r="B595" s="6" t="inlineStr">
        <is>
          <t>Isabella Borges de Oliveira</t>
        </is>
      </c>
      <c r="C595" s="3" t="inlineStr">
        <is>
          <t>Técnico II</t>
        </is>
      </c>
      <c r="D595" s="3" t="n">
        <v>22</v>
      </c>
      <c r="E595" s="3" t="n">
        <v>21</v>
      </c>
      <c r="F595" s="3" t="n">
        <v>19.05</v>
      </c>
      <c r="G595" s="3" t="n">
        <v>1</v>
      </c>
      <c r="H595" s="3" t="n">
        <v>0</v>
      </c>
      <c r="I595" s="3">
        <f>E595+G595+H595</f>
        <v/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19</v>
      </c>
      <c r="N595" s="3" t="n">
        <v>98.63</v>
      </c>
      <c r="O595" s="3" t="n">
        <v>15.75757575757576</v>
      </c>
    </row>
    <row r="596" hidden="1">
      <c r="A596" s="5" t="n">
        <v>46163</v>
      </c>
      <c r="B596" s="6" t="inlineStr">
        <is>
          <t>Janaina Lima dos Reis Urany</t>
        </is>
      </c>
      <c r="C596" s="3" t="inlineStr">
        <is>
          <t>Técnico III</t>
        </is>
      </c>
      <c r="D596" s="3" t="n">
        <v>31</v>
      </c>
      <c r="E596" s="3" t="n">
        <v>28</v>
      </c>
      <c r="F596" s="3" t="n">
        <v>13.35</v>
      </c>
      <c r="G596" s="3" t="n">
        <v>2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28</v>
      </c>
      <c r="N596" s="3" t="n">
        <v>98.64</v>
      </c>
      <c r="O596" s="3" t="n">
        <v>16.6383701188455</v>
      </c>
    </row>
    <row r="597" hidden="1">
      <c r="A597" s="5" t="n">
        <v>46163</v>
      </c>
      <c r="B597" s="6" t="inlineStr">
        <is>
          <t>Jaqueline Evangelista da Silva Martins</t>
        </is>
      </c>
      <c r="C597" s="3" t="inlineStr">
        <is>
          <t>Técnico III</t>
        </is>
      </c>
      <c r="D597" s="3" t="n">
        <v>10</v>
      </c>
      <c r="E597" s="3" t="n">
        <v>10</v>
      </c>
      <c r="F597" s="3" t="n">
        <v>19.12</v>
      </c>
      <c r="G597" s="3" t="n">
        <v>2</v>
      </c>
      <c r="H597" s="3" t="n">
        <v>0</v>
      </c>
      <c r="I597" s="3">
        <f>E597+G597+H597</f>
        <v/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10</v>
      </c>
      <c r="N597" s="3" t="n">
        <v>95.40000000000001</v>
      </c>
      <c r="O597" s="3" t="n">
        <v>20.53333333333333</v>
      </c>
    </row>
    <row r="598" hidden="1">
      <c r="A598" s="5" t="n">
        <v>46163</v>
      </c>
      <c r="B598" s="6" t="inlineStr">
        <is>
          <t>Jessica Faria da Silveira</t>
        </is>
      </c>
      <c r="C598" s="3" t="inlineStr">
        <is>
          <t>Técnico II</t>
        </is>
      </c>
      <c r="D598" s="3" t="n">
        <v>17</v>
      </c>
      <c r="E598" s="3" t="n">
        <v>14</v>
      </c>
      <c r="F598" s="3" t="n">
        <v>17.2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14</v>
      </c>
      <c r="N598" s="3" t="n">
        <v>98.61</v>
      </c>
      <c r="O598" s="3" t="n">
        <v>16.97530864197531</v>
      </c>
    </row>
    <row r="599" hidden="1">
      <c r="A599" s="5" t="n">
        <v>46163</v>
      </c>
      <c r="B599" s="6" t="inlineStr">
        <is>
          <t>Jéssica Fé Moura</t>
        </is>
      </c>
      <c r="C599" s="3" t="inlineStr">
        <is>
          <t>Técnico III</t>
        </is>
      </c>
      <c r="D599" s="3" t="n">
        <v>0</v>
      </c>
      <c r="E599" s="3" t="n">
        <v>0</v>
      </c>
      <c r="F599" s="3" t="n">
        <v>0</v>
      </c>
      <c r="G599" s="3" t="n">
        <v>0</v>
      </c>
      <c r="H599" s="3" t="n">
        <v>0</v>
      </c>
      <c r="I599" s="3" t="n">
        <v>0</v>
      </c>
      <c r="J599" s="3" t="n">
        <v>0</v>
      </c>
      <c r="K599" s="3" t="n">
        <v>0</v>
      </c>
      <c r="L599" s="3">
        <f>IF(K599&lt;-5,"CRÍTICO",IF(K599&lt;0,"ATENÇÃO",IF(K599&lt;=5,"OPORTUNO","MUITO BOM")))</f>
        <v/>
      </c>
      <c r="M599" s="3" t="n">
        <v>0</v>
      </c>
      <c r="N599" s="3" t="n">
        <v>0</v>
      </c>
      <c r="O599" s="3" t="n">
        <v>0</v>
      </c>
    </row>
    <row r="600" hidden="1">
      <c r="A600" s="5" t="n">
        <v>46163</v>
      </c>
      <c r="B600" s="6" t="inlineStr">
        <is>
          <t>Karina Gonçalves Martins</t>
        </is>
      </c>
      <c r="C600" s="3" t="inlineStr">
        <is>
          <t>JR</t>
        </is>
      </c>
      <c r="D600" s="3" t="n">
        <v>15</v>
      </c>
      <c r="E600" s="3" t="n">
        <v>13</v>
      </c>
      <c r="F600" s="3" t="n">
        <v>20.57</v>
      </c>
      <c r="G600" s="3" t="n">
        <v>1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15</v>
      </c>
      <c r="N600" s="3" t="n">
        <v>97.01000000000001</v>
      </c>
      <c r="O600" s="3" t="n">
        <v>13.96103896103896</v>
      </c>
    </row>
    <row r="601" hidden="1">
      <c r="A601" s="5" t="n">
        <v>46163</v>
      </c>
      <c r="B601" s="6" t="inlineStr">
        <is>
          <t>Kerollen Cristielly de Jesus Siqueira</t>
        </is>
      </c>
      <c r="C601" s="3" t="inlineStr">
        <is>
          <t>Técnico III</t>
        </is>
      </c>
      <c r="D601" s="3" t="n">
        <v>21</v>
      </c>
      <c r="E601" s="3" t="n">
        <v>20</v>
      </c>
      <c r="F601" s="3" t="n">
        <v>14.13</v>
      </c>
      <c r="G601" s="3" t="n">
        <v>1</v>
      </c>
      <c r="H601" s="3" t="n">
        <v>0</v>
      </c>
      <c r="I601" s="3">
        <f>E601+G601+H601</f>
        <v/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/>
      </c>
      <c r="K601" s="3">
        <f>I601-J601</f>
        <v/>
      </c>
      <c r="L601" s="3">
        <f>IF(K601&lt;-5,"CRÍTICO",IF(K601&lt;0,"ATENÇÃO",IF(K601&lt;=5,"OPORTUNO","MUITO BOM")))</f>
        <v/>
      </c>
      <c r="M601" s="3" t="n">
        <v>21</v>
      </c>
      <c r="N601" s="3" t="n">
        <v>95.52</v>
      </c>
      <c r="O601" s="3" t="n">
        <v>10.56105610561056</v>
      </c>
    </row>
    <row r="602" hidden="1">
      <c r="A602" s="5" t="n">
        <v>46163</v>
      </c>
      <c r="B602" s="6" t="inlineStr">
        <is>
          <t>Leandro de Souza Silva</t>
        </is>
      </c>
      <c r="C602" s="3" t="inlineStr">
        <is>
          <t>JR</t>
        </is>
      </c>
      <c r="D602" s="3" t="n">
        <v>13</v>
      </c>
      <c r="E602" s="3" t="n">
        <v>11</v>
      </c>
      <c r="F602" s="3" t="n">
        <v>20.49</v>
      </c>
      <c r="G602" s="3" t="n">
        <v>1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10</v>
      </c>
      <c r="N602" s="3" t="n">
        <v>100</v>
      </c>
      <c r="O602" s="3" t="n">
        <v>16.95906432748538</v>
      </c>
    </row>
    <row r="603" hidden="1">
      <c r="A603" s="5" t="n">
        <v>46163</v>
      </c>
      <c r="B603" s="6" t="inlineStr">
        <is>
          <t>Leandro Oliveira de Sousa</t>
        </is>
      </c>
      <c r="C603" s="3" t="inlineStr">
        <is>
          <t>Técnico III</t>
        </is>
      </c>
      <c r="D603" s="3" t="n">
        <v>22</v>
      </c>
      <c r="E603" s="3" t="n">
        <v>21</v>
      </c>
      <c r="F603" s="3" t="n">
        <v>15.35</v>
      </c>
      <c r="G603" s="3" t="n">
        <v>0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20</v>
      </c>
      <c r="N603" s="3" t="n">
        <v>100</v>
      </c>
      <c r="O603" s="3" t="n">
        <v>15.58441558441558</v>
      </c>
    </row>
    <row r="604" hidden="1">
      <c r="A604" s="5" t="n">
        <v>46163</v>
      </c>
      <c r="B604" s="6" t="inlineStr">
        <is>
          <t>Lizandra Gomes Duarte</t>
        </is>
      </c>
      <c r="C604" s="3" t="inlineStr">
        <is>
          <t>Técnico II</t>
        </is>
      </c>
      <c r="D604" s="3" t="n">
        <v>19</v>
      </c>
      <c r="E604" s="3" t="n">
        <v>19</v>
      </c>
      <c r="F604" s="3" t="n">
        <v>24.12</v>
      </c>
      <c r="G604" s="3" t="n">
        <v>0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17</v>
      </c>
      <c r="N604" s="3" t="n">
        <v>98.61</v>
      </c>
      <c r="O604" s="3" t="n">
        <v>16.86746987951807</v>
      </c>
    </row>
    <row r="605" hidden="1">
      <c r="A605" s="5" t="n">
        <v>46163</v>
      </c>
      <c r="B605" s="6" t="inlineStr">
        <is>
          <t>Lorena Dias de Araujo</t>
        </is>
      </c>
      <c r="C605" s="3" t="inlineStr">
        <is>
          <t>Técnico II</t>
        </is>
      </c>
      <c r="D605" s="3" t="n">
        <v>18</v>
      </c>
      <c r="E605" s="3" t="n">
        <v>15</v>
      </c>
      <c r="F605" s="3" t="n">
        <v>8.49</v>
      </c>
      <c r="G605" s="3" t="n">
        <v>0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IF(K605&lt;-5,"CRÍTICO",IF(K605&lt;0,"ATENÇÃO",IF(K605&lt;=5,"OPORTUNO","MUITO BOM")))</f>
        <v/>
      </c>
      <c r="M605" s="3" t="n">
        <v>15</v>
      </c>
      <c r="N605" s="3" t="n">
        <v>100</v>
      </c>
      <c r="O605" s="3" t="n">
        <v>20.82018927444795</v>
      </c>
    </row>
    <row r="606" hidden="1">
      <c r="A606" s="5" t="n">
        <v>46163</v>
      </c>
      <c r="B606" s="6" t="inlineStr">
        <is>
          <t>Lucas Luiz Romero</t>
        </is>
      </c>
      <c r="C606" s="3" t="inlineStr">
        <is>
          <t>Técnico III</t>
        </is>
      </c>
      <c r="D606" s="3" t="n">
        <v>29</v>
      </c>
      <c r="E606" s="3" t="n">
        <v>27</v>
      </c>
      <c r="F606" s="3" t="n">
        <v>15.54</v>
      </c>
      <c r="G606" s="3" t="n">
        <v>0</v>
      </c>
      <c r="H606" s="3" t="n">
        <v>0</v>
      </c>
      <c r="I606" s="3">
        <f>E606+G606+H606</f>
        <v/>
      </c>
      <c r="J606" s="3">
        <f>ROUND(MIN(IF(C606="Técnico III",35,IF(C606="Técnico II",28,IF(C606="Técnico I",23,IF(C606="JR",20,IF(C606="Estágio",10,0))))),IF(C606="Técnico III",SUMIFS($D:$D,$A:$A,$A606,$B:$B,"&lt;&gt;Patrícia Karla de Sousa Araújo",$B:$B,"&lt;&gt;Lorena Dias de Araujo",$B:$B,"&lt;&gt;Lucas Luiz Romero")*(35/1083),IF(C606="Técnico II",SUMIFS($D:$D,$A:$A,$A606,$B:$B,"&lt;&gt;Patrícia Karla de Sousa Araújo",$B:$B,"&lt;&gt;Lorena Dias de Araujo",$B:$B,"&lt;&gt;Lucas Luiz Romero")*(28/1083),IF(C606="Técnico I",SUMIFS($D:$D,$A:$A,$A606,$B:$B,"&lt;&gt;Patrícia Karla de Sousa Araújo",$B:$B,"&lt;&gt;Lorena Dias de Araujo",$B:$B,"&lt;&gt;Lucas Luiz Romero")*(23/1083),IF(C606="JR",SUMIFS($D:$D,$A:$A,$A606,$B:$B,"&lt;&gt;Patrícia Karla de Sousa Araújo",$B:$B,"&lt;&gt;Lorena Dias de Araujo",$B:$B,"&lt;&gt;Lucas Luiz Romero")*(20/1083),IF(C606="Estágio",SUMIFS($D:$D,$A:$A,$A606,$B:$B,"&lt;&gt;Patrícia Karla de Sousa Araújo",$B:$B,"&lt;&gt;Lorena Dias de Araujo",$B:$B,"&lt;&gt;Lucas Luiz Romero")*(10/1083),0)))))),0)</f>
        <v/>
      </c>
      <c r="K606" s="3">
        <f>I606-J606</f>
        <v/>
      </c>
      <c r="L606" s="3">
        <f>IF(K606&lt;-5,"CRÍTICO",IF(K606&lt;0,"ATENÇÃO",IF(K606&lt;=5,"OPORTUNO","MUITO BOM")))</f>
        <v/>
      </c>
      <c r="M606" s="3" t="n">
        <v>18</v>
      </c>
      <c r="N606" s="3" t="n">
        <v>100</v>
      </c>
      <c r="O606" s="3" t="n">
        <v>4.347826086956522</v>
      </c>
    </row>
    <row r="607" hidden="1">
      <c r="A607" s="5" t="n">
        <v>46163</v>
      </c>
      <c r="B607" s="6" t="inlineStr">
        <is>
          <t>Luiz Fernando de Carvalho Junior</t>
        </is>
      </c>
      <c r="C607" s="3" t="inlineStr">
        <is>
          <t>Técnico I</t>
        </is>
      </c>
      <c r="D607" s="3" t="n">
        <v>22</v>
      </c>
      <c r="E607" s="3" t="n">
        <v>20</v>
      </c>
      <c r="F607" s="3" t="n">
        <v>11.46</v>
      </c>
      <c r="G607" s="3" t="n">
        <v>0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IF(K607&lt;-5,"CRÍTICO",IF(K607&lt;0,"ATENÇÃO",IF(K607&lt;=5,"OPORTUNO","MUITO BOM")))</f>
        <v/>
      </c>
      <c r="M607" s="3" t="n">
        <v>21</v>
      </c>
      <c r="N607" s="3" t="n">
        <v>93.26000000000001</v>
      </c>
      <c r="O607" s="3" t="n">
        <v>19.93957703927493</v>
      </c>
    </row>
    <row r="608" hidden="1">
      <c r="A608" s="5" t="n">
        <v>46163</v>
      </c>
      <c r="B608" s="6" t="inlineStr">
        <is>
          <t>Maria Eduarda Sousa Costa</t>
        </is>
      </c>
      <c r="C608" s="3" t="inlineStr">
        <is>
          <t>Estágio</t>
        </is>
      </c>
      <c r="D608" s="3" t="n">
        <v>12</v>
      </c>
      <c r="E608" s="3" t="n">
        <v>12</v>
      </c>
      <c r="F608" s="3" t="n">
        <v>13.03</v>
      </c>
      <c r="G608" s="3" t="n">
        <v>0</v>
      </c>
      <c r="H608" s="3" t="n">
        <v>0</v>
      </c>
      <c r="I608" s="3">
        <f>E608+G608+H608</f>
        <v/>
      </c>
      <c r="J608" s="3">
        <f>ROUND(MIN(IF(C608="Técnico III",35,IF(C608="Técnico II",28,IF(C608="Técnico I",23,IF(C608="JR",20,IF(C608="Estágio",10,0))))),IF(C608="Técnico III",SUMIFS($D:$D,$A:$A,$A608,$B:$B,"&lt;&gt;Patrícia Karla de Sousa Araújo",$B:$B,"&lt;&gt;Lorena Dias de Araujo",$B:$B,"&lt;&gt;Lucas Luiz Romero")*(35/1083),IF(C608="Técnico II",SUMIFS($D:$D,$A:$A,$A608,$B:$B,"&lt;&gt;Patrícia Karla de Sousa Araújo",$B:$B,"&lt;&gt;Lorena Dias de Araujo",$B:$B,"&lt;&gt;Lucas Luiz Romero")*(28/1083),IF(C608="Técnico I",SUMIFS($D:$D,$A:$A,$A608,$B:$B,"&lt;&gt;Patrícia Karla de Sousa Araújo",$B:$B,"&lt;&gt;Lorena Dias de Araujo",$B:$B,"&lt;&gt;Lucas Luiz Romero")*(23/1083),IF(C608="JR",SUMIFS($D:$D,$A:$A,$A608,$B:$B,"&lt;&gt;Patrícia Karla de Sousa Araújo",$B:$B,"&lt;&gt;Lorena Dias de Araujo",$B:$B,"&lt;&gt;Lucas Luiz Romero")*(20/1083),IF(C608="Estágio",SUMIFS($D:$D,$A:$A,$A608,$B:$B,"&lt;&gt;Patrícia Karla de Sousa Araújo",$B:$B,"&lt;&gt;Lorena Dias de Araujo",$B:$B,"&lt;&gt;Lucas Luiz Romero")*(10/1083),0)))))),0)</f>
        <v/>
      </c>
      <c r="K608" s="3">
        <f>I608-J608</f>
        <v/>
      </c>
      <c r="L608" s="3">
        <f>IF(K608&lt;-5,"CRÍTICO",IF(K608&lt;0,"ATENÇÃO",IF(K608&lt;=5,"OPORTUNO","MUITO BOM")))</f>
        <v/>
      </c>
      <c r="M608" s="3" t="n">
        <v>8</v>
      </c>
      <c r="N608" s="3" t="n">
        <v>100</v>
      </c>
      <c r="O608" s="3" t="n">
        <v>11.86440677966102</v>
      </c>
    </row>
    <row r="609" hidden="1">
      <c r="A609" s="5" t="n">
        <v>46163</v>
      </c>
      <c r="B609" s="6" t="inlineStr">
        <is>
          <t>Matheus Farias De Souza</t>
        </is>
      </c>
      <c r="C609" s="3" t="inlineStr">
        <is>
          <t>Técnico III</t>
        </is>
      </c>
      <c r="D609" s="3" t="n">
        <v>0</v>
      </c>
      <c r="E609" s="3" t="n">
        <v>0</v>
      </c>
      <c r="F609" s="3" t="n">
        <v>0</v>
      </c>
      <c r="G609" s="3" t="n">
        <v>0</v>
      </c>
      <c r="H609" s="3" t="n">
        <v>30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IF(K609&lt;-5,"CRÍTICO",IF(K609&lt;0,"ATENÇÃO",IF(K609&lt;=5,"OPORTUNO","MUITO BOM")))</f>
        <v/>
      </c>
      <c r="M609" s="3" t="n">
        <v>15</v>
      </c>
      <c r="N609" s="3" t="n">
        <v>98.28</v>
      </c>
      <c r="O609" s="3" t="n">
        <v>9.037900874635568</v>
      </c>
    </row>
    <row r="610" hidden="1">
      <c r="A610" s="5" t="n">
        <v>46163</v>
      </c>
      <c r="B610" s="6" t="inlineStr">
        <is>
          <t>Maysa Victoria Dias Moura</t>
        </is>
      </c>
      <c r="C610" s="3" t="inlineStr">
        <is>
          <t>Técnico III</t>
        </is>
      </c>
      <c r="D610" s="3" t="n">
        <v>27</v>
      </c>
      <c r="E610" s="3" t="n">
        <v>22</v>
      </c>
      <c r="F610" s="3" t="n">
        <v>9.16</v>
      </c>
      <c r="G610" s="3" t="n">
        <v>3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IF(K610&lt;-5,"CRÍTICO",IF(K610&lt;0,"ATENÇÃO",IF(K610&lt;=5,"OPORTUNO","MUITO BOM")))</f>
        <v/>
      </c>
      <c r="M610" s="3" t="n">
        <v>21</v>
      </c>
      <c r="N610" s="3" t="n">
        <v>97.22</v>
      </c>
      <c r="O610" s="3" t="n">
        <v>19.09547738693467</v>
      </c>
    </row>
    <row r="611" hidden="1">
      <c r="A611" s="5" t="n">
        <v>46163</v>
      </c>
      <c r="B611" s="6" t="inlineStr">
        <is>
          <t>Michelle G Santos</t>
        </is>
      </c>
      <c r="C611" s="3" t="inlineStr">
        <is>
          <t>Estágio</t>
        </is>
      </c>
      <c r="D611" s="3" t="n">
        <v>14</v>
      </c>
      <c r="E611" s="3" t="n">
        <v>13</v>
      </c>
      <c r="F611" s="3" t="n">
        <v>20.34</v>
      </c>
      <c r="G611" s="3" t="n">
        <v>0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IF(K611&lt;-5,"CRÍTICO",IF(K611&lt;0,"ATENÇÃO",IF(K611&lt;=5,"OPORTUNO","MUITO BOM")))</f>
        <v/>
      </c>
      <c r="M611" s="3" t="n">
        <v>8</v>
      </c>
      <c r="N611" s="3" t="n">
        <v>100</v>
      </c>
      <c r="O611" s="3" t="n">
        <v>16.8141592920354</v>
      </c>
    </row>
    <row r="612" hidden="1">
      <c r="A612" s="5" t="n">
        <v>46163</v>
      </c>
      <c r="B612" s="6" t="inlineStr">
        <is>
          <t>Milena Sales</t>
        </is>
      </c>
      <c r="C612" s="3" t="inlineStr">
        <is>
          <t>JR</t>
        </is>
      </c>
      <c r="D612" s="3" t="n">
        <v>26</v>
      </c>
      <c r="E612" s="3" t="n">
        <v>18</v>
      </c>
      <c r="F612" s="3" t="n">
        <v>12.17</v>
      </c>
      <c r="G612" s="3" t="n">
        <v>0</v>
      </c>
      <c r="H612" s="3" t="n">
        <v>0</v>
      </c>
      <c r="I612" s="3">
        <f>E612+G612+H612</f>
        <v/>
      </c>
      <c r="J612" s="3">
        <f>ROUND(MIN(IF(C612="Técnico III",35,IF(C612="Técnico II",28,IF(C612="Técnico I",23,IF(C612="JR",20,IF(C612="Estágio",10,0))))),IF(C612="Técnico III",SUMIFS($D:$D,$A:$A,$A612,$B:$B,"&lt;&gt;Patrícia Karla de Sousa Araújo",$B:$B,"&lt;&gt;Lorena Dias de Araujo",$B:$B,"&lt;&gt;Lucas Luiz Romero")*(35/1083),IF(C612="Técnico II",SUMIFS($D:$D,$A:$A,$A612,$B:$B,"&lt;&gt;Patrícia Karla de Sousa Araújo",$B:$B,"&lt;&gt;Lorena Dias de Araujo",$B:$B,"&lt;&gt;Lucas Luiz Romero")*(28/1083),IF(C612="Técnico I",SUMIFS($D:$D,$A:$A,$A612,$B:$B,"&lt;&gt;Patrícia Karla de Sousa Araújo",$B:$B,"&lt;&gt;Lorena Dias de Araujo",$B:$B,"&lt;&gt;Lucas Luiz Romero")*(23/1083),IF(C612="JR",SUMIFS($D:$D,$A:$A,$A612,$B:$B,"&lt;&gt;Patrícia Karla de Sousa Araújo",$B:$B,"&lt;&gt;Lorena Dias de Araujo",$B:$B,"&lt;&gt;Lucas Luiz Romero")*(20/1083),IF(C612="Estágio",SUMIFS($D:$D,$A:$A,$A612,$B:$B,"&lt;&gt;Patrícia Karla de Sousa Araújo",$B:$B,"&lt;&gt;Lorena Dias de Araujo",$B:$B,"&lt;&gt;Lucas Luiz Romero")*(10/1083),0)))))),0)</f>
        <v/>
      </c>
      <c r="K612" s="3">
        <f>I612-J612</f>
        <v/>
      </c>
      <c r="L612" s="3">
        <f>IF(K612&lt;-5,"CRÍTICO",IF(K612&lt;0,"ATENÇÃO",IF(K612&lt;=5,"OPORTUNO","MUITO BOM")))</f>
        <v/>
      </c>
      <c r="M612" s="3" t="n">
        <v>16</v>
      </c>
      <c r="N612" s="3" t="n">
        <v>98</v>
      </c>
      <c r="O612" s="3" t="n">
        <v>16.43835616438356</v>
      </c>
    </row>
    <row r="613" hidden="1">
      <c r="A613" s="5" t="n">
        <v>46163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0</v>
      </c>
      <c r="E613" s="3" t="n">
        <v>0</v>
      </c>
      <c r="F613" s="3" t="n">
        <v>0</v>
      </c>
      <c r="G613" s="3" t="n">
        <v>0</v>
      </c>
      <c r="H613" s="3" t="n">
        <v>0</v>
      </c>
      <c r="I613" s="3" t="n">
        <v>0</v>
      </c>
      <c r="J613" s="3" t="n">
        <v>0</v>
      </c>
      <c r="K613" s="3" t="n">
        <v>0</v>
      </c>
      <c r="L613" s="3">
        <f>IF(K613&lt;-5,"CRÍTICO",IF(K613&lt;0,"ATENÇÃO",IF(K613&lt;=5,"OPORTUNO","MUITO BOM")))</f>
        <v/>
      </c>
      <c r="M613" s="3" t="n">
        <v>0</v>
      </c>
      <c r="N613" s="3" t="n">
        <v>100</v>
      </c>
      <c r="O613" s="3" t="n">
        <v>16.89497716894977</v>
      </c>
    </row>
    <row r="614" hidden="1">
      <c r="A614" s="5" t="n">
        <v>46163</v>
      </c>
      <c r="B614" s="6" t="inlineStr">
        <is>
          <t>Paulo Ricardo Santos</t>
        </is>
      </c>
      <c r="C614" s="3" t="inlineStr">
        <is>
          <t>JR</t>
        </is>
      </c>
      <c r="D614" s="3" t="n">
        <v>10</v>
      </c>
      <c r="E614" s="3" t="n">
        <v>10</v>
      </c>
      <c r="F614" s="3" t="n">
        <v>20.18</v>
      </c>
      <c r="G614" s="3" t="n">
        <v>0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IF(K614&lt;-5,"CRÍTICO",IF(K614&lt;0,"ATENÇÃO",IF(K614&lt;=5,"OPORTUNO","MUITO BOM")))</f>
        <v/>
      </c>
      <c r="M614" s="3" t="n">
        <v>12</v>
      </c>
      <c r="N614" s="3" t="n">
        <v>100</v>
      </c>
      <c r="O614" s="3" t="n">
        <v>19.13875598086124</v>
      </c>
    </row>
    <row r="615" hidden="1">
      <c r="A615" s="5" t="n">
        <v>46163</v>
      </c>
      <c r="B615" s="6" t="inlineStr">
        <is>
          <t>Pedro Luiz Mota Sousa</t>
        </is>
      </c>
      <c r="C615" s="3" t="inlineStr">
        <is>
          <t>JR</t>
        </is>
      </c>
      <c r="D615" s="3" t="n">
        <v>16</v>
      </c>
      <c r="E615" s="3" t="n">
        <v>14</v>
      </c>
      <c r="F615" s="3" t="n">
        <v>23.22</v>
      </c>
      <c r="G615" s="3" t="n">
        <v>0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12</v>
      </c>
      <c r="N615" s="3" t="n">
        <v>100</v>
      </c>
      <c r="O615" s="3" t="n">
        <v>15.02145922746781</v>
      </c>
    </row>
    <row r="616" hidden="1">
      <c r="A616" s="5" t="n">
        <v>46163</v>
      </c>
      <c r="B616" s="6" t="inlineStr">
        <is>
          <t>Quirino Diogo Leite Torres</t>
        </is>
      </c>
      <c r="C616" s="3" t="inlineStr">
        <is>
          <t>Estágio</t>
        </is>
      </c>
      <c r="D616" s="3" t="n">
        <v>20</v>
      </c>
      <c r="E616" s="3" t="n">
        <v>18</v>
      </c>
      <c r="F616" s="3" t="n">
        <v>10.09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13</v>
      </c>
      <c r="N616" s="3" t="n">
        <v>98.11</v>
      </c>
      <c r="O616" s="3" t="n">
        <v>20.40816326530612</v>
      </c>
    </row>
    <row r="617" hidden="1">
      <c r="A617" s="5" t="n">
        <v>46163</v>
      </c>
      <c r="B617" s="6" t="inlineStr">
        <is>
          <t>Raane Batista Matos</t>
        </is>
      </c>
      <c r="C617" s="3" t="inlineStr">
        <is>
          <t>Técnico I</t>
        </is>
      </c>
      <c r="D617" s="3" t="n">
        <v>27</v>
      </c>
      <c r="E617" s="3" t="n">
        <v>27</v>
      </c>
      <c r="F617" s="3" t="n">
        <v>15.1</v>
      </c>
      <c r="G617" s="3" t="n">
        <v>0</v>
      </c>
      <c r="H617" s="3" t="n">
        <v>0</v>
      </c>
      <c r="I617" s="3">
        <f>E617+G617+H617</f>
        <v/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20</v>
      </c>
      <c r="N617" s="3" t="n">
        <v>97.56</v>
      </c>
      <c r="O617" s="3" t="n">
        <v>19.28783382789317</v>
      </c>
    </row>
    <row r="618" hidden="1">
      <c r="A618" s="5" t="n">
        <v>46163</v>
      </c>
      <c r="B618" s="6" t="inlineStr">
        <is>
          <t>Rafael Gomes de Morais</t>
        </is>
      </c>
      <c r="C618" s="3" t="inlineStr">
        <is>
          <t>Técnico III</t>
        </is>
      </c>
      <c r="D618" s="3" t="n">
        <v>35</v>
      </c>
      <c r="E618" s="3" t="n">
        <v>31</v>
      </c>
      <c r="F618" s="3" t="n">
        <v>8.300000000000001</v>
      </c>
      <c r="G618" s="3" t="n">
        <v>2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IF(K618&lt;-5,"CRÍTICO",IF(K618&lt;0,"ATENÇÃO",IF(K618&lt;=5,"OPORTUNO","MUITO BOM")))</f>
        <v/>
      </c>
      <c r="M618" s="3" t="n">
        <v>22</v>
      </c>
      <c r="N618" s="3" t="n">
        <v>99.29000000000001</v>
      </c>
      <c r="O618" s="3" t="n">
        <v>22.49443207126949</v>
      </c>
    </row>
    <row r="619" hidden="1">
      <c r="A619" s="5" t="n">
        <v>46163</v>
      </c>
      <c r="B619" s="6" t="inlineStr">
        <is>
          <t>Sara Maria Monteiro Lopes</t>
        </is>
      </c>
      <c r="C619" s="3" t="inlineStr">
        <is>
          <t>Técnico I</t>
        </is>
      </c>
      <c r="D619" s="3" t="n">
        <v>12</v>
      </c>
      <c r="E619" s="3" t="n">
        <v>12</v>
      </c>
      <c r="F619" s="3" t="n">
        <v>26.42</v>
      </c>
      <c r="G619" s="3" t="n">
        <v>0</v>
      </c>
      <c r="H619" s="3" t="n">
        <v>0</v>
      </c>
      <c r="I619" s="3">
        <f>E619+G619+H619</f>
        <v/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10</v>
      </c>
      <c r="N619" s="3" t="n">
        <v>100</v>
      </c>
      <c r="O619" s="3" t="n">
        <v>16.97247706422019</v>
      </c>
    </row>
    <row r="620" hidden="1">
      <c r="A620" s="5" t="n">
        <v>46163</v>
      </c>
      <c r="B620" s="6" t="inlineStr">
        <is>
          <t>Sarah Steffanie de Lima Borges</t>
        </is>
      </c>
      <c r="C620" s="3" t="inlineStr">
        <is>
          <t>Técnico III</t>
        </is>
      </c>
      <c r="D620" s="3" t="n">
        <v>23</v>
      </c>
      <c r="E620" s="3" t="n">
        <v>22</v>
      </c>
      <c r="F620" s="3" t="n">
        <v>10.28</v>
      </c>
      <c r="G620" s="3" t="n">
        <v>1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IF(K620&lt;-5,"CRÍTICO",IF(K620&lt;0,"ATENÇÃO",IF(K620&lt;=5,"OPORTUNO","MUITO BOM")))</f>
        <v/>
      </c>
      <c r="M620" s="3" t="n">
        <v>21</v>
      </c>
      <c r="N620" s="3" t="n">
        <v>97.33</v>
      </c>
      <c r="O620" s="3" t="n">
        <v>15.80547112462006</v>
      </c>
    </row>
    <row r="621" hidden="1">
      <c r="A621" s="10" t="n">
        <v>46164</v>
      </c>
      <c r="B621" s="6" t="inlineStr">
        <is>
          <t>Alisson de Freitas Silva</t>
        </is>
      </c>
      <c r="C621" s="3" t="inlineStr">
        <is>
          <t>Técnico II</t>
        </is>
      </c>
      <c r="D621" s="3" t="n">
        <v>23</v>
      </c>
      <c r="E621" s="3" t="n">
        <v>15</v>
      </c>
      <c r="F621" s="3" t="n">
        <v>15.08</v>
      </c>
      <c r="G621" s="3" t="n">
        <v>1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IF(K621&lt;-5,"CRÍTICO",IF(K621&lt;0,"ATENÇÃO",IF(K621&lt;=5,"OPORTUNO","MUITO BOM")))</f>
        <v/>
      </c>
      <c r="M621" s="3" t="n">
        <v>11</v>
      </c>
      <c r="N621" s="3" t="n">
        <v>98.94</v>
      </c>
      <c r="O621" s="3" t="n">
        <v>19.61414790996785</v>
      </c>
    </row>
    <row r="622" hidden="1">
      <c r="A622" s="10" t="n">
        <v>46164</v>
      </c>
      <c r="B622" s="6" t="inlineStr">
        <is>
          <t>Amanda Moura Ferreira</t>
        </is>
      </c>
      <c r="C622" s="3" t="inlineStr">
        <is>
          <t>Técnico III</t>
        </is>
      </c>
      <c r="D622" s="3" t="n">
        <v>0</v>
      </c>
      <c r="E622" s="3" t="n">
        <v>0</v>
      </c>
      <c r="F622" s="3" t="n">
        <v>0</v>
      </c>
      <c r="G622" s="3" t="n">
        <v>0</v>
      </c>
      <c r="H622" s="3" t="n">
        <v>0</v>
      </c>
      <c r="I622" s="3" t="n">
        <v>0</v>
      </c>
      <c r="J622" s="3" t="n">
        <v>0</v>
      </c>
      <c r="K622" s="3" t="n">
        <v>0</v>
      </c>
      <c r="L622" s="3">
        <f>IF(K622&lt;-5,"CRÍTICO",IF(K622&lt;0,"ATENÇÃO",IF(K622&lt;=5,"OPORTUNO","MUITO BOM")))</f>
        <v/>
      </c>
      <c r="M622" s="3" t="n">
        <v>0</v>
      </c>
      <c r="N622" s="3" t="n">
        <v>100</v>
      </c>
      <c r="O622" s="3" t="n">
        <v>0</v>
      </c>
    </row>
    <row r="623" hidden="1">
      <c r="A623" s="10" t="n">
        <v>46164</v>
      </c>
      <c r="B623" s="6" t="inlineStr">
        <is>
          <t>Ana Karollyne Souza Faria</t>
        </is>
      </c>
      <c r="C623" s="3" t="inlineStr">
        <is>
          <t>Técnico I</t>
        </is>
      </c>
      <c r="D623" s="3" t="n">
        <v>11</v>
      </c>
      <c r="E623" s="3" t="n">
        <v>9</v>
      </c>
      <c r="F623" s="3" t="n">
        <v>15.17</v>
      </c>
      <c r="G623" s="3" t="n">
        <v>3</v>
      </c>
      <c r="H623" s="3" t="n">
        <v>0</v>
      </c>
      <c r="I623" s="3">
        <f>E623+G623+H623</f>
        <v/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/>
      </c>
      <c r="K623" s="3">
        <f>I623-J623</f>
        <v/>
      </c>
      <c r="L623" s="3">
        <f>IF(K623&lt;-5,"CRÍTICO",IF(K623&lt;0,"ATENÇÃO",IF(K623&lt;=5,"OPORTUNO","MUITO BOM")))</f>
        <v/>
      </c>
      <c r="M623" s="3" t="n">
        <v>10</v>
      </c>
      <c r="N623" s="3" t="n">
        <v>95.38</v>
      </c>
      <c r="O623" s="3" t="n">
        <v>21.5962441314554</v>
      </c>
    </row>
    <row r="624" hidden="1">
      <c r="A624" s="10" t="n">
        <v>46164</v>
      </c>
      <c r="B624" s="6" t="inlineStr">
        <is>
          <t>Ana Paula Da Luz Silva Aleixo</t>
        </is>
      </c>
      <c r="C624" s="3" t="inlineStr">
        <is>
          <t>Técnico III</t>
        </is>
      </c>
      <c r="D624" s="3" t="n">
        <v>20</v>
      </c>
      <c r="E624" s="3" t="n">
        <v>20</v>
      </c>
      <c r="F624" s="3" t="n">
        <v>20.44</v>
      </c>
      <c r="G624" s="3" t="n">
        <v>3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IF(K624&lt;-5,"CRÍTICO",IF(K624&lt;0,"ATENÇÃO",IF(K624&lt;=5,"OPORTUNO","MUITO BOM")))</f>
        <v/>
      </c>
      <c r="M624" s="3" t="n">
        <v>16</v>
      </c>
      <c r="N624" s="3" t="n">
        <v>96.34</v>
      </c>
      <c r="O624" s="3" t="n">
        <v>17.57188498402556</v>
      </c>
    </row>
    <row r="625" hidden="1">
      <c r="A625" s="10" t="n">
        <v>46164</v>
      </c>
      <c r="B625" s="6" t="inlineStr">
        <is>
          <t>Anna Luiza Rezende Tavares</t>
        </is>
      </c>
      <c r="C625" s="3" t="inlineStr">
        <is>
          <t>JR</t>
        </is>
      </c>
      <c r="D625" s="3" t="n">
        <v>20</v>
      </c>
      <c r="E625" s="3" t="n">
        <v>19</v>
      </c>
      <c r="F625" s="3" t="n">
        <v>22.07</v>
      </c>
      <c r="G625" s="3" t="n">
        <v>0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IF(K625&lt;-5,"CRÍTICO",IF(K625&lt;0,"ATENÇÃO",IF(K625&lt;=5,"OPORTUNO","MUITO BOM")))</f>
        <v/>
      </c>
      <c r="M625" s="3" t="n">
        <v>18</v>
      </c>
      <c r="N625" s="3" t="n">
        <v>99.11</v>
      </c>
      <c r="O625" s="3" t="n">
        <v>17.72151898734177</v>
      </c>
    </row>
    <row r="626" hidden="1">
      <c r="A626" s="10" t="n">
        <v>46164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30</v>
      </c>
      <c r="E626" s="3" t="n">
        <v>27</v>
      </c>
      <c r="F626" s="3" t="n">
        <v>9.15</v>
      </c>
      <c r="G626" s="3" t="n">
        <v>6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IF(K626&lt;-5,"CRÍTICO",IF(K626&lt;0,"ATENÇÃO",IF(K626&lt;=5,"OPORTUNO","MUITO BOM")))</f>
        <v/>
      </c>
      <c r="M626" s="3" t="n">
        <v>24</v>
      </c>
      <c r="N626" s="3" t="n">
        <v>99.13</v>
      </c>
      <c r="O626" s="3" t="n">
        <v>14.7239263803681</v>
      </c>
    </row>
    <row r="627" hidden="1">
      <c r="A627" s="10" t="n">
        <v>46164</v>
      </c>
      <c r="B627" s="6" t="inlineStr">
        <is>
          <t>Carlos Mateus Cassimiro Nunes</t>
        </is>
      </c>
      <c r="C627" s="3" t="inlineStr">
        <is>
          <t>Técnico II</t>
        </is>
      </c>
      <c r="D627" s="3" t="n">
        <v>13</v>
      </c>
      <c r="E627" s="3" t="n">
        <v>12</v>
      </c>
      <c r="F627" s="3" t="n">
        <v>16.53</v>
      </c>
      <c r="G627" s="3" t="n">
        <v>0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IF(K627&lt;-5,"CRÍTICO",IF(K627&lt;0,"ATENÇÃO",IF(K627&lt;=5,"OPORTUNO","MUITO BOM")))</f>
        <v/>
      </c>
      <c r="M627" s="3" t="n">
        <v>12</v>
      </c>
      <c r="N627" s="3" t="n">
        <v>98.8</v>
      </c>
      <c r="O627" s="3" t="n">
        <v>16.89750692520776</v>
      </c>
    </row>
    <row r="628" hidden="1">
      <c r="A628" s="10" t="n">
        <v>46164</v>
      </c>
      <c r="B628" s="6" t="inlineStr">
        <is>
          <t>Claudio de Sousa Velasco Filho</t>
        </is>
      </c>
      <c r="C628" s="3" t="inlineStr">
        <is>
          <t>Estágio</t>
        </is>
      </c>
      <c r="D628" s="3" t="n">
        <v>7</v>
      </c>
      <c r="E628" s="3" t="n">
        <v>7</v>
      </c>
      <c r="F628" s="3" t="n">
        <v>22.38</v>
      </c>
      <c r="G628" s="3" t="n">
        <v>0</v>
      </c>
      <c r="H628" s="3" t="n">
        <v>0</v>
      </c>
      <c r="I628" s="3">
        <f>E628+G628+H628</f>
        <v/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/>
      </c>
      <c r="K628" s="3">
        <f>I628-J628</f>
        <v/>
      </c>
      <c r="L628" s="3">
        <f>IF(K628&lt;-5,"CRÍTICO",IF(K628&lt;0,"ATENÇÃO",IF(K628&lt;=5,"OPORTUNO","MUITO BOM")))</f>
        <v/>
      </c>
      <c r="M628" s="3" t="n">
        <v>3</v>
      </c>
      <c r="N628" s="3" t="n">
        <v>96.43000000000001</v>
      </c>
      <c r="O628" s="3" t="n">
        <v>20</v>
      </c>
    </row>
    <row r="629" hidden="1">
      <c r="A629" s="10" t="n">
        <v>46164</v>
      </c>
      <c r="B629" s="6" t="inlineStr">
        <is>
          <t>Clessiane Pereira dos Santos</t>
        </is>
      </c>
      <c r="C629" s="3" t="inlineStr">
        <is>
          <t>Técnico I</t>
        </is>
      </c>
      <c r="D629" s="3" t="n">
        <v>15</v>
      </c>
      <c r="E629" s="3" t="n">
        <v>14</v>
      </c>
      <c r="F629" s="3" t="n">
        <v>12.06</v>
      </c>
      <c r="G629" s="3" t="n">
        <v>0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IF(K629&lt;-5,"CRÍTICO",IF(K629&lt;0,"ATENÇÃO",IF(K629&lt;=5,"OPORTUNO","MUITO BOM")))</f>
        <v/>
      </c>
      <c r="M629" s="3" t="n">
        <v>12</v>
      </c>
      <c r="N629" s="3" t="n">
        <v>96.88</v>
      </c>
      <c r="O629" s="3" t="n">
        <v>19.52662721893491</v>
      </c>
    </row>
    <row r="630" hidden="1">
      <c r="A630" s="10" t="n">
        <v>46164</v>
      </c>
      <c r="B630" s="6" t="inlineStr">
        <is>
          <t>Cristiane Ramos da Silva Rocha</t>
        </is>
      </c>
      <c r="C630" s="3" t="inlineStr">
        <is>
          <t>Técnico III</t>
        </is>
      </c>
      <c r="D630" s="3" t="n">
        <v>25</v>
      </c>
      <c r="E630" s="3" t="n">
        <v>24</v>
      </c>
      <c r="F630" s="3" t="n">
        <v>15.42</v>
      </c>
      <c r="G630" s="3" t="n">
        <v>0</v>
      </c>
      <c r="H630" s="3" t="n">
        <v>0</v>
      </c>
      <c r="I630" s="3">
        <f>E630+G630+H630</f>
        <v/>
      </c>
      <c r="J630" s="3">
        <f>ROUND(MIN(IF(C630="Técnico III",35,IF(C630="Técnico II",28,IF(C630="Técnico I",23,IF(C630="JR",20,IF(C630="Estágio",10,0))))),IF(C630="Técnico III",SUMIFS($D:$D,$A:$A,$A630,$B:$B,"&lt;&gt;Patrícia Karla de Sousa Araújo",$B:$B,"&lt;&gt;Lorena Dias de Araujo",$B:$B,"&lt;&gt;Lucas Luiz Romero")*(35/1083),IF(C630="Técnico II",SUMIFS($D:$D,$A:$A,$A630,$B:$B,"&lt;&gt;Patrícia Karla de Sousa Araújo",$B:$B,"&lt;&gt;Lorena Dias de Araujo",$B:$B,"&lt;&gt;Lucas Luiz Romero")*(28/1083),IF(C630="Técnico I",SUMIFS($D:$D,$A:$A,$A630,$B:$B,"&lt;&gt;Patrícia Karla de Sousa Araújo",$B:$B,"&lt;&gt;Lorena Dias de Araujo",$B:$B,"&lt;&gt;Lucas Luiz Romero")*(23/1083),IF(C630="JR",SUMIFS($D:$D,$A:$A,$A630,$B:$B,"&lt;&gt;Patrícia Karla de Sousa Araújo",$B:$B,"&lt;&gt;Lorena Dias de Araujo",$B:$B,"&lt;&gt;Lucas Luiz Romero")*(20/1083),IF(C630="Estágio",SUMIFS($D:$D,$A:$A,$A630,$B:$B,"&lt;&gt;Patrícia Karla de Sousa Araújo",$B:$B,"&lt;&gt;Lorena Dias de Araujo",$B:$B,"&lt;&gt;Lucas Luiz Romero")*(10/1083),0)))))),0)</f>
        <v/>
      </c>
      <c r="K630" s="3">
        <f>I630-J630</f>
        <v/>
      </c>
      <c r="L630" s="3">
        <f>IF(K630&lt;-5,"CRÍTICO",IF(K630&lt;0,"ATENÇÃO",IF(K630&lt;=5,"OPORTUNO","MUITO BOM")))</f>
        <v/>
      </c>
      <c r="M630" s="3" t="n">
        <v>22</v>
      </c>
      <c r="N630" s="3" t="n">
        <v>91.84999999999999</v>
      </c>
      <c r="O630" s="3" t="n">
        <v>20.87155963302752</v>
      </c>
    </row>
    <row r="631" hidden="1">
      <c r="A631" s="10" t="n">
        <v>46164</v>
      </c>
      <c r="B631" s="6" t="inlineStr">
        <is>
          <t>Damyllis Lorraine de Oliveira Gonçalves</t>
        </is>
      </c>
      <c r="C631" s="3" t="inlineStr">
        <is>
          <t>Técnico II</t>
        </is>
      </c>
      <c r="D631" s="3" t="n">
        <v>0</v>
      </c>
      <c r="E631" s="3" t="n">
        <v>0</v>
      </c>
      <c r="F631" s="3" t="n">
        <v>0</v>
      </c>
      <c r="G631" s="3" t="n">
        <v>0</v>
      </c>
      <c r="H631" s="3" t="n">
        <v>0</v>
      </c>
      <c r="I631" s="3" t="n">
        <v>0</v>
      </c>
      <c r="J631" s="3" t="n">
        <v>0</v>
      </c>
      <c r="K631" s="3" t="n">
        <v>0</v>
      </c>
      <c r="L631" s="3">
        <f>IF(K631&lt;-5,"CRÍTICO",IF(K631&lt;0,"ATENÇÃO",IF(K631&lt;=5,"OPORTUNO","MUITO BOM")))</f>
        <v/>
      </c>
      <c r="M631" s="3" t="n">
        <v>0</v>
      </c>
      <c r="N631" s="3" t="n">
        <v>98.63</v>
      </c>
      <c r="O631" s="3" t="n">
        <v>18.75</v>
      </c>
    </row>
    <row r="632" hidden="1">
      <c r="A632" s="10" t="n">
        <v>46164</v>
      </c>
      <c r="B632" s="6" t="inlineStr">
        <is>
          <t>Daniel Gomes da Silva</t>
        </is>
      </c>
      <c r="C632" s="3" t="inlineStr">
        <is>
          <t>Técnico I</t>
        </is>
      </c>
      <c r="D632" s="3" t="n">
        <v>24</v>
      </c>
      <c r="E632" s="3" t="n">
        <v>23</v>
      </c>
      <c r="F632" s="3" t="n">
        <v>10.35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IF(K632&lt;-5,"CRÍTICO",IF(K632&lt;0,"ATENÇÃO",IF(K632&lt;=5,"OPORTUNO","MUITO BOM")))</f>
        <v/>
      </c>
      <c r="M632" s="3" t="n">
        <v>18</v>
      </c>
      <c r="N632" s="3" t="n">
        <v>100</v>
      </c>
      <c r="O632" s="3" t="n">
        <v>18.14516129032258</v>
      </c>
    </row>
    <row r="633" hidden="1">
      <c r="A633" s="10" t="n">
        <v>46164</v>
      </c>
      <c r="B633" s="6" t="inlineStr">
        <is>
          <t>Davylla Rodrigues Freitas Silva</t>
        </is>
      </c>
      <c r="C633" s="3" t="inlineStr">
        <is>
          <t>Técnico III</t>
        </is>
      </c>
      <c r="D633" s="3" t="n">
        <v>0</v>
      </c>
      <c r="E633" s="3" t="n">
        <v>0</v>
      </c>
      <c r="F633" s="3" t="n">
        <v>0</v>
      </c>
      <c r="G633" s="3" t="n">
        <v>0</v>
      </c>
      <c r="H633" s="3" t="n">
        <v>0</v>
      </c>
      <c r="I633" s="3" t="n">
        <v>0</v>
      </c>
      <c r="J633" s="3" t="n">
        <v>0</v>
      </c>
      <c r="K633" s="3" t="n">
        <v>0</v>
      </c>
      <c r="L633" s="3">
        <f>IF(K633&lt;-5,"CRÍTICO",IF(K633&lt;0,"ATENÇÃO",IF(K633&lt;=5,"OPORTUNO","MUITO BOM")))</f>
        <v/>
      </c>
      <c r="M633" s="3" t="n">
        <v>0</v>
      </c>
      <c r="N633" s="3" t="n">
        <v>99.06</v>
      </c>
      <c r="O633" s="3" t="n">
        <v>22.95719844357977</v>
      </c>
    </row>
    <row r="634" hidden="1">
      <c r="A634" s="10" t="n">
        <v>46164</v>
      </c>
      <c r="B634" s="6" t="inlineStr">
        <is>
          <t>Emilly Caylane Costa</t>
        </is>
      </c>
      <c r="C634" s="3" t="inlineStr">
        <is>
          <t>Estágio</t>
        </is>
      </c>
      <c r="D634" s="3" t="n">
        <v>6</v>
      </c>
      <c r="E634" s="3" t="n">
        <v>6</v>
      </c>
      <c r="F634" s="3" t="n">
        <v>36.58</v>
      </c>
      <c r="G634" s="3" t="n">
        <v>0</v>
      </c>
      <c r="H634" s="3" t="n">
        <v>0</v>
      </c>
      <c r="I634" s="3">
        <f>E634+G634+H634</f>
        <v/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/>
      </c>
      <c r="K634" s="3">
        <f>I634-J634</f>
        <v/>
      </c>
      <c r="L634" s="3">
        <f>IF(K634&lt;-5,"CRÍTICO",IF(K634&lt;0,"ATENÇÃO",IF(K634&lt;=5,"OPORTUNO","MUITO BOM")))</f>
        <v/>
      </c>
      <c r="M634" s="3" t="n">
        <v>6</v>
      </c>
      <c r="N634" s="3" t="n">
        <v>100</v>
      </c>
      <c r="O634" s="3" t="n">
        <v>29.03225806451613</v>
      </c>
    </row>
    <row r="635" hidden="1">
      <c r="A635" s="10" t="n">
        <v>46164</v>
      </c>
      <c r="B635" s="6" t="inlineStr">
        <is>
          <t>Emilly Kamilly Medeiros Miranda</t>
        </is>
      </c>
      <c r="C635" s="3" t="inlineStr">
        <is>
          <t>Técnico II</t>
        </is>
      </c>
      <c r="D635" s="3" t="n">
        <v>17</v>
      </c>
      <c r="E635" s="3" t="n">
        <v>14</v>
      </c>
      <c r="F635" s="3" t="n">
        <v>13.23</v>
      </c>
      <c r="G635" s="3" t="n">
        <v>1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IF(K635&lt;-5,"CRÍTICO",IF(K635&lt;0,"ATENÇÃO",IF(K635&lt;=5,"OPORTUNO","MUITO BOM")))</f>
        <v/>
      </c>
      <c r="M635" s="3" t="n">
        <v>15</v>
      </c>
      <c r="N635" s="3" t="n">
        <v>100</v>
      </c>
      <c r="O635" s="3" t="n">
        <v>13.8121546961326</v>
      </c>
    </row>
    <row r="636" hidden="1">
      <c r="A636" s="10" t="n">
        <v>46164</v>
      </c>
      <c r="B636" s="6" t="inlineStr">
        <is>
          <t>Francielson de Oliveira</t>
        </is>
      </c>
      <c r="C636" s="3" t="inlineStr">
        <is>
          <t>Técnico III</t>
        </is>
      </c>
      <c r="D636" s="3" t="n">
        <v>12</v>
      </c>
      <c r="E636" s="3" t="n">
        <v>11</v>
      </c>
      <c r="F636" s="3" t="n">
        <v>12.15</v>
      </c>
      <c r="G636" s="3" t="n">
        <v>1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IF(K636&lt;-5,"CRÍTICO",IF(K636&lt;0,"ATENÇÃO",IF(K636&lt;=5,"OPORTUNO","MUITO BOM")))</f>
        <v/>
      </c>
      <c r="M636" s="3" t="n">
        <v>10</v>
      </c>
      <c r="N636" s="3" t="n">
        <v>100</v>
      </c>
      <c r="O636" s="3" t="n">
        <v>9.523809523809524</v>
      </c>
    </row>
    <row r="637" hidden="1">
      <c r="A637" s="10" t="n">
        <v>46164</v>
      </c>
      <c r="B637" s="6" t="inlineStr">
        <is>
          <t>Francilene Ferreira de Jesus</t>
        </is>
      </c>
      <c r="C637" s="3" t="inlineStr">
        <is>
          <t>Técnico II</t>
        </is>
      </c>
      <c r="D637" s="3" t="n">
        <v>0</v>
      </c>
      <c r="E637" s="3" t="n">
        <v>0</v>
      </c>
      <c r="F637" s="3" t="n">
        <v>0</v>
      </c>
      <c r="G637" s="3" t="n">
        <v>0</v>
      </c>
      <c r="H637" s="3" t="n">
        <v>0</v>
      </c>
      <c r="I637" s="3" t="n">
        <v>0</v>
      </c>
      <c r="J637" s="3" t="n">
        <v>0</v>
      </c>
      <c r="K637" s="3" t="n">
        <v>0</v>
      </c>
      <c r="L637" s="3">
        <f>IF(K637&lt;-5,"CRÍTICO",IF(K637&lt;0,"ATENÇÃO",IF(K637&lt;=5,"OPORTUNO","MUITO BOM")))</f>
        <v/>
      </c>
      <c r="M637" s="3" t="n">
        <v>0</v>
      </c>
      <c r="N637" s="3" t="n">
        <v>100</v>
      </c>
      <c r="O637" s="3" t="n">
        <v>17.24137931034483</v>
      </c>
    </row>
    <row r="638">
      <c r="A638" s="10" t="n">
        <v>46164</v>
      </c>
      <c r="B638" s="6" t="inlineStr">
        <is>
          <t>Gabriel Alves</t>
        </is>
      </c>
      <c r="C638" s="3" t="inlineStr">
        <is>
          <t>Estágio</t>
        </is>
      </c>
      <c r="D638" s="3" t="n">
        <v>0</v>
      </c>
      <c r="E638" s="3" t="n">
        <v>0</v>
      </c>
      <c r="F638" s="3" t="n">
        <v>0</v>
      </c>
      <c r="G638" s="3" t="n">
        <v>0</v>
      </c>
      <c r="H638" s="3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IF(K638&lt;-5,"CRÍTICO",IF(K638&lt;0,"ATENÇÃO",IF(K638&lt;=5,"OPORTUNO","MUITO BOM")))</f>
        <v/>
      </c>
      <c r="M638" s="3" t="n">
        <v>0</v>
      </c>
      <c r="N638" s="3" t="n">
        <v>100</v>
      </c>
      <c r="O638" s="3" t="n">
        <v>14.28571428571428</v>
      </c>
    </row>
    <row r="639">
      <c r="A639" s="10" t="n">
        <v>46164</v>
      </c>
      <c r="B639" s="6" t="inlineStr">
        <is>
          <t>Gabriel Gomes de Andrade</t>
        </is>
      </c>
      <c r="C639" s="3" t="inlineStr">
        <is>
          <t>Técnico I</t>
        </is>
      </c>
      <c r="D639" s="3" t="n">
        <v>8</v>
      </c>
      <c r="E639" s="3" t="n">
        <v>7</v>
      </c>
      <c r="F639" s="3" t="n">
        <v>18.34</v>
      </c>
      <c r="G639" s="3" t="n">
        <v>0</v>
      </c>
      <c r="H639" s="3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IF(K639&lt;-5,"CRÍTICO",IF(K639&lt;0,"ATENÇÃO",IF(K639&lt;=5,"OPORTUNO","MUITO BOM")))</f>
        <v/>
      </c>
      <c r="M639" s="3" t="n">
        <v>7</v>
      </c>
      <c r="N639" s="3" t="n">
        <v>98.8</v>
      </c>
      <c r="O639" s="3" t="n">
        <v>15.41353383458646</v>
      </c>
    </row>
    <row r="640" hidden="1">
      <c r="A640" s="10" t="n">
        <v>46164</v>
      </c>
      <c r="B640" s="6" t="inlineStr">
        <is>
          <t>Isabella Borges de Oliveira</t>
        </is>
      </c>
      <c r="C640" s="3" t="inlineStr">
        <is>
          <t>Técnico II</t>
        </is>
      </c>
      <c r="D640" s="3" t="n">
        <v>15</v>
      </c>
      <c r="E640" s="3" t="n">
        <v>15</v>
      </c>
      <c r="F640" s="3" t="n">
        <v>28.35</v>
      </c>
      <c r="G640" s="3" t="n">
        <v>0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IF(K640&lt;-5,"CRÍTICO",IF(K640&lt;0,"ATENÇÃO",IF(K640&lt;=5,"OPORTUNO","MUITO BOM")))</f>
        <v/>
      </c>
      <c r="M640" s="3" t="n">
        <v>14</v>
      </c>
      <c r="N640" s="3" t="n">
        <v>98.63</v>
      </c>
      <c r="O640" s="3" t="n">
        <v>15.75757575757576</v>
      </c>
    </row>
    <row r="641" hidden="1">
      <c r="A641" s="10" t="n">
        <v>46164</v>
      </c>
      <c r="B641" s="6" t="inlineStr">
        <is>
          <t>Janaina Lima dos Reis Urany</t>
        </is>
      </c>
      <c r="C641" s="3" t="inlineStr">
        <is>
          <t>Técnico III</t>
        </is>
      </c>
      <c r="D641" s="3" t="n">
        <v>28</v>
      </c>
      <c r="E641" s="3" t="n">
        <v>26</v>
      </c>
      <c r="F641" s="3" t="n">
        <v>12.35</v>
      </c>
      <c r="G641" s="3" t="n">
        <v>5</v>
      </c>
      <c r="H641" s="3" t="n">
        <v>0</v>
      </c>
      <c r="I641" s="3">
        <f>E641+G641+H641</f>
        <v/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/>
      </c>
      <c r="K641" s="3">
        <f>I641-J641</f>
        <v/>
      </c>
      <c r="L641" s="3">
        <f>IF(K641&lt;-5,"CRÍTICO",IF(K641&lt;0,"ATENÇÃO",IF(K641&lt;=5,"OPORTUNO","MUITO BOM")))</f>
        <v/>
      </c>
      <c r="M641" s="3" t="n">
        <v>23</v>
      </c>
      <c r="N641" s="3" t="n">
        <v>98.64</v>
      </c>
      <c r="O641" s="3" t="n">
        <v>16.6383701188455</v>
      </c>
    </row>
    <row r="642" hidden="1">
      <c r="A642" s="10" t="n">
        <v>46164</v>
      </c>
      <c r="B642" s="6" t="inlineStr">
        <is>
          <t>Jaqueline Evangelista da Silva Martins</t>
        </is>
      </c>
      <c r="C642" s="3" t="inlineStr">
        <is>
          <t>Técnico III</t>
        </is>
      </c>
      <c r="D642" s="3" t="n">
        <v>14</v>
      </c>
      <c r="E642" s="3" t="n">
        <v>14</v>
      </c>
      <c r="F642" s="3" t="n">
        <v>21.55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IF(K642&lt;-5,"CRÍTICO",IF(K642&lt;0,"ATENÇÃO",IF(K642&lt;=5,"OPORTUNO","MUITO BOM")))</f>
        <v/>
      </c>
      <c r="M642" s="3" t="n">
        <v>14</v>
      </c>
      <c r="N642" s="3" t="n">
        <v>95.40000000000001</v>
      </c>
      <c r="O642" s="3" t="n">
        <v>20.53333333333333</v>
      </c>
    </row>
    <row r="643" hidden="1">
      <c r="A643" s="10" t="n">
        <v>46164</v>
      </c>
      <c r="B643" s="6" t="inlineStr">
        <is>
          <t>Jessica Faria da Silveira</t>
        </is>
      </c>
      <c r="C643" s="3" t="inlineStr">
        <is>
          <t>Técnico II</t>
        </is>
      </c>
      <c r="D643" s="3" t="n">
        <v>13</v>
      </c>
      <c r="E643" s="3" t="n">
        <v>12</v>
      </c>
      <c r="F643" s="3" t="n">
        <v>11.42</v>
      </c>
      <c r="G643" s="3" t="n">
        <v>1</v>
      </c>
      <c r="H643" s="3" t="n">
        <v>0</v>
      </c>
      <c r="I643" s="3">
        <f>E643+G643+H643</f>
        <v/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/>
      </c>
      <c r="K643" s="3">
        <f>I643-J643</f>
        <v/>
      </c>
      <c r="L643" s="3">
        <f>IF(K643&lt;-5,"CRÍTICO",IF(K643&lt;0,"ATENÇÃO",IF(K643&lt;=5,"OPORTUNO","MUITO BOM")))</f>
        <v/>
      </c>
      <c r="M643" s="3" t="n">
        <v>10</v>
      </c>
      <c r="N643" s="3" t="n">
        <v>98.61</v>
      </c>
      <c r="O643" s="3" t="n">
        <v>16.97530864197531</v>
      </c>
    </row>
    <row r="644" hidden="1">
      <c r="A644" s="10" t="n">
        <v>46164</v>
      </c>
      <c r="B644" s="6" t="inlineStr">
        <is>
          <t>Jéssica Fé Moura</t>
        </is>
      </c>
      <c r="C644" s="3" t="inlineStr">
        <is>
          <t>Técnico III</t>
        </is>
      </c>
      <c r="D644" s="3" t="n">
        <v>38</v>
      </c>
      <c r="E644" s="3" t="n">
        <v>36</v>
      </c>
      <c r="F644" s="3" t="n">
        <v>20.2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IF(K644&lt;-5,"CRÍTICO",IF(K644&lt;0,"ATENÇÃO",IF(K644&lt;=5,"OPORTUNO","MUITO BOM")))</f>
        <v/>
      </c>
      <c r="M644" s="3" t="n">
        <v>0</v>
      </c>
      <c r="N644" s="3" t="n">
        <v>0</v>
      </c>
      <c r="O644" s="3" t="n">
        <v>0</v>
      </c>
    </row>
    <row r="645" hidden="1">
      <c r="A645" s="10" t="n">
        <v>46164</v>
      </c>
      <c r="B645" s="6" t="inlineStr">
        <is>
          <t>Karina Gonçalves Martins</t>
        </is>
      </c>
      <c r="C645" s="3" t="inlineStr">
        <is>
          <t>JR</t>
        </is>
      </c>
      <c r="D645" s="3" t="n">
        <v>19</v>
      </c>
      <c r="E645" s="3" t="n">
        <v>19</v>
      </c>
      <c r="F645" s="3" t="n">
        <v>21.43</v>
      </c>
      <c r="G645" s="3" t="n">
        <v>0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IF(K645&lt;-5,"CRÍTICO",IF(K645&lt;0,"ATENÇÃO",IF(K645&lt;=5,"OPORTUNO","MUITO BOM")))</f>
        <v/>
      </c>
      <c r="M645" s="3" t="n">
        <v>20</v>
      </c>
      <c r="N645" s="3" t="n">
        <v>97.01000000000001</v>
      </c>
      <c r="O645" s="3" t="n">
        <v>13.96103896103896</v>
      </c>
    </row>
    <row r="646" hidden="1">
      <c r="A646" s="10" t="n">
        <v>46164</v>
      </c>
      <c r="B646" s="6" t="inlineStr">
        <is>
          <t>Kerollen Cristielly de Jesus Siqueira</t>
        </is>
      </c>
      <c r="C646" s="3" t="inlineStr">
        <is>
          <t>Técnico III</t>
        </is>
      </c>
      <c r="D646" s="3" t="n">
        <v>19</v>
      </c>
      <c r="E646" s="3" t="n">
        <v>19</v>
      </c>
      <c r="F646" s="3" t="n">
        <v>16.57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IF(K646&lt;-5,"CRÍTICO",IF(K646&lt;0,"ATENÇÃO",IF(K646&lt;=5,"OPORTUNO","MUITO BOM")))</f>
        <v/>
      </c>
      <c r="M646" s="3" t="n">
        <v>21</v>
      </c>
      <c r="N646" s="3" t="n">
        <v>95.52</v>
      </c>
      <c r="O646" s="3" t="n">
        <v>10.56105610561056</v>
      </c>
    </row>
    <row r="647" hidden="1">
      <c r="A647" s="10" t="n">
        <v>46164</v>
      </c>
      <c r="B647" s="6" t="inlineStr">
        <is>
          <t>Leandro de Souza Silva</t>
        </is>
      </c>
      <c r="C647" s="3" t="inlineStr">
        <is>
          <t>JR</t>
        </is>
      </c>
      <c r="D647" s="3" t="n">
        <v>10</v>
      </c>
      <c r="E647" s="3" t="n">
        <v>10</v>
      </c>
      <c r="F647" s="3" t="n">
        <v>27.18</v>
      </c>
      <c r="G647" s="3" t="n">
        <v>2</v>
      </c>
      <c r="H647" s="3" t="n">
        <v>0</v>
      </c>
      <c r="I647" s="3">
        <f>E647+G647+H647</f>
        <v/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/>
      </c>
      <c r="K647" s="3">
        <f>I647-J647</f>
        <v/>
      </c>
      <c r="L647" s="3">
        <f>IF(K647&lt;-5,"CRÍTICO",IF(K647&lt;0,"ATENÇÃO",IF(K647&lt;=5,"OPORTUNO","MUITO BOM")))</f>
        <v/>
      </c>
      <c r="M647" s="3" t="n">
        <v>8</v>
      </c>
      <c r="N647" s="3" t="n">
        <v>100</v>
      </c>
      <c r="O647" s="3" t="n">
        <v>16.95906432748538</v>
      </c>
    </row>
    <row r="648" hidden="1">
      <c r="A648" s="10" t="n">
        <v>46164</v>
      </c>
      <c r="B648" s="6" t="inlineStr">
        <is>
          <t>Leandro Oliveira de Sousa</t>
        </is>
      </c>
      <c r="C648" s="3" t="inlineStr">
        <is>
          <t>Técnico III</t>
        </is>
      </c>
      <c r="D648" s="3" t="n">
        <v>21</v>
      </c>
      <c r="E648" s="3" t="n">
        <v>20</v>
      </c>
      <c r="F648" s="3" t="n">
        <v>16.59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IF(K648&lt;-5,"CRÍTICO",IF(K648&lt;0,"ATENÇÃO",IF(K648&lt;=5,"OPORTUNO","MUITO BOM")))</f>
        <v/>
      </c>
      <c r="M648" s="3" t="n">
        <v>20</v>
      </c>
      <c r="N648" s="3" t="n">
        <v>100</v>
      </c>
      <c r="O648" s="3" t="n">
        <v>15.58441558441558</v>
      </c>
    </row>
    <row r="649" hidden="1">
      <c r="A649" s="10" t="n">
        <v>46164</v>
      </c>
      <c r="B649" s="6" t="inlineStr">
        <is>
          <t>Lizandra Gomes Duarte</t>
        </is>
      </c>
      <c r="C649" s="3" t="inlineStr">
        <is>
          <t>Técnico II</t>
        </is>
      </c>
      <c r="D649" s="3" t="n">
        <v>19</v>
      </c>
      <c r="E649" s="3" t="n">
        <v>18</v>
      </c>
      <c r="F649" s="3" t="n">
        <v>20.48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IF(K649&lt;-5,"CRÍTICO",IF(K649&lt;0,"ATENÇÃO",IF(K649&lt;=5,"OPORTUNO","MUITO BOM")))</f>
        <v/>
      </c>
      <c r="M649" s="3" t="n">
        <v>18</v>
      </c>
      <c r="N649" s="3" t="n">
        <v>98.61</v>
      </c>
      <c r="O649" s="3" t="n">
        <v>16.86746987951807</v>
      </c>
    </row>
    <row r="650" hidden="1">
      <c r="A650" s="10" t="n">
        <v>46164</v>
      </c>
      <c r="B650" s="6" t="inlineStr">
        <is>
          <t>Lorena Dias de Araujo</t>
        </is>
      </c>
      <c r="C650" s="3" t="inlineStr">
        <is>
          <t>Técnico II</t>
        </is>
      </c>
      <c r="D650" s="3" t="n">
        <v>0</v>
      </c>
      <c r="E650" s="3" t="n">
        <v>0</v>
      </c>
      <c r="F650" s="3" t="n">
        <v>0</v>
      </c>
      <c r="G650" s="3" t="n">
        <v>0</v>
      </c>
      <c r="H650" s="3" t="n">
        <v>0</v>
      </c>
      <c r="I650" s="3" t="n">
        <v>0</v>
      </c>
      <c r="J650" s="3" t="n">
        <v>0</v>
      </c>
      <c r="K650" s="3" t="n">
        <v>0</v>
      </c>
      <c r="L650" s="3">
        <f>IF(K650&lt;-5,"CRÍTICO",IF(K650&lt;0,"ATENÇÃO",IF(K650&lt;=5,"OPORTUNO","MUITO BOM")))</f>
        <v/>
      </c>
      <c r="M650" s="3" t="n">
        <v>0</v>
      </c>
      <c r="N650" s="3" t="n">
        <v>100</v>
      </c>
      <c r="O650" s="3" t="n">
        <v>20.82018927444795</v>
      </c>
    </row>
    <row r="651" hidden="1">
      <c r="A651" s="10" t="n">
        <v>46164</v>
      </c>
      <c r="B651" s="6" t="inlineStr">
        <is>
          <t>Lucas Luiz Romero</t>
        </is>
      </c>
      <c r="C651" s="3" t="inlineStr">
        <is>
          <t>Técnico III</t>
        </is>
      </c>
      <c r="D651" s="3" t="n">
        <v>26</v>
      </c>
      <c r="E651" s="3" t="n">
        <v>19</v>
      </c>
      <c r="F651" s="3" t="n">
        <v>12.11</v>
      </c>
      <c r="G651" s="3" t="n">
        <v>0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IF(K651&lt;-5,"CRÍTICO",IF(K651&lt;0,"ATENÇÃO",IF(K651&lt;=5,"OPORTUNO","MUITO BOM")))</f>
        <v/>
      </c>
      <c r="M651" s="3" t="n">
        <v>15</v>
      </c>
      <c r="N651" s="3" t="n">
        <v>100</v>
      </c>
      <c r="O651" s="3" t="n">
        <v>4.347826086956522</v>
      </c>
    </row>
    <row r="652" hidden="1">
      <c r="A652" s="10" t="n">
        <v>46164</v>
      </c>
      <c r="B652" s="6" t="inlineStr">
        <is>
          <t>Luiz Fernando de Carvalho Junior</t>
        </is>
      </c>
      <c r="C652" s="3" t="inlineStr">
        <is>
          <t>Técnico I</t>
        </is>
      </c>
      <c r="D652" s="3" t="n">
        <v>8</v>
      </c>
      <c r="E652" s="3" t="n">
        <v>8</v>
      </c>
      <c r="F652" s="3" t="n">
        <v>32.37</v>
      </c>
      <c r="G652" s="3" t="n">
        <v>0</v>
      </c>
      <c r="H652" s="3" t="n">
        <v>0</v>
      </c>
      <c r="I652" s="3">
        <f>E652+G652+H652</f>
        <v/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/>
      </c>
      <c r="K652" s="3">
        <f>I652-J652</f>
        <v/>
      </c>
      <c r="L652" s="3">
        <f>IF(K652&lt;-5,"CRÍTICO",IF(K652&lt;0,"ATENÇÃO",IF(K652&lt;=5,"OPORTUNO","MUITO BOM")))</f>
        <v/>
      </c>
      <c r="M652" s="3" t="n">
        <v>8</v>
      </c>
      <c r="N652" s="3" t="n">
        <v>93.26000000000001</v>
      </c>
      <c r="O652" s="3" t="n">
        <v>19.93957703927493</v>
      </c>
    </row>
    <row r="653" hidden="1">
      <c r="A653" s="10" t="n">
        <v>46164</v>
      </c>
      <c r="B653" s="6" t="inlineStr">
        <is>
          <t>Maria Eduarda Sousa Costa</t>
        </is>
      </c>
      <c r="C653" s="3" t="inlineStr">
        <is>
          <t>Estágio</t>
        </is>
      </c>
      <c r="D653" s="3" t="n">
        <v>8</v>
      </c>
      <c r="E653" s="3" t="n">
        <v>8</v>
      </c>
      <c r="F653" s="3" t="n">
        <v>20.01</v>
      </c>
      <c r="G653" s="3" t="n">
        <v>0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IF(K653&lt;-5,"CRÍTICO",IF(K653&lt;0,"ATENÇÃO",IF(K653&lt;=5,"OPORTUNO","MUITO BOM")))</f>
        <v/>
      </c>
      <c r="M653" s="3" t="n">
        <v>6</v>
      </c>
      <c r="N653" s="3" t="n">
        <v>100</v>
      </c>
      <c r="O653" s="3" t="n">
        <v>11.86440677966102</v>
      </c>
    </row>
    <row r="654" hidden="1">
      <c r="A654" s="10" t="n">
        <v>46164</v>
      </c>
      <c r="B654" s="6" t="inlineStr">
        <is>
          <t>Matheus Farias De Souza</t>
        </is>
      </c>
      <c r="C654" s="3" t="inlineStr">
        <is>
          <t>Técnico III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IF(K654&lt;-5,"CRÍTICO",IF(K654&lt;0,"ATENÇÃO",IF(K654&lt;=5,"OPORTUNO","MUITO BOM")))</f>
        <v/>
      </c>
      <c r="M654" s="3" t="n">
        <v>3</v>
      </c>
      <c r="N654" s="3" t="n">
        <v>98.28</v>
      </c>
      <c r="O654" s="3" t="n">
        <v>9.037900874635568</v>
      </c>
    </row>
    <row r="655" hidden="1">
      <c r="A655" s="10" t="n">
        <v>46164</v>
      </c>
      <c r="B655" s="6" t="inlineStr">
        <is>
          <t>Maysa Victoria Dias Moura</t>
        </is>
      </c>
      <c r="C655" s="3" t="inlineStr">
        <is>
          <t>Técnico III</t>
        </is>
      </c>
      <c r="D655" s="3" t="n">
        <v>23</v>
      </c>
      <c r="E655" s="3" t="n">
        <v>20</v>
      </c>
      <c r="F655" s="3" t="n">
        <v>13.5</v>
      </c>
      <c r="G655" s="3" t="n">
        <v>5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IF(K655&lt;-5,"CRÍTICO",IF(K655&lt;0,"ATENÇÃO",IF(K655&lt;=5,"OPORTUNO","MUITO BOM")))</f>
        <v/>
      </c>
      <c r="M655" s="3" t="n">
        <v>16</v>
      </c>
      <c r="N655" s="3" t="n">
        <v>97.22</v>
      </c>
      <c r="O655" s="3" t="n">
        <v>19.09547738693467</v>
      </c>
    </row>
    <row r="656" hidden="1">
      <c r="A656" s="10" t="n">
        <v>46164</v>
      </c>
      <c r="B656" s="6" t="inlineStr">
        <is>
          <t>Michelle G Santos</t>
        </is>
      </c>
      <c r="C656" s="3" t="inlineStr">
        <is>
          <t>Estágio</t>
        </is>
      </c>
      <c r="D656" s="3" t="n">
        <v>15</v>
      </c>
      <c r="E656" s="3" t="n">
        <v>14</v>
      </c>
      <c r="F656" s="3" t="n">
        <v>31.4</v>
      </c>
      <c r="G656" s="3" t="n">
        <v>0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IF(K656&lt;-5,"CRÍTICO",IF(K656&lt;0,"ATENÇÃO",IF(K656&lt;=5,"OPORTUNO","MUITO BOM")))</f>
        <v/>
      </c>
      <c r="M656" s="3" t="n">
        <v>11</v>
      </c>
      <c r="N656" s="3" t="n">
        <v>100</v>
      </c>
      <c r="O656" s="3" t="n">
        <v>16.8141592920354</v>
      </c>
    </row>
    <row r="657" hidden="1">
      <c r="A657" s="10" t="n">
        <v>46164</v>
      </c>
      <c r="B657" s="6" t="inlineStr">
        <is>
          <t>Milena Sales</t>
        </is>
      </c>
      <c r="C657" s="3" t="inlineStr">
        <is>
          <t>JR</t>
        </is>
      </c>
      <c r="D657" s="3" t="n">
        <v>21</v>
      </c>
      <c r="E657" s="3" t="n">
        <v>18</v>
      </c>
      <c r="F657" s="3" t="n">
        <v>13.49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IF(K657&lt;-5,"CRÍTICO",IF(K657&lt;0,"ATENÇÃO",IF(K657&lt;=5,"OPORTUNO","MUITO BOM")))</f>
        <v/>
      </c>
      <c r="M657" s="3" t="n">
        <v>16</v>
      </c>
      <c r="N657" s="3" t="n">
        <v>98</v>
      </c>
      <c r="O657" s="3" t="n">
        <v>16.43835616438356</v>
      </c>
    </row>
    <row r="658" hidden="1">
      <c r="A658" s="10" t="n">
        <v>46164</v>
      </c>
      <c r="B658" s="6" t="inlineStr">
        <is>
          <t>Patrícia Karla de Sousa Araújo</t>
        </is>
      </c>
      <c r="C658" s="3" t="inlineStr">
        <is>
          <t>Técnico II</t>
        </is>
      </c>
      <c r="D658" s="3" t="n">
        <v>17</v>
      </c>
      <c r="E658" s="3" t="n">
        <v>17</v>
      </c>
      <c r="F658" s="3" t="n">
        <v>22.2</v>
      </c>
      <c r="G658" s="3" t="n">
        <v>0</v>
      </c>
      <c r="H658" s="3" t="n">
        <v>0</v>
      </c>
      <c r="I658" s="3">
        <f>E658+G658+H658</f>
        <v/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/>
      </c>
      <c r="K658" s="3">
        <f>I658-J658</f>
        <v/>
      </c>
      <c r="L658" s="3">
        <f>IF(K658&lt;-5,"CRÍTICO",IF(K658&lt;0,"ATENÇÃO",IF(K658&lt;=5,"OPORTUNO","MUITO BOM")))</f>
        <v/>
      </c>
      <c r="M658" s="3" t="n">
        <v>12</v>
      </c>
      <c r="N658" s="3" t="n">
        <v>100</v>
      </c>
      <c r="O658" s="3" t="n">
        <v>16.89497716894977</v>
      </c>
    </row>
    <row r="659" hidden="1">
      <c r="A659" s="10" t="n">
        <v>46164</v>
      </c>
      <c r="B659" s="6" t="inlineStr">
        <is>
          <t>Paulo Ricardo Santos</t>
        </is>
      </c>
      <c r="C659" s="3" t="inlineStr">
        <is>
          <t>JR</t>
        </is>
      </c>
      <c r="D659" s="3" t="n">
        <v>13</v>
      </c>
      <c r="E659" s="3" t="n">
        <v>13</v>
      </c>
      <c r="F659" s="3" t="n">
        <v>27</v>
      </c>
      <c r="G659" s="3" t="n">
        <v>4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IF(K659&lt;-5,"CRÍTICO",IF(K659&lt;0,"ATENÇÃO",IF(K659&lt;=5,"OPORTUNO","MUITO BOM")))</f>
        <v/>
      </c>
      <c r="M659" s="3" t="n">
        <v>9</v>
      </c>
      <c r="N659" s="3" t="n">
        <v>100</v>
      </c>
      <c r="O659" s="3" t="n">
        <v>19.13875598086124</v>
      </c>
    </row>
    <row r="660" hidden="1">
      <c r="A660" s="10" t="n">
        <v>46164</v>
      </c>
      <c r="B660" s="6" t="inlineStr">
        <is>
          <t>Pedro Luiz Mota Sousa</t>
        </is>
      </c>
      <c r="C660" s="3" t="inlineStr">
        <is>
          <t>JR</t>
        </is>
      </c>
      <c r="D660" s="3" t="n">
        <v>17</v>
      </c>
      <c r="E660" s="3" t="n">
        <v>17</v>
      </c>
      <c r="F660" s="3" t="n">
        <v>17.24</v>
      </c>
      <c r="G660" s="3" t="n">
        <v>2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IF(K660&lt;-5,"CRÍTICO",IF(K660&lt;0,"ATENÇÃO",IF(K660&lt;=5,"OPORTUNO","MUITO BOM")))</f>
        <v/>
      </c>
      <c r="M660" s="3" t="n">
        <v>15</v>
      </c>
      <c r="N660" s="3" t="n">
        <v>100</v>
      </c>
      <c r="O660" s="3" t="n">
        <v>15.02145922746781</v>
      </c>
    </row>
    <row r="661" hidden="1">
      <c r="A661" s="10" t="n">
        <v>46164</v>
      </c>
      <c r="B661" s="6" t="inlineStr">
        <is>
          <t>Quirino Diogo Leite Torres</t>
        </is>
      </c>
      <c r="C661" s="3" t="inlineStr">
        <is>
          <t>Estágio</t>
        </is>
      </c>
      <c r="D661" s="3" t="n">
        <v>17</v>
      </c>
      <c r="E661" s="3" t="n">
        <v>15</v>
      </c>
      <c r="F661" s="3" t="n">
        <v>25.36</v>
      </c>
      <c r="G661" s="3" t="n">
        <v>0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IF(K661&lt;-5,"CRÍTICO",IF(K661&lt;0,"ATENÇÃO",IF(K661&lt;=5,"OPORTUNO","MUITO BOM")))</f>
        <v/>
      </c>
      <c r="M661" s="3" t="n">
        <v>9</v>
      </c>
      <c r="N661" s="3" t="n">
        <v>98.11</v>
      </c>
      <c r="O661" s="3" t="n">
        <v>20.40816326530612</v>
      </c>
    </row>
    <row r="662" hidden="1">
      <c r="A662" s="10" t="n">
        <v>46164</v>
      </c>
      <c r="B662" s="6" t="inlineStr">
        <is>
          <t>Raane Batista Matos</t>
        </is>
      </c>
      <c r="C662" s="3" t="inlineStr">
        <is>
          <t>Técnico I</t>
        </is>
      </c>
      <c r="D662" s="3" t="n">
        <v>18</v>
      </c>
      <c r="E662" s="3" t="n">
        <v>18</v>
      </c>
      <c r="F662" s="3" t="n">
        <v>20.45</v>
      </c>
      <c r="G662" s="3" t="n">
        <v>2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IF(K662&lt;-5,"CRÍTICO",IF(K662&lt;0,"ATENÇÃO",IF(K662&lt;=5,"OPORTUNO","MUITO BOM")))</f>
        <v/>
      </c>
      <c r="M662" s="3" t="n">
        <v>12</v>
      </c>
      <c r="N662" s="3" t="n">
        <v>97.56</v>
      </c>
      <c r="O662" s="3" t="n">
        <v>19.28783382789317</v>
      </c>
    </row>
    <row r="663" hidden="1">
      <c r="A663" s="10" t="n">
        <v>46164</v>
      </c>
      <c r="B663" s="6" t="inlineStr">
        <is>
          <t>Rafael Gomes de Morais</t>
        </is>
      </c>
      <c r="C663" s="3" t="inlineStr">
        <is>
          <t>Técnico III</t>
        </is>
      </c>
      <c r="D663" s="3" t="n">
        <v>25</v>
      </c>
      <c r="E663" s="3" t="n">
        <v>22</v>
      </c>
      <c r="F663" s="3" t="n">
        <v>13.32</v>
      </c>
      <c r="G663" s="3" t="n">
        <v>0</v>
      </c>
      <c r="H663" s="3" t="n">
        <v>0</v>
      </c>
      <c r="I663" s="3">
        <f>E663+G663+H663</f>
        <v/>
      </c>
      <c r="J663" s="3">
        <f>ROUND(MIN(IF(C663="Técnico III",35,IF(C663="Técnico II",28,IF(C663="Técnico I",23,IF(C663="JR",20,IF(C663="Estágio",10,0))))),IF(C663="Técnico III",SUMIFS($D:$D,$A:$A,$A663,$B:$B,"&lt;&gt;Patrícia Karla de Sousa Araújo",$B:$B,"&lt;&gt;Lorena Dias de Araujo",$B:$B,"&lt;&gt;Lucas Luiz Romero")*(35/1083),IF(C663="Técnico II",SUMIFS($D:$D,$A:$A,$A663,$B:$B,"&lt;&gt;Patrícia Karla de Sousa Araújo",$B:$B,"&lt;&gt;Lorena Dias de Araujo",$B:$B,"&lt;&gt;Lucas Luiz Romero")*(28/1083),IF(C663="Técnico I",SUMIFS($D:$D,$A:$A,$A663,$B:$B,"&lt;&gt;Patrícia Karla de Sousa Araújo",$B:$B,"&lt;&gt;Lorena Dias de Araujo",$B:$B,"&lt;&gt;Lucas Luiz Romero")*(23/1083),IF(C663="JR",SUMIFS($D:$D,$A:$A,$A663,$B:$B,"&lt;&gt;Patrícia Karla de Sousa Araújo",$B:$B,"&lt;&gt;Lorena Dias de Araujo",$B:$B,"&lt;&gt;Lucas Luiz Romero")*(20/1083),IF(C663="Estágio",SUMIFS($D:$D,$A:$A,$A663,$B:$B,"&lt;&gt;Patrícia Karla de Sousa Araújo",$B:$B,"&lt;&gt;Lorena Dias de Araujo",$B:$B,"&lt;&gt;Lucas Luiz Romero")*(10/1083),0)))))),0)</f>
        <v/>
      </c>
      <c r="K663" s="3">
        <f>I663-J663</f>
        <v/>
      </c>
      <c r="L663" s="3">
        <f>IF(K663&lt;-5,"CRÍTICO",IF(K663&lt;0,"ATENÇÃO",IF(K663&lt;=5,"OPORTUNO","MUITO BOM")))</f>
        <v/>
      </c>
      <c r="M663" s="3" t="n">
        <v>18</v>
      </c>
      <c r="N663" s="3" t="n">
        <v>99.29000000000001</v>
      </c>
      <c r="O663" s="3" t="n">
        <v>22.49443207126949</v>
      </c>
    </row>
    <row r="664" hidden="1">
      <c r="A664" s="10" t="n">
        <v>46164</v>
      </c>
      <c r="B664" s="6" t="inlineStr">
        <is>
          <t>Sara Maria Monteiro Lopes</t>
        </is>
      </c>
      <c r="C664" s="3" t="inlineStr">
        <is>
          <t>Técnico I</t>
        </is>
      </c>
      <c r="D664" s="3" t="n">
        <v>17</v>
      </c>
      <c r="E664" s="3" t="n">
        <v>16</v>
      </c>
      <c r="F664" s="3" t="n">
        <v>20.55</v>
      </c>
      <c r="G664" s="3" t="n">
        <v>1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IF(K664&lt;-5,"CRÍTICO",IF(K664&lt;0,"ATENÇÃO",IF(K664&lt;=5,"OPORTUNO","MUITO BOM")))</f>
        <v/>
      </c>
      <c r="M664" s="3" t="n">
        <v>17</v>
      </c>
      <c r="N664" s="3" t="n">
        <v>100</v>
      </c>
      <c r="O664" s="3" t="n">
        <v>16.97247706422019</v>
      </c>
    </row>
    <row r="665" hidden="1">
      <c r="A665" s="10" t="n">
        <v>46164</v>
      </c>
      <c r="B665" s="6" t="inlineStr">
        <is>
          <t>Sarah Steffanie de Lima Borges</t>
        </is>
      </c>
      <c r="C665" s="3" t="inlineStr">
        <is>
          <t>Técnico III</t>
        </is>
      </c>
      <c r="D665" s="3" t="n">
        <v>26</v>
      </c>
      <c r="E665" s="3" t="n">
        <v>22</v>
      </c>
      <c r="F665" s="3" t="n">
        <v>13.4</v>
      </c>
      <c r="G665" s="3" t="n">
        <v>0</v>
      </c>
      <c r="H665" s="3" t="n">
        <v>0</v>
      </c>
      <c r="I665" s="3">
        <f>E665+G665+H665</f>
        <v/>
      </c>
      <c r="J665" s="3">
        <f>ROUND(MIN(IF(C665="Técnico III",35,IF(C665="Técnico II",28,IF(C665="Técnico I",23,IF(C665="JR",20,IF(C665="Estágio",10,0))))),IF(C665="Técnico III",SUMIFS($D:$D,$A:$A,$A665,$B:$B,"&lt;&gt;Patrícia Karla de Sousa Araújo",$B:$B,"&lt;&gt;Lorena Dias de Araujo",$B:$B,"&lt;&gt;Lucas Luiz Romero")*(35/1083),IF(C665="Técnico II",SUMIFS($D:$D,$A:$A,$A665,$B:$B,"&lt;&gt;Patrícia Karla de Sousa Araújo",$B:$B,"&lt;&gt;Lorena Dias de Araujo",$B:$B,"&lt;&gt;Lucas Luiz Romero")*(28/1083),IF(C665="Técnico I",SUMIFS($D:$D,$A:$A,$A665,$B:$B,"&lt;&gt;Patrícia Karla de Sousa Araújo",$B:$B,"&lt;&gt;Lorena Dias de Araujo",$B:$B,"&lt;&gt;Lucas Luiz Romero")*(23/1083),IF(C665="JR",SUMIFS($D:$D,$A:$A,$A665,$B:$B,"&lt;&gt;Patrícia Karla de Sousa Araújo",$B:$B,"&lt;&gt;Lorena Dias de Araujo",$B:$B,"&lt;&gt;Lucas Luiz Romero")*(20/1083),IF(C665="Estágio",SUMIFS($D:$D,$A:$A,$A665,$B:$B,"&lt;&gt;Patrícia Karla de Sousa Araújo",$B:$B,"&lt;&gt;Lorena Dias de Araujo",$B:$B,"&lt;&gt;Lucas Luiz Romero")*(10/1083),0)))))),0)</f>
        <v/>
      </c>
      <c r="K665" s="3">
        <f>I665-J665</f>
        <v/>
      </c>
      <c r="L665" s="3">
        <f>IF(K665&lt;-5,"CRÍTICO",IF(K665&lt;0,"ATENÇÃO",IF(K665&lt;=5,"OPORTUNO","MUITO BOM")))</f>
        <v/>
      </c>
      <c r="M665" s="3" t="n">
        <v>17</v>
      </c>
      <c r="N665" s="3" t="n">
        <v>97.33</v>
      </c>
      <c r="O665" s="3" t="n">
        <v>15.80547112462006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>
      <c r="D730" s="3" t="n">
        <v>0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</row>
    <row r="731">
      <c r="A731" s="11" t="n">
        <v>46167</v>
      </c>
      <c r="B731" t="inlineStr">
        <is>
          <t>Alisson de Freitas Silva</t>
        </is>
      </c>
      <c r="C731" t="inlineStr">
        <is>
          <t>Técnico II</t>
        </is>
      </c>
      <c r="D731" t="n">
        <v>0</v>
      </c>
      <c r="E731" t="n">
        <v>0</v>
      </c>
      <c r="F731" t="n">
        <v>0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</row>
    <row r="732">
      <c r="A732" s="11" t="n">
        <v>46167</v>
      </c>
      <c r="B732" t="inlineStr">
        <is>
          <t>Amanda Moura Ferreira</t>
        </is>
      </c>
      <c r="C732" t="inlineStr">
        <is>
          <t>Técnico III</t>
        </is>
      </c>
      <c r="D732" t="n">
        <v>0</v>
      </c>
      <c r="E732" t="n">
        <v>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</row>
    <row r="733">
      <c r="A733" s="11" t="n">
        <v>46167</v>
      </c>
      <c r="B733" t="inlineStr">
        <is>
          <t>Ana Karollyne Souza Faria</t>
        </is>
      </c>
      <c r="C733" t="inlineStr">
        <is>
          <t>Técnico I</t>
        </is>
      </c>
      <c r="D733" t="n">
        <v>0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</row>
    <row r="734">
      <c r="A734" s="11" t="n">
        <v>46167</v>
      </c>
      <c r="B734" t="inlineStr">
        <is>
          <t>Ana Paula Da Luz Silva Aleixo</t>
        </is>
      </c>
      <c r="C734" t="inlineStr">
        <is>
          <t>Técnico III</t>
        </is>
      </c>
      <c r="D734" t="n">
        <v>0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</row>
    <row r="735">
      <c r="A735" s="11" t="n">
        <v>46167</v>
      </c>
      <c r="B735" t="inlineStr">
        <is>
          <t>Anna Luiza Rezende Tavares</t>
        </is>
      </c>
      <c r="C735" t="inlineStr">
        <is>
          <t>JR</t>
        </is>
      </c>
      <c r="D735" t="n">
        <v>0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</row>
    <row r="736">
      <c r="A736" s="11" t="n">
        <v>46167</v>
      </c>
      <c r="B736" t="inlineStr">
        <is>
          <t>Brenda de Menezes Silva</t>
        </is>
      </c>
      <c r="C736" t="inlineStr">
        <is>
          <t>Técnico II</t>
        </is>
      </c>
      <c r="D736" t="n">
        <v>0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</row>
    <row r="737">
      <c r="A737" s="11" t="n">
        <v>46167</v>
      </c>
      <c r="B737" t="inlineStr">
        <is>
          <t>Carlos Mateus Cassimiro Nunes</t>
        </is>
      </c>
      <c r="C737" t="inlineStr">
        <is>
          <t>Técnico II</t>
        </is>
      </c>
      <c r="D737" t="n">
        <v>0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</row>
    <row r="738">
      <c r="A738" s="11" t="n">
        <v>46167</v>
      </c>
      <c r="B738" t="inlineStr">
        <is>
          <t>Claudio de Sousa Velasco Filho</t>
        </is>
      </c>
      <c r="C738" t="inlineStr">
        <is>
          <t>Estágio</t>
        </is>
      </c>
      <c r="D738" t="n">
        <v>0</v>
      </c>
      <c r="E738" t="n">
        <v>0</v>
      </c>
      <c r="F738" t="n">
        <v>0</v>
      </c>
      <c r="G738" t="n">
        <v>0</v>
      </c>
      <c r="H738" t="n">
        <v>0</v>
      </c>
      <c r="I738" t="n">
        <v>0</v>
      </c>
      <c r="J738" t="n">
        <v>0</v>
      </c>
      <c r="K738" t="n">
        <v>0</v>
      </c>
    </row>
    <row r="739">
      <c r="A739" s="11" t="n">
        <v>46167</v>
      </c>
      <c r="B739" t="inlineStr">
        <is>
          <t>Clessiane Pereira dos Santos</t>
        </is>
      </c>
      <c r="C739" t="inlineStr">
        <is>
          <t>Técnico I</t>
        </is>
      </c>
      <c r="D739" t="n">
        <v>0</v>
      </c>
      <c r="E739" t="n">
        <v>0</v>
      </c>
      <c r="F739" t="n">
        <v>0</v>
      </c>
      <c r="G739" t="n">
        <v>0</v>
      </c>
      <c r="H739" t="n">
        <v>0</v>
      </c>
      <c r="I739" t="n">
        <v>0</v>
      </c>
      <c r="J739" t="n">
        <v>0</v>
      </c>
      <c r="K739" t="n">
        <v>0</v>
      </c>
    </row>
    <row r="740">
      <c r="A740" s="11" t="n">
        <v>46167</v>
      </c>
      <c r="B740" t="inlineStr">
        <is>
          <t>Cristiane Ramos da Silva Rocha</t>
        </is>
      </c>
      <c r="C740" t="inlineStr">
        <is>
          <t>Técnico III</t>
        </is>
      </c>
      <c r="D740" t="n">
        <v>0</v>
      </c>
      <c r="E740" t="n">
        <v>0</v>
      </c>
      <c r="F740" t="n">
        <v>0</v>
      </c>
      <c r="G740" t="n">
        <v>0</v>
      </c>
      <c r="H740" t="n">
        <v>0</v>
      </c>
      <c r="I740" t="n">
        <v>0</v>
      </c>
      <c r="J740" t="n">
        <v>0</v>
      </c>
      <c r="K740" t="n">
        <v>0</v>
      </c>
    </row>
    <row r="741">
      <c r="A741" s="11" t="n">
        <v>46167</v>
      </c>
      <c r="B741" t="inlineStr">
        <is>
          <t>Damyllis Lorraine de Oliveira Gonçalves</t>
        </is>
      </c>
      <c r="C741" t="inlineStr">
        <is>
          <t>Técnico II</t>
        </is>
      </c>
      <c r="D741" t="n">
        <v>0</v>
      </c>
      <c r="E741" t="n">
        <v>0</v>
      </c>
      <c r="F741" t="n">
        <v>0</v>
      </c>
      <c r="G741" t="n">
        <v>0</v>
      </c>
      <c r="H741" t="n">
        <v>0</v>
      </c>
      <c r="I741" t="n">
        <v>0</v>
      </c>
      <c r="J741" t="n">
        <v>0</v>
      </c>
      <c r="K741" t="n">
        <v>0</v>
      </c>
    </row>
    <row r="742">
      <c r="A742" s="11" t="n">
        <v>46167</v>
      </c>
      <c r="B742" t="inlineStr">
        <is>
          <t>Daniel Gomes da Silva</t>
        </is>
      </c>
      <c r="C742" t="inlineStr">
        <is>
          <t>Técnico I</t>
        </is>
      </c>
      <c r="D742" t="n">
        <v>0</v>
      </c>
      <c r="E742" t="n">
        <v>0</v>
      </c>
      <c r="F742" t="n">
        <v>0</v>
      </c>
      <c r="G742" t="n">
        <v>0</v>
      </c>
      <c r="H742" t="n">
        <v>0</v>
      </c>
      <c r="I742" t="n">
        <v>0</v>
      </c>
      <c r="J742" t="n">
        <v>0</v>
      </c>
      <c r="K742" t="n">
        <v>0</v>
      </c>
    </row>
    <row r="743">
      <c r="A743" s="11" t="n">
        <v>46167</v>
      </c>
      <c r="B743" t="inlineStr">
        <is>
          <t>Davylla Rodrigues Freitas Silva</t>
        </is>
      </c>
      <c r="C743" t="inlineStr">
        <is>
          <t>Técnico III</t>
        </is>
      </c>
      <c r="D743" t="n">
        <v>0</v>
      </c>
      <c r="E743" t="n">
        <v>0</v>
      </c>
      <c r="F743" t="n">
        <v>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</row>
    <row r="744">
      <c r="A744" s="11" t="n">
        <v>46167</v>
      </c>
      <c r="B744" t="inlineStr">
        <is>
          <t>Emilly Caylane Costa</t>
        </is>
      </c>
      <c r="C744" t="inlineStr">
        <is>
          <t>Estágio</t>
        </is>
      </c>
      <c r="D744" t="n">
        <v>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</row>
    <row r="745">
      <c r="A745" s="11" t="n">
        <v>46167</v>
      </c>
      <c r="B745" t="inlineStr">
        <is>
          <t>Emilly Kamilly Medeiros Miranda</t>
        </is>
      </c>
      <c r="C745" t="inlineStr">
        <is>
          <t>Técnico II</t>
        </is>
      </c>
      <c r="D745" t="n">
        <v>0</v>
      </c>
      <c r="E745" t="n">
        <v>0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</row>
    <row r="746">
      <c r="A746" s="11" t="n">
        <v>46167</v>
      </c>
      <c r="B746" t="inlineStr">
        <is>
          <t>Francielson de Oliveira</t>
        </is>
      </c>
      <c r="C746" t="inlineStr">
        <is>
          <t>Técnico III</t>
        </is>
      </c>
      <c r="D746" t="n">
        <v>0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</row>
    <row r="747">
      <c r="A747" s="11" t="n">
        <v>46167</v>
      </c>
      <c r="B747" t="inlineStr">
        <is>
          <t>Francilene Ferreira de Jesus</t>
        </is>
      </c>
      <c r="C747" t="inlineStr">
        <is>
          <t>Técnico II</t>
        </is>
      </c>
      <c r="D747" t="n">
        <v>0</v>
      </c>
      <c r="E747" t="n">
        <v>0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</row>
    <row r="748">
      <c r="A748" s="11" t="n">
        <v>46167</v>
      </c>
      <c r="B748" t="inlineStr">
        <is>
          <t>Gabriel Alves</t>
        </is>
      </c>
      <c r="C748" t="inlineStr">
        <is>
          <t>Estágio</t>
        </is>
      </c>
      <c r="D748" t="n">
        <v>0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</row>
    <row r="749">
      <c r="A749" s="11" t="n">
        <v>46167</v>
      </c>
      <c r="B749" t="inlineStr">
        <is>
          <t>Gabriel Gomes de Andrade</t>
        </is>
      </c>
      <c r="C749" t="inlineStr">
        <is>
          <t>Técnico I</t>
        </is>
      </c>
      <c r="D749" t="n">
        <v>0</v>
      </c>
      <c r="E749" t="n">
        <v>0</v>
      </c>
      <c r="F749" t="n">
        <v>0</v>
      </c>
      <c r="G749" t="n">
        <v>0</v>
      </c>
      <c r="H749" t="n">
        <v>0</v>
      </c>
      <c r="I749" t="n">
        <v>0</v>
      </c>
      <c r="J749" t="n">
        <v>0</v>
      </c>
      <c r="K749" t="n">
        <v>0</v>
      </c>
    </row>
    <row r="750">
      <c r="A750" s="11" t="n">
        <v>46167</v>
      </c>
      <c r="B750" t="inlineStr">
        <is>
          <t>Isabella Borges de Oliveira</t>
        </is>
      </c>
      <c r="C750" t="inlineStr">
        <is>
          <t>Técnico II</t>
        </is>
      </c>
      <c r="D750" t="n">
        <v>0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</row>
    <row r="751">
      <c r="A751" s="11" t="n">
        <v>46167</v>
      </c>
      <c r="B751" t="inlineStr">
        <is>
          <t>Janaina Lima dos Reis Urany</t>
        </is>
      </c>
      <c r="C751" t="inlineStr">
        <is>
          <t>Técnico III</t>
        </is>
      </c>
      <c r="D751" t="n">
        <v>0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</row>
    <row r="752">
      <c r="A752" s="11" t="n">
        <v>46167</v>
      </c>
      <c r="B752" t="inlineStr">
        <is>
          <t>Jaqueline Evangelista da Silva Martins</t>
        </is>
      </c>
      <c r="C752" t="inlineStr">
        <is>
          <t>Técnico III</t>
        </is>
      </c>
      <c r="D752" t="n">
        <v>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</row>
    <row r="753">
      <c r="A753" s="11" t="n">
        <v>46167</v>
      </c>
      <c r="B753" t="inlineStr">
        <is>
          <t>Jessica Faria da Silveira</t>
        </is>
      </c>
      <c r="C753" t="inlineStr">
        <is>
          <t>Técnico II</t>
        </is>
      </c>
      <c r="D753" t="n">
        <v>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</row>
    <row r="754">
      <c r="A754" s="11" t="n">
        <v>46167</v>
      </c>
      <c r="B754" t="inlineStr">
        <is>
          <t>Jéssica Fé Moura</t>
        </is>
      </c>
      <c r="C754" t="inlineStr">
        <is>
          <t>Técnico III</t>
        </is>
      </c>
      <c r="D754" t="n">
        <v>0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</row>
    <row r="755">
      <c r="A755" s="11" t="n">
        <v>46167</v>
      </c>
      <c r="B755" t="inlineStr">
        <is>
          <t>Karina Gonçalves Martins</t>
        </is>
      </c>
      <c r="C755" t="inlineStr">
        <is>
          <t>JR</t>
        </is>
      </c>
      <c r="D755" t="n">
        <v>0</v>
      </c>
      <c r="E755" t="n">
        <v>0</v>
      </c>
      <c r="F755" t="n">
        <v>0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</row>
    <row r="756">
      <c r="A756" s="11" t="n">
        <v>46167</v>
      </c>
      <c r="B756" t="inlineStr">
        <is>
          <t>Kerollen Cristielly de Jesus Siqueira</t>
        </is>
      </c>
      <c r="C756" t="inlineStr">
        <is>
          <t>Técnico III</t>
        </is>
      </c>
      <c r="D756" t="n">
        <v>0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</row>
    <row r="757">
      <c r="A757" s="11" t="n">
        <v>46167</v>
      </c>
      <c r="B757" t="inlineStr">
        <is>
          <t>Leandro de Souza Silva</t>
        </is>
      </c>
      <c r="C757" t="inlineStr">
        <is>
          <t>JR</t>
        </is>
      </c>
      <c r="D757" t="n">
        <v>0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</row>
    <row r="758">
      <c r="A758" s="11" t="n">
        <v>46167</v>
      </c>
      <c r="B758" t="inlineStr">
        <is>
          <t>Leandro Oliveira de Sousa</t>
        </is>
      </c>
      <c r="C758" t="inlineStr">
        <is>
          <t>Técnico III</t>
        </is>
      </c>
      <c r="D758" t="n">
        <v>0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</row>
    <row r="759">
      <c r="A759" s="11" t="n">
        <v>46167</v>
      </c>
      <c r="B759" t="inlineStr">
        <is>
          <t>Lizandra Gomes Duarte</t>
        </is>
      </c>
      <c r="C759" t="inlineStr">
        <is>
          <t>Técnico II</t>
        </is>
      </c>
      <c r="D759" t="n">
        <v>0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</row>
    <row r="760">
      <c r="A760" s="11" t="n">
        <v>46167</v>
      </c>
      <c r="B760" t="inlineStr">
        <is>
          <t>Lorena Dias de Araujo</t>
        </is>
      </c>
      <c r="C760" t="inlineStr">
        <is>
          <t>Técnico II</t>
        </is>
      </c>
      <c r="D760" t="n">
        <v>0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</row>
    <row r="761">
      <c r="A761" s="11" t="n">
        <v>46167</v>
      </c>
      <c r="B761" t="inlineStr">
        <is>
          <t>Lucas Luiz Romero</t>
        </is>
      </c>
      <c r="C761" t="inlineStr">
        <is>
          <t>Técnico III</t>
        </is>
      </c>
      <c r="D761" t="n">
        <v>0</v>
      </c>
      <c r="E761" t="n">
        <v>0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</row>
    <row r="762">
      <c r="A762" s="11" t="n">
        <v>46167</v>
      </c>
      <c r="B762" t="inlineStr">
        <is>
          <t>Luiz Fernando de Carvalho Junior</t>
        </is>
      </c>
      <c r="C762" t="inlineStr">
        <is>
          <t>Técnico I</t>
        </is>
      </c>
      <c r="D762" t="n">
        <v>0</v>
      </c>
      <c r="E762" t="n">
        <v>0</v>
      </c>
      <c r="F762" t="n">
        <v>0</v>
      </c>
      <c r="G762" t="n">
        <v>0</v>
      </c>
      <c r="H762" t="n">
        <v>0</v>
      </c>
      <c r="I762" t="n">
        <v>0</v>
      </c>
      <c r="J762" t="n">
        <v>0</v>
      </c>
      <c r="K762" t="n">
        <v>0</v>
      </c>
    </row>
    <row r="763">
      <c r="A763" s="11" t="n">
        <v>46167</v>
      </c>
      <c r="B763" t="inlineStr">
        <is>
          <t>Maria Eduarda Sousa Costa</t>
        </is>
      </c>
      <c r="C763" t="inlineStr">
        <is>
          <t>Estágio</t>
        </is>
      </c>
      <c r="D763" t="n">
        <v>0</v>
      </c>
      <c r="E763" t="n">
        <v>0</v>
      </c>
      <c r="F763" t="n">
        <v>0</v>
      </c>
      <c r="G763" t="n">
        <v>0</v>
      </c>
      <c r="H763" t="n">
        <v>0</v>
      </c>
      <c r="I763" t="n">
        <v>0</v>
      </c>
      <c r="J763" t="n">
        <v>0</v>
      </c>
      <c r="K763" t="n">
        <v>0</v>
      </c>
    </row>
    <row r="764">
      <c r="A764" s="11" t="n">
        <v>46167</v>
      </c>
      <c r="B764" t="inlineStr">
        <is>
          <t>Matheus Farias De Souza</t>
        </is>
      </c>
      <c r="C764" t="inlineStr">
        <is>
          <t>Técnico III</t>
        </is>
      </c>
      <c r="D764" t="n">
        <v>0</v>
      </c>
      <c r="E764" t="n">
        <v>0</v>
      </c>
      <c r="F764" t="n">
        <v>0</v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</row>
    <row r="765">
      <c r="A765" s="11" t="n">
        <v>46167</v>
      </c>
      <c r="B765" t="inlineStr">
        <is>
          <t>Maysa Victoria Dias Moura</t>
        </is>
      </c>
      <c r="C765" t="inlineStr">
        <is>
          <t>Técnico III</t>
        </is>
      </c>
      <c r="D765" t="n">
        <v>0</v>
      </c>
      <c r="E765" t="n">
        <v>0</v>
      </c>
      <c r="F765" t="n">
        <v>0</v>
      </c>
      <c r="G765" t="n">
        <v>0</v>
      </c>
      <c r="H765" t="n">
        <v>0</v>
      </c>
      <c r="I765" t="n">
        <v>0</v>
      </c>
      <c r="J765" t="n">
        <v>0</v>
      </c>
      <c r="K765" t="n">
        <v>0</v>
      </c>
    </row>
    <row r="766">
      <c r="A766" s="11" t="n">
        <v>46167</v>
      </c>
      <c r="B766" t="inlineStr">
        <is>
          <t>Michelle G Santos</t>
        </is>
      </c>
      <c r="C766" t="inlineStr">
        <is>
          <t>Estágio</t>
        </is>
      </c>
      <c r="D766" t="n">
        <v>0</v>
      </c>
      <c r="E766" t="n">
        <v>0</v>
      </c>
      <c r="F766" t="n">
        <v>0</v>
      </c>
      <c r="G766" t="n">
        <v>0</v>
      </c>
      <c r="H766" t="n">
        <v>0</v>
      </c>
      <c r="I766" t="n">
        <v>0</v>
      </c>
      <c r="J766" t="n">
        <v>0</v>
      </c>
      <c r="K766" t="n">
        <v>0</v>
      </c>
    </row>
    <row r="767">
      <c r="A767" s="11" t="n">
        <v>46167</v>
      </c>
      <c r="B767" t="inlineStr">
        <is>
          <t>Milena Sales</t>
        </is>
      </c>
      <c r="C767" t="inlineStr">
        <is>
          <t>JR</t>
        </is>
      </c>
      <c r="D767" t="n">
        <v>0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</row>
    <row r="768">
      <c r="A768" s="11" t="n">
        <v>46167</v>
      </c>
      <c r="B768" t="inlineStr">
        <is>
          <t>Patrícia Karla de Sousa Araújo</t>
        </is>
      </c>
      <c r="C768" t="inlineStr">
        <is>
          <t>Técnico II</t>
        </is>
      </c>
      <c r="D768" t="n">
        <v>0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</row>
    <row r="769">
      <c r="A769" s="11" t="n">
        <v>46167</v>
      </c>
      <c r="B769" t="inlineStr">
        <is>
          <t>Paulo Ricardo Santos</t>
        </is>
      </c>
      <c r="C769" t="inlineStr">
        <is>
          <t>JR</t>
        </is>
      </c>
      <c r="D769" t="n">
        <v>0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</row>
    <row r="770">
      <c r="A770" s="11" t="n">
        <v>46167</v>
      </c>
      <c r="B770" t="inlineStr">
        <is>
          <t>Pedro Luiz Mota Sousa</t>
        </is>
      </c>
      <c r="C770" t="inlineStr">
        <is>
          <t>JR</t>
        </is>
      </c>
      <c r="D770" t="n">
        <v>0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</row>
    <row r="771">
      <c r="A771" s="11" t="n">
        <v>46167</v>
      </c>
      <c r="B771" t="inlineStr">
        <is>
          <t>Quirino Diogo Leite Torres</t>
        </is>
      </c>
      <c r="C771" t="inlineStr">
        <is>
          <t>Estágio</t>
        </is>
      </c>
      <c r="D771" t="n">
        <v>0</v>
      </c>
      <c r="E771" t="n">
        <v>0</v>
      </c>
      <c r="F771" t="n">
        <v>0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</row>
    <row r="772">
      <c r="A772" s="11" t="n">
        <v>46167</v>
      </c>
      <c r="B772" t="inlineStr">
        <is>
          <t>Raane Batista Matos</t>
        </is>
      </c>
      <c r="C772" t="inlineStr">
        <is>
          <t>Técnico I</t>
        </is>
      </c>
      <c r="D772" t="n">
        <v>0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</row>
    <row r="773">
      <c r="A773" s="11" t="n">
        <v>46167</v>
      </c>
      <c r="B773" t="inlineStr">
        <is>
          <t>Rafael Gomes de Morais</t>
        </is>
      </c>
      <c r="C773" t="inlineStr">
        <is>
          <t>Técnico III</t>
        </is>
      </c>
      <c r="D773" t="n">
        <v>0</v>
      </c>
      <c r="E773" t="n">
        <v>0</v>
      </c>
      <c r="F773" t="n">
        <v>0</v>
      </c>
      <c r="G773" t="n">
        <v>0</v>
      </c>
      <c r="H773" t="n">
        <v>0</v>
      </c>
      <c r="I773" t="n">
        <v>0</v>
      </c>
      <c r="J773" t="n">
        <v>0</v>
      </c>
      <c r="K773" t="n">
        <v>0</v>
      </c>
    </row>
    <row r="774">
      <c r="A774" s="11" t="n">
        <v>46167</v>
      </c>
      <c r="B774" t="inlineStr">
        <is>
          <t>Sara Maria Monteiro Lopes</t>
        </is>
      </c>
      <c r="C774" t="inlineStr">
        <is>
          <t>Técnico I</t>
        </is>
      </c>
      <c r="D774" t="n">
        <v>0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</row>
    <row r="775">
      <c r="A775" s="11" t="n">
        <v>46167</v>
      </c>
      <c r="B775" t="inlineStr">
        <is>
          <t>Sarah Steffanie de Lima Borges</t>
        </is>
      </c>
      <c r="C775" t="inlineStr">
        <is>
          <t>Técnico III</t>
        </is>
      </c>
      <c r="D775" t="n">
        <v>0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</row>
  </sheetData>
  <autoFilter ref="A1:O729">
    <filterColumn colId="1" hiddenButton="0" showButton="1">
      <filters>
        <filter val="Gabriel Alves"/>
        <filter val="Gabriel Gomes de Andrade"/>
      </filters>
    </filterColumn>
  </autoFilter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/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2026-05-26T16:54:45Z</dcterms:modified>
  <cp:lastModifiedBy>Esther Queiroz Supervisora Folha</cp:lastModifiedBy>
</cp:coreProperties>
</file>
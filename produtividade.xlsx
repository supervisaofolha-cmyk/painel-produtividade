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974F5554-EFF6-4BFA-9DD3-16235F3749C9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Produtividade!$A$1:$O$4470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46" i="1" l="1"/>
  <c r="I2746" i="1"/>
  <c r="K2746" i="1" s="1"/>
  <c r="L2746" i="1" s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J2738" i="1"/>
  <c r="I2738" i="1"/>
  <c r="K2738" i="1" s="1"/>
  <c r="L2738" i="1" s="1"/>
  <c r="J2737" i="1"/>
  <c r="I2737" i="1"/>
  <c r="K2737" i="1" s="1"/>
  <c r="L2737" i="1" s="1"/>
  <c r="J2736" i="1"/>
  <c r="I2736" i="1"/>
  <c r="K2736" i="1" s="1"/>
  <c r="L2736" i="1" s="1"/>
  <c r="J2735" i="1"/>
  <c r="I2735" i="1"/>
  <c r="K2735" i="1" s="1"/>
  <c r="L2735" i="1" s="1"/>
  <c r="J2734" i="1"/>
  <c r="I2734" i="1"/>
  <c r="K2734" i="1" s="1"/>
  <c r="L2734" i="1" s="1"/>
  <c r="J2733" i="1"/>
  <c r="I2733" i="1"/>
  <c r="K2733" i="1" s="1"/>
  <c r="L2733" i="1" s="1"/>
  <c r="J2732" i="1"/>
  <c r="I2732" i="1"/>
  <c r="K2732" i="1" s="1"/>
  <c r="L2732" i="1" s="1"/>
  <c r="J2731" i="1"/>
  <c r="I2731" i="1"/>
  <c r="K2731" i="1" s="1"/>
  <c r="L2731" i="1" s="1"/>
  <c r="J2730" i="1"/>
  <c r="I2730" i="1"/>
  <c r="K2730" i="1" s="1"/>
  <c r="L2730" i="1" s="1"/>
  <c r="J2729" i="1"/>
  <c r="I2729" i="1"/>
  <c r="K2729" i="1" s="1"/>
  <c r="L2729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J2722" i="1"/>
  <c r="I2722" i="1"/>
  <c r="K2722" i="1" s="1"/>
  <c r="L2722" i="1" s="1"/>
  <c r="J2721" i="1"/>
  <c r="I2721" i="1"/>
  <c r="K2721" i="1" s="1"/>
  <c r="L2721" i="1" s="1"/>
  <c r="J2720" i="1"/>
  <c r="I2720" i="1"/>
  <c r="K2720" i="1" s="1"/>
  <c r="L2720" i="1" s="1"/>
  <c r="J2719" i="1"/>
  <c r="I2719" i="1"/>
  <c r="K2719" i="1" s="1"/>
  <c r="L2719" i="1" s="1"/>
  <c r="J2718" i="1"/>
  <c r="I2718" i="1"/>
  <c r="K2718" i="1" s="1"/>
  <c r="L2718" i="1" s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J2705" i="1"/>
  <c r="I2705" i="1"/>
  <c r="K2705" i="1" s="1"/>
  <c r="L2705" i="1" s="1"/>
  <c r="J2704" i="1"/>
  <c r="I2704" i="1"/>
  <c r="K2704" i="1" s="1"/>
  <c r="L2704" i="1" s="1"/>
  <c r="J2703" i="1"/>
  <c r="I2703" i="1"/>
  <c r="K2703" i="1" s="1"/>
  <c r="L2703" i="1" s="1"/>
  <c r="J2702" i="1"/>
  <c r="I2702" i="1"/>
  <c r="K2702" i="1" s="1"/>
  <c r="L2702" i="1" s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J2694" i="1"/>
  <c r="I2694" i="1"/>
  <c r="K2694" i="1" s="1"/>
  <c r="L2694" i="1" s="1"/>
  <c r="J2693" i="1"/>
  <c r="I2693" i="1"/>
  <c r="K2693" i="1" s="1"/>
  <c r="L2693" i="1" s="1"/>
  <c r="J2692" i="1"/>
  <c r="I2692" i="1"/>
  <c r="K2692" i="1" s="1"/>
  <c r="L2692" i="1" s="1"/>
  <c r="J2691" i="1"/>
  <c r="I2691" i="1"/>
  <c r="K2691" i="1" s="1"/>
  <c r="L2691" i="1" s="1"/>
  <c r="J2690" i="1"/>
  <c r="I2690" i="1"/>
  <c r="K2690" i="1" s="1"/>
  <c r="L2690" i="1" s="1"/>
  <c r="J2689" i="1"/>
  <c r="I2689" i="1"/>
  <c r="K2689" i="1" s="1"/>
  <c r="L2689" i="1" s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J2678" i="1"/>
  <c r="I2678" i="1"/>
  <c r="K2678" i="1" s="1"/>
  <c r="L2678" i="1" s="1"/>
  <c r="J2677" i="1"/>
  <c r="I2677" i="1"/>
  <c r="K2677" i="1" s="1"/>
  <c r="L2677" i="1" s="1"/>
  <c r="J2676" i="1"/>
  <c r="I2676" i="1"/>
  <c r="K2676" i="1" s="1"/>
  <c r="L2676" i="1" s="1"/>
  <c r="J2675" i="1"/>
  <c r="I2675" i="1"/>
  <c r="K2675" i="1" s="1"/>
  <c r="L2675" i="1" s="1"/>
  <c r="J2674" i="1"/>
  <c r="I2674" i="1"/>
  <c r="K2674" i="1" s="1"/>
  <c r="L2674" i="1" s="1"/>
  <c r="J2673" i="1"/>
  <c r="I2673" i="1"/>
  <c r="K2673" i="1" s="1"/>
  <c r="L2673" i="1" s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J2661" i="1"/>
  <c r="I2661" i="1"/>
  <c r="K2661" i="1" s="1"/>
  <c r="L2661" i="1" s="1"/>
  <c r="J2660" i="1"/>
  <c r="I2660" i="1"/>
  <c r="K2660" i="1" s="1"/>
  <c r="L2660" i="1" s="1"/>
  <c r="J2659" i="1"/>
  <c r="I2659" i="1"/>
  <c r="K2659" i="1" s="1"/>
  <c r="L2659" i="1" s="1"/>
  <c r="J2658" i="1"/>
  <c r="I2658" i="1"/>
  <c r="K2658" i="1" s="1"/>
  <c r="L2658" i="1" s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J2650" i="1"/>
  <c r="I2650" i="1"/>
  <c r="K2650" i="1" s="1"/>
  <c r="L2650" i="1" s="1"/>
  <c r="J2649" i="1"/>
  <c r="I2649" i="1"/>
  <c r="K2649" i="1" s="1"/>
  <c r="L2649" i="1" s="1"/>
  <c r="J2648" i="1"/>
  <c r="I2648" i="1"/>
  <c r="K2648" i="1" s="1"/>
  <c r="L2648" i="1" s="1"/>
  <c r="J2647" i="1"/>
  <c r="I2647" i="1"/>
  <c r="K2647" i="1" s="1"/>
  <c r="L2647" i="1" s="1"/>
  <c r="J2646" i="1"/>
  <c r="I2646" i="1"/>
  <c r="K2646" i="1" s="1"/>
  <c r="L2646" i="1" s="1"/>
  <c r="J2645" i="1"/>
  <c r="I2645" i="1"/>
  <c r="K2645" i="1" s="1"/>
  <c r="L2645" i="1" s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J2634" i="1"/>
  <c r="I2634" i="1"/>
  <c r="K2634" i="1" s="1"/>
  <c r="L2634" i="1" s="1"/>
  <c r="J2633" i="1"/>
  <c r="I2633" i="1"/>
  <c r="K2633" i="1" s="1"/>
  <c r="L2633" i="1" s="1"/>
  <c r="J2632" i="1"/>
  <c r="I2632" i="1"/>
  <c r="K2632" i="1" s="1"/>
  <c r="L2632" i="1" s="1"/>
  <c r="J2631" i="1"/>
  <c r="I2631" i="1"/>
  <c r="K2631" i="1" s="1"/>
  <c r="L2631" i="1" s="1"/>
  <c r="J2630" i="1"/>
  <c r="I2630" i="1"/>
  <c r="K2630" i="1" s="1"/>
  <c r="L2630" i="1" s="1"/>
  <c r="J2629" i="1"/>
  <c r="I2629" i="1"/>
  <c r="K2629" i="1" s="1"/>
  <c r="L2629" i="1" s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J2617" i="1"/>
  <c r="I2617" i="1"/>
  <c r="K2617" i="1" s="1"/>
  <c r="L2617" i="1" s="1"/>
  <c r="J2616" i="1"/>
  <c r="I2616" i="1"/>
  <c r="K2616" i="1" s="1"/>
  <c r="L2616" i="1" s="1"/>
  <c r="J2615" i="1"/>
  <c r="I2615" i="1"/>
  <c r="K2615" i="1" s="1"/>
  <c r="L2615" i="1" s="1"/>
  <c r="J2614" i="1"/>
  <c r="I2614" i="1"/>
  <c r="K2614" i="1" s="1"/>
  <c r="L2614" i="1" s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J2606" i="1"/>
  <c r="I2606" i="1"/>
  <c r="K2606" i="1" s="1"/>
  <c r="L2606" i="1" s="1"/>
  <c r="J2605" i="1"/>
  <c r="I2605" i="1"/>
  <c r="K2605" i="1" s="1"/>
  <c r="L2605" i="1" s="1"/>
  <c r="J2604" i="1"/>
  <c r="I2604" i="1"/>
  <c r="K2604" i="1" s="1"/>
  <c r="L2604" i="1" s="1"/>
  <c r="J2603" i="1"/>
  <c r="I2603" i="1"/>
  <c r="K2603" i="1" s="1"/>
  <c r="L2603" i="1" s="1"/>
  <c r="J2602" i="1"/>
  <c r="I2602" i="1"/>
  <c r="K2602" i="1" s="1"/>
  <c r="L2602" i="1" s="1"/>
  <c r="J2601" i="1"/>
  <c r="I2601" i="1"/>
  <c r="K2601" i="1" s="1"/>
  <c r="L2601" i="1" s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J2590" i="1"/>
  <c r="I2590" i="1"/>
  <c r="K2590" i="1" s="1"/>
  <c r="L2590" i="1" s="1"/>
  <c r="J2589" i="1"/>
  <c r="I2589" i="1"/>
  <c r="K2589" i="1" s="1"/>
  <c r="L2589" i="1" s="1"/>
  <c r="J2588" i="1"/>
  <c r="I2588" i="1"/>
  <c r="K2588" i="1" s="1"/>
  <c r="L2588" i="1" s="1"/>
  <c r="J2587" i="1"/>
  <c r="I2587" i="1"/>
  <c r="K2587" i="1" s="1"/>
  <c r="L2587" i="1" s="1"/>
  <c r="J2586" i="1"/>
  <c r="I2586" i="1"/>
  <c r="K2586" i="1" s="1"/>
  <c r="L2586" i="1" s="1"/>
  <c r="J2585" i="1"/>
  <c r="I2585" i="1"/>
  <c r="K2585" i="1" s="1"/>
  <c r="L2585" i="1" s="1"/>
  <c r="J2584" i="1"/>
  <c r="I2584" i="1"/>
  <c r="K2584" i="1" s="1"/>
  <c r="L2584" i="1" s="1"/>
  <c r="J2583" i="1"/>
  <c r="I2583" i="1"/>
  <c r="K2583" i="1" s="1"/>
  <c r="L2583" i="1" s="1"/>
  <c r="J2582" i="1"/>
  <c r="I2582" i="1"/>
  <c r="K2582" i="1" s="1"/>
  <c r="L2582" i="1" s="1"/>
  <c r="J2581" i="1"/>
  <c r="I2581" i="1"/>
  <c r="K2581" i="1" s="1"/>
  <c r="L2581" i="1" s="1"/>
  <c r="J2580" i="1"/>
  <c r="I2580" i="1"/>
  <c r="K2580" i="1" s="1"/>
  <c r="L2580" i="1" s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J2573" i="1"/>
  <c r="I2573" i="1"/>
  <c r="K2573" i="1" s="1"/>
  <c r="L2573" i="1" s="1"/>
  <c r="J2572" i="1"/>
  <c r="I2572" i="1"/>
  <c r="K2572" i="1" s="1"/>
  <c r="L2572" i="1" s="1"/>
  <c r="J2571" i="1"/>
  <c r="I2571" i="1"/>
  <c r="K2571" i="1" s="1"/>
  <c r="L2571" i="1" s="1"/>
  <c r="J2570" i="1"/>
  <c r="I2570" i="1"/>
  <c r="K2570" i="1" s="1"/>
  <c r="L2570" i="1" s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J2562" i="1"/>
  <c r="I2562" i="1"/>
  <c r="K2562" i="1" s="1"/>
  <c r="L2562" i="1" s="1"/>
  <c r="J2561" i="1"/>
  <c r="I2561" i="1"/>
  <c r="K2561" i="1" s="1"/>
  <c r="L2561" i="1" s="1"/>
  <c r="J2560" i="1"/>
  <c r="I2560" i="1"/>
  <c r="K2560" i="1" s="1"/>
  <c r="L2560" i="1" s="1"/>
  <c r="J2559" i="1"/>
  <c r="I2559" i="1"/>
  <c r="K2559" i="1" s="1"/>
  <c r="L2559" i="1" s="1"/>
  <c r="J2558" i="1"/>
  <c r="I2558" i="1"/>
  <c r="K2558" i="1" s="1"/>
  <c r="L2558" i="1" s="1"/>
  <c r="J2557" i="1"/>
  <c r="I2557" i="1"/>
  <c r="K2557" i="1" s="1"/>
  <c r="L2557" i="1" s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J2547" i="1"/>
  <c r="I2547" i="1"/>
  <c r="K2547" i="1" s="1"/>
  <c r="L2547" i="1" s="1"/>
  <c r="J2546" i="1"/>
  <c r="I2546" i="1"/>
  <c r="K2546" i="1" s="1"/>
  <c r="L2546" i="1" s="1"/>
  <c r="J2545" i="1"/>
  <c r="I2545" i="1"/>
  <c r="K2545" i="1" s="1"/>
  <c r="L2545" i="1" s="1"/>
  <c r="J2544" i="1"/>
  <c r="I2544" i="1"/>
  <c r="K2544" i="1" s="1"/>
  <c r="L2544" i="1" s="1"/>
  <c r="J2543" i="1"/>
  <c r="I2543" i="1"/>
  <c r="K2543" i="1" s="1"/>
  <c r="L2543" i="1" s="1"/>
  <c r="J2542" i="1"/>
  <c r="I2542" i="1"/>
  <c r="K2542" i="1" s="1"/>
  <c r="L2542" i="1" s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J2536" i="1"/>
  <c r="I2536" i="1"/>
  <c r="K2536" i="1" s="1"/>
  <c r="L2536" i="1" s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J2530" i="1"/>
  <c r="I2530" i="1"/>
  <c r="K2530" i="1" s="1"/>
  <c r="L2530" i="1" s="1"/>
  <c r="J2529" i="1"/>
  <c r="I2529" i="1"/>
  <c r="K2529" i="1" s="1"/>
  <c r="L2529" i="1" s="1"/>
  <c r="J2528" i="1"/>
  <c r="I2528" i="1"/>
  <c r="K2528" i="1" s="1"/>
  <c r="L2528" i="1" s="1"/>
  <c r="J2527" i="1"/>
  <c r="I2527" i="1"/>
  <c r="K2527" i="1" s="1"/>
  <c r="L2527" i="1" s="1"/>
  <c r="J2526" i="1"/>
  <c r="I2526" i="1"/>
  <c r="K2526" i="1" s="1"/>
  <c r="L2526" i="1" s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J2519" i="1"/>
  <c r="I2519" i="1"/>
  <c r="K2519" i="1" s="1"/>
  <c r="L2519" i="1" s="1"/>
  <c r="J2518" i="1"/>
  <c r="I2518" i="1"/>
  <c r="K2518" i="1" s="1"/>
  <c r="L2518" i="1" s="1"/>
  <c r="J2517" i="1"/>
  <c r="I2517" i="1"/>
  <c r="K2517" i="1" s="1"/>
  <c r="L2517" i="1" s="1"/>
  <c r="J2516" i="1"/>
  <c r="I2516" i="1"/>
  <c r="K2516" i="1" s="1"/>
  <c r="L2516" i="1" s="1"/>
  <c r="J2515" i="1"/>
  <c r="I2515" i="1"/>
  <c r="K2515" i="1" s="1"/>
  <c r="L2515" i="1" s="1"/>
  <c r="J2514" i="1"/>
  <c r="I2514" i="1"/>
  <c r="K2514" i="1" s="1"/>
  <c r="L2514" i="1" s="1"/>
  <c r="J2513" i="1"/>
  <c r="I2513" i="1"/>
  <c r="K2513" i="1" s="1"/>
  <c r="L2513" i="1" s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J2503" i="1"/>
  <c r="I2503" i="1"/>
  <c r="K2503" i="1" s="1"/>
  <c r="L2503" i="1" s="1"/>
  <c r="J2502" i="1"/>
  <c r="I2502" i="1"/>
  <c r="K2502" i="1" s="1"/>
  <c r="L2502" i="1" s="1"/>
  <c r="J2501" i="1"/>
  <c r="I2501" i="1"/>
  <c r="K2501" i="1" s="1"/>
  <c r="L2501" i="1" s="1"/>
  <c r="J2500" i="1"/>
  <c r="I2500" i="1"/>
  <c r="K2500" i="1" s="1"/>
  <c r="L2500" i="1" s="1"/>
  <c r="J2499" i="1"/>
  <c r="I2499" i="1"/>
  <c r="K2499" i="1" s="1"/>
  <c r="L2499" i="1" s="1"/>
  <c r="J2498" i="1"/>
  <c r="I2498" i="1"/>
  <c r="K2498" i="1" s="1"/>
  <c r="L2498" i="1" s="1"/>
  <c r="J2497" i="1"/>
  <c r="I2497" i="1"/>
  <c r="K2497" i="1" s="1"/>
  <c r="L2497" i="1" s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J2492" i="1"/>
  <c r="I2492" i="1"/>
  <c r="K2492" i="1" s="1"/>
  <c r="L2492" i="1" s="1"/>
  <c r="J2491" i="1"/>
  <c r="I2491" i="1"/>
  <c r="K2491" i="1" s="1"/>
  <c r="L2491" i="1" s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J2486" i="1"/>
  <c r="I2486" i="1"/>
  <c r="K2486" i="1" s="1"/>
  <c r="L2486" i="1" s="1"/>
  <c r="J2485" i="1"/>
  <c r="I2485" i="1"/>
  <c r="K2485" i="1" s="1"/>
  <c r="L2485" i="1" s="1"/>
  <c r="J2484" i="1"/>
  <c r="I2484" i="1"/>
  <c r="K2484" i="1" s="1"/>
  <c r="L2484" i="1" s="1"/>
  <c r="J2483" i="1"/>
  <c r="I2483" i="1"/>
  <c r="K2483" i="1" s="1"/>
  <c r="L2483" i="1" s="1"/>
  <c r="J2482" i="1"/>
  <c r="I2482" i="1"/>
  <c r="K2482" i="1" s="1"/>
  <c r="L2482" i="1" s="1"/>
  <c r="J2481" i="1"/>
  <c r="I2481" i="1"/>
  <c r="K2481" i="1" s="1"/>
  <c r="L2481" i="1" s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J2475" i="1"/>
  <c r="I2475" i="1"/>
  <c r="K2475" i="1" s="1"/>
  <c r="L2475" i="1" s="1"/>
  <c r="J2474" i="1"/>
  <c r="I2474" i="1"/>
  <c r="K2474" i="1" s="1"/>
  <c r="L2474" i="1" s="1"/>
  <c r="J2473" i="1"/>
  <c r="I2473" i="1"/>
  <c r="K2473" i="1" s="1"/>
  <c r="L2473" i="1" s="1"/>
  <c r="J2472" i="1"/>
  <c r="I2472" i="1"/>
  <c r="K2472" i="1" s="1"/>
  <c r="L2472" i="1" s="1"/>
  <c r="J2471" i="1"/>
  <c r="I2471" i="1"/>
  <c r="K2471" i="1" s="1"/>
  <c r="L2471" i="1" s="1"/>
  <c r="J2470" i="1"/>
  <c r="I2470" i="1"/>
  <c r="K2470" i="1" s="1"/>
  <c r="L2470" i="1" s="1"/>
  <c r="J2469" i="1"/>
  <c r="I2469" i="1"/>
  <c r="K2469" i="1" s="1"/>
  <c r="L2469" i="1" s="1"/>
  <c r="J2468" i="1"/>
  <c r="I2468" i="1"/>
  <c r="K2468" i="1" s="1"/>
  <c r="L2468" i="1" s="1"/>
  <c r="J2467" i="1"/>
  <c r="I2467" i="1"/>
  <c r="K2467" i="1" s="1"/>
  <c r="L2467" i="1" s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J2459" i="1"/>
  <c r="I2459" i="1"/>
  <c r="K2459" i="1" s="1"/>
  <c r="L2459" i="1" s="1"/>
  <c r="J2458" i="1"/>
  <c r="I2458" i="1"/>
  <c r="K2458" i="1" s="1"/>
  <c r="L2458" i="1" s="1"/>
  <c r="J2457" i="1"/>
  <c r="I2457" i="1"/>
  <c r="K2457" i="1" s="1"/>
  <c r="L2457" i="1" s="1"/>
  <c r="J2456" i="1"/>
  <c r="I2456" i="1"/>
  <c r="K2456" i="1" s="1"/>
  <c r="L2456" i="1" s="1"/>
  <c r="J2455" i="1"/>
  <c r="I2455" i="1"/>
  <c r="K2455" i="1" s="1"/>
  <c r="L2455" i="1" s="1"/>
  <c r="J2454" i="1"/>
  <c r="I2454" i="1"/>
  <c r="K2454" i="1" s="1"/>
  <c r="L2454" i="1" s="1"/>
  <c r="J2453" i="1"/>
  <c r="I2453" i="1"/>
  <c r="K2453" i="1" s="1"/>
  <c r="L2453" i="1" s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J2448" i="1"/>
  <c r="I2448" i="1"/>
  <c r="K2448" i="1" s="1"/>
  <c r="L2448" i="1" s="1"/>
  <c r="J2447" i="1"/>
  <c r="I2447" i="1"/>
  <c r="K2447" i="1" s="1"/>
  <c r="L2447" i="1" s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J2443" i="1"/>
  <c r="I2443" i="1"/>
  <c r="K2443" i="1" s="1"/>
  <c r="L2443" i="1" s="1"/>
  <c r="J2442" i="1"/>
  <c r="I2442" i="1"/>
  <c r="K2442" i="1" s="1"/>
  <c r="L2442" i="1" s="1"/>
  <c r="J2441" i="1"/>
  <c r="I2441" i="1"/>
  <c r="K2441" i="1" s="1"/>
  <c r="L2441" i="1" s="1"/>
  <c r="J2440" i="1"/>
  <c r="I2440" i="1"/>
  <c r="K2440" i="1" s="1"/>
  <c r="L2440" i="1" s="1"/>
  <c r="J2439" i="1"/>
  <c r="I2439" i="1"/>
  <c r="K2439" i="1" s="1"/>
  <c r="L2439" i="1" s="1"/>
  <c r="J2438" i="1"/>
  <c r="I2438" i="1"/>
  <c r="K2438" i="1" s="1"/>
  <c r="L2438" i="1" s="1"/>
  <c r="J2437" i="1"/>
  <c r="I2437" i="1"/>
  <c r="K2437" i="1" s="1"/>
  <c r="L2437" i="1" s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J2431" i="1"/>
  <c r="I2431" i="1"/>
  <c r="K2431" i="1" s="1"/>
  <c r="L2431" i="1" s="1"/>
  <c r="J2430" i="1"/>
  <c r="I2430" i="1"/>
  <c r="K2430" i="1" s="1"/>
  <c r="L2430" i="1" s="1"/>
  <c r="J2429" i="1"/>
  <c r="I2429" i="1"/>
  <c r="K2429" i="1" s="1"/>
  <c r="L2429" i="1" s="1"/>
  <c r="J2428" i="1"/>
  <c r="I2428" i="1"/>
  <c r="K2428" i="1" s="1"/>
  <c r="L2428" i="1" s="1"/>
  <c r="J2427" i="1"/>
  <c r="I2427" i="1"/>
  <c r="K2427" i="1" s="1"/>
  <c r="L2427" i="1" s="1"/>
  <c r="J2426" i="1"/>
  <c r="I2426" i="1"/>
  <c r="K2426" i="1" s="1"/>
  <c r="L2426" i="1" s="1"/>
  <c r="J2425" i="1"/>
  <c r="I2425" i="1"/>
  <c r="K2425" i="1" s="1"/>
  <c r="L2425" i="1" s="1"/>
  <c r="J2424" i="1"/>
  <c r="I2424" i="1"/>
  <c r="K2424" i="1" s="1"/>
  <c r="L2424" i="1" s="1"/>
  <c r="J2423" i="1"/>
  <c r="I2423" i="1"/>
  <c r="K2423" i="1" s="1"/>
  <c r="L2423" i="1" s="1"/>
  <c r="J2422" i="1"/>
  <c r="I2422" i="1"/>
  <c r="K2422" i="1" s="1"/>
  <c r="L2422" i="1" s="1"/>
  <c r="J2421" i="1"/>
  <c r="I2421" i="1"/>
  <c r="K2421" i="1" s="1"/>
  <c r="L2421" i="1" s="1"/>
  <c r="J2420" i="1"/>
  <c r="I2420" i="1"/>
  <c r="K2420" i="1" s="1"/>
  <c r="L2420" i="1" s="1"/>
  <c r="J2419" i="1"/>
  <c r="I2419" i="1"/>
  <c r="K2419" i="1" s="1"/>
  <c r="L2419" i="1" s="1"/>
  <c r="J2418" i="1"/>
  <c r="I2418" i="1"/>
  <c r="K2418" i="1" s="1"/>
  <c r="L2418" i="1" s="1"/>
  <c r="J2417" i="1"/>
  <c r="I2417" i="1"/>
  <c r="K2417" i="1" s="1"/>
  <c r="L2417" i="1" s="1"/>
  <c r="J2416" i="1"/>
  <c r="I2416" i="1"/>
  <c r="K2416" i="1" s="1"/>
  <c r="L2416" i="1" s="1"/>
  <c r="J2415" i="1"/>
  <c r="I2415" i="1"/>
  <c r="K2415" i="1" s="1"/>
  <c r="L2415" i="1" s="1"/>
  <c r="J2414" i="1"/>
  <c r="I2414" i="1"/>
  <c r="K2414" i="1" s="1"/>
  <c r="L2414" i="1" s="1"/>
  <c r="J2413" i="1"/>
  <c r="I2413" i="1"/>
  <c r="K2413" i="1" s="1"/>
  <c r="L2413" i="1" s="1"/>
  <c r="J2412" i="1"/>
  <c r="I2412" i="1"/>
  <c r="K2412" i="1" s="1"/>
  <c r="L2412" i="1" s="1"/>
  <c r="J2411" i="1"/>
  <c r="I2411" i="1"/>
  <c r="K2411" i="1" s="1"/>
  <c r="L2411" i="1" s="1"/>
  <c r="J2410" i="1"/>
  <c r="I2410" i="1"/>
  <c r="K2410" i="1" s="1"/>
  <c r="L2410" i="1" s="1"/>
  <c r="J2409" i="1"/>
  <c r="I2409" i="1"/>
  <c r="K2409" i="1" s="1"/>
  <c r="L2409" i="1" s="1"/>
  <c r="J2408" i="1"/>
  <c r="I2408" i="1"/>
  <c r="K2408" i="1" s="1"/>
  <c r="L2408" i="1" s="1"/>
  <c r="J2407" i="1"/>
  <c r="I2407" i="1"/>
  <c r="K2407" i="1" s="1"/>
  <c r="L2407" i="1" s="1"/>
  <c r="J2406" i="1"/>
  <c r="I2406" i="1"/>
  <c r="K2406" i="1" s="1"/>
  <c r="L2406" i="1" s="1"/>
  <c r="J2405" i="1"/>
  <c r="I2405" i="1"/>
  <c r="K2405" i="1" s="1"/>
  <c r="L2405" i="1" s="1"/>
  <c r="J2404" i="1"/>
  <c r="I2404" i="1"/>
  <c r="K2404" i="1" s="1"/>
  <c r="L2404" i="1" s="1"/>
  <c r="J2403" i="1"/>
  <c r="I2403" i="1"/>
  <c r="K2403" i="1" s="1"/>
  <c r="L2403" i="1" s="1"/>
  <c r="J2402" i="1"/>
  <c r="I2402" i="1"/>
  <c r="K2402" i="1" s="1"/>
  <c r="L2402" i="1" s="1"/>
  <c r="J2401" i="1"/>
  <c r="I2401" i="1"/>
  <c r="K2401" i="1" s="1"/>
  <c r="L2401" i="1" s="1"/>
  <c r="J2400" i="1"/>
  <c r="I2400" i="1"/>
  <c r="K2400" i="1" s="1"/>
  <c r="L2400" i="1" s="1"/>
  <c r="J2399" i="1"/>
  <c r="I2399" i="1"/>
  <c r="K2399" i="1" s="1"/>
  <c r="L2399" i="1" s="1"/>
  <c r="J2398" i="1"/>
  <c r="I2398" i="1"/>
  <c r="K2398" i="1" s="1"/>
  <c r="L2398" i="1" s="1"/>
  <c r="J2397" i="1"/>
  <c r="I2397" i="1"/>
  <c r="K2397" i="1" s="1"/>
  <c r="L2397" i="1" s="1"/>
  <c r="J2396" i="1"/>
  <c r="I2396" i="1"/>
  <c r="K2396" i="1" s="1"/>
  <c r="L2396" i="1" s="1"/>
  <c r="J2395" i="1"/>
  <c r="I2395" i="1"/>
  <c r="K2395" i="1" s="1"/>
  <c r="L2395" i="1" s="1"/>
  <c r="J2394" i="1"/>
  <c r="I2394" i="1"/>
  <c r="K2394" i="1" s="1"/>
  <c r="L2394" i="1" s="1"/>
  <c r="J2393" i="1"/>
  <c r="I2393" i="1"/>
  <c r="K2393" i="1" s="1"/>
  <c r="L2393" i="1" s="1"/>
  <c r="J2392" i="1"/>
  <c r="I2392" i="1"/>
  <c r="K2392" i="1" s="1"/>
  <c r="L2392" i="1" s="1"/>
  <c r="J2391" i="1"/>
  <c r="I2391" i="1"/>
  <c r="K2391" i="1" s="1"/>
  <c r="L2391" i="1" s="1"/>
  <c r="J2390" i="1"/>
  <c r="I2390" i="1"/>
  <c r="K2390" i="1" s="1"/>
  <c r="L2390" i="1" s="1"/>
  <c r="J2389" i="1"/>
  <c r="I2389" i="1"/>
  <c r="K2389" i="1" s="1"/>
  <c r="L2389" i="1" s="1"/>
  <c r="J2388" i="1"/>
  <c r="I2388" i="1"/>
  <c r="K2388" i="1" s="1"/>
  <c r="L2388" i="1" s="1"/>
  <c r="J2387" i="1"/>
  <c r="I2387" i="1"/>
  <c r="K2387" i="1" s="1"/>
  <c r="L2387" i="1" s="1"/>
  <c r="J2386" i="1"/>
  <c r="I2386" i="1"/>
  <c r="K2386" i="1" s="1"/>
  <c r="L2386" i="1" s="1"/>
  <c r="J2385" i="1"/>
  <c r="I2385" i="1"/>
  <c r="K2385" i="1" s="1"/>
  <c r="L2385" i="1" s="1"/>
  <c r="J2384" i="1"/>
  <c r="I2384" i="1"/>
  <c r="K2384" i="1" s="1"/>
  <c r="L2384" i="1" s="1"/>
  <c r="J2383" i="1"/>
  <c r="I2383" i="1"/>
  <c r="K2383" i="1" s="1"/>
  <c r="L2383" i="1" s="1"/>
  <c r="J2382" i="1"/>
  <c r="I2382" i="1"/>
  <c r="K2382" i="1" s="1"/>
  <c r="L2382" i="1" s="1"/>
  <c r="J2381" i="1"/>
  <c r="I2381" i="1"/>
  <c r="K2381" i="1" s="1"/>
  <c r="L2381" i="1" s="1"/>
  <c r="J2380" i="1"/>
  <c r="I2380" i="1"/>
  <c r="K2380" i="1" s="1"/>
  <c r="L2380" i="1" s="1"/>
  <c r="J2379" i="1"/>
  <c r="I2379" i="1"/>
  <c r="K2379" i="1" s="1"/>
  <c r="L2379" i="1" s="1"/>
  <c r="J2378" i="1"/>
  <c r="I2378" i="1"/>
  <c r="K2378" i="1" s="1"/>
  <c r="L2378" i="1" s="1"/>
  <c r="J2377" i="1"/>
  <c r="I2377" i="1"/>
  <c r="K2377" i="1" s="1"/>
  <c r="L2377" i="1" s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J2371" i="1"/>
  <c r="I2371" i="1"/>
  <c r="K2371" i="1" s="1"/>
  <c r="L2371" i="1" s="1"/>
  <c r="J2370" i="1"/>
  <c r="I2370" i="1"/>
  <c r="K2370" i="1" s="1"/>
  <c r="L2370" i="1" s="1"/>
  <c r="J2369" i="1"/>
  <c r="I2369" i="1"/>
  <c r="K2369" i="1" s="1"/>
  <c r="L2369" i="1" s="1"/>
  <c r="J2368" i="1"/>
  <c r="I2368" i="1"/>
  <c r="K2368" i="1" s="1"/>
  <c r="L2368" i="1" s="1"/>
  <c r="J2367" i="1"/>
  <c r="I2367" i="1"/>
  <c r="K2367" i="1" s="1"/>
  <c r="L2367" i="1" s="1"/>
  <c r="J2366" i="1"/>
  <c r="I2366" i="1"/>
  <c r="K2366" i="1" s="1"/>
  <c r="L2366" i="1" s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J2353" i="1"/>
  <c r="I2353" i="1"/>
  <c r="K2353" i="1" s="1"/>
  <c r="L2353" i="1" s="1"/>
  <c r="J2352" i="1"/>
  <c r="I2352" i="1"/>
  <c r="K2352" i="1" s="1"/>
  <c r="L2352" i="1" s="1"/>
  <c r="J2351" i="1"/>
  <c r="I2351" i="1"/>
  <c r="K2351" i="1" s="1"/>
  <c r="L2351" i="1" s="1"/>
  <c r="J2350" i="1"/>
  <c r="I2350" i="1"/>
  <c r="K2350" i="1" s="1"/>
  <c r="L2350" i="1" s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J2343" i="1"/>
  <c r="I2343" i="1"/>
  <c r="K2343" i="1" s="1"/>
  <c r="L2343" i="1" s="1"/>
  <c r="J2342" i="1"/>
  <c r="I2342" i="1"/>
  <c r="K2342" i="1" s="1"/>
  <c r="L2342" i="1" s="1"/>
  <c r="J2341" i="1"/>
  <c r="I2341" i="1"/>
  <c r="K2341" i="1" s="1"/>
  <c r="L2341" i="1" s="1"/>
  <c r="J2340" i="1"/>
  <c r="I2340" i="1"/>
  <c r="K2340" i="1" s="1"/>
  <c r="L2340" i="1" s="1"/>
  <c r="J2339" i="1"/>
  <c r="I2339" i="1"/>
  <c r="K2339" i="1" s="1"/>
  <c r="L2339" i="1" s="1"/>
  <c r="J2338" i="1"/>
  <c r="I2338" i="1"/>
  <c r="K2338" i="1" s="1"/>
  <c r="L2338" i="1" s="1"/>
  <c r="J2337" i="1"/>
  <c r="I2337" i="1"/>
  <c r="K2337" i="1" s="1"/>
  <c r="L2337" i="1" s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J2326" i="1"/>
  <c r="I2326" i="1"/>
  <c r="K2326" i="1" s="1"/>
  <c r="L2326" i="1" s="1"/>
  <c r="J2325" i="1"/>
  <c r="I2325" i="1"/>
  <c r="K2325" i="1" s="1"/>
  <c r="L2325" i="1" s="1"/>
  <c r="J2324" i="1"/>
  <c r="I2324" i="1"/>
  <c r="K2324" i="1" s="1"/>
  <c r="L2324" i="1" s="1"/>
  <c r="J2323" i="1"/>
  <c r="I2323" i="1"/>
  <c r="K2323" i="1" s="1"/>
  <c r="L2323" i="1" s="1"/>
  <c r="J2322" i="1"/>
  <c r="I2322" i="1"/>
  <c r="K2322" i="1" s="1"/>
  <c r="L2322" i="1" s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J2316" i="1"/>
  <c r="I2316" i="1"/>
  <c r="K2316" i="1" s="1"/>
  <c r="L2316" i="1" s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J2310" i="1"/>
  <c r="I2310" i="1"/>
  <c r="K2310" i="1" s="1"/>
  <c r="L2310" i="1" s="1"/>
  <c r="J2309" i="1"/>
  <c r="I2309" i="1"/>
  <c r="K2309" i="1" s="1"/>
  <c r="L2309" i="1" s="1"/>
  <c r="J2308" i="1"/>
  <c r="I2308" i="1"/>
  <c r="K2308" i="1" s="1"/>
  <c r="L2308" i="1" s="1"/>
  <c r="J2307" i="1"/>
  <c r="I2307" i="1"/>
  <c r="K2307" i="1" s="1"/>
  <c r="L2307" i="1" s="1"/>
  <c r="J2306" i="1"/>
  <c r="I2306" i="1"/>
  <c r="K2306" i="1" s="1"/>
  <c r="L2306" i="1" s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J2300" i="1"/>
  <c r="I2300" i="1"/>
  <c r="K2300" i="1" s="1"/>
  <c r="L2300" i="1" s="1"/>
  <c r="J2299" i="1"/>
  <c r="I2299" i="1"/>
  <c r="K2299" i="1" s="1"/>
  <c r="L2299" i="1" s="1"/>
  <c r="J2298" i="1"/>
  <c r="I2298" i="1"/>
  <c r="K2298" i="1" s="1"/>
  <c r="L2298" i="1" s="1"/>
  <c r="J2297" i="1"/>
  <c r="I2297" i="1"/>
  <c r="K2297" i="1" s="1"/>
  <c r="L2297" i="1" s="1"/>
  <c r="J2296" i="1"/>
  <c r="I2296" i="1"/>
  <c r="K2296" i="1" s="1"/>
  <c r="L2296" i="1" s="1"/>
  <c r="J2295" i="1"/>
  <c r="I2295" i="1"/>
  <c r="K2295" i="1" s="1"/>
  <c r="L2295" i="1" s="1"/>
  <c r="J2294" i="1"/>
  <c r="I2294" i="1"/>
  <c r="K2294" i="1" s="1"/>
  <c r="L2294" i="1" s="1"/>
  <c r="J2293" i="1"/>
  <c r="I2293" i="1"/>
  <c r="K2293" i="1" s="1"/>
  <c r="L2293" i="1" s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J2283" i="1"/>
  <c r="I2283" i="1"/>
  <c r="K2283" i="1" s="1"/>
  <c r="L2283" i="1" s="1"/>
  <c r="J2282" i="1"/>
  <c r="I2282" i="1"/>
  <c r="K2282" i="1" s="1"/>
  <c r="L2282" i="1" s="1"/>
  <c r="J2281" i="1"/>
  <c r="I2281" i="1"/>
  <c r="K2281" i="1" s="1"/>
  <c r="L2281" i="1" s="1"/>
  <c r="J2280" i="1"/>
  <c r="I2280" i="1"/>
  <c r="K2280" i="1" s="1"/>
  <c r="L2280" i="1" s="1"/>
  <c r="J2279" i="1"/>
  <c r="I2279" i="1"/>
  <c r="K2279" i="1" s="1"/>
  <c r="L2279" i="1" s="1"/>
  <c r="J2278" i="1"/>
  <c r="I2278" i="1"/>
  <c r="K2278" i="1" s="1"/>
  <c r="L2278" i="1" s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J2272" i="1"/>
  <c r="I2272" i="1"/>
  <c r="K2272" i="1" s="1"/>
  <c r="L2272" i="1" s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J2266" i="1"/>
  <c r="I2266" i="1"/>
  <c r="K2266" i="1" s="1"/>
  <c r="L2266" i="1" s="1"/>
  <c r="J2265" i="1"/>
  <c r="I2265" i="1"/>
  <c r="K2265" i="1" s="1"/>
  <c r="L2265" i="1" s="1"/>
  <c r="J2264" i="1"/>
  <c r="I2264" i="1"/>
  <c r="K2264" i="1" s="1"/>
  <c r="L2264" i="1" s="1"/>
  <c r="J2263" i="1"/>
  <c r="I2263" i="1"/>
  <c r="K2263" i="1" s="1"/>
  <c r="L2263" i="1" s="1"/>
  <c r="J2262" i="1"/>
  <c r="I2262" i="1"/>
  <c r="K2262" i="1" s="1"/>
  <c r="L2262" i="1" s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J2256" i="1"/>
  <c r="I2256" i="1"/>
  <c r="K2256" i="1" s="1"/>
  <c r="L2256" i="1" s="1"/>
  <c r="J2255" i="1"/>
  <c r="I2255" i="1"/>
  <c r="K2255" i="1" s="1"/>
  <c r="L2255" i="1" s="1"/>
  <c r="J2254" i="1"/>
  <c r="I2254" i="1"/>
  <c r="K2254" i="1" s="1"/>
  <c r="L2254" i="1" s="1"/>
  <c r="J2253" i="1"/>
  <c r="I2253" i="1"/>
  <c r="K2253" i="1" s="1"/>
  <c r="L2253" i="1" s="1"/>
  <c r="J2252" i="1"/>
  <c r="I2252" i="1"/>
  <c r="K2252" i="1" s="1"/>
  <c r="L2252" i="1" s="1"/>
  <c r="J2251" i="1"/>
  <c r="I2251" i="1"/>
  <c r="K2251" i="1" s="1"/>
  <c r="L2251" i="1" s="1"/>
  <c r="J2250" i="1"/>
  <c r="I2250" i="1"/>
  <c r="K2250" i="1" s="1"/>
  <c r="L2250" i="1" s="1"/>
  <c r="J2249" i="1"/>
  <c r="I2249" i="1"/>
  <c r="K2249" i="1" s="1"/>
  <c r="L2249" i="1" s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J2239" i="1"/>
  <c r="I2239" i="1"/>
  <c r="K2239" i="1" s="1"/>
  <c r="L2239" i="1" s="1"/>
  <c r="J2238" i="1"/>
  <c r="I2238" i="1"/>
  <c r="K2238" i="1" s="1"/>
  <c r="L2238" i="1" s="1"/>
  <c r="J2237" i="1"/>
  <c r="I2237" i="1"/>
  <c r="K2237" i="1" s="1"/>
  <c r="L2237" i="1" s="1"/>
  <c r="J2236" i="1"/>
  <c r="I2236" i="1"/>
  <c r="K2236" i="1" s="1"/>
  <c r="L2236" i="1" s="1"/>
  <c r="J2235" i="1"/>
  <c r="I2235" i="1"/>
  <c r="K2235" i="1" s="1"/>
  <c r="L2235" i="1" s="1"/>
  <c r="J2234" i="1"/>
  <c r="I2234" i="1"/>
  <c r="K2234" i="1" s="1"/>
  <c r="L2234" i="1" s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J2228" i="1"/>
  <c r="I2228" i="1"/>
  <c r="K2228" i="1" s="1"/>
  <c r="L2228" i="1" s="1"/>
  <c r="J2227" i="1"/>
  <c r="I2227" i="1"/>
  <c r="K2227" i="1" s="1"/>
  <c r="L2227" i="1" s="1"/>
  <c r="J2226" i="1"/>
  <c r="I2226" i="1"/>
  <c r="K2226" i="1" s="1"/>
  <c r="L2226" i="1" s="1"/>
  <c r="J2225" i="1"/>
  <c r="I2225" i="1"/>
  <c r="K2225" i="1" s="1"/>
  <c r="L2225" i="1" s="1"/>
  <c r="J2224" i="1"/>
  <c r="I2224" i="1"/>
  <c r="K2224" i="1" s="1"/>
  <c r="L2224" i="1" s="1"/>
  <c r="J2223" i="1"/>
  <c r="I2223" i="1"/>
  <c r="K2223" i="1" s="1"/>
  <c r="L2223" i="1" s="1"/>
  <c r="J2222" i="1"/>
  <c r="I2222" i="1"/>
  <c r="K2222" i="1" s="1"/>
  <c r="L2222" i="1" s="1"/>
  <c r="J2221" i="1"/>
  <c r="I2221" i="1"/>
  <c r="K2221" i="1" s="1"/>
  <c r="L2221" i="1" s="1"/>
  <c r="J2220" i="1"/>
  <c r="I2220" i="1"/>
  <c r="K2220" i="1" s="1"/>
  <c r="L2220" i="1" s="1"/>
  <c r="J2219" i="1"/>
  <c r="I2219" i="1"/>
  <c r="K2219" i="1" s="1"/>
  <c r="L2219" i="1" s="1"/>
  <c r="J2218" i="1"/>
  <c r="I2218" i="1"/>
  <c r="K2218" i="1" s="1"/>
  <c r="L2218" i="1" s="1"/>
  <c r="J2217" i="1"/>
  <c r="I2217" i="1"/>
  <c r="K2217" i="1" s="1"/>
  <c r="L2217" i="1" s="1"/>
  <c r="J2216" i="1"/>
  <c r="I2216" i="1"/>
  <c r="K2216" i="1" s="1"/>
  <c r="L2216" i="1" s="1"/>
  <c r="J2215" i="1"/>
  <c r="I2215" i="1"/>
  <c r="K2215" i="1" s="1"/>
  <c r="L2215" i="1" s="1"/>
  <c r="J2214" i="1"/>
  <c r="I2214" i="1"/>
  <c r="K2214" i="1" s="1"/>
  <c r="L2214" i="1" s="1"/>
  <c r="J2213" i="1"/>
  <c r="I2213" i="1"/>
  <c r="K2213" i="1" s="1"/>
  <c r="L2213" i="1" s="1"/>
  <c r="J2212" i="1"/>
  <c r="I2212" i="1"/>
  <c r="K2212" i="1" s="1"/>
  <c r="L2212" i="1" s="1"/>
  <c r="J2211" i="1"/>
  <c r="I2211" i="1"/>
  <c r="K2211" i="1" s="1"/>
  <c r="L2211" i="1" s="1"/>
  <c r="J2210" i="1"/>
  <c r="I2210" i="1"/>
  <c r="K2210" i="1" s="1"/>
  <c r="L2210" i="1" s="1"/>
  <c r="J2209" i="1"/>
  <c r="I2209" i="1"/>
  <c r="K2209" i="1" s="1"/>
  <c r="L2209" i="1" s="1"/>
  <c r="J2208" i="1"/>
  <c r="I2208" i="1"/>
  <c r="K2208" i="1" s="1"/>
  <c r="L2208" i="1" s="1"/>
  <c r="J2207" i="1"/>
  <c r="I2207" i="1"/>
  <c r="K2207" i="1" s="1"/>
  <c r="L2207" i="1" s="1"/>
  <c r="J2206" i="1"/>
  <c r="I2206" i="1"/>
  <c r="K2206" i="1" s="1"/>
  <c r="L2206" i="1" s="1"/>
  <c r="J2205" i="1"/>
  <c r="I2205" i="1"/>
  <c r="K2205" i="1" s="1"/>
  <c r="L2205" i="1" s="1"/>
  <c r="J2204" i="1"/>
  <c r="I2204" i="1"/>
  <c r="K2204" i="1" s="1"/>
  <c r="L2204" i="1" s="1"/>
  <c r="J2203" i="1"/>
  <c r="I2203" i="1"/>
  <c r="K2203" i="1" s="1"/>
  <c r="L2203" i="1" s="1"/>
  <c r="J2202" i="1"/>
  <c r="I2202" i="1"/>
  <c r="K2202" i="1" s="1"/>
  <c r="L2202" i="1" s="1"/>
  <c r="J2201" i="1"/>
  <c r="I2201" i="1"/>
  <c r="K2201" i="1" s="1"/>
  <c r="L2201" i="1" s="1"/>
  <c r="J2200" i="1"/>
  <c r="I2200" i="1"/>
  <c r="K2200" i="1" s="1"/>
  <c r="L2200" i="1" s="1"/>
  <c r="J2199" i="1"/>
  <c r="I2199" i="1"/>
  <c r="K2199" i="1" s="1"/>
  <c r="L2199" i="1" s="1"/>
  <c r="J2198" i="1"/>
  <c r="I2198" i="1"/>
  <c r="K2198" i="1" s="1"/>
  <c r="L2198" i="1" s="1"/>
  <c r="J2197" i="1"/>
  <c r="I2197" i="1"/>
  <c r="K2197" i="1" s="1"/>
  <c r="L2197" i="1" s="1"/>
  <c r="J2196" i="1"/>
  <c r="I2196" i="1"/>
  <c r="K2196" i="1" s="1"/>
  <c r="L2196" i="1" s="1"/>
  <c r="J2195" i="1"/>
  <c r="I2195" i="1"/>
  <c r="K2195" i="1" s="1"/>
  <c r="L2195" i="1" s="1"/>
  <c r="J2194" i="1"/>
  <c r="I2194" i="1"/>
  <c r="K2194" i="1" s="1"/>
  <c r="L2194" i="1" s="1"/>
  <c r="J2193" i="1"/>
  <c r="I2193" i="1"/>
  <c r="K2193" i="1" s="1"/>
  <c r="L2193" i="1" s="1"/>
  <c r="J2192" i="1"/>
  <c r="I2192" i="1"/>
  <c r="K2192" i="1" s="1"/>
  <c r="L2192" i="1" s="1"/>
  <c r="J2191" i="1"/>
  <c r="I2191" i="1"/>
  <c r="K2191" i="1" s="1"/>
  <c r="L2191" i="1" s="1"/>
  <c r="J2190" i="1"/>
  <c r="I2190" i="1"/>
  <c r="K2190" i="1" s="1"/>
  <c r="L2190" i="1" s="1"/>
  <c r="J2189" i="1"/>
  <c r="I2189" i="1"/>
  <c r="K2189" i="1" s="1"/>
  <c r="L2189" i="1" s="1"/>
  <c r="J2188" i="1"/>
  <c r="I2188" i="1"/>
  <c r="K2188" i="1" s="1"/>
  <c r="L2188" i="1" s="1"/>
  <c r="J2187" i="1"/>
  <c r="I2187" i="1"/>
  <c r="K2187" i="1" s="1"/>
  <c r="L2187" i="1" s="1"/>
  <c r="J2186" i="1"/>
  <c r="I2186" i="1"/>
  <c r="K2186" i="1" s="1"/>
  <c r="L2186" i="1" s="1"/>
  <c r="J2185" i="1"/>
  <c r="I2185" i="1"/>
  <c r="K2185" i="1" s="1"/>
  <c r="L2185" i="1" s="1"/>
  <c r="J2184" i="1"/>
  <c r="I2184" i="1"/>
  <c r="K2184" i="1" s="1"/>
  <c r="L2184" i="1" s="1"/>
  <c r="J2183" i="1"/>
  <c r="I2183" i="1"/>
  <c r="K2183" i="1" s="1"/>
  <c r="L2183" i="1" s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J2178" i="1"/>
  <c r="I2178" i="1"/>
  <c r="K2178" i="1" s="1"/>
  <c r="L2178" i="1" s="1"/>
  <c r="J2177" i="1"/>
  <c r="I2177" i="1"/>
  <c r="K2177" i="1" s="1"/>
  <c r="L2177" i="1" s="1"/>
  <c r="J2176" i="1"/>
  <c r="I2176" i="1"/>
  <c r="K2176" i="1" s="1"/>
  <c r="L2176" i="1" s="1"/>
  <c r="J2175" i="1"/>
  <c r="I2175" i="1"/>
  <c r="K2175" i="1" s="1"/>
  <c r="L2175" i="1" s="1"/>
  <c r="J2174" i="1"/>
  <c r="I2174" i="1"/>
  <c r="K2174" i="1" s="1"/>
  <c r="L2174" i="1" s="1"/>
  <c r="J2173" i="1"/>
  <c r="I2173" i="1"/>
  <c r="K2173" i="1" s="1"/>
  <c r="L2173" i="1" s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J2168" i="1"/>
  <c r="I2168" i="1"/>
  <c r="K2168" i="1" s="1"/>
  <c r="L2168" i="1" s="1"/>
  <c r="J2167" i="1"/>
  <c r="I2167" i="1"/>
  <c r="K2167" i="1" s="1"/>
  <c r="L2167" i="1" s="1"/>
  <c r="J2166" i="1"/>
  <c r="I2166" i="1"/>
  <c r="K2166" i="1" s="1"/>
  <c r="L2166" i="1" s="1"/>
  <c r="J2165" i="1"/>
  <c r="I2165" i="1"/>
  <c r="K2165" i="1" s="1"/>
  <c r="L2165" i="1" s="1"/>
  <c r="J2164" i="1"/>
  <c r="I2164" i="1"/>
  <c r="K2164" i="1" s="1"/>
  <c r="L2164" i="1" s="1"/>
  <c r="J2163" i="1"/>
  <c r="I2163" i="1"/>
  <c r="K2163" i="1" s="1"/>
  <c r="L2163" i="1" s="1"/>
  <c r="J2162" i="1"/>
  <c r="I2162" i="1"/>
  <c r="K2162" i="1" s="1"/>
  <c r="L2162" i="1" s="1"/>
  <c r="J2161" i="1"/>
  <c r="I2161" i="1"/>
  <c r="K2161" i="1" s="1"/>
  <c r="L2161" i="1" s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J2151" i="1"/>
  <c r="I2151" i="1"/>
  <c r="K2151" i="1" s="1"/>
  <c r="L2151" i="1" s="1"/>
  <c r="J2150" i="1"/>
  <c r="I2150" i="1"/>
  <c r="K2150" i="1" s="1"/>
  <c r="L2150" i="1" s="1"/>
  <c r="J2149" i="1"/>
  <c r="I2149" i="1"/>
  <c r="K2149" i="1" s="1"/>
  <c r="L2149" i="1" s="1"/>
  <c r="J2148" i="1"/>
  <c r="I2148" i="1"/>
  <c r="K2148" i="1" s="1"/>
  <c r="L2148" i="1" s="1"/>
  <c r="J2147" i="1"/>
  <c r="I2147" i="1"/>
  <c r="K2147" i="1" s="1"/>
  <c r="L2147" i="1" s="1"/>
  <c r="J2146" i="1"/>
  <c r="I2146" i="1"/>
  <c r="K2146" i="1" s="1"/>
  <c r="L2146" i="1" s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J2140" i="1"/>
  <c r="I2140" i="1"/>
  <c r="K2140" i="1" s="1"/>
  <c r="L2140" i="1" s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J2134" i="1"/>
  <c r="I2134" i="1"/>
  <c r="K2134" i="1" s="1"/>
  <c r="L2134" i="1" s="1"/>
  <c r="J2133" i="1"/>
  <c r="I2133" i="1"/>
  <c r="K2133" i="1" s="1"/>
  <c r="L2133" i="1" s="1"/>
  <c r="J2132" i="1"/>
  <c r="I2132" i="1"/>
  <c r="K2132" i="1" s="1"/>
  <c r="L2132" i="1" s="1"/>
  <c r="J2131" i="1"/>
  <c r="I2131" i="1"/>
  <c r="K2131" i="1" s="1"/>
  <c r="L2131" i="1" s="1"/>
  <c r="J2130" i="1"/>
  <c r="I2130" i="1"/>
  <c r="K2130" i="1" s="1"/>
  <c r="L2130" i="1" s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J2124" i="1"/>
  <c r="I2124" i="1"/>
  <c r="K2124" i="1" s="1"/>
  <c r="L2124" i="1" s="1"/>
  <c r="J2123" i="1"/>
  <c r="I2123" i="1"/>
  <c r="K2123" i="1" s="1"/>
  <c r="L2123" i="1" s="1"/>
  <c r="J2122" i="1"/>
  <c r="I2122" i="1"/>
  <c r="K2122" i="1" s="1"/>
  <c r="L2122" i="1" s="1"/>
  <c r="J2121" i="1"/>
  <c r="I2121" i="1"/>
  <c r="K2121" i="1" s="1"/>
  <c r="L2121" i="1" s="1"/>
  <c r="J2120" i="1"/>
  <c r="I2120" i="1"/>
  <c r="K2120" i="1" s="1"/>
  <c r="L2120" i="1" s="1"/>
  <c r="J2119" i="1"/>
  <c r="I2119" i="1"/>
  <c r="K2119" i="1" s="1"/>
  <c r="L2119" i="1" s="1"/>
  <c r="J2118" i="1"/>
  <c r="I2118" i="1"/>
  <c r="K2118" i="1" s="1"/>
  <c r="L2118" i="1" s="1"/>
  <c r="J2117" i="1"/>
  <c r="I2117" i="1"/>
  <c r="K2117" i="1" s="1"/>
  <c r="L2117" i="1" s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J2107" i="1"/>
  <c r="I2107" i="1"/>
  <c r="K2107" i="1" s="1"/>
  <c r="L2107" i="1" s="1"/>
  <c r="J2106" i="1"/>
  <c r="I2106" i="1"/>
  <c r="K2106" i="1" s="1"/>
  <c r="L2106" i="1" s="1"/>
  <c r="J2105" i="1"/>
  <c r="I2105" i="1"/>
  <c r="K2105" i="1" s="1"/>
  <c r="L2105" i="1" s="1"/>
  <c r="J2104" i="1"/>
  <c r="I2104" i="1"/>
  <c r="K2104" i="1" s="1"/>
  <c r="L2104" i="1" s="1"/>
  <c r="J2103" i="1"/>
  <c r="I2103" i="1"/>
  <c r="K2103" i="1" s="1"/>
  <c r="L2103" i="1" s="1"/>
  <c r="J2102" i="1"/>
  <c r="I2102" i="1"/>
  <c r="K2102" i="1" s="1"/>
  <c r="L2102" i="1" s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J2096" i="1"/>
  <c r="I2096" i="1"/>
  <c r="K2096" i="1" s="1"/>
  <c r="L2096" i="1" s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J2090" i="1"/>
  <c r="I2090" i="1"/>
  <c r="K2090" i="1" s="1"/>
  <c r="L2090" i="1" s="1"/>
  <c r="J2089" i="1"/>
  <c r="I2089" i="1"/>
  <c r="K2089" i="1" s="1"/>
  <c r="L2089" i="1" s="1"/>
  <c r="J2088" i="1"/>
  <c r="I2088" i="1"/>
  <c r="K2088" i="1" s="1"/>
  <c r="L2088" i="1" s="1"/>
  <c r="J2087" i="1"/>
  <c r="I2087" i="1"/>
  <c r="K2087" i="1" s="1"/>
  <c r="L2087" i="1" s="1"/>
  <c r="J2086" i="1"/>
  <c r="I2086" i="1"/>
  <c r="K2086" i="1" s="1"/>
  <c r="L2086" i="1" s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J2080" i="1"/>
  <c r="I2080" i="1"/>
  <c r="K2080" i="1" s="1"/>
  <c r="L2080" i="1" s="1"/>
  <c r="J2079" i="1"/>
  <c r="I2079" i="1"/>
  <c r="K2079" i="1" s="1"/>
  <c r="L2079" i="1" s="1"/>
  <c r="J2078" i="1"/>
  <c r="I2078" i="1"/>
  <c r="K2078" i="1" s="1"/>
  <c r="L2078" i="1" s="1"/>
  <c r="J2077" i="1"/>
  <c r="I2077" i="1"/>
  <c r="K2077" i="1" s="1"/>
  <c r="L2077" i="1" s="1"/>
  <c r="J2076" i="1"/>
  <c r="I2076" i="1"/>
  <c r="K2076" i="1" s="1"/>
  <c r="L2076" i="1" s="1"/>
  <c r="J2075" i="1"/>
  <c r="I2075" i="1"/>
  <c r="K2075" i="1" s="1"/>
  <c r="L2075" i="1" s="1"/>
  <c r="J2074" i="1"/>
  <c r="I2074" i="1"/>
  <c r="K2074" i="1" s="1"/>
  <c r="L2074" i="1" s="1"/>
  <c r="J2073" i="1"/>
  <c r="I2073" i="1"/>
  <c r="K2073" i="1" s="1"/>
  <c r="L2073" i="1" s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J2063" i="1"/>
  <c r="I2063" i="1"/>
  <c r="K2063" i="1" s="1"/>
  <c r="L2063" i="1" s="1"/>
  <c r="J2062" i="1"/>
  <c r="I2062" i="1"/>
  <c r="K2062" i="1" s="1"/>
  <c r="L2062" i="1" s="1"/>
  <c r="J2061" i="1"/>
  <c r="I2061" i="1"/>
  <c r="K2061" i="1" s="1"/>
  <c r="L2061" i="1" s="1"/>
  <c r="J2060" i="1"/>
  <c r="I2060" i="1"/>
  <c r="K2060" i="1" s="1"/>
  <c r="L2060" i="1" s="1"/>
  <c r="J2059" i="1"/>
  <c r="I2059" i="1"/>
  <c r="K2059" i="1" s="1"/>
  <c r="L2059" i="1" s="1"/>
  <c r="J2058" i="1"/>
  <c r="I2058" i="1"/>
  <c r="K2058" i="1" s="1"/>
  <c r="L2058" i="1" s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J2052" i="1"/>
  <c r="I2052" i="1"/>
  <c r="K2052" i="1" s="1"/>
  <c r="L2052" i="1" s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J2046" i="1"/>
  <c r="I2046" i="1"/>
  <c r="K2046" i="1" s="1"/>
  <c r="L2046" i="1" s="1"/>
  <c r="J2045" i="1"/>
  <c r="I2045" i="1"/>
  <c r="K2045" i="1" s="1"/>
  <c r="L2045" i="1" s="1"/>
  <c r="J2044" i="1"/>
  <c r="I2044" i="1"/>
  <c r="K2044" i="1" s="1"/>
  <c r="L2044" i="1" s="1"/>
  <c r="J2043" i="1"/>
  <c r="I2043" i="1"/>
  <c r="K2043" i="1" s="1"/>
  <c r="L2043" i="1" s="1"/>
  <c r="J2042" i="1"/>
  <c r="I2042" i="1"/>
  <c r="K2042" i="1" s="1"/>
  <c r="L2042" i="1" s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J2036" i="1"/>
  <c r="I2036" i="1"/>
  <c r="K2036" i="1" s="1"/>
  <c r="L2036" i="1" s="1"/>
  <c r="J2035" i="1"/>
  <c r="I2035" i="1"/>
  <c r="K2035" i="1" s="1"/>
  <c r="L2035" i="1" s="1"/>
  <c r="J2034" i="1"/>
  <c r="I2034" i="1"/>
  <c r="K2034" i="1" s="1"/>
  <c r="L2034" i="1" s="1"/>
  <c r="J2033" i="1"/>
  <c r="I2033" i="1"/>
  <c r="K2033" i="1" s="1"/>
  <c r="L2033" i="1" s="1"/>
  <c r="J2032" i="1"/>
  <c r="I2032" i="1"/>
  <c r="K2032" i="1" s="1"/>
  <c r="L2032" i="1" s="1"/>
  <c r="J2031" i="1"/>
  <c r="I2031" i="1"/>
  <c r="K2031" i="1" s="1"/>
  <c r="L2031" i="1" s="1"/>
  <c r="J2030" i="1"/>
  <c r="I2030" i="1"/>
  <c r="K2030" i="1" s="1"/>
  <c r="L2030" i="1" s="1"/>
  <c r="J2029" i="1"/>
  <c r="I2029" i="1"/>
  <c r="K2029" i="1" s="1"/>
  <c r="L2029" i="1" s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J2019" i="1"/>
  <c r="I2019" i="1"/>
  <c r="K2019" i="1" s="1"/>
  <c r="L2019" i="1" s="1"/>
  <c r="J2018" i="1"/>
  <c r="I2018" i="1"/>
  <c r="K2018" i="1" s="1"/>
  <c r="L2018" i="1" s="1"/>
  <c r="J2017" i="1"/>
  <c r="I2017" i="1"/>
  <c r="K2017" i="1" s="1"/>
  <c r="L2017" i="1" s="1"/>
  <c r="J2016" i="1"/>
  <c r="I2016" i="1"/>
  <c r="K2016" i="1" s="1"/>
  <c r="L2016" i="1" s="1"/>
  <c r="J2015" i="1"/>
  <c r="I2015" i="1"/>
  <c r="K2015" i="1" s="1"/>
  <c r="L2015" i="1" s="1"/>
  <c r="J2014" i="1"/>
  <c r="I2014" i="1"/>
  <c r="K2014" i="1" s="1"/>
  <c r="L2014" i="1" s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J2008" i="1"/>
  <c r="I2008" i="1"/>
  <c r="K2008" i="1" s="1"/>
  <c r="L2008" i="1" s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J2002" i="1"/>
  <c r="I2002" i="1"/>
  <c r="K2002" i="1" s="1"/>
  <c r="L2002" i="1" s="1"/>
  <c r="J2001" i="1"/>
  <c r="I2001" i="1"/>
  <c r="K2001" i="1" s="1"/>
  <c r="L2001" i="1" s="1"/>
  <c r="J2000" i="1"/>
  <c r="I2000" i="1"/>
  <c r="K2000" i="1" s="1"/>
  <c r="L2000" i="1" s="1"/>
  <c r="J1999" i="1"/>
  <c r="I1999" i="1"/>
  <c r="K1999" i="1" s="1"/>
  <c r="L1999" i="1" s="1"/>
  <c r="J1998" i="1"/>
  <c r="I1998" i="1"/>
  <c r="K1998" i="1" s="1"/>
  <c r="L1998" i="1" s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J1994" i="1"/>
  <c r="I1994" i="1"/>
  <c r="K1994" i="1" s="1"/>
  <c r="L1994" i="1" s="1"/>
  <c r="J1993" i="1"/>
  <c r="I1993" i="1"/>
  <c r="K1993" i="1" s="1"/>
  <c r="L1993" i="1" s="1"/>
  <c r="J1992" i="1"/>
  <c r="I1992" i="1"/>
  <c r="K1992" i="1" s="1"/>
  <c r="L1992" i="1" s="1"/>
  <c r="J1991" i="1"/>
  <c r="I1991" i="1"/>
  <c r="K1991" i="1" s="1"/>
  <c r="L1991" i="1" s="1"/>
  <c r="J1990" i="1"/>
  <c r="I1990" i="1"/>
  <c r="K1990" i="1" s="1"/>
  <c r="L1990" i="1" s="1"/>
  <c r="J1989" i="1"/>
  <c r="I1989" i="1"/>
  <c r="K1989" i="1" s="1"/>
  <c r="L1989" i="1" s="1"/>
  <c r="J1988" i="1"/>
  <c r="I1988" i="1"/>
  <c r="K1988" i="1" s="1"/>
  <c r="L1988" i="1" s="1"/>
  <c r="J1987" i="1"/>
  <c r="I1987" i="1"/>
  <c r="K1987" i="1" s="1"/>
  <c r="L1987" i="1" s="1"/>
  <c r="J1986" i="1"/>
  <c r="I1986" i="1"/>
  <c r="K1986" i="1" s="1"/>
  <c r="L1986" i="1" s="1"/>
  <c r="J1985" i="1"/>
  <c r="I1985" i="1"/>
  <c r="K1985" i="1" s="1"/>
  <c r="L1985" i="1" s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J1975" i="1"/>
  <c r="I1975" i="1"/>
  <c r="K1975" i="1" s="1"/>
  <c r="L1975" i="1" s="1"/>
  <c r="J1974" i="1"/>
  <c r="I1974" i="1"/>
  <c r="K1974" i="1" s="1"/>
  <c r="L1974" i="1" s="1"/>
  <c r="J1973" i="1"/>
  <c r="I1973" i="1"/>
  <c r="K1973" i="1" s="1"/>
  <c r="L1973" i="1" s="1"/>
  <c r="J1972" i="1"/>
  <c r="I1972" i="1"/>
  <c r="K1972" i="1" s="1"/>
  <c r="L1972" i="1" s="1"/>
  <c r="J1971" i="1"/>
  <c r="I1971" i="1"/>
  <c r="K1971" i="1" s="1"/>
  <c r="L1971" i="1" s="1"/>
  <c r="J1970" i="1"/>
  <c r="I1970" i="1"/>
  <c r="K1970" i="1" s="1"/>
  <c r="L1970" i="1" s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J1964" i="1"/>
  <c r="I1964" i="1"/>
  <c r="K1964" i="1" s="1"/>
  <c r="L1964" i="1" s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J1958" i="1"/>
  <c r="I1958" i="1"/>
  <c r="K1958" i="1" s="1"/>
  <c r="L1958" i="1" s="1"/>
  <c r="J1957" i="1"/>
  <c r="I1957" i="1"/>
  <c r="K1957" i="1" s="1"/>
  <c r="L1957" i="1" s="1"/>
  <c r="J1956" i="1"/>
  <c r="I1956" i="1"/>
  <c r="K1956" i="1" s="1"/>
  <c r="L1956" i="1" s="1"/>
  <c r="J1955" i="1"/>
  <c r="I1955" i="1"/>
  <c r="K1955" i="1" s="1"/>
  <c r="L1955" i="1" s="1"/>
  <c r="J1954" i="1"/>
  <c r="I1954" i="1"/>
  <c r="K1954" i="1" s="1"/>
  <c r="L1954" i="1" s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J1950" i="1"/>
  <c r="I1950" i="1"/>
  <c r="K1950" i="1" s="1"/>
  <c r="L1950" i="1" s="1"/>
  <c r="J1949" i="1"/>
  <c r="I1949" i="1"/>
  <c r="K1949" i="1" s="1"/>
  <c r="L1949" i="1" s="1"/>
  <c r="J1948" i="1"/>
  <c r="I1948" i="1"/>
  <c r="K1948" i="1" s="1"/>
  <c r="L1948" i="1" s="1"/>
  <c r="J1947" i="1"/>
  <c r="I1947" i="1"/>
  <c r="K1947" i="1" s="1"/>
  <c r="L1947" i="1" s="1"/>
  <c r="J1946" i="1"/>
  <c r="I1946" i="1"/>
  <c r="K1946" i="1" s="1"/>
  <c r="L1946" i="1" s="1"/>
  <c r="J1945" i="1"/>
  <c r="I1945" i="1"/>
  <c r="K1945" i="1" s="1"/>
  <c r="L1945" i="1" s="1"/>
  <c r="J1944" i="1"/>
  <c r="I1944" i="1"/>
  <c r="K1944" i="1" s="1"/>
  <c r="L1944" i="1" s="1"/>
  <c r="J1943" i="1"/>
  <c r="I1943" i="1"/>
  <c r="K1943" i="1" s="1"/>
  <c r="L1943" i="1" s="1"/>
  <c r="J1942" i="1"/>
  <c r="I1942" i="1"/>
  <c r="K1942" i="1" s="1"/>
  <c r="L1942" i="1" s="1"/>
  <c r="J1941" i="1"/>
  <c r="I1941" i="1"/>
  <c r="K1941" i="1" s="1"/>
  <c r="L1941" i="1" s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J1931" i="1"/>
  <c r="I1931" i="1"/>
  <c r="K1931" i="1" s="1"/>
  <c r="L1931" i="1" s="1"/>
  <c r="J1930" i="1"/>
  <c r="I1930" i="1"/>
  <c r="K1930" i="1" s="1"/>
  <c r="L1930" i="1" s="1"/>
  <c r="J1929" i="1"/>
  <c r="I1929" i="1"/>
  <c r="K1929" i="1" s="1"/>
  <c r="L1929" i="1" s="1"/>
  <c r="J1928" i="1"/>
  <c r="I1928" i="1"/>
  <c r="K1928" i="1" s="1"/>
  <c r="L1928" i="1" s="1"/>
  <c r="J1927" i="1"/>
  <c r="I1927" i="1"/>
  <c r="K1927" i="1" s="1"/>
  <c r="L1927" i="1" s="1"/>
  <c r="J1926" i="1"/>
  <c r="I1926" i="1"/>
  <c r="K1926" i="1" s="1"/>
  <c r="L1926" i="1" s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J1920" i="1"/>
  <c r="I1920" i="1"/>
  <c r="K1920" i="1" s="1"/>
  <c r="L1920" i="1" s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J1914" i="1"/>
  <c r="I1914" i="1"/>
  <c r="K1914" i="1" s="1"/>
  <c r="L1914" i="1" s="1"/>
  <c r="J1913" i="1"/>
  <c r="I1913" i="1"/>
  <c r="K1913" i="1" s="1"/>
  <c r="L1913" i="1" s="1"/>
  <c r="J1912" i="1"/>
  <c r="I1912" i="1"/>
  <c r="K1912" i="1" s="1"/>
  <c r="L1912" i="1" s="1"/>
  <c r="J1911" i="1"/>
  <c r="I1911" i="1"/>
  <c r="K1911" i="1" s="1"/>
  <c r="L1911" i="1" s="1"/>
  <c r="J1910" i="1"/>
  <c r="I1910" i="1"/>
  <c r="K1910" i="1" s="1"/>
  <c r="L1910" i="1" s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J1903" i="1"/>
  <c r="I1903" i="1"/>
  <c r="K1903" i="1" s="1"/>
  <c r="L1903" i="1" s="1"/>
  <c r="J1902" i="1"/>
  <c r="I1902" i="1"/>
  <c r="K1902" i="1" s="1"/>
  <c r="L1902" i="1" s="1"/>
  <c r="J1901" i="1"/>
  <c r="I1901" i="1"/>
  <c r="K1901" i="1" s="1"/>
  <c r="L1901" i="1" s="1"/>
  <c r="J1900" i="1"/>
  <c r="I1900" i="1"/>
  <c r="K1900" i="1" s="1"/>
  <c r="L1900" i="1" s="1"/>
  <c r="J1899" i="1"/>
  <c r="I1899" i="1"/>
  <c r="K1899" i="1" s="1"/>
  <c r="L1899" i="1" s="1"/>
  <c r="J1898" i="1"/>
  <c r="I1898" i="1"/>
  <c r="K1898" i="1" s="1"/>
  <c r="L1898" i="1" s="1"/>
  <c r="J1897" i="1"/>
  <c r="I1897" i="1"/>
  <c r="K1897" i="1" s="1"/>
  <c r="L1897" i="1" s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J1892" i="1"/>
  <c r="I1892" i="1"/>
  <c r="K1892" i="1" s="1"/>
  <c r="L1892" i="1" s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J1887" i="1"/>
  <c r="I1887" i="1"/>
  <c r="K1887" i="1" s="1"/>
  <c r="L1887" i="1" s="1"/>
  <c r="J1886" i="1"/>
  <c r="I1886" i="1"/>
  <c r="K1886" i="1" s="1"/>
  <c r="L1886" i="1" s="1"/>
  <c r="J1885" i="1"/>
  <c r="I1885" i="1"/>
  <c r="K1885" i="1" s="1"/>
  <c r="L1885" i="1" s="1"/>
  <c r="J1884" i="1"/>
  <c r="I1884" i="1"/>
  <c r="K1884" i="1" s="1"/>
  <c r="L1884" i="1" s="1"/>
  <c r="J1883" i="1"/>
  <c r="I1883" i="1"/>
  <c r="K1883" i="1" s="1"/>
  <c r="L1883" i="1" s="1"/>
  <c r="J1882" i="1"/>
  <c r="I1882" i="1"/>
  <c r="K1882" i="1" s="1"/>
  <c r="L1882" i="1" s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J1876" i="1"/>
  <c r="I1876" i="1"/>
  <c r="K1876" i="1" s="1"/>
  <c r="L1876" i="1" s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J1870" i="1"/>
  <c r="I1870" i="1"/>
  <c r="K1870" i="1" s="1"/>
  <c r="L1870" i="1" s="1"/>
  <c r="J1869" i="1"/>
  <c r="I1869" i="1"/>
  <c r="K1869" i="1" s="1"/>
  <c r="L1869" i="1" s="1"/>
  <c r="J1868" i="1"/>
  <c r="I1868" i="1"/>
  <c r="K1868" i="1" s="1"/>
  <c r="L1868" i="1" s="1"/>
  <c r="J1867" i="1"/>
  <c r="I1867" i="1"/>
  <c r="K1867" i="1" s="1"/>
  <c r="L1867" i="1" s="1"/>
  <c r="J1866" i="1"/>
  <c r="I1866" i="1"/>
  <c r="K1866" i="1" s="1"/>
  <c r="L1866" i="1" s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J1859" i="1"/>
  <c r="I1859" i="1"/>
  <c r="K1859" i="1" s="1"/>
  <c r="L1859" i="1" s="1"/>
  <c r="J1858" i="1"/>
  <c r="I1858" i="1"/>
  <c r="K1858" i="1" s="1"/>
  <c r="L1858" i="1" s="1"/>
  <c r="J1857" i="1"/>
  <c r="I1857" i="1"/>
  <c r="K1857" i="1" s="1"/>
  <c r="L1857" i="1" s="1"/>
  <c r="J1856" i="1"/>
  <c r="I1856" i="1"/>
  <c r="K1856" i="1" s="1"/>
  <c r="L1856" i="1" s="1"/>
  <c r="J1855" i="1"/>
  <c r="I1855" i="1"/>
  <c r="K1855" i="1" s="1"/>
  <c r="L1855" i="1" s="1"/>
  <c r="J1854" i="1"/>
  <c r="I1854" i="1"/>
  <c r="K1854" i="1" s="1"/>
  <c r="L1854" i="1" s="1"/>
  <c r="J1853" i="1"/>
  <c r="I1853" i="1"/>
  <c r="K1853" i="1" s="1"/>
  <c r="L1853" i="1" s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J1843" i="1"/>
  <c r="I1843" i="1"/>
  <c r="K1843" i="1" s="1"/>
  <c r="L1843" i="1" s="1"/>
  <c r="J1842" i="1"/>
  <c r="I1842" i="1"/>
  <c r="K1842" i="1" s="1"/>
  <c r="L1842" i="1" s="1"/>
  <c r="J1841" i="1"/>
  <c r="I1841" i="1"/>
  <c r="K1841" i="1" s="1"/>
  <c r="L1841" i="1" s="1"/>
  <c r="J1840" i="1"/>
  <c r="I1840" i="1"/>
  <c r="K1840" i="1" s="1"/>
  <c r="L1840" i="1" s="1"/>
  <c r="J1839" i="1"/>
  <c r="I1839" i="1"/>
  <c r="K1839" i="1" s="1"/>
  <c r="L1839" i="1" s="1"/>
  <c r="J1838" i="1"/>
  <c r="I1838" i="1"/>
  <c r="K1838" i="1" s="1"/>
  <c r="L1838" i="1" s="1"/>
  <c r="J1837" i="1"/>
  <c r="I1837" i="1"/>
  <c r="K1837" i="1" s="1"/>
  <c r="L1837" i="1" s="1"/>
  <c r="J1836" i="1"/>
  <c r="I1836" i="1"/>
  <c r="K1836" i="1" s="1"/>
  <c r="L1836" i="1" s="1"/>
  <c r="J1835" i="1"/>
  <c r="I1835" i="1"/>
  <c r="K1835" i="1" s="1"/>
  <c r="L1835" i="1" s="1"/>
  <c r="J1834" i="1"/>
  <c r="I1834" i="1"/>
  <c r="K1834" i="1" s="1"/>
  <c r="L1834" i="1" s="1"/>
  <c r="J1833" i="1"/>
  <c r="I1833" i="1"/>
  <c r="K1833" i="1" s="1"/>
  <c r="L1833" i="1" s="1"/>
  <c r="J1832" i="1"/>
  <c r="I1832" i="1"/>
  <c r="K1832" i="1" s="1"/>
  <c r="L1832" i="1" s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J1826" i="1"/>
  <c r="I1826" i="1"/>
  <c r="K1826" i="1" s="1"/>
  <c r="L1826" i="1" s="1"/>
  <c r="J1825" i="1"/>
  <c r="I1825" i="1"/>
  <c r="K1825" i="1" s="1"/>
  <c r="L1825" i="1" s="1"/>
  <c r="J1824" i="1"/>
  <c r="I1824" i="1"/>
  <c r="K1824" i="1" s="1"/>
  <c r="L1824" i="1" s="1"/>
  <c r="J1823" i="1"/>
  <c r="I1823" i="1"/>
  <c r="K1823" i="1" s="1"/>
  <c r="L1823" i="1" s="1"/>
  <c r="J1822" i="1"/>
  <c r="I1822" i="1"/>
  <c r="K1822" i="1" s="1"/>
  <c r="L1822" i="1" s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J1815" i="1"/>
  <c r="I1815" i="1"/>
  <c r="K1815" i="1" s="1"/>
  <c r="L1815" i="1" s="1"/>
  <c r="J1814" i="1"/>
  <c r="I1814" i="1"/>
  <c r="K1814" i="1" s="1"/>
  <c r="L1814" i="1" s="1"/>
  <c r="J1813" i="1"/>
  <c r="I1813" i="1"/>
  <c r="K1813" i="1" s="1"/>
  <c r="L1813" i="1" s="1"/>
  <c r="J1812" i="1"/>
  <c r="I1812" i="1"/>
  <c r="K1812" i="1" s="1"/>
  <c r="L1812" i="1" s="1"/>
  <c r="J1811" i="1"/>
  <c r="I1811" i="1"/>
  <c r="K1811" i="1" s="1"/>
  <c r="L1811" i="1" s="1"/>
  <c r="J1810" i="1"/>
  <c r="I1810" i="1"/>
  <c r="K1810" i="1" s="1"/>
  <c r="L1810" i="1" s="1"/>
  <c r="J1809" i="1"/>
  <c r="I1809" i="1"/>
  <c r="K1809" i="1" s="1"/>
  <c r="L1809" i="1" s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J1799" i="1"/>
  <c r="I1799" i="1"/>
  <c r="K1799" i="1" s="1"/>
  <c r="L1799" i="1" s="1"/>
  <c r="J1798" i="1"/>
  <c r="I1798" i="1"/>
  <c r="K1798" i="1" s="1"/>
  <c r="L1798" i="1" s="1"/>
  <c r="J1797" i="1"/>
  <c r="I1797" i="1"/>
  <c r="K1797" i="1" s="1"/>
  <c r="L1797" i="1" s="1"/>
  <c r="J1796" i="1"/>
  <c r="I1796" i="1"/>
  <c r="K1796" i="1" s="1"/>
  <c r="L1796" i="1" s="1"/>
  <c r="J1795" i="1"/>
  <c r="I1795" i="1"/>
  <c r="K1795" i="1" s="1"/>
  <c r="L1795" i="1" s="1"/>
  <c r="J1794" i="1"/>
  <c r="I1794" i="1"/>
  <c r="K1794" i="1" s="1"/>
  <c r="L1794" i="1" s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J1788" i="1"/>
  <c r="I1788" i="1"/>
  <c r="K1788" i="1" s="1"/>
  <c r="L1788" i="1" s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J1782" i="1"/>
  <c r="I1782" i="1"/>
  <c r="K1782" i="1" s="1"/>
  <c r="L1782" i="1" s="1"/>
  <c r="J1781" i="1"/>
  <c r="I1781" i="1"/>
  <c r="K1781" i="1" s="1"/>
  <c r="L1781" i="1" s="1"/>
  <c r="J1780" i="1"/>
  <c r="I1780" i="1"/>
  <c r="K1780" i="1" s="1"/>
  <c r="L1780" i="1" s="1"/>
  <c r="J1779" i="1"/>
  <c r="I1779" i="1"/>
  <c r="K1779" i="1" s="1"/>
  <c r="L1779" i="1" s="1"/>
  <c r="J1778" i="1"/>
  <c r="I1778" i="1"/>
  <c r="K1778" i="1" s="1"/>
  <c r="L1778" i="1" s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J1771" i="1"/>
  <c r="I1771" i="1"/>
  <c r="K1771" i="1" s="1"/>
  <c r="L1771" i="1" s="1"/>
  <c r="J1770" i="1"/>
  <c r="I1770" i="1"/>
  <c r="K1770" i="1" s="1"/>
  <c r="L1770" i="1" s="1"/>
  <c r="J1769" i="1"/>
  <c r="I1769" i="1"/>
  <c r="K1769" i="1" s="1"/>
  <c r="L1769" i="1" s="1"/>
  <c r="J1768" i="1"/>
  <c r="I1768" i="1"/>
  <c r="K1768" i="1" s="1"/>
  <c r="L1768" i="1" s="1"/>
  <c r="J1767" i="1"/>
  <c r="I1767" i="1"/>
  <c r="K1767" i="1" s="1"/>
  <c r="L1767" i="1" s="1"/>
  <c r="J1766" i="1"/>
  <c r="I1766" i="1"/>
  <c r="K1766" i="1" s="1"/>
  <c r="L1766" i="1" s="1"/>
  <c r="J1765" i="1"/>
  <c r="I1765" i="1"/>
  <c r="K1765" i="1" s="1"/>
  <c r="L1765" i="1" s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J1755" i="1"/>
  <c r="I1755" i="1"/>
  <c r="K1755" i="1" s="1"/>
  <c r="L1755" i="1" s="1"/>
  <c r="J1754" i="1"/>
  <c r="I1754" i="1"/>
  <c r="K1754" i="1" s="1"/>
  <c r="L1754" i="1" s="1"/>
  <c r="J1753" i="1"/>
  <c r="I1753" i="1"/>
  <c r="K1753" i="1" s="1"/>
  <c r="L1753" i="1" s="1"/>
  <c r="J1752" i="1"/>
  <c r="I1752" i="1"/>
  <c r="K1752" i="1" s="1"/>
  <c r="L1752" i="1" s="1"/>
  <c r="J1751" i="1"/>
  <c r="I1751" i="1"/>
  <c r="K1751" i="1" s="1"/>
  <c r="L1751" i="1" s="1"/>
  <c r="J1750" i="1"/>
  <c r="I1750" i="1"/>
  <c r="K1750" i="1" s="1"/>
  <c r="L1750" i="1" s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J1744" i="1"/>
  <c r="I1744" i="1"/>
  <c r="K1744" i="1" s="1"/>
  <c r="L1744" i="1" s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J1738" i="1"/>
  <c r="I1738" i="1"/>
  <c r="K1738" i="1" s="1"/>
  <c r="L1738" i="1" s="1"/>
  <c r="J1737" i="1"/>
  <c r="I1737" i="1"/>
  <c r="K1737" i="1" s="1"/>
  <c r="L1737" i="1" s="1"/>
  <c r="J1736" i="1"/>
  <c r="I1736" i="1"/>
  <c r="K1736" i="1" s="1"/>
  <c r="L1736" i="1" s="1"/>
  <c r="J1735" i="1"/>
  <c r="I1735" i="1"/>
  <c r="K1735" i="1" s="1"/>
  <c r="L1735" i="1" s="1"/>
  <c r="J1734" i="1"/>
  <c r="I1734" i="1"/>
  <c r="K1734" i="1" s="1"/>
  <c r="L1734" i="1" s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J1728" i="1"/>
  <c r="I1728" i="1"/>
  <c r="K1728" i="1" s="1"/>
  <c r="L1728" i="1" s="1"/>
  <c r="J1727" i="1"/>
  <c r="I1727" i="1"/>
  <c r="K1727" i="1" s="1"/>
  <c r="L1727" i="1" s="1"/>
  <c r="J1726" i="1"/>
  <c r="I1726" i="1"/>
  <c r="K1726" i="1" s="1"/>
  <c r="L1726" i="1" s="1"/>
  <c r="J1725" i="1"/>
  <c r="I1725" i="1"/>
  <c r="K1725" i="1" s="1"/>
  <c r="L1725" i="1" s="1"/>
  <c r="J1724" i="1"/>
  <c r="I1724" i="1"/>
  <c r="K1724" i="1" s="1"/>
  <c r="L1724" i="1" s="1"/>
  <c r="J1723" i="1"/>
  <c r="I1723" i="1"/>
  <c r="K1723" i="1" s="1"/>
  <c r="L1723" i="1" s="1"/>
  <c r="J1722" i="1"/>
  <c r="I1722" i="1"/>
  <c r="K1722" i="1" s="1"/>
  <c r="L1722" i="1" s="1"/>
  <c r="J1721" i="1"/>
  <c r="I1721" i="1"/>
  <c r="K1721" i="1" s="1"/>
  <c r="L1721" i="1" s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J1716" i="1"/>
  <c r="I1716" i="1"/>
  <c r="K1716" i="1" s="1"/>
  <c r="L1716" i="1" s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J1712" i="1"/>
  <c r="I1712" i="1"/>
  <c r="K1712" i="1" s="1"/>
  <c r="L1712" i="1" s="1"/>
  <c r="J1711" i="1"/>
  <c r="I1711" i="1"/>
  <c r="K1711" i="1" s="1"/>
  <c r="L1711" i="1" s="1"/>
  <c r="J1710" i="1"/>
  <c r="I1710" i="1"/>
  <c r="K1710" i="1" s="1"/>
  <c r="L1710" i="1" s="1"/>
  <c r="J1709" i="1"/>
  <c r="I1709" i="1"/>
  <c r="K1709" i="1" s="1"/>
  <c r="L1709" i="1" s="1"/>
  <c r="J1708" i="1"/>
  <c r="I1708" i="1"/>
  <c r="K1708" i="1" s="1"/>
  <c r="L1708" i="1" s="1"/>
  <c r="J1707" i="1"/>
  <c r="I1707" i="1"/>
  <c r="K1707" i="1" s="1"/>
  <c r="L1707" i="1" s="1"/>
  <c r="J1706" i="1"/>
  <c r="I1706" i="1"/>
  <c r="K1706" i="1" s="1"/>
  <c r="L1706" i="1" s="1"/>
  <c r="J1705" i="1"/>
  <c r="I1705" i="1"/>
  <c r="K1705" i="1" s="1"/>
  <c r="L1705" i="1" s="1"/>
  <c r="J1704" i="1"/>
  <c r="I1704" i="1"/>
  <c r="K1704" i="1" s="1"/>
  <c r="L1704" i="1" s="1"/>
  <c r="J1703" i="1"/>
  <c r="I1703" i="1"/>
  <c r="K1703" i="1" s="1"/>
  <c r="L1703" i="1" s="1"/>
  <c r="J1702" i="1"/>
  <c r="I1702" i="1"/>
  <c r="K1702" i="1" s="1"/>
  <c r="L1702" i="1" s="1"/>
  <c r="J1701" i="1"/>
  <c r="I1701" i="1"/>
  <c r="K1701" i="1" s="1"/>
  <c r="L1701" i="1" s="1"/>
  <c r="J1700" i="1"/>
  <c r="I1700" i="1"/>
  <c r="K1700" i="1" s="1"/>
  <c r="L1700" i="1" s="1"/>
  <c r="J1699" i="1"/>
  <c r="I1699" i="1"/>
  <c r="K1699" i="1" s="1"/>
  <c r="L1699" i="1" s="1"/>
  <c r="J3999" i="1"/>
  <c r="I3999" i="1"/>
  <c r="K3999" i="1" s="1"/>
  <c r="L3999" i="1" s="1"/>
  <c r="J3998" i="1"/>
  <c r="I3998" i="1"/>
  <c r="K3998" i="1" s="1"/>
  <c r="L3998" i="1" s="1"/>
  <c r="J3997" i="1"/>
  <c r="I3997" i="1"/>
  <c r="K3997" i="1" s="1"/>
  <c r="L3997" i="1" s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J3964" i="1"/>
  <c r="I3964" i="1"/>
  <c r="K3964" i="1" s="1"/>
  <c r="L3964" i="1" s="1"/>
  <c r="J3963" i="1"/>
  <c r="I3963" i="1"/>
  <c r="K3963" i="1" s="1"/>
  <c r="L3963" i="1" s="1"/>
  <c r="J3962" i="1"/>
  <c r="I3962" i="1"/>
  <c r="K3962" i="1" s="1"/>
  <c r="L3962" i="1" s="1"/>
  <c r="J3961" i="1"/>
  <c r="I3961" i="1"/>
  <c r="K3961" i="1" s="1"/>
  <c r="L3961" i="1" s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J3954" i="1"/>
  <c r="I3954" i="1"/>
  <c r="K3954" i="1" s="1"/>
  <c r="L3954" i="1" s="1"/>
  <c r="J3953" i="1"/>
  <c r="I3953" i="1"/>
  <c r="K3953" i="1" s="1"/>
  <c r="L3953" i="1" s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J3930" i="1"/>
  <c r="I3930" i="1"/>
  <c r="K3930" i="1" s="1"/>
  <c r="L3930" i="1" s="1"/>
  <c r="J3929" i="1"/>
  <c r="I3929" i="1"/>
  <c r="K3929" i="1" s="1"/>
  <c r="L3929" i="1" s="1"/>
  <c r="J3928" i="1"/>
  <c r="I3928" i="1"/>
  <c r="K3928" i="1" s="1"/>
  <c r="L3928" i="1" s="1"/>
  <c r="J3927" i="1"/>
  <c r="I3927" i="1"/>
  <c r="K3927" i="1" s="1"/>
  <c r="L3927" i="1" s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J3920" i="1"/>
  <c r="I3920" i="1"/>
  <c r="K3920" i="1" s="1"/>
  <c r="L3920" i="1" s="1"/>
  <c r="J3919" i="1"/>
  <c r="I3919" i="1"/>
  <c r="K3919" i="1" s="1"/>
  <c r="L3919" i="1" s="1"/>
  <c r="J3918" i="1"/>
  <c r="I3918" i="1"/>
  <c r="K3918" i="1" s="1"/>
  <c r="L3918" i="1" s="1"/>
  <c r="J3917" i="1"/>
  <c r="I3917" i="1"/>
  <c r="K3917" i="1" s="1"/>
  <c r="L3917" i="1" s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J3910" i="1"/>
  <c r="I3910" i="1"/>
  <c r="K3910" i="1" s="1"/>
  <c r="L3910" i="1" s="1"/>
  <c r="J3909" i="1"/>
  <c r="I3909" i="1"/>
  <c r="K3909" i="1" s="1"/>
  <c r="L3909" i="1" s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J3876" i="1"/>
  <c r="I3876" i="1"/>
  <c r="K3876" i="1" s="1"/>
  <c r="L3876" i="1" s="1"/>
  <c r="J3875" i="1"/>
  <c r="I3875" i="1"/>
  <c r="K3875" i="1" s="1"/>
  <c r="L3875" i="1" s="1"/>
  <c r="J3874" i="1"/>
  <c r="I3874" i="1"/>
  <c r="K3874" i="1" s="1"/>
  <c r="L3874" i="1" s="1"/>
  <c r="J3873" i="1"/>
  <c r="I3873" i="1"/>
  <c r="K3873" i="1" s="1"/>
  <c r="L3873" i="1" s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J3866" i="1"/>
  <c r="I3866" i="1"/>
  <c r="K3866" i="1" s="1"/>
  <c r="L3866" i="1" s="1"/>
  <c r="J3865" i="1"/>
  <c r="I3865" i="1"/>
  <c r="K3865" i="1" s="1"/>
  <c r="L3865" i="1" s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J3832" i="1"/>
  <c r="I3832" i="1"/>
  <c r="K3832" i="1" s="1"/>
  <c r="L3832" i="1" s="1"/>
  <c r="J3831" i="1"/>
  <c r="I3831" i="1"/>
  <c r="K3831" i="1" s="1"/>
  <c r="L3831" i="1" s="1"/>
  <c r="J3830" i="1"/>
  <c r="I3830" i="1"/>
  <c r="K3830" i="1" s="1"/>
  <c r="L3830" i="1" s="1"/>
  <c r="J3829" i="1"/>
  <c r="I3829" i="1"/>
  <c r="K3829" i="1" s="1"/>
  <c r="L3829" i="1" s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J3822" i="1"/>
  <c r="I3822" i="1"/>
  <c r="K3822" i="1" s="1"/>
  <c r="L3822" i="1" s="1"/>
  <c r="J3821" i="1"/>
  <c r="I3821" i="1"/>
  <c r="K3821" i="1" s="1"/>
  <c r="L3821" i="1" s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J3798" i="1"/>
  <c r="I3798" i="1"/>
  <c r="K3798" i="1" s="1"/>
  <c r="L3798" i="1" s="1"/>
  <c r="J3797" i="1"/>
  <c r="I3797" i="1"/>
  <c r="K3797" i="1" s="1"/>
  <c r="L3797" i="1" s="1"/>
  <c r="J3796" i="1"/>
  <c r="I3796" i="1"/>
  <c r="K3796" i="1" s="1"/>
  <c r="L3796" i="1" s="1"/>
  <c r="J3795" i="1"/>
  <c r="I3795" i="1"/>
  <c r="K3795" i="1" s="1"/>
  <c r="L3795" i="1" s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J3788" i="1"/>
  <c r="I3788" i="1"/>
  <c r="K3788" i="1" s="1"/>
  <c r="L3788" i="1" s="1"/>
  <c r="J3787" i="1"/>
  <c r="I3787" i="1"/>
  <c r="K3787" i="1" s="1"/>
  <c r="L3787" i="1" s="1"/>
  <c r="J3786" i="1"/>
  <c r="I3786" i="1"/>
  <c r="K3786" i="1" s="1"/>
  <c r="L3786" i="1" s="1"/>
  <c r="J3785" i="1"/>
  <c r="I3785" i="1"/>
  <c r="K3785" i="1" s="1"/>
  <c r="L3785" i="1" s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J3778" i="1"/>
  <c r="I3778" i="1"/>
  <c r="K3778" i="1" s="1"/>
  <c r="L3778" i="1" s="1"/>
  <c r="J3777" i="1"/>
  <c r="I3777" i="1"/>
  <c r="K3777" i="1" s="1"/>
  <c r="L3777" i="1" s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J3744" i="1"/>
  <c r="I3744" i="1"/>
  <c r="K3744" i="1" s="1"/>
  <c r="L3744" i="1" s="1"/>
  <c r="J3743" i="1"/>
  <c r="I3743" i="1"/>
  <c r="K3743" i="1" s="1"/>
  <c r="L3743" i="1" s="1"/>
  <c r="J3742" i="1"/>
  <c r="I3742" i="1"/>
  <c r="K3742" i="1" s="1"/>
  <c r="L3742" i="1" s="1"/>
  <c r="J3741" i="1"/>
  <c r="I3741" i="1"/>
  <c r="K3741" i="1" s="1"/>
  <c r="L3741" i="1" s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J3734" i="1"/>
  <c r="I3734" i="1"/>
  <c r="K3734" i="1" s="1"/>
  <c r="L3734" i="1" s="1"/>
  <c r="J3733" i="1"/>
  <c r="I3733" i="1"/>
  <c r="K3733" i="1" s="1"/>
  <c r="L3733" i="1" s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J3707" i="1"/>
  <c r="I3707" i="1"/>
  <c r="K3707" i="1" s="1"/>
  <c r="L3707" i="1" s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J3700" i="1"/>
  <c r="I3700" i="1"/>
  <c r="K3700" i="1" s="1"/>
  <c r="L3700" i="1" s="1"/>
  <c r="J3699" i="1"/>
  <c r="I3699" i="1"/>
  <c r="K3699" i="1" s="1"/>
  <c r="L3699" i="1" s="1"/>
  <c r="J3698" i="1"/>
  <c r="I3698" i="1"/>
  <c r="K3698" i="1" s="1"/>
  <c r="L3698" i="1" s="1"/>
  <c r="J3697" i="1"/>
  <c r="I3697" i="1"/>
  <c r="K3697" i="1" s="1"/>
  <c r="L3697" i="1" s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J3690" i="1"/>
  <c r="I3690" i="1"/>
  <c r="K3690" i="1" s="1"/>
  <c r="L3690" i="1" s="1"/>
  <c r="J3689" i="1"/>
  <c r="I3689" i="1"/>
  <c r="K3689" i="1" s="1"/>
  <c r="L3689" i="1" s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J3679" i="1"/>
  <c r="I3679" i="1"/>
  <c r="K3679" i="1" s="1"/>
  <c r="L3679" i="1" s="1"/>
  <c r="J3678" i="1"/>
  <c r="I3678" i="1"/>
  <c r="K3678" i="1" s="1"/>
  <c r="L3678" i="1" s="1"/>
  <c r="J3677" i="1"/>
  <c r="I3677" i="1"/>
  <c r="K3677" i="1" s="1"/>
  <c r="L3677" i="1" s="1"/>
  <c r="J3676" i="1"/>
  <c r="I3676" i="1"/>
  <c r="K3676" i="1" s="1"/>
  <c r="L3676" i="1" s="1"/>
  <c r="J3675" i="1"/>
  <c r="I3675" i="1"/>
  <c r="K3675" i="1" s="1"/>
  <c r="L3675" i="1" s="1"/>
  <c r="J3674" i="1"/>
  <c r="I3674" i="1"/>
  <c r="K3674" i="1" s="1"/>
  <c r="L3674" i="1" s="1"/>
  <c r="J3673" i="1"/>
  <c r="I3673" i="1"/>
  <c r="K3673" i="1" s="1"/>
  <c r="L3673" i="1" s="1"/>
  <c r="J3672" i="1"/>
  <c r="I3672" i="1"/>
  <c r="K3672" i="1" s="1"/>
  <c r="L3672" i="1" s="1"/>
  <c r="J3671" i="1"/>
  <c r="I3671" i="1"/>
  <c r="K3671" i="1" s="1"/>
  <c r="L3671" i="1" s="1"/>
  <c r="J3670" i="1"/>
  <c r="I3670" i="1"/>
  <c r="K3670" i="1" s="1"/>
  <c r="L3670" i="1" s="1"/>
  <c r="J3669" i="1"/>
  <c r="I3669" i="1"/>
  <c r="K3669" i="1" s="1"/>
  <c r="L3669" i="1" s="1"/>
  <c r="J3668" i="1"/>
  <c r="I3668" i="1"/>
  <c r="K3668" i="1" s="1"/>
  <c r="L3668" i="1" s="1"/>
  <c r="J3667" i="1"/>
  <c r="I3667" i="1"/>
  <c r="K3667" i="1" s="1"/>
  <c r="L3667" i="1" s="1"/>
  <c r="J3666" i="1"/>
  <c r="I3666" i="1"/>
  <c r="K3666" i="1" s="1"/>
  <c r="L3666" i="1" s="1"/>
  <c r="J3665" i="1"/>
  <c r="I3665" i="1"/>
  <c r="K3665" i="1" s="1"/>
  <c r="L3665" i="1" s="1"/>
  <c r="J3664" i="1"/>
  <c r="I3664" i="1"/>
  <c r="K3664" i="1" s="1"/>
  <c r="L3664" i="1" s="1"/>
  <c r="J3663" i="1"/>
  <c r="I3663" i="1"/>
  <c r="K3663" i="1" s="1"/>
  <c r="L3663" i="1" s="1"/>
  <c r="J3662" i="1"/>
  <c r="I3662" i="1"/>
  <c r="K3662" i="1" s="1"/>
  <c r="L3662" i="1" s="1"/>
  <c r="J3661" i="1"/>
  <c r="I3661" i="1"/>
  <c r="K3661" i="1" s="1"/>
  <c r="L3661" i="1" s="1"/>
  <c r="J3660" i="1"/>
  <c r="I3660" i="1"/>
  <c r="K3660" i="1" s="1"/>
  <c r="L3660" i="1" s="1"/>
  <c r="J3659" i="1"/>
  <c r="I3659" i="1"/>
  <c r="K3659" i="1" s="1"/>
  <c r="L3659" i="1" s="1"/>
  <c r="J3658" i="1"/>
  <c r="I3658" i="1"/>
  <c r="K3658" i="1" s="1"/>
  <c r="L3658" i="1" s="1"/>
  <c r="J3657" i="1"/>
  <c r="I3657" i="1"/>
  <c r="K3657" i="1" s="1"/>
  <c r="L3657" i="1" s="1"/>
  <c r="J3656" i="1"/>
  <c r="I3656" i="1"/>
  <c r="K3656" i="1" s="1"/>
  <c r="L3656" i="1" s="1"/>
  <c r="J3655" i="1"/>
  <c r="I3655" i="1"/>
  <c r="K3655" i="1" s="1"/>
  <c r="L3655" i="1" s="1"/>
  <c r="J3654" i="1"/>
  <c r="I3654" i="1"/>
  <c r="K3654" i="1" s="1"/>
  <c r="L3654" i="1" s="1"/>
  <c r="J3653" i="1"/>
  <c r="I3653" i="1"/>
  <c r="K3653" i="1" s="1"/>
  <c r="L3653" i="1" s="1"/>
  <c r="J3651" i="1"/>
  <c r="I3651" i="1"/>
  <c r="K3651" i="1" s="1"/>
  <c r="L3651" i="1" s="1"/>
  <c r="J3650" i="1"/>
  <c r="I3650" i="1"/>
  <c r="K3650" i="1" s="1"/>
  <c r="L3650" i="1" s="1"/>
  <c r="J3649" i="1"/>
  <c r="I3649" i="1"/>
  <c r="K3649" i="1" s="1"/>
  <c r="L3649" i="1" s="1"/>
  <c r="J3648" i="1"/>
  <c r="I3648" i="1"/>
  <c r="K3648" i="1" s="1"/>
  <c r="L3648" i="1" s="1"/>
  <c r="J3647" i="1"/>
  <c r="I3647" i="1"/>
  <c r="K3647" i="1" s="1"/>
  <c r="L3647" i="1" s="1"/>
  <c r="J3646" i="1"/>
  <c r="I3646" i="1"/>
  <c r="K3646" i="1" s="1"/>
  <c r="L3646" i="1" s="1"/>
  <c r="J3645" i="1"/>
  <c r="I3645" i="1"/>
  <c r="K3645" i="1" s="1"/>
  <c r="L3645" i="1" s="1"/>
  <c r="J3644" i="1"/>
  <c r="I3644" i="1"/>
  <c r="K3644" i="1" s="1"/>
  <c r="L3644" i="1" s="1"/>
  <c r="J3643" i="1"/>
  <c r="I3643" i="1"/>
  <c r="K3643" i="1" s="1"/>
  <c r="L3643" i="1" s="1"/>
  <c r="J3642" i="1"/>
  <c r="I3642" i="1"/>
  <c r="K3642" i="1" s="1"/>
  <c r="L3642" i="1" s="1"/>
  <c r="J3641" i="1"/>
  <c r="I3641" i="1"/>
  <c r="K3641" i="1" s="1"/>
  <c r="L3641" i="1" s="1"/>
  <c r="J3640" i="1"/>
  <c r="I3640" i="1"/>
  <c r="K3640" i="1" s="1"/>
  <c r="L3640" i="1" s="1"/>
  <c r="J3639" i="1"/>
  <c r="I3639" i="1"/>
  <c r="K3639" i="1" s="1"/>
  <c r="L3639" i="1" s="1"/>
  <c r="J3638" i="1"/>
  <c r="I3638" i="1"/>
  <c r="K3638" i="1" s="1"/>
  <c r="L3638" i="1" s="1"/>
  <c r="J3637" i="1"/>
  <c r="I3637" i="1"/>
  <c r="K3637" i="1" s="1"/>
  <c r="L3637" i="1" s="1"/>
  <c r="J3636" i="1"/>
  <c r="I3636" i="1"/>
  <c r="K3636" i="1" s="1"/>
  <c r="L3636" i="1" s="1"/>
  <c r="J3635" i="1"/>
  <c r="I3635" i="1"/>
  <c r="K3635" i="1" s="1"/>
  <c r="L3635" i="1" s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J3602" i="1"/>
  <c r="I3602" i="1"/>
  <c r="K3602" i="1" s="1"/>
  <c r="L3602" i="1" s="1"/>
  <c r="J3601" i="1"/>
  <c r="I3601" i="1"/>
  <c r="K3601" i="1" s="1"/>
  <c r="L3601" i="1" s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J3592" i="1"/>
  <c r="I3592" i="1"/>
  <c r="K3592" i="1" s="1"/>
  <c r="L3592" i="1" s="1"/>
  <c r="J3591" i="1"/>
  <c r="I3591" i="1"/>
  <c r="K3591" i="1" s="1"/>
  <c r="L3591" i="1" s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J3578" i="1"/>
  <c r="I3578" i="1"/>
  <c r="K3578" i="1" s="1"/>
  <c r="L3578" i="1" s="1"/>
  <c r="J3577" i="1"/>
  <c r="I3577" i="1"/>
  <c r="K3577" i="1" s="1"/>
  <c r="L3577" i="1" s="1"/>
  <c r="J3576" i="1"/>
  <c r="I3576" i="1"/>
  <c r="K3576" i="1" s="1"/>
  <c r="L3576" i="1" s="1"/>
  <c r="J3575" i="1"/>
  <c r="I3575" i="1"/>
  <c r="K3575" i="1" s="1"/>
  <c r="L3575" i="1" s="1"/>
  <c r="J3574" i="1"/>
  <c r="I3574" i="1"/>
  <c r="K3574" i="1" s="1"/>
  <c r="L3574" i="1" s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J3569" i="1"/>
  <c r="I3569" i="1"/>
  <c r="K3569" i="1" s="1"/>
  <c r="L3569" i="1" s="1"/>
  <c r="J3568" i="1"/>
  <c r="I3568" i="1"/>
  <c r="K3568" i="1" s="1"/>
  <c r="L3568" i="1" s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J3563" i="1"/>
  <c r="I3563" i="1"/>
  <c r="K3563" i="1" s="1"/>
  <c r="L3563" i="1" s="1"/>
  <c r="J3562" i="1"/>
  <c r="I3562" i="1"/>
  <c r="K3562" i="1" s="1"/>
  <c r="L3562" i="1" s="1"/>
  <c r="J3561" i="1"/>
  <c r="I3561" i="1"/>
  <c r="K3561" i="1" s="1"/>
  <c r="L3561" i="1" s="1"/>
  <c r="J3560" i="1"/>
  <c r="I3560" i="1"/>
  <c r="K3560" i="1" s="1"/>
  <c r="L3560" i="1" s="1"/>
  <c r="J3559" i="1"/>
  <c r="I3559" i="1"/>
  <c r="K3559" i="1" s="1"/>
  <c r="L3559" i="1" s="1"/>
  <c r="J3558" i="1"/>
  <c r="I3558" i="1"/>
  <c r="K3558" i="1" s="1"/>
  <c r="L3558" i="1" s="1"/>
  <c r="J3557" i="1"/>
  <c r="I3557" i="1"/>
  <c r="K3557" i="1" s="1"/>
  <c r="L3557" i="1" s="1"/>
  <c r="J3556" i="1"/>
  <c r="I3556" i="1"/>
  <c r="K3556" i="1" s="1"/>
  <c r="L3556" i="1" s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J3548" i="1"/>
  <c r="I3548" i="1"/>
  <c r="K3548" i="1" s="1"/>
  <c r="L3548" i="1" s="1"/>
  <c r="J3547" i="1"/>
  <c r="I3547" i="1"/>
  <c r="K3547" i="1" s="1"/>
  <c r="L3547" i="1" s="1"/>
  <c r="J3546" i="1"/>
  <c r="I3546" i="1"/>
  <c r="K3546" i="1" s="1"/>
  <c r="L3546" i="1" s="1"/>
  <c r="J3545" i="1"/>
  <c r="I3545" i="1"/>
  <c r="K3545" i="1" s="1"/>
  <c r="L3545" i="1" s="1"/>
  <c r="J3544" i="1"/>
  <c r="I3544" i="1"/>
  <c r="K3544" i="1" s="1"/>
  <c r="L3544" i="1" s="1"/>
  <c r="J3543" i="1"/>
  <c r="I3543" i="1"/>
  <c r="K3543" i="1" s="1"/>
  <c r="L3543" i="1" s="1"/>
  <c r="J3542" i="1"/>
  <c r="I3542" i="1"/>
  <c r="K3542" i="1" s="1"/>
  <c r="L3542" i="1" s="1"/>
  <c r="J3541" i="1"/>
  <c r="I3541" i="1"/>
  <c r="K3541" i="1" s="1"/>
  <c r="L3541" i="1" s="1"/>
  <c r="J3540" i="1"/>
  <c r="I3540" i="1"/>
  <c r="K3540" i="1" s="1"/>
  <c r="L3540" i="1" s="1"/>
  <c r="J3539" i="1"/>
  <c r="I3539" i="1"/>
  <c r="K3539" i="1" s="1"/>
  <c r="L3539" i="1" s="1"/>
  <c r="J3538" i="1"/>
  <c r="I3538" i="1"/>
  <c r="K3538" i="1" s="1"/>
  <c r="L3538" i="1" s="1"/>
  <c r="J3537" i="1"/>
  <c r="I3537" i="1"/>
  <c r="K3537" i="1" s="1"/>
  <c r="L3537" i="1" s="1"/>
  <c r="J3536" i="1"/>
  <c r="I3536" i="1"/>
  <c r="K3536" i="1" s="1"/>
  <c r="L3536" i="1" s="1"/>
  <c r="J3535" i="1"/>
  <c r="I3535" i="1"/>
  <c r="K3535" i="1" s="1"/>
  <c r="L3535" i="1" s="1"/>
  <c r="J3534" i="1"/>
  <c r="I3534" i="1"/>
  <c r="K3534" i="1" s="1"/>
  <c r="L3534" i="1" s="1"/>
  <c r="J3533" i="1"/>
  <c r="I3533" i="1"/>
  <c r="K3533" i="1" s="1"/>
  <c r="L3533" i="1" s="1"/>
  <c r="J3532" i="1"/>
  <c r="I3532" i="1"/>
  <c r="K3532" i="1" s="1"/>
  <c r="L3532" i="1" s="1"/>
  <c r="J3531" i="1"/>
  <c r="I3531" i="1"/>
  <c r="K3531" i="1" s="1"/>
  <c r="L3531" i="1" s="1"/>
  <c r="J3530" i="1"/>
  <c r="I3530" i="1"/>
  <c r="K3530" i="1" s="1"/>
  <c r="L3530" i="1" s="1"/>
  <c r="J3529" i="1"/>
  <c r="I3529" i="1"/>
  <c r="K3529" i="1" s="1"/>
  <c r="L3529" i="1" s="1"/>
  <c r="J3528" i="1"/>
  <c r="I3528" i="1"/>
  <c r="K3528" i="1" s="1"/>
  <c r="L3528" i="1" s="1"/>
  <c r="J3527" i="1"/>
  <c r="I3527" i="1"/>
  <c r="K3527" i="1" s="1"/>
  <c r="L3527" i="1" s="1"/>
  <c r="J3526" i="1"/>
  <c r="I3526" i="1"/>
  <c r="K3526" i="1" s="1"/>
  <c r="L3526" i="1" s="1"/>
  <c r="J3525" i="1"/>
  <c r="I3525" i="1"/>
  <c r="K3525" i="1" s="1"/>
  <c r="L3525" i="1" s="1"/>
  <c r="J3524" i="1"/>
  <c r="I3524" i="1"/>
  <c r="K3524" i="1" s="1"/>
  <c r="L3524" i="1" s="1"/>
  <c r="J3523" i="1"/>
  <c r="I3523" i="1"/>
  <c r="K3523" i="1" s="1"/>
  <c r="L3523" i="1" s="1"/>
  <c r="J3522" i="1"/>
  <c r="I3522" i="1"/>
  <c r="K3522" i="1" s="1"/>
  <c r="L3522" i="1" s="1"/>
  <c r="J3521" i="1"/>
  <c r="I3521" i="1"/>
  <c r="K3521" i="1" s="1"/>
  <c r="L3521" i="1" s="1"/>
  <c r="J3519" i="1"/>
  <c r="I3519" i="1"/>
  <c r="K3519" i="1" s="1"/>
  <c r="L3519" i="1" s="1"/>
  <c r="J3518" i="1"/>
  <c r="I3518" i="1"/>
  <c r="K3518" i="1" s="1"/>
  <c r="L3518" i="1" s="1"/>
  <c r="J3517" i="1"/>
  <c r="I3517" i="1"/>
  <c r="K3517" i="1" s="1"/>
  <c r="L3517" i="1" s="1"/>
  <c r="J3516" i="1"/>
  <c r="I3516" i="1"/>
  <c r="K3516" i="1" s="1"/>
  <c r="L3516" i="1" s="1"/>
  <c r="J3515" i="1"/>
  <c r="I3515" i="1"/>
  <c r="K3515" i="1" s="1"/>
  <c r="L3515" i="1" s="1"/>
  <c r="J3514" i="1"/>
  <c r="I3514" i="1"/>
  <c r="K3514" i="1" s="1"/>
  <c r="L3514" i="1" s="1"/>
  <c r="J3513" i="1"/>
  <c r="I3513" i="1"/>
  <c r="K3513" i="1" s="1"/>
  <c r="L3513" i="1" s="1"/>
  <c r="J3512" i="1"/>
  <c r="I3512" i="1"/>
  <c r="K3512" i="1" s="1"/>
  <c r="L3512" i="1" s="1"/>
  <c r="J3511" i="1"/>
  <c r="I3511" i="1"/>
  <c r="K3511" i="1" s="1"/>
  <c r="L3511" i="1" s="1"/>
  <c r="J3510" i="1"/>
  <c r="I3510" i="1"/>
  <c r="K3510" i="1" s="1"/>
  <c r="L3510" i="1" s="1"/>
  <c r="J3509" i="1"/>
  <c r="I3509" i="1"/>
  <c r="K3509" i="1" s="1"/>
  <c r="L3509" i="1" s="1"/>
  <c r="J3508" i="1"/>
  <c r="I3508" i="1"/>
  <c r="K3508" i="1" s="1"/>
  <c r="L3508" i="1" s="1"/>
  <c r="J3507" i="1"/>
  <c r="I3507" i="1"/>
  <c r="K3507" i="1" s="1"/>
  <c r="L3507" i="1" s="1"/>
  <c r="J3506" i="1"/>
  <c r="I3506" i="1"/>
  <c r="K3506" i="1" s="1"/>
  <c r="L3506" i="1" s="1"/>
  <c r="J3505" i="1"/>
  <c r="I3505" i="1"/>
  <c r="K3505" i="1" s="1"/>
  <c r="L3505" i="1" s="1"/>
  <c r="J3504" i="1"/>
  <c r="I3504" i="1"/>
  <c r="K3504" i="1" s="1"/>
  <c r="L3504" i="1" s="1"/>
  <c r="J3503" i="1"/>
  <c r="I3503" i="1"/>
  <c r="K3503" i="1" s="1"/>
  <c r="L3503" i="1" s="1"/>
  <c r="J3502" i="1"/>
  <c r="I3502" i="1"/>
  <c r="K3502" i="1" s="1"/>
  <c r="L3502" i="1" s="1"/>
  <c r="J3501" i="1"/>
  <c r="I3501" i="1"/>
  <c r="K3501" i="1" s="1"/>
  <c r="L3501" i="1" s="1"/>
  <c r="J3500" i="1"/>
  <c r="I3500" i="1"/>
  <c r="K3500" i="1" s="1"/>
  <c r="L3500" i="1" s="1"/>
  <c r="J3499" i="1"/>
  <c r="I3499" i="1"/>
  <c r="K3499" i="1" s="1"/>
  <c r="L3499" i="1" s="1"/>
  <c r="J3498" i="1"/>
  <c r="I3498" i="1"/>
  <c r="K3498" i="1" s="1"/>
  <c r="L3498" i="1" s="1"/>
  <c r="J3497" i="1"/>
  <c r="I3497" i="1"/>
  <c r="K3497" i="1" s="1"/>
  <c r="L3497" i="1" s="1"/>
  <c r="J3496" i="1"/>
  <c r="I3496" i="1"/>
  <c r="K3496" i="1" s="1"/>
  <c r="L3496" i="1" s="1"/>
  <c r="J3495" i="1"/>
  <c r="I3495" i="1"/>
  <c r="K3495" i="1" s="1"/>
  <c r="L3495" i="1" s="1"/>
  <c r="J3494" i="1"/>
  <c r="I3494" i="1"/>
  <c r="K3494" i="1" s="1"/>
  <c r="L3494" i="1" s="1"/>
  <c r="J3493" i="1"/>
  <c r="I3493" i="1"/>
  <c r="K3493" i="1" s="1"/>
  <c r="L3493" i="1" s="1"/>
  <c r="J3492" i="1"/>
  <c r="I3492" i="1"/>
  <c r="K3492" i="1" s="1"/>
  <c r="L3492" i="1" s="1"/>
  <c r="J3491" i="1"/>
  <c r="I3491" i="1"/>
  <c r="K3491" i="1" s="1"/>
  <c r="L3491" i="1" s="1"/>
  <c r="J3490" i="1"/>
  <c r="I3490" i="1"/>
  <c r="K3490" i="1" s="1"/>
  <c r="L3490" i="1" s="1"/>
  <c r="J3489" i="1"/>
  <c r="I3489" i="1"/>
  <c r="K3489" i="1" s="1"/>
  <c r="L3489" i="1" s="1"/>
  <c r="J3488" i="1"/>
  <c r="I3488" i="1"/>
  <c r="K3488" i="1" s="1"/>
  <c r="L3488" i="1" s="1"/>
  <c r="J3487" i="1"/>
  <c r="I3487" i="1"/>
  <c r="K3487" i="1" s="1"/>
  <c r="L3487" i="1" s="1"/>
  <c r="J3486" i="1"/>
  <c r="I3486" i="1"/>
  <c r="K3486" i="1" s="1"/>
  <c r="L3486" i="1" s="1"/>
  <c r="J3485" i="1"/>
  <c r="I3485" i="1"/>
  <c r="K3485" i="1" s="1"/>
  <c r="L3485" i="1" s="1"/>
  <c r="J3484" i="1"/>
  <c r="I3484" i="1"/>
  <c r="K3484" i="1" s="1"/>
  <c r="L3484" i="1" s="1"/>
  <c r="J3483" i="1"/>
  <c r="I3483" i="1"/>
  <c r="K3483" i="1" s="1"/>
  <c r="L3483" i="1" s="1"/>
  <c r="J3482" i="1"/>
  <c r="I3482" i="1"/>
  <c r="K3482" i="1" s="1"/>
  <c r="L3482" i="1" s="1"/>
  <c r="J3481" i="1"/>
  <c r="I3481" i="1"/>
  <c r="K3481" i="1" s="1"/>
  <c r="L3481" i="1" s="1"/>
  <c r="J3480" i="1"/>
  <c r="I3480" i="1"/>
  <c r="K3480" i="1" s="1"/>
  <c r="L3480" i="1" s="1"/>
  <c r="J3479" i="1"/>
  <c r="I3479" i="1"/>
  <c r="K3479" i="1" s="1"/>
  <c r="L3479" i="1" s="1"/>
  <c r="J3478" i="1"/>
  <c r="I3478" i="1"/>
  <c r="K3478" i="1" s="1"/>
  <c r="L3478" i="1" s="1"/>
  <c r="J3477" i="1"/>
  <c r="I3477" i="1"/>
  <c r="K3477" i="1" s="1"/>
  <c r="L3477" i="1" s="1"/>
  <c r="J3475" i="1"/>
  <c r="I3475" i="1"/>
  <c r="K3475" i="1" s="1"/>
  <c r="L3475" i="1" s="1"/>
  <c r="J3474" i="1"/>
  <c r="I3474" i="1"/>
  <c r="K3474" i="1" s="1"/>
  <c r="L3474" i="1" s="1"/>
  <c r="J3473" i="1"/>
  <c r="I3473" i="1"/>
  <c r="K3473" i="1" s="1"/>
  <c r="L3473" i="1" s="1"/>
  <c r="J3472" i="1"/>
  <c r="I3472" i="1"/>
  <c r="K3472" i="1" s="1"/>
  <c r="L3472" i="1" s="1"/>
  <c r="J3471" i="1"/>
  <c r="I3471" i="1"/>
  <c r="K3471" i="1" s="1"/>
  <c r="L3471" i="1" s="1"/>
  <c r="J3470" i="1"/>
  <c r="I3470" i="1"/>
  <c r="K3470" i="1" s="1"/>
  <c r="L3470" i="1" s="1"/>
  <c r="J3469" i="1"/>
  <c r="I3469" i="1"/>
  <c r="K3469" i="1" s="1"/>
  <c r="L3469" i="1" s="1"/>
  <c r="J3468" i="1"/>
  <c r="I3468" i="1"/>
  <c r="K3468" i="1" s="1"/>
  <c r="L3468" i="1" s="1"/>
  <c r="J3467" i="1"/>
  <c r="I3467" i="1"/>
  <c r="K3467" i="1" s="1"/>
  <c r="L3467" i="1" s="1"/>
  <c r="J3466" i="1"/>
  <c r="I3466" i="1"/>
  <c r="K3466" i="1" s="1"/>
  <c r="L3466" i="1" s="1"/>
  <c r="J3465" i="1"/>
  <c r="I3465" i="1"/>
  <c r="K3465" i="1" s="1"/>
  <c r="L3465" i="1" s="1"/>
  <c r="J3464" i="1"/>
  <c r="I3464" i="1"/>
  <c r="K3464" i="1" s="1"/>
  <c r="L3464" i="1" s="1"/>
  <c r="J3463" i="1"/>
  <c r="I3463" i="1"/>
  <c r="K3463" i="1" s="1"/>
  <c r="L3463" i="1" s="1"/>
  <c r="J3462" i="1"/>
  <c r="I3462" i="1"/>
  <c r="K3462" i="1" s="1"/>
  <c r="L3462" i="1" s="1"/>
  <c r="J3461" i="1"/>
  <c r="I3461" i="1"/>
  <c r="K3461" i="1" s="1"/>
  <c r="L3461" i="1" s="1"/>
  <c r="J3460" i="1"/>
  <c r="I3460" i="1"/>
  <c r="K3460" i="1" s="1"/>
  <c r="L3460" i="1" s="1"/>
  <c r="J3459" i="1"/>
  <c r="I3459" i="1"/>
  <c r="K3459" i="1" s="1"/>
  <c r="L3459" i="1" s="1"/>
  <c r="J3458" i="1"/>
  <c r="I3458" i="1"/>
  <c r="K3458" i="1" s="1"/>
  <c r="L3458" i="1" s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J3451" i="1"/>
  <c r="I3451" i="1"/>
  <c r="K3451" i="1" s="1"/>
  <c r="L3451" i="1" s="1"/>
  <c r="J3450" i="1"/>
  <c r="I3450" i="1"/>
  <c r="K3450" i="1" s="1"/>
  <c r="L3450" i="1" s="1"/>
  <c r="J3449" i="1"/>
  <c r="I3449" i="1"/>
  <c r="K3449" i="1" s="1"/>
  <c r="L3449" i="1" s="1"/>
  <c r="J3448" i="1"/>
  <c r="I3448" i="1"/>
  <c r="K3448" i="1" s="1"/>
  <c r="L3448" i="1" s="1"/>
  <c r="J3447" i="1"/>
  <c r="I3447" i="1"/>
  <c r="K3447" i="1" s="1"/>
  <c r="L3447" i="1" s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J3443" i="1"/>
  <c r="I3443" i="1"/>
  <c r="K3443" i="1" s="1"/>
  <c r="L3443" i="1" s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J3436" i="1"/>
  <c r="I3436" i="1"/>
  <c r="K3436" i="1" s="1"/>
  <c r="L3436" i="1" s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J3426" i="1"/>
  <c r="I3426" i="1"/>
  <c r="K3426" i="1" s="1"/>
  <c r="L3426" i="1" s="1"/>
  <c r="J3425" i="1"/>
  <c r="I3425" i="1"/>
  <c r="K3425" i="1" s="1"/>
  <c r="L3425" i="1" s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J3416" i="1"/>
  <c r="I3416" i="1"/>
  <c r="K3416" i="1" s="1"/>
  <c r="L3416" i="1" s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K3410" i="1" s="1"/>
  <c r="L3410" i="1" s="1"/>
  <c r="I3410" i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J3406" i="1"/>
  <c r="I3406" i="1"/>
  <c r="K3406" i="1" s="1"/>
  <c r="L3406" i="1" s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J3400" i="1"/>
  <c r="I3400" i="1"/>
  <c r="K3400" i="1" s="1"/>
  <c r="L3400" i="1" s="1"/>
  <c r="J3399" i="1"/>
  <c r="I3399" i="1"/>
  <c r="K3399" i="1" s="1"/>
  <c r="L3399" i="1" s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J3393" i="1"/>
  <c r="I3393" i="1"/>
  <c r="K3393" i="1" s="1"/>
  <c r="L3393" i="1" s="1"/>
  <c r="J3392" i="1"/>
  <c r="I3392" i="1"/>
  <c r="K3392" i="1" s="1"/>
  <c r="L3392" i="1" s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J3383" i="1"/>
  <c r="I3383" i="1"/>
  <c r="K3383" i="1" s="1"/>
  <c r="L3383" i="1" s="1"/>
  <c r="J3382" i="1"/>
  <c r="I3382" i="1"/>
  <c r="K3382" i="1" s="1"/>
  <c r="L3382" i="1" s="1"/>
  <c r="J3381" i="1"/>
  <c r="I3381" i="1"/>
  <c r="K3381" i="1" s="1"/>
  <c r="L3381" i="1" s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J3372" i="1"/>
  <c r="I3372" i="1"/>
  <c r="K3372" i="1" s="1"/>
  <c r="L3372" i="1" s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J3362" i="1"/>
  <c r="I3362" i="1"/>
  <c r="K3362" i="1" s="1"/>
  <c r="L3362" i="1" s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J3356" i="1"/>
  <c r="I3356" i="1"/>
  <c r="K3356" i="1" s="1"/>
  <c r="L3356" i="1" s="1"/>
  <c r="J3355" i="1"/>
  <c r="I3355" i="1"/>
  <c r="K3355" i="1" s="1"/>
  <c r="L3355" i="1" s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J3349" i="1"/>
  <c r="I3349" i="1"/>
  <c r="K3349" i="1" s="1"/>
  <c r="L3349" i="1" s="1"/>
  <c r="J3348" i="1"/>
  <c r="I3348" i="1"/>
  <c r="K3348" i="1" s="1"/>
  <c r="L3348" i="1" s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J3339" i="1"/>
  <c r="I3339" i="1"/>
  <c r="K3339" i="1" s="1"/>
  <c r="L3339" i="1" s="1"/>
  <c r="J3338" i="1"/>
  <c r="I3338" i="1"/>
  <c r="K3338" i="1" s="1"/>
  <c r="L3338" i="1" s="1"/>
  <c r="J3337" i="1"/>
  <c r="I3337" i="1"/>
  <c r="K3337" i="1" s="1"/>
  <c r="L3337" i="1" s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J3328" i="1"/>
  <c r="I3328" i="1"/>
  <c r="K3328" i="1" s="1"/>
  <c r="L3328" i="1" s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J3318" i="1"/>
  <c r="I3318" i="1"/>
  <c r="K3318" i="1" s="1"/>
  <c r="L3318" i="1" s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J3312" i="1"/>
  <c r="I3312" i="1"/>
  <c r="K3312" i="1" s="1"/>
  <c r="L3312" i="1" s="1"/>
  <c r="J3311" i="1"/>
  <c r="I3311" i="1"/>
  <c r="K3311" i="1" s="1"/>
  <c r="L3311" i="1" s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J3305" i="1"/>
  <c r="I3305" i="1"/>
  <c r="K3305" i="1" s="1"/>
  <c r="L3305" i="1" s="1"/>
  <c r="J3304" i="1"/>
  <c r="I3304" i="1"/>
  <c r="K3304" i="1" s="1"/>
  <c r="L3304" i="1" s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J3300" i="1"/>
  <c r="I3300" i="1"/>
  <c r="K3300" i="1" s="1"/>
  <c r="L3300" i="1" s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J3295" i="1"/>
  <c r="I3295" i="1"/>
  <c r="K3295" i="1" s="1"/>
  <c r="L3295" i="1" s="1"/>
  <c r="J3294" i="1"/>
  <c r="I3294" i="1"/>
  <c r="K3294" i="1" s="1"/>
  <c r="L3294" i="1" s="1"/>
  <c r="J3293" i="1"/>
  <c r="I3293" i="1"/>
  <c r="K3293" i="1" s="1"/>
  <c r="L3293" i="1" s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J3284" i="1"/>
  <c r="I3284" i="1"/>
  <c r="K3284" i="1" s="1"/>
  <c r="L3284" i="1" s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J3278" i="1"/>
  <c r="I3278" i="1"/>
  <c r="K3278" i="1" s="1"/>
  <c r="L3278" i="1" s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J3274" i="1"/>
  <c r="I3274" i="1"/>
  <c r="K3274" i="1" s="1"/>
  <c r="L3274" i="1" s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J3268" i="1"/>
  <c r="I3268" i="1"/>
  <c r="K3268" i="1" s="1"/>
  <c r="L3268" i="1" s="1"/>
  <c r="J3267" i="1"/>
  <c r="I3267" i="1"/>
  <c r="K3267" i="1" s="1"/>
  <c r="L3267" i="1" s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J3261" i="1"/>
  <c r="I3261" i="1"/>
  <c r="K3261" i="1" s="1"/>
  <c r="L3261" i="1" s="1"/>
  <c r="J3260" i="1"/>
  <c r="I3260" i="1"/>
  <c r="K3260" i="1" s="1"/>
  <c r="L3260" i="1" s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J3251" i="1"/>
  <c r="I3251" i="1"/>
  <c r="K3251" i="1" s="1"/>
  <c r="L3251" i="1" s="1"/>
  <c r="J3250" i="1"/>
  <c r="I3250" i="1"/>
  <c r="K3250" i="1" s="1"/>
  <c r="L3250" i="1" s="1"/>
  <c r="J3249" i="1"/>
  <c r="I3249" i="1"/>
  <c r="K3249" i="1" s="1"/>
  <c r="L3249" i="1" s="1"/>
  <c r="J3248" i="1"/>
  <c r="I3248" i="1"/>
  <c r="K3248" i="1" s="1"/>
  <c r="L3248" i="1" s="1"/>
  <c r="J3247" i="1"/>
  <c r="I3247" i="1"/>
  <c r="K3247" i="1" s="1"/>
  <c r="L3247" i="1" s="1"/>
  <c r="J3246" i="1"/>
  <c r="I3246" i="1"/>
  <c r="K3246" i="1" s="1"/>
  <c r="L3246" i="1" s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J3240" i="1"/>
  <c r="I3240" i="1"/>
  <c r="K3240" i="1" s="1"/>
  <c r="L3240" i="1" s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J3234" i="1"/>
  <c r="I3234" i="1"/>
  <c r="K3234" i="1" s="1"/>
  <c r="L3234" i="1" s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J3230" i="1"/>
  <c r="I3230" i="1"/>
  <c r="K3230" i="1" s="1"/>
  <c r="L3230" i="1" s="1"/>
  <c r="J3229" i="1"/>
  <c r="I3229" i="1"/>
  <c r="K3229" i="1" s="1"/>
  <c r="L3229" i="1" s="1"/>
  <c r="J3228" i="1"/>
  <c r="I3228" i="1"/>
  <c r="K3228" i="1" s="1"/>
  <c r="L3228" i="1" s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J3224" i="1"/>
  <c r="I3224" i="1"/>
  <c r="K3224" i="1" s="1"/>
  <c r="L3224" i="1" s="1"/>
  <c r="J3223" i="1"/>
  <c r="I3223" i="1"/>
  <c r="K3223" i="1" s="1"/>
  <c r="L3223" i="1" s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J3217" i="1"/>
  <c r="I3217" i="1"/>
  <c r="K3217" i="1" s="1"/>
  <c r="L3217" i="1" s="1"/>
  <c r="J3216" i="1"/>
  <c r="I3216" i="1"/>
  <c r="K3216" i="1" s="1"/>
  <c r="L3216" i="1" s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J3207" i="1"/>
  <c r="I3207" i="1"/>
  <c r="K3207" i="1" s="1"/>
  <c r="L3207" i="1" s="1"/>
  <c r="J3206" i="1"/>
  <c r="I3206" i="1"/>
  <c r="K3206" i="1" s="1"/>
  <c r="L3206" i="1" s="1"/>
  <c r="J3205" i="1"/>
  <c r="I3205" i="1"/>
  <c r="K3205" i="1" s="1"/>
  <c r="L3205" i="1" s="1"/>
  <c r="J3204" i="1"/>
  <c r="I3204" i="1"/>
  <c r="K3204" i="1" s="1"/>
  <c r="L3204" i="1" s="1"/>
  <c r="J3203" i="1"/>
  <c r="I3203" i="1"/>
  <c r="K3203" i="1" s="1"/>
  <c r="L3203" i="1" s="1"/>
  <c r="J3202" i="1"/>
  <c r="I3202" i="1"/>
  <c r="K3202" i="1" s="1"/>
  <c r="L3202" i="1" s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J3196" i="1"/>
  <c r="I3196" i="1"/>
  <c r="K3196" i="1" s="1"/>
  <c r="L3196" i="1" s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J3190" i="1"/>
  <c r="I3190" i="1"/>
  <c r="K3190" i="1" s="1"/>
  <c r="L3190" i="1" s="1"/>
  <c r="J3189" i="1"/>
  <c r="I3189" i="1"/>
  <c r="K3189" i="1" s="1"/>
  <c r="L3189" i="1" s="1"/>
  <c r="J3188" i="1"/>
  <c r="I3188" i="1"/>
  <c r="K3188" i="1" s="1"/>
  <c r="L3188" i="1" s="1"/>
  <c r="J3187" i="1"/>
  <c r="I3187" i="1"/>
  <c r="K3187" i="1" s="1"/>
  <c r="L3187" i="1" s="1"/>
  <c r="J3186" i="1"/>
  <c r="I3186" i="1"/>
  <c r="K3186" i="1" s="1"/>
  <c r="L3186" i="1" s="1"/>
  <c r="J3185" i="1"/>
  <c r="I3185" i="1"/>
  <c r="K3185" i="1" s="1"/>
  <c r="L3185" i="1" s="1"/>
  <c r="J3184" i="1"/>
  <c r="I3184" i="1"/>
  <c r="K3184" i="1" s="1"/>
  <c r="L3184" i="1" s="1"/>
  <c r="J3183" i="1"/>
  <c r="I3183" i="1"/>
  <c r="K3183" i="1" s="1"/>
  <c r="L3183" i="1" s="1"/>
  <c r="J3182" i="1"/>
  <c r="I3182" i="1"/>
  <c r="K3182" i="1" s="1"/>
  <c r="L3182" i="1" s="1"/>
  <c r="J3181" i="1"/>
  <c r="I3181" i="1"/>
  <c r="K3181" i="1" s="1"/>
  <c r="L3181" i="1" s="1"/>
  <c r="J3180" i="1"/>
  <c r="I3180" i="1"/>
  <c r="K3180" i="1" s="1"/>
  <c r="L3180" i="1" s="1"/>
  <c r="J3179" i="1"/>
  <c r="I3179" i="1"/>
  <c r="K3179" i="1" s="1"/>
  <c r="L3179" i="1" s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J3173" i="1"/>
  <c r="I3173" i="1"/>
  <c r="K3173" i="1" s="1"/>
  <c r="L3173" i="1" s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J3163" i="1"/>
  <c r="I3163" i="1"/>
  <c r="K3163" i="1" s="1"/>
  <c r="L3163" i="1" s="1"/>
  <c r="J3162" i="1"/>
  <c r="I3162" i="1"/>
  <c r="K3162" i="1" s="1"/>
  <c r="L3162" i="1" s="1"/>
  <c r="J3161" i="1"/>
  <c r="I3161" i="1"/>
  <c r="K3161" i="1" s="1"/>
  <c r="L3161" i="1" s="1"/>
  <c r="J3160" i="1"/>
  <c r="I3160" i="1"/>
  <c r="K3160" i="1" s="1"/>
  <c r="L3160" i="1" s="1"/>
  <c r="J3159" i="1"/>
  <c r="I3159" i="1"/>
  <c r="K3159" i="1" s="1"/>
  <c r="L3159" i="1" s="1"/>
  <c r="J3158" i="1"/>
  <c r="I3158" i="1"/>
  <c r="K3158" i="1" s="1"/>
  <c r="L3158" i="1" s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J3152" i="1"/>
  <c r="I3152" i="1"/>
  <c r="K3152" i="1" s="1"/>
  <c r="L3152" i="1" s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J3146" i="1"/>
  <c r="I3146" i="1"/>
  <c r="K3146" i="1" s="1"/>
  <c r="L3146" i="1" s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J3142" i="1"/>
  <c r="I3142" i="1"/>
  <c r="K3142" i="1" s="1"/>
  <c r="L3142" i="1" s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J3136" i="1"/>
  <c r="I3136" i="1"/>
  <c r="K3136" i="1" s="1"/>
  <c r="L3136" i="1" s="1"/>
  <c r="J3135" i="1"/>
  <c r="I3135" i="1"/>
  <c r="K3135" i="1" s="1"/>
  <c r="L3135" i="1" s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J3129" i="1"/>
  <c r="I3129" i="1"/>
  <c r="K3129" i="1" s="1"/>
  <c r="L3129" i="1" s="1"/>
  <c r="J3128" i="1"/>
  <c r="I3128" i="1"/>
  <c r="K3128" i="1" s="1"/>
  <c r="L3128" i="1" s="1"/>
  <c r="J3127" i="1"/>
  <c r="I3127" i="1"/>
  <c r="K3127" i="1" s="1"/>
  <c r="L3127" i="1" s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J3119" i="1"/>
  <c r="I3119" i="1"/>
  <c r="K3119" i="1" s="1"/>
  <c r="L3119" i="1" s="1"/>
  <c r="J3118" i="1"/>
  <c r="I3118" i="1"/>
  <c r="K3118" i="1" s="1"/>
  <c r="L3118" i="1" s="1"/>
  <c r="J3117" i="1"/>
  <c r="I3117" i="1"/>
  <c r="K3117" i="1" s="1"/>
  <c r="L3117" i="1" s="1"/>
  <c r="J3116" i="1"/>
  <c r="I3116" i="1"/>
  <c r="K3116" i="1" s="1"/>
  <c r="L3116" i="1" s="1"/>
  <c r="J3115" i="1"/>
  <c r="I3115" i="1"/>
  <c r="K3115" i="1" s="1"/>
  <c r="L3115" i="1" s="1"/>
  <c r="J3114" i="1"/>
  <c r="I3114" i="1"/>
  <c r="K3114" i="1" s="1"/>
  <c r="L3114" i="1" s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J3108" i="1"/>
  <c r="I3108" i="1"/>
  <c r="K3108" i="1" s="1"/>
  <c r="L3108" i="1" s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J3102" i="1"/>
  <c r="I3102" i="1"/>
  <c r="K3102" i="1" s="1"/>
  <c r="L3102" i="1" s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J3098" i="1"/>
  <c r="I3098" i="1"/>
  <c r="K3098" i="1" s="1"/>
  <c r="L3098" i="1" s="1"/>
  <c r="J3097" i="1"/>
  <c r="I3097" i="1"/>
  <c r="K3097" i="1" s="1"/>
  <c r="L3097" i="1" s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J3092" i="1"/>
  <c r="I3092" i="1"/>
  <c r="K3092" i="1" s="1"/>
  <c r="L3092" i="1" s="1"/>
  <c r="J3091" i="1"/>
  <c r="I3091" i="1"/>
  <c r="K3091" i="1" s="1"/>
  <c r="L3091" i="1" s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J3085" i="1"/>
  <c r="I3085" i="1"/>
  <c r="K3085" i="1" s="1"/>
  <c r="L3085" i="1" s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J3075" i="1"/>
  <c r="I3075" i="1"/>
  <c r="K3075" i="1" s="1"/>
  <c r="L3075" i="1" s="1"/>
  <c r="J3074" i="1"/>
  <c r="I3074" i="1"/>
  <c r="K3074" i="1" s="1"/>
  <c r="L3074" i="1" s="1"/>
  <c r="J3073" i="1"/>
  <c r="I3073" i="1"/>
  <c r="K3073" i="1" s="1"/>
  <c r="L3073" i="1" s="1"/>
  <c r="J3072" i="1"/>
  <c r="I3072" i="1"/>
  <c r="K3072" i="1" s="1"/>
  <c r="L3072" i="1" s="1"/>
  <c r="J3071" i="1"/>
  <c r="I3071" i="1"/>
  <c r="K3071" i="1" s="1"/>
  <c r="L3071" i="1" s="1"/>
  <c r="J3070" i="1"/>
  <c r="I3070" i="1"/>
  <c r="K3070" i="1" s="1"/>
  <c r="L3070" i="1" s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J3064" i="1"/>
  <c r="I3064" i="1"/>
  <c r="K3064" i="1" s="1"/>
  <c r="L3064" i="1" s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J3058" i="1"/>
  <c r="I3058" i="1"/>
  <c r="K3058" i="1" s="1"/>
  <c r="L3058" i="1" s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J3054" i="1"/>
  <c r="I3054" i="1"/>
  <c r="K3054" i="1" s="1"/>
  <c r="L3054" i="1" s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J3048" i="1"/>
  <c r="I3048" i="1"/>
  <c r="K3048" i="1" s="1"/>
  <c r="L3048" i="1" s="1"/>
  <c r="J3047" i="1"/>
  <c r="I3047" i="1"/>
  <c r="K3047" i="1" s="1"/>
  <c r="L3047" i="1" s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J3041" i="1"/>
  <c r="I3041" i="1"/>
  <c r="K3041" i="1" s="1"/>
  <c r="L3041" i="1" s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J3032" i="1"/>
  <c r="I3032" i="1"/>
  <c r="K3032" i="1" s="1"/>
  <c r="L3032" i="1" s="1"/>
  <c r="J3031" i="1"/>
  <c r="I3031" i="1"/>
  <c r="K3031" i="1" s="1"/>
  <c r="L3031" i="1" s="1"/>
  <c r="J3030" i="1"/>
  <c r="I3030" i="1"/>
  <c r="K3030" i="1" s="1"/>
  <c r="L3030" i="1" s="1"/>
  <c r="J3029" i="1"/>
  <c r="I3029" i="1"/>
  <c r="K3029" i="1" s="1"/>
  <c r="L3029" i="1" s="1"/>
  <c r="J3028" i="1"/>
  <c r="I3028" i="1"/>
  <c r="K3028" i="1" s="1"/>
  <c r="L3028" i="1" s="1"/>
  <c r="J3027" i="1"/>
  <c r="I3027" i="1"/>
  <c r="K3027" i="1" s="1"/>
  <c r="L3027" i="1" s="1"/>
  <c r="J3026" i="1"/>
  <c r="I3026" i="1"/>
  <c r="K3026" i="1" s="1"/>
  <c r="L3026" i="1" s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J3020" i="1"/>
  <c r="I3020" i="1"/>
  <c r="K3020" i="1" s="1"/>
  <c r="L3020" i="1" s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J3014" i="1"/>
  <c r="I3014" i="1"/>
  <c r="K3014" i="1" s="1"/>
  <c r="L3014" i="1" s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J3010" i="1"/>
  <c r="I3010" i="1"/>
  <c r="K3010" i="1" s="1"/>
  <c r="L3010" i="1" s="1"/>
  <c r="J3009" i="1"/>
  <c r="I3009" i="1"/>
  <c r="K3009" i="1" s="1"/>
  <c r="L3009" i="1" s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J3002" i="1"/>
  <c r="I3002" i="1"/>
  <c r="J3001" i="1"/>
  <c r="I3001" i="1"/>
  <c r="J3000" i="1"/>
  <c r="I3000" i="1"/>
  <c r="J2999" i="1"/>
  <c r="I2999" i="1"/>
  <c r="J2998" i="1"/>
  <c r="I2998" i="1"/>
  <c r="J2997" i="1"/>
  <c r="I2997" i="1"/>
  <c r="J2996" i="1"/>
  <c r="I2996" i="1"/>
  <c r="J2995" i="1"/>
  <c r="I2995" i="1"/>
  <c r="J2994" i="1"/>
  <c r="I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J2986" i="1"/>
  <c r="I2986" i="1"/>
  <c r="J2985" i="1"/>
  <c r="I2985" i="1"/>
  <c r="J2984" i="1"/>
  <c r="I2984" i="1"/>
  <c r="J2983" i="1"/>
  <c r="I2983" i="1"/>
  <c r="J2982" i="1"/>
  <c r="I2982" i="1"/>
  <c r="J2981" i="1"/>
  <c r="I2981" i="1"/>
  <c r="J2980" i="1"/>
  <c r="I2980" i="1"/>
  <c r="J2979" i="1"/>
  <c r="I2979" i="1"/>
  <c r="J2978" i="1"/>
  <c r="I2978" i="1"/>
  <c r="J2977" i="1"/>
  <c r="I2977" i="1"/>
  <c r="J2976" i="1"/>
  <c r="I2976" i="1"/>
  <c r="J2975" i="1"/>
  <c r="I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J2965" i="1"/>
  <c r="I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J2958" i="1"/>
  <c r="I2958" i="1"/>
  <c r="J2957" i="1"/>
  <c r="I2957" i="1"/>
  <c r="J2956" i="1"/>
  <c r="I2956" i="1"/>
  <c r="J2955" i="1"/>
  <c r="I2955" i="1"/>
  <c r="J2954" i="1"/>
  <c r="I2954" i="1"/>
  <c r="J2953" i="1"/>
  <c r="I2953" i="1"/>
  <c r="J2952" i="1"/>
  <c r="I2952" i="1"/>
  <c r="J2951" i="1"/>
  <c r="I2951" i="1"/>
  <c r="J2950" i="1"/>
  <c r="I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J2942" i="1"/>
  <c r="I2942" i="1"/>
  <c r="J2941" i="1"/>
  <c r="I2941" i="1"/>
  <c r="J2940" i="1"/>
  <c r="I2940" i="1"/>
  <c r="J2939" i="1"/>
  <c r="I2939" i="1"/>
  <c r="J2938" i="1"/>
  <c r="I2938" i="1"/>
  <c r="J2937" i="1"/>
  <c r="I2937" i="1"/>
  <c r="J2936" i="1"/>
  <c r="I2936" i="1"/>
  <c r="J2935" i="1"/>
  <c r="I2935" i="1"/>
  <c r="J2934" i="1"/>
  <c r="I2934" i="1"/>
  <c r="J2933" i="1"/>
  <c r="I2933" i="1"/>
  <c r="J2932" i="1"/>
  <c r="I2932" i="1"/>
  <c r="J2931" i="1"/>
  <c r="I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J2921" i="1"/>
  <c r="I2921" i="1"/>
  <c r="J2920" i="1"/>
  <c r="I2920" i="1"/>
  <c r="J2919" i="1"/>
  <c r="I2919" i="1"/>
  <c r="J2918" i="1"/>
  <c r="I2918" i="1"/>
  <c r="J2917" i="1"/>
  <c r="I2917" i="1"/>
  <c r="J2916" i="1"/>
  <c r="I2916" i="1"/>
  <c r="J2915" i="1"/>
  <c r="I2915" i="1"/>
  <c r="J2914" i="1"/>
  <c r="I2914" i="1"/>
  <c r="J2913" i="1"/>
  <c r="I2913" i="1"/>
  <c r="J2912" i="1"/>
  <c r="I2912" i="1"/>
  <c r="J2911" i="1"/>
  <c r="I2911" i="1"/>
  <c r="J2910" i="1"/>
  <c r="I2910" i="1"/>
  <c r="J2909" i="1"/>
  <c r="I2909" i="1"/>
  <c r="J2908" i="1"/>
  <c r="I2908" i="1"/>
  <c r="J2907" i="1"/>
  <c r="I2907" i="1"/>
  <c r="J2906" i="1"/>
  <c r="I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J2898" i="1"/>
  <c r="I2898" i="1"/>
  <c r="J2897" i="1"/>
  <c r="I2897" i="1"/>
  <c r="J2896" i="1"/>
  <c r="I2896" i="1"/>
  <c r="J2895" i="1"/>
  <c r="I2895" i="1"/>
  <c r="J2894" i="1"/>
  <c r="I2894" i="1"/>
  <c r="J2893" i="1"/>
  <c r="I2893" i="1"/>
  <c r="J2892" i="1"/>
  <c r="I2892" i="1"/>
  <c r="J2891" i="1"/>
  <c r="I2891" i="1"/>
  <c r="J2890" i="1"/>
  <c r="I2890" i="1"/>
  <c r="J2889" i="1"/>
  <c r="I2889" i="1"/>
  <c r="J2888" i="1"/>
  <c r="I2888" i="1"/>
  <c r="J2887" i="1"/>
  <c r="I2887" i="1"/>
  <c r="J2886" i="1"/>
  <c r="I2886" i="1"/>
  <c r="J2885" i="1"/>
  <c r="I2885" i="1"/>
  <c r="J2884" i="1"/>
  <c r="I2884" i="1"/>
  <c r="J2883" i="1"/>
  <c r="I2883" i="1"/>
  <c r="J2882" i="1"/>
  <c r="I2882" i="1"/>
  <c r="J2881" i="1"/>
  <c r="I2881" i="1"/>
  <c r="J2880" i="1"/>
  <c r="I2880" i="1"/>
  <c r="J2879" i="1"/>
  <c r="I2879" i="1"/>
  <c r="J2878" i="1"/>
  <c r="I2878" i="1"/>
  <c r="K2878" i="1" s="1"/>
  <c r="L2878" i="1" s="1"/>
  <c r="J2877" i="1"/>
  <c r="I2877" i="1"/>
  <c r="J2876" i="1"/>
  <c r="I2876" i="1"/>
  <c r="K2876" i="1" s="1"/>
  <c r="L2876" i="1" s="1"/>
  <c r="J2875" i="1"/>
  <c r="I2875" i="1"/>
  <c r="J2874" i="1"/>
  <c r="I2874" i="1"/>
  <c r="K2874" i="1" s="1"/>
  <c r="L2874" i="1" s="1"/>
  <c r="J2873" i="1"/>
  <c r="I2873" i="1"/>
  <c r="J2872" i="1"/>
  <c r="I2872" i="1"/>
  <c r="K2872" i="1" s="1"/>
  <c r="L2872" i="1" s="1"/>
  <c r="J2871" i="1"/>
  <c r="I2871" i="1"/>
  <c r="J2870" i="1"/>
  <c r="I2870" i="1"/>
  <c r="K2870" i="1" s="1"/>
  <c r="L2870" i="1" s="1"/>
  <c r="J2869" i="1"/>
  <c r="I2869" i="1"/>
  <c r="J2868" i="1"/>
  <c r="I2868" i="1"/>
  <c r="J2867" i="1"/>
  <c r="I2867" i="1"/>
  <c r="J2866" i="1"/>
  <c r="I2866" i="1"/>
  <c r="J2865" i="1"/>
  <c r="I2865" i="1"/>
  <c r="J2864" i="1"/>
  <c r="I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J2854" i="1"/>
  <c r="I2854" i="1"/>
  <c r="J2853" i="1"/>
  <c r="I2853" i="1"/>
  <c r="J2852" i="1"/>
  <c r="I2852" i="1"/>
  <c r="J2851" i="1"/>
  <c r="I2851" i="1"/>
  <c r="J2850" i="1"/>
  <c r="I2850" i="1"/>
  <c r="J2849" i="1"/>
  <c r="I2849" i="1"/>
  <c r="J2848" i="1"/>
  <c r="I2848" i="1"/>
  <c r="J2847" i="1"/>
  <c r="I2847" i="1"/>
  <c r="J2846" i="1"/>
  <c r="I2846" i="1"/>
  <c r="J2845" i="1"/>
  <c r="I2845" i="1"/>
  <c r="J2844" i="1"/>
  <c r="I2844" i="1"/>
  <c r="J2843" i="1"/>
  <c r="I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K2833" i="1"/>
  <c r="L2833" i="1" s="1"/>
  <c r="J2833" i="1"/>
  <c r="I2833" i="1"/>
  <c r="J2832" i="1"/>
  <c r="I2832" i="1"/>
  <c r="K2832" i="1" s="1"/>
  <c r="L2832" i="1" s="1"/>
  <c r="J2831" i="1"/>
  <c r="I2831" i="1"/>
  <c r="K2831" i="1" s="1"/>
  <c r="L2831" i="1" s="1"/>
  <c r="J2830" i="1"/>
  <c r="I2830" i="1"/>
  <c r="K2830" i="1" s="1"/>
  <c r="L2830" i="1" s="1"/>
  <c r="J2829" i="1"/>
  <c r="I2829" i="1"/>
  <c r="K2829" i="1" s="1"/>
  <c r="L2829" i="1" s="1"/>
  <c r="J2828" i="1"/>
  <c r="I2828" i="1"/>
  <c r="K2828" i="1" s="1"/>
  <c r="L2828" i="1" s="1"/>
  <c r="J2827" i="1"/>
  <c r="I2827" i="1"/>
  <c r="K2827" i="1" s="1"/>
  <c r="L2827" i="1" s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J2810" i="1"/>
  <c r="I2810" i="1"/>
  <c r="K2810" i="1" s="1"/>
  <c r="L2810" i="1" s="1"/>
  <c r="J2809" i="1"/>
  <c r="I2809" i="1"/>
  <c r="K2809" i="1" s="1"/>
  <c r="L2809" i="1" s="1"/>
  <c r="J2808" i="1"/>
  <c r="I2808" i="1"/>
  <c r="K2808" i="1" s="1"/>
  <c r="L2808" i="1" s="1"/>
  <c r="J2807" i="1"/>
  <c r="I2807" i="1"/>
  <c r="K2807" i="1" s="1"/>
  <c r="L2807" i="1" s="1"/>
  <c r="J2806" i="1"/>
  <c r="I2806" i="1"/>
  <c r="K2806" i="1" s="1"/>
  <c r="L2806" i="1" s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J2783" i="1"/>
  <c r="I2783" i="1"/>
  <c r="K2783" i="1" s="1"/>
  <c r="L2783" i="1" s="1"/>
  <c r="J2782" i="1"/>
  <c r="I2782" i="1"/>
  <c r="K2782" i="1" s="1"/>
  <c r="L2782" i="1" s="1"/>
  <c r="J2781" i="1"/>
  <c r="I2781" i="1"/>
  <c r="K2781" i="1" s="1"/>
  <c r="L2781" i="1" s="1"/>
  <c r="J2780" i="1"/>
  <c r="I2780" i="1"/>
  <c r="K2780" i="1" s="1"/>
  <c r="L2780" i="1" s="1"/>
  <c r="J2779" i="1"/>
  <c r="I2779" i="1"/>
  <c r="K2779" i="1" s="1"/>
  <c r="L2779" i="1" s="1"/>
  <c r="J2778" i="1"/>
  <c r="I2778" i="1"/>
  <c r="K2778" i="1" s="1"/>
  <c r="L2778" i="1" s="1"/>
  <c r="J2777" i="1"/>
  <c r="I2777" i="1"/>
  <c r="K2777" i="1" s="1"/>
  <c r="L2777" i="1" s="1"/>
  <c r="J2776" i="1"/>
  <c r="I2776" i="1"/>
  <c r="K2776" i="1" s="1"/>
  <c r="L2776" i="1" s="1"/>
  <c r="J2775" i="1"/>
  <c r="I2775" i="1"/>
  <c r="K2775" i="1" s="1"/>
  <c r="L2775" i="1" s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J2767" i="1"/>
  <c r="I2767" i="1"/>
  <c r="K2767" i="1" s="1"/>
  <c r="L2767" i="1" s="1"/>
  <c r="J2766" i="1"/>
  <c r="I2766" i="1"/>
  <c r="K2766" i="1" s="1"/>
  <c r="L2766" i="1" s="1"/>
  <c r="J2765" i="1"/>
  <c r="I2765" i="1"/>
  <c r="K2765" i="1" s="1"/>
  <c r="L2765" i="1" s="1"/>
  <c r="J2764" i="1"/>
  <c r="I2764" i="1"/>
  <c r="K2764" i="1" s="1"/>
  <c r="L2764" i="1" s="1"/>
  <c r="J2763" i="1"/>
  <c r="I2763" i="1"/>
  <c r="K2763" i="1" s="1"/>
  <c r="L2763" i="1" s="1"/>
  <c r="J2762" i="1"/>
  <c r="I2762" i="1"/>
  <c r="K2762" i="1" s="1"/>
  <c r="L2762" i="1" s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J2756" i="1"/>
  <c r="I2756" i="1"/>
  <c r="K2756" i="1" s="1"/>
  <c r="L2756" i="1" s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J2750" i="1"/>
  <c r="I2750" i="1"/>
  <c r="K2750" i="1" s="1"/>
  <c r="L2750" i="1" s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J2728" i="1"/>
  <c r="I2728" i="1"/>
  <c r="K2728" i="1" s="1"/>
  <c r="L2728" i="1" s="1"/>
  <c r="J2684" i="1"/>
  <c r="I2684" i="1"/>
  <c r="K2684" i="1" s="1"/>
  <c r="L2684" i="1" s="1"/>
  <c r="J2640" i="1"/>
  <c r="I2640" i="1"/>
  <c r="K2640" i="1" s="1"/>
  <c r="L2640" i="1" s="1"/>
  <c r="J2596" i="1"/>
  <c r="I2596" i="1"/>
  <c r="K2596" i="1" s="1"/>
  <c r="L2596" i="1" s="1"/>
  <c r="J4470" i="1"/>
  <c r="I4470" i="1"/>
  <c r="K4470" i="1" s="1"/>
  <c r="L4470" i="1" s="1"/>
  <c r="J4469" i="1"/>
  <c r="I4469" i="1"/>
  <c r="K4469" i="1" s="1"/>
  <c r="L4469" i="1" s="1"/>
  <c r="J4468" i="1"/>
  <c r="I4468" i="1"/>
  <c r="K4468" i="1" s="1"/>
  <c r="L4468" i="1" s="1"/>
  <c r="J4467" i="1"/>
  <c r="I4467" i="1"/>
  <c r="K4467" i="1" s="1"/>
  <c r="L4467" i="1" s="1"/>
  <c r="J4466" i="1"/>
  <c r="I4466" i="1"/>
  <c r="K4466" i="1" s="1"/>
  <c r="L4466" i="1" s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75" i="1"/>
  <c r="I4375" i="1"/>
  <c r="K4375" i="1" s="1"/>
  <c r="L4375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J4369" i="1"/>
  <c r="I4369" i="1"/>
  <c r="K4369" i="1" s="1"/>
  <c r="L4369" i="1" s="1"/>
  <c r="J4368" i="1"/>
  <c r="I4368" i="1"/>
  <c r="K4368" i="1" s="1"/>
  <c r="L4368" i="1" s="1"/>
  <c r="J4367" i="1"/>
  <c r="I4367" i="1"/>
  <c r="K4367" i="1" s="1"/>
  <c r="L4367" i="1" s="1"/>
  <c r="J4366" i="1"/>
  <c r="I4366" i="1"/>
  <c r="K4366" i="1" s="1"/>
  <c r="L4366" i="1" s="1"/>
  <c r="J4365" i="1"/>
  <c r="I4365" i="1"/>
  <c r="K4365" i="1" s="1"/>
  <c r="L4365" i="1" s="1"/>
  <c r="J4364" i="1"/>
  <c r="I4364" i="1"/>
  <c r="K4364" i="1" s="1"/>
  <c r="L4364" i="1" s="1"/>
  <c r="J4363" i="1"/>
  <c r="I4363" i="1"/>
  <c r="K4363" i="1" s="1"/>
  <c r="L4363" i="1" s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J4330" i="1"/>
  <c r="I4330" i="1"/>
  <c r="K4330" i="1" s="1"/>
  <c r="L4330" i="1" s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J4326" i="1"/>
  <c r="I4326" i="1"/>
  <c r="K4326" i="1" s="1"/>
  <c r="L4326" i="1" s="1"/>
  <c r="J4325" i="1"/>
  <c r="I4325" i="1"/>
  <c r="K4325" i="1" s="1"/>
  <c r="L4325" i="1" s="1"/>
  <c r="J4324" i="1"/>
  <c r="I4324" i="1"/>
  <c r="K4324" i="1" s="1"/>
  <c r="L4324" i="1" s="1"/>
  <c r="J4323" i="1"/>
  <c r="I4323" i="1"/>
  <c r="K4323" i="1" s="1"/>
  <c r="L4323" i="1" s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J4319" i="1"/>
  <c r="I4319" i="1"/>
  <c r="K4319" i="1" s="1"/>
  <c r="L4319" i="1" s="1"/>
  <c r="J4318" i="1"/>
  <c r="I4318" i="1"/>
  <c r="K4318" i="1" s="1"/>
  <c r="L4318" i="1" s="1"/>
  <c r="J4317" i="1"/>
  <c r="I4317" i="1"/>
  <c r="K4317" i="1" s="1"/>
  <c r="L4317" i="1" s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J4307" i="1"/>
  <c r="I4307" i="1"/>
  <c r="K4307" i="1" s="1"/>
  <c r="L4307" i="1" s="1"/>
  <c r="J4306" i="1"/>
  <c r="I4306" i="1"/>
  <c r="K4306" i="1" s="1"/>
  <c r="L4306" i="1" s="1"/>
  <c r="J4305" i="1"/>
  <c r="I4305" i="1"/>
  <c r="K4305" i="1" s="1"/>
  <c r="L4305" i="1" s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J4296" i="1"/>
  <c r="I4296" i="1"/>
  <c r="K4296" i="1" s="1"/>
  <c r="L4296" i="1" s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J4280" i="1"/>
  <c r="I4280" i="1"/>
  <c r="K4280" i="1" s="1"/>
  <c r="L4280" i="1" s="1"/>
  <c r="J4279" i="1"/>
  <c r="I4279" i="1"/>
  <c r="K4279" i="1" s="1"/>
  <c r="L4279" i="1" s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J4275" i="1"/>
  <c r="I4275" i="1"/>
  <c r="K4275" i="1" s="1"/>
  <c r="L4275" i="1" s="1"/>
  <c r="J4274" i="1"/>
  <c r="I4274" i="1"/>
  <c r="K4274" i="1" s="1"/>
  <c r="L4274" i="1" s="1"/>
  <c r="J4273" i="1"/>
  <c r="I4273" i="1"/>
  <c r="K4273" i="1" s="1"/>
  <c r="L4273" i="1" s="1"/>
  <c r="J4272" i="1"/>
  <c r="I4272" i="1"/>
  <c r="K4272" i="1" s="1"/>
  <c r="L4272" i="1" s="1"/>
  <c r="J4271" i="1"/>
  <c r="I4271" i="1"/>
  <c r="K4271" i="1" s="1"/>
  <c r="L4271" i="1" s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J4263" i="1"/>
  <c r="I4263" i="1"/>
  <c r="K4263" i="1" s="1"/>
  <c r="L4263" i="1" s="1"/>
  <c r="J4262" i="1"/>
  <c r="I4262" i="1"/>
  <c r="K4262" i="1" s="1"/>
  <c r="L4262" i="1" s="1"/>
  <c r="J4261" i="1"/>
  <c r="I4261" i="1"/>
  <c r="K4261" i="1" s="1"/>
  <c r="L4261" i="1" s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J4257" i="1"/>
  <c r="I4257" i="1"/>
  <c r="K4257" i="1" s="1"/>
  <c r="L4257" i="1" s="1"/>
  <c r="J4256" i="1"/>
  <c r="I4256" i="1"/>
  <c r="K4256" i="1" s="1"/>
  <c r="L4256" i="1" s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J4252" i="1"/>
  <c r="I4252" i="1"/>
  <c r="J4251" i="1"/>
  <c r="I4251" i="1"/>
  <c r="J4250" i="1"/>
  <c r="I4250" i="1"/>
  <c r="J4249" i="1"/>
  <c r="I4249" i="1"/>
  <c r="J4248" i="1"/>
  <c r="I4248" i="1"/>
  <c r="J4247" i="1"/>
  <c r="I4247" i="1"/>
  <c r="J4246" i="1"/>
  <c r="I4246" i="1"/>
  <c r="J4245" i="1"/>
  <c r="I4245" i="1"/>
  <c r="J4244" i="1"/>
  <c r="I4244" i="1"/>
  <c r="J4243" i="1"/>
  <c r="I4243" i="1"/>
  <c r="J4242" i="1"/>
  <c r="I4242" i="1"/>
  <c r="J4241" i="1"/>
  <c r="I4241" i="1"/>
  <c r="J4240" i="1"/>
  <c r="I4240" i="1"/>
  <c r="J4239" i="1"/>
  <c r="I4239" i="1"/>
  <c r="J4238" i="1"/>
  <c r="I4238" i="1"/>
  <c r="J4237" i="1"/>
  <c r="I4237" i="1"/>
  <c r="J4236" i="1"/>
  <c r="I4236" i="1"/>
  <c r="J4235" i="1"/>
  <c r="I4235" i="1"/>
  <c r="J4234" i="1"/>
  <c r="I4234" i="1"/>
  <c r="J4233" i="1"/>
  <c r="I4233" i="1"/>
  <c r="J4232" i="1"/>
  <c r="I4232" i="1"/>
  <c r="J4231" i="1"/>
  <c r="I4231" i="1"/>
  <c r="J4230" i="1"/>
  <c r="I4230" i="1"/>
  <c r="J4229" i="1"/>
  <c r="I4229" i="1"/>
  <c r="J4228" i="1"/>
  <c r="I4228" i="1"/>
  <c r="J4227" i="1"/>
  <c r="I4227" i="1"/>
  <c r="J4226" i="1"/>
  <c r="I4226" i="1"/>
  <c r="J4225" i="1"/>
  <c r="I4225" i="1"/>
  <c r="J4224" i="1"/>
  <c r="I4224" i="1"/>
  <c r="J4223" i="1"/>
  <c r="I4223" i="1"/>
  <c r="J4222" i="1"/>
  <c r="I4222" i="1"/>
  <c r="J4221" i="1"/>
  <c r="I4221" i="1"/>
  <c r="J4220" i="1"/>
  <c r="I4220" i="1"/>
  <c r="J4219" i="1"/>
  <c r="I4219" i="1"/>
  <c r="J4218" i="1"/>
  <c r="I4218" i="1"/>
  <c r="J4217" i="1"/>
  <c r="I4217" i="1"/>
  <c r="J4216" i="1"/>
  <c r="I4216" i="1"/>
  <c r="J4215" i="1"/>
  <c r="I4215" i="1"/>
  <c r="J4214" i="1"/>
  <c r="I4214" i="1"/>
  <c r="J4213" i="1"/>
  <c r="I4213" i="1"/>
  <c r="J4212" i="1"/>
  <c r="I4212" i="1"/>
  <c r="J4211" i="1"/>
  <c r="I4211" i="1"/>
  <c r="J4210" i="1"/>
  <c r="I4210" i="1"/>
  <c r="J4209" i="1"/>
  <c r="I4209" i="1"/>
  <c r="J4208" i="1"/>
  <c r="I4208" i="1"/>
  <c r="J4207" i="1"/>
  <c r="I4207" i="1"/>
  <c r="J4206" i="1"/>
  <c r="I4206" i="1"/>
  <c r="J4205" i="1"/>
  <c r="I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4196" i="1"/>
  <c r="I4196" i="1"/>
  <c r="J4195" i="1"/>
  <c r="I4195" i="1"/>
  <c r="J4194" i="1"/>
  <c r="I4194" i="1"/>
  <c r="J4193" i="1"/>
  <c r="I4193" i="1"/>
  <c r="J4192" i="1"/>
  <c r="I4192" i="1"/>
  <c r="J4191" i="1"/>
  <c r="I4191" i="1"/>
  <c r="J4190" i="1"/>
  <c r="I4190" i="1"/>
  <c r="J4189" i="1"/>
  <c r="I4189" i="1"/>
  <c r="J4188" i="1"/>
  <c r="I4188" i="1"/>
  <c r="J4187" i="1"/>
  <c r="I4187" i="1"/>
  <c r="J4186" i="1"/>
  <c r="I4186" i="1"/>
  <c r="J4185" i="1"/>
  <c r="I4185" i="1"/>
  <c r="J4184" i="1"/>
  <c r="I4184" i="1"/>
  <c r="J4183" i="1"/>
  <c r="I4183" i="1"/>
  <c r="J4182" i="1"/>
  <c r="I4182" i="1"/>
  <c r="J4181" i="1"/>
  <c r="I4181" i="1"/>
  <c r="J4180" i="1"/>
  <c r="I4180" i="1"/>
  <c r="J4179" i="1"/>
  <c r="I4179" i="1"/>
  <c r="J4178" i="1"/>
  <c r="I4178" i="1"/>
  <c r="J4177" i="1"/>
  <c r="I4177" i="1"/>
  <c r="J4176" i="1"/>
  <c r="I4176" i="1"/>
  <c r="J4175" i="1"/>
  <c r="I4175" i="1"/>
  <c r="J4174" i="1"/>
  <c r="I4174" i="1"/>
  <c r="J4173" i="1"/>
  <c r="I4173" i="1"/>
  <c r="J4172" i="1"/>
  <c r="I4172" i="1"/>
  <c r="J4171" i="1"/>
  <c r="I4171" i="1"/>
  <c r="J4170" i="1"/>
  <c r="I4170" i="1"/>
  <c r="J4169" i="1"/>
  <c r="I4169" i="1"/>
  <c r="J4168" i="1"/>
  <c r="I4168" i="1"/>
  <c r="J4167" i="1"/>
  <c r="I4167" i="1"/>
  <c r="J4166" i="1"/>
  <c r="I4166" i="1"/>
  <c r="J4165" i="1"/>
  <c r="I4165" i="1"/>
  <c r="J4164" i="1"/>
  <c r="I4164" i="1"/>
  <c r="J4163" i="1"/>
  <c r="I4163" i="1"/>
  <c r="J4162" i="1"/>
  <c r="I4162" i="1"/>
  <c r="J4161" i="1"/>
  <c r="I4161" i="1"/>
  <c r="J4160" i="1"/>
  <c r="I4160" i="1"/>
  <c r="J4159" i="1"/>
  <c r="I4159" i="1"/>
  <c r="J4158" i="1"/>
  <c r="I4158" i="1"/>
  <c r="J4157" i="1"/>
  <c r="I4157" i="1"/>
  <c r="J4156" i="1"/>
  <c r="I4156" i="1"/>
  <c r="J4155" i="1"/>
  <c r="I4155" i="1"/>
  <c r="J4154" i="1"/>
  <c r="I4154" i="1"/>
  <c r="J4153" i="1"/>
  <c r="I4153" i="1"/>
  <c r="J4152" i="1"/>
  <c r="I4152" i="1"/>
  <c r="J4151" i="1"/>
  <c r="I4151" i="1"/>
  <c r="J4150" i="1"/>
  <c r="I4150" i="1"/>
  <c r="J4149" i="1"/>
  <c r="I4149" i="1"/>
  <c r="J4148" i="1"/>
  <c r="I4148" i="1"/>
  <c r="J4147" i="1"/>
  <c r="I4147" i="1"/>
  <c r="J4146" i="1"/>
  <c r="I4146" i="1"/>
  <c r="J4145" i="1"/>
  <c r="I4145" i="1"/>
  <c r="J4144" i="1"/>
  <c r="I4144" i="1"/>
  <c r="J4143" i="1"/>
  <c r="I4143" i="1"/>
  <c r="J4142" i="1"/>
  <c r="I4142" i="1"/>
  <c r="J4141" i="1"/>
  <c r="I4141" i="1"/>
  <c r="J4140" i="1"/>
  <c r="I4140" i="1"/>
  <c r="J4139" i="1"/>
  <c r="I4139" i="1"/>
  <c r="J4138" i="1"/>
  <c r="I4138" i="1"/>
  <c r="J4137" i="1"/>
  <c r="I4137" i="1"/>
  <c r="J4136" i="1"/>
  <c r="I4136" i="1"/>
  <c r="J4135" i="1"/>
  <c r="I4135" i="1"/>
  <c r="J4134" i="1"/>
  <c r="I4134" i="1"/>
  <c r="J4133" i="1"/>
  <c r="I4133" i="1"/>
  <c r="J4132" i="1"/>
  <c r="I4132" i="1"/>
  <c r="J4131" i="1"/>
  <c r="I4131" i="1"/>
  <c r="J4130" i="1"/>
  <c r="I4130" i="1"/>
  <c r="J4129" i="1"/>
  <c r="I4129" i="1"/>
  <c r="J4128" i="1"/>
  <c r="I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J4119" i="1"/>
  <c r="I4119" i="1"/>
  <c r="J4118" i="1"/>
  <c r="I4118" i="1"/>
  <c r="J4117" i="1"/>
  <c r="I4117" i="1"/>
  <c r="J4116" i="1"/>
  <c r="I4116" i="1"/>
  <c r="J4115" i="1"/>
  <c r="I4115" i="1"/>
  <c r="J4114" i="1"/>
  <c r="I4114" i="1"/>
  <c r="J4113" i="1"/>
  <c r="I4113" i="1"/>
  <c r="J4112" i="1"/>
  <c r="I4112" i="1"/>
  <c r="J4111" i="1"/>
  <c r="I4111" i="1"/>
  <c r="J4110" i="1"/>
  <c r="I4110" i="1"/>
  <c r="J4109" i="1"/>
  <c r="I4109" i="1"/>
  <c r="J4108" i="1"/>
  <c r="I4108" i="1"/>
  <c r="J4107" i="1"/>
  <c r="I4107" i="1"/>
  <c r="J4106" i="1"/>
  <c r="I4106" i="1"/>
  <c r="J4105" i="1"/>
  <c r="I4105" i="1"/>
  <c r="J4104" i="1"/>
  <c r="I4104" i="1"/>
  <c r="J4103" i="1"/>
  <c r="I4103" i="1"/>
  <c r="J4102" i="1"/>
  <c r="I4102" i="1"/>
  <c r="J4101" i="1"/>
  <c r="I4101" i="1"/>
  <c r="J4100" i="1"/>
  <c r="I4100" i="1"/>
  <c r="J4099" i="1"/>
  <c r="I4099" i="1"/>
  <c r="J4098" i="1"/>
  <c r="I4098" i="1"/>
  <c r="J4097" i="1"/>
  <c r="I4097" i="1"/>
  <c r="J4096" i="1"/>
  <c r="I4096" i="1"/>
  <c r="J4095" i="1"/>
  <c r="I4095" i="1"/>
  <c r="J4094" i="1"/>
  <c r="I4094" i="1"/>
  <c r="J4093" i="1"/>
  <c r="I4093" i="1"/>
  <c r="J4092" i="1"/>
  <c r="I4092" i="1"/>
  <c r="J4091" i="1"/>
  <c r="I4091" i="1"/>
  <c r="J4090" i="1"/>
  <c r="I4090" i="1"/>
  <c r="J4089" i="1"/>
  <c r="I4089" i="1"/>
  <c r="J4088" i="1"/>
  <c r="I4088" i="1"/>
  <c r="J4087" i="1"/>
  <c r="I4087" i="1"/>
  <c r="J4086" i="1"/>
  <c r="I4086" i="1"/>
  <c r="J4085" i="1"/>
  <c r="I4085" i="1"/>
  <c r="J4084" i="1"/>
  <c r="I4084" i="1"/>
  <c r="J4083" i="1"/>
  <c r="I4083" i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J4078" i="1"/>
  <c r="I4078" i="1"/>
  <c r="K4078" i="1" s="1"/>
  <c r="L4078" i="1" s="1"/>
  <c r="J4077" i="1"/>
  <c r="I4077" i="1"/>
  <c r="K4077" i="1" s="1"/>
  <c r="L4077" i="1" s="1"/>
  <c r="J4076" i="1"/>
  <c r="I4076" i="1"/>
  <c r="K4076" i="1" s="1"/>
  <c r="L4076" i="1" s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J4054" i="1"/>
  <c r="I4054" i="1"/>
  <c r="K4054" i="1" s="1"/>
  <c r="L4054" i="1" s="1"/>
  <c r="J4053" i="1"/>
  <c r="I4053" i="1"/>
  <c r="K4053" i="1" s="1"/>
  <c r="L4053" i="1" s="1"/>
  <c r="J4052" i="1"/>
  <c r="I4052" i="1"/>
  <c r="K4052" i="1" s="1"/>
  <c r="L4052" i="1" s="1"/>
  <c r="J4051" i="1"/>
  <c r="I4051" i="1"/>
  <c r="K4051" i="1" s="1"/>
  <c r="L4051" i="1" s="1"/>
  <c r="J4050" i="1"/>
  <c r="I4050" i="1"/>
  <c r="K4050" i="1" s="1"/>
  <c r="L4050" i="1" s="1"/>
  <c r="J4049" i="1"/>
  <c r="I4049" i="1"/>
  <c r="K4049" i="1" s="1"/>
  <c r="L4049" i="1" s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J4042" i="1"/>
  <c r="I4042" i="1"/>
  <c r="K4042" i="1" s="1"/>
  <c r="L4042" i="1" s="1"/>
  <c r="J4041" i="1"/>
  <c r="I4041" i="1"/>
  <c r="K4041" i="1" s="1"/>
  <c r="L4041" i="1" s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J4010" i="1"/>
  <c r="I4010" i="1"/>
  <c r="K4010" i="1" s="1"/>
  <c r="L4010" i="1" s="1"/>
  <c r="J4009" i="1"/>
  <c r="I4009" i="1"/>
  <c r="K4009" i="1" s="1"/>
  <c r="L4009" i="1" s="1"/>
  <c r="J4008" i="1"/>
  <c r="I4008" i="1"/>
  <c r="K4008" i="1" s="1"/>
  <c r="L4008" i="1" s="1"/>
  <c r="J4007" i="1"/>
  <c r="I4007" i="1"/>
  <c r="K4007" i="1" s="1"/>
  <c r="L4007" i="1" s="1"/>
  <c r="J4006" i="1"/>
  <c r="I4006" i="1"/>
  <c r="K4006" i="1" s="1"/>
  <c r="L4006" i="1" s="1"/>
  <c r="J4005" i="1"/>
  <c r="I4005" i="1"/>
  <c r="K4005" i="1" s="1"/>
  <c r="L4005" i="1" s="1"/>
  <c r="J4004" i="1"/>
  <c r="I4004" i="1"/>
  <c r="K4004" i="1" s="1"/>
  <c r="L4004" i="1" s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60" i="1"/>
  <c r="I3960" i="1"/>
  <c r="K3960" i="1" s="1"/>
  <c r="L3960" i="1" s="1"/>
  <c r="J3916" i="1"/>
  <c r="I3916" i="1"/>
  <c r="K3916" i="1" s="1"/>
  <c r="L3916" i="1" s="1"/>
  <c r="J3872" i="1"/>
  <c r="I3872" i="1"/>
  <c r="K3872" i="1" s="1"/>
  <c r="L3872" i="1" s="1"/>
  <c r="J3828" i="1"/>
  <c r="I3828" i="1"/>
  <c r="K3828" i="1" s="1"/>
  <c r="L3828" i="1" s="1"/>
  <c r="J3784" i="1"/>
  <c r="I3784" i="1"/>
  <c r="K3784" i="1" s="1"/>
  <c r="L3784" i="1" s="1"/>
  <c r="J3740" i="1"/>
  <c r="I3740" i="1"/>
  <c r="K3740" i="1" s="1"/>
  <c r="L3740" i="1" s="1"/>
  <c r="J3696" i="1"/>
  <c r="I3696" i="1"/>
  <c r="K3696" i="1" s="1"/>
  <c r="L3696" i="1" s="1"/>
  <c r="J3652" i="1"/>
  <c r="I3652" i="1"/>
  <c r="K3652" i="1" s="1"/>
  <c r="L3652" i="1" s="1"/>
  <c r="J3608" i="1"/>
  <c r="I3608" i="1"/>
  <c r="K3608" i="1" s="1"/>
  <c r="L3608" i="1" s="1"/>
  <c r="J3564" i="1"/>
  <c r="I3564" i="1"/>
  <c r="K3564" i="1" s="1"/>
  <c r="L3564" i="1" s="1"/>
  <c r="J3520" i="1"/>
  <c r="I3520" i="1"/>
  <c r="K3520" i="1" s="1"/>
  <c r="L3520" i="1" s="1"/>
  <c r="J3476" i="1"/>
  <c r="I3476" i="1"/>
  <c r="K3476" i="1" s="1"/>
  <c r="L3476" i="1" s="1"/>
  <c r="J3432" i="1"/>
  <c r="I3432" i="1"/>
  <c r="K3432" i="1" s="1"/>
  <c r="L3432" i="1" s="1"/>
  <c r="J2552" i="1"/>
  <c r="I2552" i="1"/>
  <c r="K2552" i="1" s="1"/>
  <c r="L2552" i="1" s="1"/>
  <c r="J2508" i="1"/>
  <c r="I2508" i="1"/>
  <c r="K2508" i="1" s="1"/>
  <c r="L2508" i="1" s="1"/>
  <c r="J774" i="1"/>
  <c r="I774" i="1"/>
  <c r="K774" i="1" s="1"/>
  <c r="L774" i="1" s="1"/>
  <c r="J773" i="1"/>
  <c r="I773" i="1"/>
  <c r="K773" i="1" s="1"/>
  <c r="L773" i="1" s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J769" i="1"/>
  <c r="I769" i="1"/>
  <c r="K769" i="1" s="1"/>
  <c r="L769" i="1" s="1"/>
  <c r="J768" i="1"/>
  <c r="I768" i="1"/>
  <c r="K768" i="1" s="1"/>
  <c r="L768" i="1" s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J763" i="1"/>
  <c r="I763" i="1"/>
  <c r="K763" i="1" s="1"/>
  <c r="L763" i="1" s="1"/>
  <c r="J762" i="1"/>
  <c r="I762" i="1"/>
  <c r="K762" i="1" s="1"/>
  <c r="L762" i="1" s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J758" i="1"/>
  <c r="I758" i="1"/>
  <c r="K758" i="1" s="1"/>
  <c r="L758" i="1" s="1"/>
  <c r="J757" i="1"/>
  <c r="I757" i="1"/>
  <c r="K757" i="1" s="1"/>
  <c r="L757" i="1" s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J752" i="1"/>
  <c r="I752" i="1"/>
  <c r="K752" i="1" s="1"/>
  <c r="L752" i="1" s="1"/>
  <c r="J751" i="1"/>
  <c r="I751" i="1"/>
  <c r="K751" i="1" s="1"/>
  <c r="L751" i="1" s="1"/>
  <c r="J750" i="1"/>
  <c r="I750" i="1"/>
  <c r="K750" i="1" s="1"/>
  <c r="L750" i="1" s="1"/>
  <c r="J749" i="1"/>
  <c r="I749" i="1"/>
  <c r="K749" i="1" s="1"/>
  <c r="L749" i="1" s="1"/>
  <c r="J746" i="1"/>
  <c r="I746" i="1"/>
  <c r="K746" i="1" s="1"/>
  <c r="L746" i="1" s="1"/>
  <c r="J745" i="1"/>
  <c r="I745" i="1"/>
  <c r="K745" i="1" s="1"/>
  <c r="L745" i="1" s="1"/>
  <c r="J744" i="1"/>
  <c r="I744" i="1"/>
  <c r="K744" i="1" s="1"/>
  <c r="L744" i="1" s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J739" i="1"/>
  <c r="I739" i="1"/>
  <c r="K739" i="1" s="1"/>
  <c r="L739" i="1" s="1"/>
  <c r="J738" i="1"/>
  <c r="I738" i="1"/>
  <c r="K738" i="1" s="1"/>
  <c r="L738" i="1" s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J19" i="1"/>
  <c r="I19" i="1"/>
  <c r="K19" i="1" s="1"/>
  <c r="L19" i="1" s="1"/>
  <c r="J66" i="1"/>
  <c r="I66" i="1"/>
  <c r="K66" i="1" s="1"/>
  <c r="L66" i="1" s="1"/>
  <c r="J110" i="1"/>
  <c r="I110" i="1"/>
  <c r="K110" i="1" s="1"/>
  <c r="L110" i="1" s="1"/>
  <c r="J154" i="1"/>
  <c r="I154" i="1"/>
  <c r="K154" i="1" s="1"/>
  <c r="L154" i="1" s="1"/>
  <c r="J192" i="1"/>
  <c r="I192" i="1"/>
  <c r="K192" i="1" s="1"/>
  <c r="L192" i="1" s="1"/>
  <c r="J199" i="1"/>
  <c r="I199" i="1"/>
  <c r="K199" i="1" s="1"/>
  <c r="L199" i="1" s="1"/>
  <c r="J243" i="1"/>
  <c r="I243" i="1"/>
  <c r="K243" i="1" s="1"/>
  <c r="L243" i="1" s="1"/>
  <c r="J282" i="1"/>
  <c r="I282" i="1"/>
  <c r="K282" i="1" s="1"/>
  <c r="L282" i="1" s="1"/>
  <c r="J325" i="1"/>
  <c r="I325" i="1"/>
  <c r="K325" i="1" s="1"/>
  <c r="L325" i="1" s="1"/>
  <c r="J369" i="1"/>
  <c r="I369" i="1"/>
  <c r="K369" i="1" s="1"/>
  <c r="L369" i="1" s="1"/>
  <c r="J412" i="1"/>
  <c r="I412" i="1"/>
  <c r="K412" i="1" s="1"/>
  <c r="L412" i="1" s="1"/>
  <c r="J430" i="1"/>
  <c r="I430" i="1"/>
  <c r="K430" i="1" s="1"/>
  <c r="L430" i="1" s="1"/>
  <c r="J456" i="1"/>
  <c r="I456" i="1"/>
  <c r="K456" i="1" s="1"/>
  <c r="L456" i="1" s="1"/>
  <c r="J478" i="1"/>
  <c r="I478" i="1"/>
  <c r="K478" i="1" s="1"/>
  <c r="L478" i="1" s="1"/>
  <c r="J504" i="1"/>
  <c r="I504" i="1"/>
  <c r="K504" i="1" s="1"/>
  <c r="L504" i="1" s="1"/>
  <c r="J503" i="1"/>
  <c r="I503" i="1"/>
  <c r="K503" i="1" s="1"/>
  <c r="L503" i="1" s="1"/>
  <c r="J549" i="1"/>
  <c r="I549" i="1"/>
  <c r="K549" i="1" s="1"/>
  <c r="L549" i="1" s="1"/>
  <c r="J548" i="1"/>
  <c r="I548" i="1"/>
  <c r="K548" i="1" s="1"/>
  <c r="L548" i="1" s="1"/>
  <c r="J594" i="1"/>
  <c r="I594" i="1"/>
  <c r="K594" i="1" s="1"/>
  <c r="L594" i="1" s="1"/>
  <c r="J593" i="1"/>
  <c r="I593" i="1"/>
  <c r="K593" i="1" s="1"/>
  <c r="L593" i="1" s="1"/>
  <c r="J639" i="1"/>
  <c r="I639" i="1"/>
  <c r="K639" i="1" s="1"/>
  <c r="L639" i="1" s="1"/>
  <c r="J638" i="1"/>
  <c r="I638" i="1"/>
  <c r="K638" i="1" s="1"/>
  <c r="L638" i="1" s="1"/>
  <c r="J748" i="1"/>
  <c r="I748" i="1"/>
  <c r="K748" i="1" s="1"/>
  <c r="L748" i="1" s="1"/>
  <c r="J747" i="1"/>
  <c r="I747" i="1"/>
  <c r="K747" i="1" s="1"/>
  <c r="L747" i="1" s="1"/>
  <c r="J792" i="1"/>
  <c r="I792" i="1"/>
  <c r="K792" i="1" s="1"/>
  <c r="L792" i="1" s="1"/>
  <c r="J836" i="1"/>
  <c r="I836" i="1"/>
  <c r="K836" i="1" s="1"/>
  <c r="L836" i="1" s="1"/>
  <c r="J880" i="1"/>
  <c r="I880" i="1"/>
  <c r="K880" i="1" s="1"/>
  <c r="L880" i="1" s="1"/>
  <c r="J924" i="1"/>
  <c r="I924" i="1"/>
  <c r="K924" i="1" s="1"/>
  <c r="L924" i="1" s="1"/>
  <c r="J968" i="1"/>
  <c r="I968" i="1"/>
  <c r="K968" i="1" s="1"/>
  <c r="L968" i="1" s="1"/>
  <c r="J1012" i="1"/>
  <c r="I1012" i="1"/>
  <c r="K1012" i="1" s="1"/>
  <c r="L1012" i="1" s="1"/>
  <c r="J1056" i="1"/>
  <c r="I1056" i="1"/>
  <c r="K1056" i="1" s="1"/>
  <c r="L1056" i="1" s="1"/>
  <c r="J1100" i="1"/>
  <c r="I1100" i="1"/>
  <c r="K1100" i="1" s="1"/>
  <c r="L1100" i="1" s="1"/>
  <c r="J1144" i="1"/>
  <c r="I1144" i="1"/>
  <c r="K1144" i="1" s="1"/>
  <c r="L1144" i="1" s="1"/>
  <c r="J1188" i="1"/>
  <c r="I1188" i="1"/>
  <c r="K1188" i="1" s="1"/>
  <c r="L1188" i="1" s="1"/>
  <c r="J1232" i="1"/>
  <c r="I1232" i="1"/>
  <c r="K1232" i="1" s="1"/>
  <c r="L1232" i="1" s="1"/>
  <c r="J1276" i="1"/>
  <c r="I1276" i="1"/>
  <c r="K1276" i="1" s="1"/>
  <c r="L1276" i="1" s="1"/>
  <c r="J1320" i="1"/>
  <c r="I1320" i="1"/>
  <c r="K1320" i="1" s="1"/>
  <c r="L1320" i="1" s="1"/>
  <c r="J1364" i="1"/>
  <c r="I1364" i="1"/>
  <c r="K1364" i="1" s="1"/>
  <c r="L1364" i="1" s="1"/>
  <c r="J1408" i="1"/>
  <c r="I1408" i="1"/>
  <c r="K1408" i="1" s="1"/>
  <c r="L1408" i="1" s="1"/>
  <c r="J1452" i="1"/>
  <c r="I1452" i="1"/>
  <c r="K1452" i="1" s="1"/>
  <c r="L1452" i="1" s="1"/>
  <c r="J1496" i="1"/>
  <c r="I1496" i="1"/>
  <c r="K1496" i="1" s="1"/>
  <c r="L1496" i="1" s="1"/>
  <c r="J1540" i="1"/>
  <c r="I1540" i="1"/>
  <c r="K1540" i="1" s="1"/>
  <c r="L1540" i="1" s="1"/>
  <c r="J1584" i="1"/>
  <c r="I1584" i="1"/>
  <c r="K1584" i="1" s="1"/>
  <c r="L1584" i="1" s="1"/>
  <c r="J1628" i="1"/>
  <c r="I1628" i="1"/>
  <c r="K1628" i="1" s="1"/>
  <c r="L1628" i="1" s="1"/>
  <c r="J1672" i="1"/>
  <c r="I1672" i="1"/>
  <c r="K1672" i="1" s="1"/>
  <c r="L1672" i="1" s="1"/>
  <c r="J665" i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J646" i="1"/>
  <c r="I646" i="1"/>
  <c r="K646" i="1" s="1"/>
  <c r="L646" i="1" s="1"/>
  <c r="J645" i="1"/>
  <c r="I645" i="1"/>
  <c r="J644" i="1"/>
  <c r="I644" i="1"/>
  <c r="K644" i="1" s="1"/>
  <c r="L644" i="1" s="1"/>
  <c r="J643" i="1"/>
  <c r="I643" i="1"/>
  <c r="J642" i="1"/>
  <c r="I642" i="1"/>
  <c r="K642" i="1" s="1"/>
  <c r="L642" i="1" s="1"/>
  <c r="J641" i="1"/>
  <c r="I641" i="1"/>
  <c r="J640" i="1"/>
  <c r="I640" i="1"/>
  <c r="L637" i="1"/>
  <c r="J636" i="1"/>
  <c r="I636" i="1"/>
  <c r="J635" i="1"/>
  <c r="I635" i="1"/>
  <c r="J634" i="1"/>
  <c r="I634" i="1"/>
  <c r="L633" i="1"/>
  <c r="J632" i="1"/>
  <c r="I632" i="1"/>
  <c r="L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L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K614" i="1" s="1"/>
  <c r="L614" i="1" s="1"/>
  <c r="L613" i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L599" i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L592" i="1"/>
  <c r="L591" i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L586" i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L577" i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L568" i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J556" i="1"/>
  <c r="I556" i="1"/>
  <c r="J555" i="1"/>
  <c r="I555" i="1"/>
  <c r="L554" i="1"/>
  <c r="J553" i="1"/>
  <c r="I553" i="1"/>
  <c r="J552" i="1"/>
  <c r="I552" i="1"/>
  <c r="J551" i="1"/>
  <c r="I551" i="1"/>
  <c r="J550" i="1"/>
  <c r="I550" i="1"/>
  <c r="L547" i="1"/>
  <c r="L546" i="1"/>
  <c r="J545" i="1"/>
  <c r="I545" i="1"/>
  <c r="J544" i="1"/>
  <c r="I544" i="1"/>
  <c r="L543" i="1"/>
  <c r="J542" i="1"/>
  <c r="I542" i="1"/>
  <c r="L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L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L509" i="1"/>
  <c r="J508" i="1"/>
  <c r="I508" i="1"/>
  <c r="J507" i="1"/>
  <c r="I507" i="1"/>
  <c r="J506" i="1"/>
  <c r="I506" i="1"/>
  <c r="J505" i="1"/>
  <c r="I505" i="1"/>
  <c r="L502" i="1"/>
  <c r="J501" i="1"/>
  <c r="I501" i="1"/>
  <c r="J500" i="1"/>
  <c r="I500" i="1"/>
  <c r="J499" i="1"/>
  <c r="I499" i="1"/>
  <c r="L498" i="1"/>
  <c r="J497" i="1"/>
  <c r="I497" i="1"/>
  <c r="L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L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L468" i="1"/>
  <c r="J467" i="1"/>
  <c r="I467" i="1"/>
  <c r="J466" i="1"/>
  <c r="I466" i="1"/>
  <c r="J465" i="1"/>
  <c r="I465" i="1"/>
  <c r="J464" i="1"/>
  <c r="I464" i="1"/>
  <c r="J463" i="1"/>
  <c r="I463" i="1"/>
  <c r="K463" i="1" s="1"/>
  <c r="L463" i="1" s="1"/>
  <c r="J462" i="1"/>
  <c r="I462" i="1"/>
  <c r="L461" i="1"/>
  <c r="J460" i="1"/>
  <c r="I460" i="1"/>
  <c r="J459" i="1"/>
  <c r="I459" i="1"/>
  <c r="J458" i="1"/>
  <c r="I458" i="1"/>
  <c r="J457" i="1"/>
  <c r="I457" i="1"/>
  <c r="L455" i="1"/>
  <c r="J454" i="1"/>
  <c r="I454" i="1"/>
  <c r="L453" i="1"/>
  <c r="J452" i="1"/>
  <c r="I452" i="1"/>
  <c r="L451" i="1"/>
  <c r="J450" i="1"/>
  <c r="I450" i="1"/>
  <c r="J449" i="1"/>
  <c r="I449" i="1"/>
  <c r="J448" i="1"/>
  <c r="I448" i="1"/>
  <c r="J447" i="1"/>
  <c r="I447" i="1"/>
  <c r="K447" i="1" s="1"/>
  <c r="L447" i="1" s="1"/>
  <c r="J446" i="1"/>
  <c r="I446" i="1"/>
  <c r="L445" i="1"/>
  <c r="J444" i="1"/>
  <c r="I444" i="1"/>
  <c r="L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L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J414" i="1"/>
  <c r="I414" i="1"/>
  <c r="J413" i="1"/>
  <c r="I413" i="1"/>
  <c r="L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K394" i="1" s="1"/>
  <c r="L394" i="1" s="1"/>
  <c r="J393" i="1"/>
  <c r="I393" i="1"/>
  <c r="J392" i="1"/>
  <c r="I392" i="1"/>
  <c r="J391" i="1"/>
  <c r="I391" i="1"/>
  <c r="J390" i="1"/>
  <c r="I390" i="1"/>
  <c r="K390" i="1" s="1"/>
  <c r="L390" i="1" s="1"/>
  <c r="J389" i="1"/>
  <c r="I389" i="1"/>
  <c r="J388" i="1"/>
  <c r="I388" i="1"/>
  <c r="J387" i="1"/>
  <c r="I387" i="1"/>
  <c r="J386" i="1"/>
  <c r="I386" i="1"/>
  <c r="K386" i="1" s="1"/>
  <c r="L386" i="1" s="1"/>
  <c r="J385" i="1"/>
  <c r="I385" i="1"/>
  <c r="K385" i="1" s="1"/>
  <c r="L385" i="1" s="1"/>
  <c r="J384" i="1"/>
  <c r="I384" i="1"/>
  <c r="K384" i="1" s="1"/>
  <c r="L384" i="1" s="1"/>
  <c r="J383" i="1"/>
  <c r="I383" i="1"/>
  <c r="K383" i="1" s="1"/>
  <c r="L383" i="1" s="1"/>
  <c r="J382" i="1"/>
  <c r="I382" i="1"/>
  <c r="K382" i="1" s="1"/>
  <c r="L382" i="1" s="1"/>
  <c r="L381" i="1"/>
  <c r="J380" i="1"/>
  <c r="I380" i="1"/>
  <c r="K380" i="1" s="1"/>
  <c r="L380" i="1" s="1"/>
  <c r="J379" i="1"/>
  <c r="I379" i="1"/>
  <c r="K379" i="1" s="1"/>
  <c r="L379" i="1" s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K373" i="1" s="1"/>
  <c r="L373" i="1" s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K352" i="1" s="1"/>
  <c r="L352" i="1" s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L324" i="1"/>
  <c r="L323" i="1"/>
  <c r="J322" i="1"/>
  <c r="I322" i="1"/>
  <c r="K322" i="1" s="1"/>
  <c r="L322" i="1" s="1"/>
  <c r="J321" i="1"/>
  <c r="I321" i="1"/>
  <c r="K321" i="1" s="1"/>
  <c r="L321" i="1" s="1"/>
  <c r="J320" i="1"/>
  <c r="I320" i="1"/>
  <c r="J319" i="1"/>
  <c r="I319" i="1"/>
  <c r="K319" i="1" s="1"/>
  <c r="L319" i="1" s="1"/>
  <c r="J318" i="1"/>
  <c r="I318" i="1"/>
  <c r="J317" i="1"/>
  <c r="I317" i="1"/>
  <c r="K317" i="1" s="1"/>
  <c r="L317" i="1" s="1"/>
  <c r="J316" i="1"/>
  <c r="I316" i="1"/>
  <c r="J315" i="1"/>
  <c r="I315" i="1"/>
  <c r="K315" i="1" s="1"/>
  <c r="L315" i="1" s="1"/>
  <c r="J314" i="1"/>
  <c r="I314" i="1"/>
  <c r="J313" i="1"/>
  <c r="I313" i="1"/>
  <c r="K313" i="1" s="1"/>
  <c r="L313" i="1" s="1"/>
  <c r="L312" i="1"/>
  <c r="J311" i="1"/>
  <c r="I311" i="1"/>
  <c r="J310" i="1"/>
  <c r="I310" i="1"/>
  <c r="K310" i="1" s="1"/>
  <c r="L310" i="1" s="1"/>
  <c r="J309" i="1"/>
  <c r="I309" i="1"/>
  <c r="J308" i="1"/>
  <c r="I308" i="1"/>
  <c r="K308" i="1" s="1"/>
  <c r="L308" i="1" s="1"/>
  <c r="J307" i="1"/>
  <c r="I307" i="1"/>
  <c r="J306" i="1"/>
  <c r="I306" i="1"/>
  <c r="K306" i="1" s="1"/>
  <c r="L306" i="1" s="1"/>
  <c r="J305" i="1"/>
  <c r="I305" i="1"/>
  <c r="J304" i="1"/>
  <c r="I304" i="1"/>
  <c r="K304" i="1" s="1"/>
  <c r="L304" i="1" s="1"/>
  <c r="J303" i="1"/>
  <c r="I303" i="1"/>
  <c r="J302" i="1"/>
  <c r="I302" i="1"/>
  <c r="K302" i="1" s="1"/>
  <c r="L302" i="1" s="1"/>
  <c r="J301" i="1"/>
  <c r="I301" i="1"/>
  <c r="J300" i="1"/>
  <c r="I300" i="1"/>
  <c r="K300" i="1" s="1"/>
  <c r="L300" i="1" s="1"/>
  <c r="J299" i="1"/>
  <c r="I299" i="1"/>
  <c r="J298" i="1"/>
  <c r="I298" i="1"/>
  <c r="K298" i="1" s="1"/>
  <c r="L298" i="1" s="1"/>
  <c r="J297" i="1"/>
  <c r="I297" i="1"/>
  <c r="J296" i="1"/>
  <c r="I296" i="1"/>
  <c r="K296" i="1" s="1"/>
  <c r="L296" i="1" s="1"/>
  <c r="J295" i="1"/>
  <c r="I295" i="1"/>
  <c r="L294" i="1"/>
  <c r="J293" i="1"/>
  <c r="I293" i="1"/>
  <c r="K293" i="1" s="1"/>
  <c r="L293" i="1" s="1"/>
  <c r="J292" i="1"/>
  <c r="I292" i="1"/>
  <c r="J291" i="1"/>
  <c r="I291" i="1"/>
  <c r="K291" i="1" s="1"/>
  <c r="L291" i="1" s="1"/>
  <c r="J290" i="1"/>
  <c r="I290" i="1"/>
  <c r="J289" i="1"/>
  <c r="I289" i="1"/>
  <c r="K289" i="1" s="1"/>
  <c r="L289" i="1" s="1"/>
  <c r="J288" i="1"/>
  <c r="I288" i="1"/>
  <c r="L287" i="1"/>
  <c r="J286" i="1"/>
  <c r="I286" i="1"/>
  <c r="K286" i="1" s="1"/>
  <c r="L286" i="1" s="1"/>
  <c r="J285" i="1"/>
  <c r="I285" i="1"/>
  <c r="J284" i="1"/>
  <c r="I284" i="1"/>
  <c r="K284" i="1" s="1"/>
  <c r="L284" i="1" s="1"/>
  <c r="J283" i="1"/>
  <c r="I283" i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8" i="1"/>
  <c r="L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L159" i="1"/>
  <c r="J158" i="1"/>
  <c r="I158" i="1"/>
  <c r="J157" i="1"/>
  <c r="I157" i="1"/>
  <c r="J156" i="1"/>
  <c r="I156" i="1"/>
  <c r="J155" i="1"/>
  <c r="I155" i="1"/>
  <c r="L153" i="1"/>
  <c r="L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L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L126" i="1"/>
  <c r="J125" i="1"/>
  <c r="I125" i="1"/>
  <c r="J124" i="1"/>
  <c r="I124" i="1"/>
  <c r="J123" i="1"/>
  <c r="I123" i="1"/>
  <c r="L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L115" i="1"/>
  <c r="J114" i="1"/>
  <c r="I114" i="1"/>
  <c r="J113" i="1"/>
  <c r="I113" i="1"/>
  <c r="J112" i="1"/>
  <c r="I112" i="1"/>
  <c r="J111" i="1"/>
  <c r="I111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3008" i="1" l="1"/>
  <c r="L3008" i="1" s="1"/>
  <c r="K3006" i="1"/>
  <c r="L3006" i="1" s="1"/>
  <c r="K3004" i="1"/>
  <c r="L3004" i="1" s="1"/>
  <c r="K3002" i="1"/>
  <c r="L3002" i="1" s="1"/>
  <c r="K3000" i="1"/>
  <c r="L3000" i="1" s="1"/>
  <c r="K2998" i="1"/>
  <c r="L2998" i="1" s="1"/>
  <c r="K2996" i="1"/>
  <c r="L2996" i="1" s="1"/>
  <c r="K2994" i="1"/>
  <c r="L2994" i="1" s="1"/>
  <c r="K2992" i="1"/>
  <c r="L2992" i="1" s="1"/>
  <c r="K2990" i="1"/>
  <c r="L2990" i="1" s="1"/>
  <c r="K2988" i="1"/>
  <c r="L2988" i="1" s="1"/>
  <c r="K2986" i="1"/>
  <c r="L2986" i="1" s="1"/>
  <c r="K2984" i="1"/>
  <c r="L2984" i="1" s="1"/>
  <c r="K2982" i="1"/>
  <c r="L2982" i="1" s="1"/>
  <c r="K2980" i="1"/>
  <c r="L2980" i="1" s="1"/>
  <c r="K2978" i="1"/>
  <c r="L2978" i="1" s="1"/>
  <c r="K2976" i="1"/>
  <c r="L2976" i="1" s="1"/>
  <c r="K2974" i="1"/>
  <c r="L2974" i="1" s="1"/>
  <c r="K2972" i="1"/>
  <c r="L2972" i="1" s="1"/>
  <c r="K2970" i="1"/>
  <c r="L2970" i="1" s="1"/>
  <c r="K2968" i="1"/>
  <c r="L2968" i="1" s="1"/>
  <c r="K2966" i="1"/>
  <c r="L2966" i="1" s="1"/>
  <c r="K2964" i="1"/>
  <c r="L2964" i="1" s="1"/>
  <c r="K2962" i="1"/>
  <c r="L2962" i="1" s="1"/>
  <c r="K2960" i="1"/>
  <c r="L2960" i="1" s="1"/>
  <c r="K2958" i="1"/>
  <c r="L2958" i="1" s="1"/>
  <c r="K2956" i="1"/>
  <c r="L2956" i="1" s="1"/>
  <c r="K2954" i="1"/>
  <c r="L2954" i="1" s="1"/>
  <c r="K2952" i="1"/>
  <c r="L2952" i="1" s="1"/>
  <c r="K2950" i="1"/>
  <c r="L2950" i="1" s="1"/>
  <c r="K2948" i="1"/>
  <c r="L2948" i="1" s="1"/>
  <c r="K2946" i="1"/>
  <c r="L2946" i="1" s="1"/>
  <c r="K2944" i="1"/>
  <c r="L2944" i="1" s="1"/>
  <c r="K2942" i="1"/>
  <c r="L2942" i="1" s="1"/>
  <c r="K2940" i="1"/>
  <c r="L2940" i="1" s="1"/>
  <c r="K2938" i="1"/>
  <c r="L2938" i="1" s="1"/>
  <c r="K2936" i="1"/>
  <c r="L2936" i="1" s="1"/>
  <c r="K2934" i="1"/>
  <c r="L2934" i="1" s="1"/>
  <c r="K2932" i="1"/>
  <c r="L2932" i="1" s="1"/>
  <c r="K2930" i="1"/>
  <c r="L2930" i="1" s="1"/>
  <c r="K2928" i="1"/>
  <c r="L2928" i="1" s="1"/>
  <c r="K2926" i="1"/>
  <c r="L2926" i="1" s="1"/>
  <c r="K2924" i="1"/>
  <c r="L2924" i="1" s="1"/>
  <c r="K2922" i="1"/>
  <c r="L2922" i="1" s="1"/>
  <c r="K2920" i="1"/>
  <c r="L2920" i="1" s="1"/>
  <c r="K2918" i="1"/>
  <c r="L2918" i="1" s="1"/>
  <c r="K2916" i="1"/>
  <c r="L2916" i="1" s="1"/>
  <c r="K2914" i="1"/>
  <c r="L2914" i="1" s="1"/>
  <c r="K2912" i="1"/>
  <c r="L2912" i="1" s="1"/>
  <c r="K2910" i="1"/>
  <c r="L2910" i="1" s="1"/>
  <c r="K2908" i="1"/>
  <c r="L2908" i="1" s="1"/>
  <c r="K2906" i="1"/>
  <c r="L2906" i="1" s="1"/>
  <c r="K2904" i="1"/>
  <c r="L2904" i="1" s="1"/>
  <c r="K2902" i="1"/>
  <c r="L2902" i="1" s="1"/>
  <c r="K2900" i="1"/>
  <c r="L2900" i="1" s="1"/>
  <c r="K2898" i="1"/>
  <c r="L2898" i="1" s="1"/>
  <c r="K2896" i="1"/>
  <c r="L2896" i="1" s="1"/>
  <c r="K2894" i="1"/>
  <c r="L2894" i="1" s="1"/>
  <c r="K2892" i="1"/>
  <c r="L2892" i="1" s="1"/>
  <c r="K2890" i="1"/>
  <c r="L2890" i="1" s="1"/>
  <c r="K2888" i="1"/>
  <c r="L2888" i="1" s="1"/>
  <c r="K2886" i="1"/>
  <c r="L2886" i="1" s="1"/>
  <c r="K2884" i="1"/>
  <c r="L2884" i="1" s="1"/>
  <c r="K2882" i="1"/>
  <c r="L2882" i="1" s="1"/>
  <c r="K2880" i="1"/>
  <c r="L2880" i="1" s="1"/>
  <c r="K2869" i="1"/>
  <c r="L2869" i="1" s="1"/>
  <c r="K2867" i="1"/>
  <c r="L2867" i="1" s="1"/>
  <c r="K2865" i="1"/>
  <c r="L2865" i="1" s="1"/>
  <c r="K2863" i="1"/>
  <c r="L2863" i="1" s="1"/>
  <c r="K2861" i="1"/>
  <c r="L2861" i="1" s="1"/>
  <c r="K2859" i="1"/>
  <c r="L2859" i="1" s="1"/>
  <c r="K2857" i="1"/>
  <c r="L2857" i="1" s="1"/>
  <c r="K2855" i="1"/>
  <c r="L2855" i="1" s="1"/>
  <c r="K2853" i="1"/>
  <c r="L2853" i="1" s="1"/>
  <c r="K2851" i="1"/>
  <c r="L2851" i="1" s="1"/>
  <c r="K2849" i="1"/>
  <c r="L2849" i="1" s="1"/>
  <c r="K2847" i="1"/>
  <c r="L2847" i="1" s="1"/>
  <c r="K2845" i="1"/>
  <c r="L2845" i="1" s="1"/>
  <c r="K2843" i="1"/>
  <c r="L2843" i="1" s="1"/>
  <c r="K2841" i="1"/>
  <c r="L2841" i="1" s="1"/>
  <c r="K2839" i="1"/>
  <c r="L2839" i="1" s="1"/>
  <c r="K2837" i="1"/>
  <c r="L2837" i="1" s="1"/>
  <c r="K2835" i="1"/>
  <c r="L2835" i="1" s="1"/>
  <c r="K4187" i="1"/>
  <c r="L4187" i="1" s="1"/>
  <c r="K4134" i="1"/>
  <c r="L4134" i="1" s="1"/>
  <c r="K4102" i="1"/>
  <c r="L4102" i="1" s="1"/>
  <c r="K4100" i="1"/>
  <c r="L4100" i="1" s="1"/>
  <c r="K4096" i="1"/>
  <c r="L4096" i="1" s="1"/>
  <c r="K4093" i="1"/>
  <c r="L4093" i="1" s="1"/>
  <c r="K4090" i="1"/>
  <c r="L4090" i="1" s="1"/>
  <c r="K4087" i="1"/>
  <c r="L4087" i="1" s="1"/>
  <c r="K4083" i="1"/>
  <c r="L4083" i="1" s="1"/>
  <c r="K3007" i="1"/>
  <c r="L3007" i="1" s="1"/>
  <c r="K3005" i="1"/>
  <c r="L3005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1" i="1"/>
  <c r="L2991" i="1" s="1"/>
  <c r="K2989" i="1"/>
  <c r="L2989" i="1" s="1"/>
  <c r="K2987" i="1"/>
  <c r="L2987" i="1" s="1"/>
  <c r="K2985" i="1"/>
  <c r="L2985" i="1" s="1"/>
  <c r="K2983" i="1"/>
  <c r="L2983" i="1" s="1"/>
  <c r="K2981" i="1"/>
  <c r="L2981" i="1" s="1"/>
  <c r="K2979" i="1"/>
  <c r="L2979" i="1" s="1"/>
  <c r="K2977" i="1"/>
  <c r="L2977" i="1" s="1"/>
  <c r="K2975" i="1"/>
  <c r="L2975" i="1" s="1"/>
  <c r="K2973" i="1"/>
  <c r="L2973" i="1" s="1"/>
  <c r="K2971" i="1"/>
  <c r="L2971" i="1" s="1"/>
  <c r="K2969" i="1"/>
  <c r="L2969" i="1" s="1"/>
  <c r="K2967" i="1"/>
  <c r="L2967" i="1" s="1"/>
  <c r="K2965" i="1"/>
  <c r="L2965" i="1" s="1"/>
  <c r="K2963" i="1"/>
  <c r="L2963" i="1" s="1"/>
  <c r="K2961" i="1"/>
  <c r="L2961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7" i="1"/>
  <c r="L2947" i="1" s="1"/>
  <c r="K2945" i="1"/>
  <c r="L2945" i="1" s="1"/>
  <c r="K2943" i="1"/>
  <c r="L2943" i="1" s="1"/>
  <c r="K2941" i="1"/>
  <c r="L2941" i="1" s="1"/>
  <c r="K2939" i="1"/>
  <c r="L2939" i="1" s="1"/>
  <c r="K2937" i="1"/>
  <c r="L2937" i="1" s="1"/>
  <c r="K2935" i="1"/>
  <c r="L2935" i="1" s="1"/>
  <c r="K2933" i="1"/>
  <c r="L2933" i="1" s="1"/>
  <c r="K2931" i="1"/>
  <c r="L2931" i="1" s="1"/>
  <c r="K2929" i="1"/>
  <c r="L2929" i="1" s="1"/>
  <c r="K2927" i="1"/>
  <c r="L2927" i="1" s="1"/>
  <c r="K2925" i="1"/>
  <c r="L2925" i="1" s="1"/>
  <c r="K2923" i="1"/>
  <c r="L2923" i="1" s="1"/>
  <c r="K2921" i="1"/>
  <c r="L2921" i="1" s="1"/>
  <c r="K2919" i="1"/>
  <c r="L2919" i="1" s="1"/>
  <c r="K2917" i="1"/>
  <c r="L2917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3" i="1"/>
  <c r="L2903" i="1" s="1"/>
  <c r="K2901" i="1"/>
  <c r="L2901" i="1" s="1"/>
  <c r="K2899" i="1"/>
  <c r="L2899" i="1" s="1"/>
  <c r="K2897" i="1"/>
  <c r="L2897" i="1" s="1"/>
  <c r="K2895" i="1"/>
  <c r="L2895" i="1" s="1"/>
  <c r="K2893" i="1"/>
  <c r="L2893" i="1" s="1"/>
  <c r="K2891" i="1"/>
  <c r="L2891" i="1" s="1"/>
  <c r="K2889" i="1"/>
  <c r="L2889" i="1" s="1"/>
  <c r="K2887" i="1"/>
  <c r="L2887" i="1" s="1"/>
  <c r="K2885" i="1"/>
  <c r="L2885" i="1" s="1"/>
  <c r="K2883" i="1"/>
  <c r="L2883" i="1" s="1"/>
  <c r="K2881" i="1"/>
  <c r="L2881" i="1" s="1"/>
  <c r="K2879" i="1"/>
  <c r="L2879" i="1" s="1"/>
  <c r="K2877" i="1"/>
  <c r="L2877" i="1" s="1"/>
  <c r="K2875" i="1"/>
  <c r="L2875" i="1" s="1"/>
  <c r="K2873" i="1"/>
  <c r="L2873" i="1" s="1"/>
  <c r="K2871" i="1"/>
  <c r="L2871" i="1" s="1"/>
  <c r="K2868" i="1"/>
  <c r="L2868" i="1" s="1"/>
  <c r="K2866" i="1"/>
  <c r="L2866" i="1" s="1"/>
  <c r="K2864" i="1"/>
  <c r="L2864" i="1" s="1"/>
  <c r="K2862" i="1"/>
  <c r="L2862" i="1" s="1"/>
  <c r="K2860" i="1"/>
  <c r="L2860" i="1" s="1"/>
  <c r="K2858" i="1"/>
  <c r="L2858" i="1" s="1"/>
  <c r="K2856" i="1"/>
  <c r="L2856" i="1" s="1"/>
  <c r="K2854" i="1"/>
  <c r="L2854" i="1" s="1"/>
  <c r="K2852" i="1"/>
  <c r="L2852" i="1" s="1"/>
  <c r="K2850" i="1"/>
  <c r="L2850" i="1" s="1"/>
  <c r="K2848" i="1"/>
  <c r="L2848" i="1" s="1"/>
  <c r="K2846" i="1"/>
  <c r="L2846" i="1" s="1"/>
  <c r="K2844" i="1"/>
  <c r="L2844" i="1" s="1"/>
  <c r="K2842" i="1"/>
  <c r="L2842" i="1" s="1"/>
  <c r="K2840" i="1"/>
  <c r="L2840" i="1" s="1"/>
  <c r="K2838" i="1"/>
  <c r="L2838" i="1" s="1"/>
  <c r="K2836" i="1"/>
  <c r="L2836" i="1" s="1"/>
  <c r="K2834" i="1"/>
  <c r="L2834" i="1" s="1"/>
  <c r="K4104" i="1"/>
  <c r="L4104" i="1" s="1"/>
  <c r="K4101" i="1"/>
  <c r="L4101" i="1" s="1"/>
  <c r="K4098" i="1"/>
  <c r="L4098" i="1" s="1"/>
  <c r="K4095" i="1"/>
  <c r="L4095" i="1" s="1"/>
  <c r="K4092" i="1"/>
  <c r="L4092" i="1" s="1"/>
  <c r="K4089" i="1"/>
  <c r="L4089" i="1" s="1"/>
  <c r="K4086" i="1"/>
  <c r="L4086" i="1" s="1"/>
  <c r="K4084" i="1"/>
  <c r="L4084" i="1" s="1"/>
  <c r="K260" i="1"/>
  <c r="L260" i="1" s="1"/>
  <c r="K256" i="1"/>
  <c r="L256" i="1" s="1"/>
  <c r="K4181" i="1"/>
  <c r="L4181" i="1" s="1"/>
  <c r="K4178" i="1"/>
  <c r="L4178" i="1" s="1"/>
  <c r="K4175" i="1"/>
  <c r="L4175" i="1" s="1"/>
  <c r="K4172" i="1"/>
  <c r="L4172" i="1" s="1"/>
  <c r="K4169" i="1"/>
  <c r="L4169" i="1" s="1"/>
  <c r="K4166" i="1"/>
  <c r="L4166" i="1" s="1"/>
  <c r="K4163" i="1"/>
  <c r="L4163" i="1" s="1"/>
  <c r="K4160" i="1"/>
  <c r="L4160" i="1" s="1"/>
  <c r="K4157" i="1"/>
  <c r="L4157" i="1" s="1"/>
  <c r="K4154" i="1"/>
  <c r="L4154" i="1" s="1"/>
  <c r="K4151" i="1"/>
  <c r="L4151" i="1" s="1"/>
  <c r="K4148" i="1"/>
  <c r="L4148" i="1" s="1"/>
  <c r="K4145" i="1"/>
  <c r="L4145" i="1" s="1"/>
  <c r="K4142" i="1"/>
  <c r="L4142" i="1" s="1"/>
  <c r="K4139" i="1"/>
  <c r="L4139" i="1" s="1"/>
  <c r="K4103" i="1"/>
  <c r="L4103" i="1" s="1"/>
  <c r="K4099" i="1"/>
  <c r="L4099" i="1" s="1"/>
  <c r="K4097" i="1"/>
  <c r="L4097" i="1" s="1"/>
  <c r="K4094" i="1"/>
  <c r="L4094" i="1" s="1"/>
  <c r="K4091" i="1"/>
  <c r="L4091" i="1" s="1"/>
  <c r="K4088" i="1"/>
  <c r="L4088" i="1" s="1"/>
  <c r="K4085" i="1"/>
  <c r="L4085" i="1" s="1"/>
  <c r="K262" i="1"/>
  <c r="L262" i="1" s="1"/>
  <c r="K258" i="1"/>
  <c r="L258" i="1" s="1"/>
  <c r="K253" i="1"/>
  <c r="L253" i="1" s="1"/>
  <c r="K645" i="1"/>
  <c r="L645" i="1" s="1"/>
  <c r="K641" i="1"/>
  <c r="L641" i="1" s="1"/>
  <c r="K636" i="1"/>
  <c r="L636" i="1" s="1"/>
  <c r="K634" i="1"/>
  <c r="L634" i="1" s="1"/>
  <c r="K630" i="1"/>
  <c r="L630" i="1" s="1"/>
  <c r="K628" i="1"/>
  <c r="L628" i="1" s="1"/>
  <c r="K626" i="1"/>
  <c r="L626" i="1" s="1"/>
  <c r="K624" i="1"/>
  <c r="L624" i="1" s="1"/>
  <c r="K621" i="1"/>
  <c r="L621" i="1" s="1"/>
  <c r="K619" i="1"/>
  <c r="L619" i="1" s="1"/>
  <c r="K615" i="1"/>
  <c r="L615" i="1" s="1"/>
  <c r="K207" i="1"/>
  <c r="L207" i="1" s="1"/>
  <c r="K157" i="1"/>
  <c r="L157" i="1" s="1"/>
  <c r="K148" i="1"/>
  <c r="L148" i="1" s="1"/>
  <c r="K647" i="1"/>
  <c r="L647" i="1" s="1"/>
  <c r="K643" i="1"/>
  <c r="L643" i="1" s="1"/>
  <c r="K640" i="1"/>
  <c r="L640" i="1" s="1"/>
  <c r="K635" i="1"/>
  <c r="L635" i="1" s="1"/>
  <c r="K632" i="1"/>
  <c r="L632" i="1" s="1"/>
  <c r="K629" i="1"/>
  <c r="L629" i="1" s="1"/>
  <c r="K627" i="1"/>
  <c r="L627" i="1" s="1"/>
  <c r="K625" i="1"/>
  <c r="L625" i="1" s="1"/>
  <c r="K623" i="1"/>
  <c r="L623" i="1" s="1"/>
  <c r="K620" i="1"/>
  <c r="L620" i="1" s="1"/>
  <c r="K618" i="1"/>
  <c r="L618" i="1" s="1"/>
  <c r="K616" i="1"/>
  <c r="L616" i="1" s="1"/>
  <c r="K205" i="1"/>
  <c r="L205" i="1" s="1"/>
  <c r="K162" i="1"/>
  <c r="L162" i="1" s="1"/>
  <c r="K155" i="1"/>
  <c r="L155" i="1" s="1"/>
  <c r="K140" i="1"/>
  <c r="L140" i="1" s="1"/>
  <c r="K160" i="1"/>
  <c r="L160" i="1" s="1"/>
  <c r="K4105" i="1"/>
  <c r="L4105" i="1" s="1"/>
  <c r="K4250" i="1"/>
  <c r="L4250" i="1" s="1"/>
  <c r="K4247" i="1"/>
  <c r="L4247" i="1" s="1"/>
  <c r="K4244" i="1"/>
  <c r="L4244" i="1" s="1"/>
  <c r="K4243" i="1"/>
  <c r="L4243" i="1" s="1"/>
  <c r="K4241" i="1"/>
  <c r="L4241" i="1" s="1"/>
  <c r="K4240" i="1"/>
  <c r="L4240" i="1" s="1"/>
  <c r="K4235" i="1"/>
  <c r="L4235" i="1" s="1"/>
  <c r="K4234" i="1"/>
  <c r="L4234" i="1" s="1"/>
  <c r="K4220" i="1"/>
  <c r="L4220" i="1" s="1"/>
  <c r="K4219" i="1"/>
  <c r="L4219" i="1" s="1"/>
  <c r="K4217" i="1"/>
  <c r="L4217" i="1" s="1"/>
  <c r="K4216" i="1"/>
  <c r="L4216" i="1" s="1"/>
  <c r="K4184" i="1"/>
  <c r="L4184" i="1" s="1"/>
  <c r="K4183" i="1"/>
  <c r="L4183" i="1" s="1"/>
  <c r="K4179" i="1"/>
  <c r="L4179" i="1" s="1"/>
  <c r="K4176" i="1"/>
  <c r="L4176" i="1" s="1"/>
  <c r="K4173" i="1"/>
  <c r="L4173" i="1" s="1"/>
  <c r="K4170" i="1"/>
  <c r="L4170" i="1" s="1"/>
  <c r="K4167" i="1"/>
  <c r="L4167" i="1" s="1"/>
  <c r="K4165" i="1"/>
  <c r="L4165" i="1" s="1"/>
  <c r="K4161" i="1"/>
  <c r="L4161" i="1" s="1"/>
  <c r="K4158" i="1"/>
  <c r="L4158" i="1" s="1"/>
  <c r="K4155" i="1"/>
  <c r="L4155" i="1" s="1"/>
  <c r="K4153" i="1"/>
  <c r="L4153" i="1" s="1"/>
  <c r="K4147" i="1"/>
  <c r="L4147" i="1" s="1"/>
  <c r="K4144" i="1"/>
  <c r="L4144" i="1" s="1"/>
  <c r="K4141" i="1"/>
  <c r="L4141" i="1" s="1"/>
  <c r="K4138" i="1"/>
  <c r="L4138" i="1" s="1"/>
  <c r="K4132" i="1"/>
  <c r="L4132" i="1" s="1"/>
  <c r="K4130" i="1"/>
  <c r="L4130" i="1" s="1"/>
  <c r="K4128" i="1"/>
  <c r="L4128" i="1" s="1"/>
  <c r="K4126" i="1"/>
  <c r="L4126" i="1" s="1"/>
  <c r="K4124" i="1"/>
  <c r="L4124" i="1" s="1"/>
  <c r="K4121" i="1"/>
  <c r="L4121" i="1" s="1"/>
  <c r="K4118" i="1"/>
  <c r="L4118" i="1" s="1"/>
  <c r="K4115" i="1"/>
  <c r="L4115" i="1" s="1"/>
  <c r="K4112" i="1"/>
  <c r="L4112" i="1" s="1"/>
  <c r="K4109" i="1"/>
  <c r="L4109" i="1" s="1"/>
  <c r="K4106" i="1"/>
  <c r="L4106" i="1" s="1"/>
  <c r="K168" i="1"/>
  <c r="L168" i="1" s="1"/>
  <c r="K165" i="1"/>
  <c r="L165" i="1" s="1"/>
  <c r="K163" i="1"/>
  <c r="L163" i="1" s="1"/>
  <c r="K161" i="1"/>
  <c r="L161" i="1" s="1"/>
  <c r="K158" i="1"/>
  <c r="L158" i="1" s="1"/>
  <c r="K151" i="1"/>
  <c r="L151" i="1" s="1"/>
  <c r="K149" i="1"/>
  <c r="L149" i="1" s="1"/>
  <c r="K147" i="1"/>
  <c r="L147" i="1" s="1"/>
  <c r="K145" i="1"/>
  <c r="L145" i="1" s="1"/>
  <c r="K143" i="1"/>
  <c r="L143" i="1" s="1"/>
  <c r="K141" i="1"/>
  <c r="L141" i="1" s="1"/>
  <c r="K138" i="1"/>
  <c r="L138" i="1" s="1"/>
  <c r="K136" i="1"/>
  <c r="L136" i="1" s="1"/>
  <c r="K133" i="1"/>
  <c r="L133" i="1" s="1"/>
  <c r="K131" i="1"/>
  <c r="L131" i="1" s="1"/>
  <c r="K129" i="1"/>
  <c r="L129" i="1" s="1"/>
  <c r="K127" i="1"/>
  <c r="L127" i="1" s="1"/>
  <c r="K124" i="1"/>
  <c r="L124" i="1" s="1"/>
  <c r="K121" i="1"/>
  <c r="L121" i="1" s="1"/>
  <c r="K119" i="1"/>
  <c r="L119" i="1" s="1"/>
  <c r="K4252" i="1"/>
  <c r="L4252" i="1" s="1"/>
  <c r="K4249" i="1"/>
  <c r="L4249" i="1" s="1"/>
  <c r="K4246" i="1"/>
  <c r="L4246" i="1" s="1"/>
  <c r="K4238" i="1"/>
  <c r="L4238" i="1" s="1"/>
  <c r="K4237" i="1"/>
  <c r="L4237" i="1" s="1"/>
  <c r="K4232" i="1"/>
  <c r="L4232" i="1" s="1"/>
  <c r="K4231" i="1"/>
  <c r="L4231" i="1" s="1"/>
  <c r="K4229" i="1"/>
  <c r="L4229" i="1" s="1"/>
  <c r="K4228" i="1"/>
  <c r="L4228" i="1" s="1"/>
  <c r="K4226" i="1"/>
  <c r="L4226" i="1" s="1"/>
  <c r="K4225" i="1"/>
  <c r="L4225" i="1" s="1"/>
  <c r="K4223" i="1"/>
  <c r="L4223" i="1" s="1"/>
  <c r="K4222" i="1"/>
  <c r="L4222" i="1" s="1"/>
  <c r="K4214" i="1"/>
  <c r="L4214" i="1" s="1"/>
  <c r="K4213" i="1"/>
  <c r="L4213" i="1" s="1"/>
  <c r="K4211" i="1"/>
  <c r="L4211" i="1" s="1"/>
  <c r="K4210" i="1"/>
  <c r="L4210" i="1" s="1"/>
  <c r="K4208" i="1"/>
  <c r="L4208" i="1" s="1"/>
  <c r="K4207" i="1"/>
  <c r="L4207" i="1" s="1"/>
  <c r="K4205" i="1"/>
  <c r="L4205" i="1" s="1"/>
  <c r="K4204" i="1"/>
  <c r="L4204" i="1" s="1"/>
  <c r="K4202" i="1"/>
  <c r="L4202" i="1" s="1"/>
  <c r="K4201" i="1"/>
  <c r="L4201" i="1" s="1"/>
  <c r="K4199" i="1"/>
  <c r="L4199" i="1" s="1"/>
  <c r="K4198" i="1"/>
  <c r="L4198" i="1" s="1"/>
  <c r="K4196" i="1"/>
  <c r="L4196" i="1" s="1"/>
  <c r="K4195" i="1"/>
  <c r="L4195" i="1" s="1"/>
  <c r="K4193" i="1"/>
  <c r="L4193" i="1" s="1"/>
  <c r="K4192" i="1"/>
  <c r="L4192" i="1" s="1"/>
  <c r="K4190" i="1"/>
  <c r="L4190" i="1" s="1"/>
  <c r="K4189" i="1"/>
  <c r="L4189" i="1" s="1"/>
  <c r="K4186" i="1"/>
  <c r="L4186" i="1" s="1"/>
  <c r="K4180" i="1"/>
  <c r="L4180" i="1" s="1"/>
  <c r="K4156" i="1"/>
  <c r="L4156" i="1" s="1"/>
  <c r="K4152" i="1"/>
  <c r="L4152" i="1" s="1"/>
  <c r="K4149" i="1"/>
  <c r="L4149" i="1" s="1"/>
  <c r="K4146" i="1"/>
  <c r="L4146" i="1" s="1"/>
  <c r="K4143" i="1"/>
  <c r="L4143" i="1" s="1"/>
  <c r="K4140" i="1"/>
  <c r="L4140" i="1" s="1"/>
  <c r="K4137" i="1"/>
  <c r="L4137" i="1" s="1"/>
  <c r="K4131" i="1"/>
  <c r="L4131" i="1" s="1"/>
  <c r="K4127" i="1"/>
  <c r="L4127" i="1" s="1"/>
  <c r="K4125" i="1"/>
  <c r="L4125" i="1" s="1"/>
  <c r="K4123" i="1"/>
  <c r="L4123" i="1" s="1"/>
  <c r="K4120" i="1"/>
  <c r="L4120" i="1" s="1"/>
  <c r="K4117" i="1"/>
  <c r="L4117" i="1" s="1"/>
  <c r="K4114" i="1"/>
  <c r="L4114" i="1" s="1"/>
  <c r="K4111" i="1"/>
  <c r="L4111" i="1" s="1"/>
  <c r="K4108" i="1"/>
  <c r="L4108" i="1" s="1"/>
  <c r="K617" i="1"/>
  <c r="L617" i="1" s="1"/>
  <c r="K169" i="1"/>
  <c r="L169" i="1" s="1"/>
  <c r="K164" i="1"/>
  <c r="L164" i="1" s="1"/>
  <c r="K156" i="1"/>
  <c r="L156" i="1" s="1"/>
  <c r="K150" i="1"/>
  <c r="L150" i="1" s="1"/>
  <c r="K146" i="1"/>
  <c r="L146" i="1" s="1"/>
  <c r="K144" i="1"/>
  <c r="L144" i="1" s="1"/>
  <c r="K142" i="1"/>
  <c r="L142" i="1" s="1"/>
  <c r="K139" i="1"/>
  <c r="L139" i="1" s="1"/>
  <c r="K137" i="1"/>
  <c r="L137" i="1" s="1"/>
  <c r="K134" i="1"/>
  <c r="L134" i="1" s="1"/>
  <c r="K132" i="1"/>
  <c r="L132" i="1" s="1"/>
  <c r="K130" i="1"/>
  <c r="L130" i="1" s="1"/>
  <c r="K128" i="1"/>
  <c r="L128" i="1" s="1"/>
  <c r="K125" i="1"/>
  <c r="L125" i="1" s="1"/>
  <c r="K123" i="1"/>
  <c r="L123" i="1" s="1"/>
  <c r="K120" i="1"/>
  <c r="L120" i="1" s="1"/>
  <c r="K118" i="1"/>
  <c r="L118" i="1" s="1"/>
  <c r="K4251" i="1"/>
  <c r="L4251" i="1" s="1"/>
  <c r="K4248" i="1"/>
  <c r="L4248" i="1" s="1"/>
  <c r="K4245" i="1"/>
  <c r="L4245" i="1" s="1"/>
  <c r="K4242" i="1"/>
  <c r="L4242" i="1" s="1"/>
  <c r="K4239" i="1"/>
  <c r="L4239" i="1" s="1"/>
  <c r="K4236" i="1"/>
  <c r="L4236" i="1" s="1"/>
  <c r="K4233" i="1"/>
  <c r="L4233" i="1" s="1"/>
  <c r="K4230" i="1"/>
  <c r="L4230" i="1" s="1"/>
  <c r="K4227" i="1"/>
  <c r="L4227" i="1" s="1"/>
  <c r="K4224" i="1"/>
  <c r="L4224" i="1" s="1"/>
  <c r="K4221" i="1"/>
  <c r="L4221" i="1" s="1"/>
  <c r="K4218" i="1"/>
  <c r="L4218" i="1" s="1"/>
  <c r="K4215" i="1"/>
  <c r="L4215" i="1" s="1"/>
  <c r="K4212" i="1"/>
  <c r="L4212" i="1" s="1"/>
  <c r="K4209" i="1"/>
  <c r="L4209" i="1" s="1"/>
  <c r="K4206" i="1"/>
  <c r="L4206" i="1" s="1"/>
  <c r="K4203" i="1"/>
  <c r="L4203" i="1" s="1"/>
  <c r="K4200" i="1"/>
  <c r="L4200" i="1" s="1"/>
  <c r="K4197" i="1"/>
  <c r="L4197" i="1" s="1"/>
  <c r="K4194" i="1"/>
  <c r="L4194" i="1" s="1"/>
  <c r="K4191" i="1"/>
  <c r="L4191" i="1" s="1"/>
  <c r="K4188" i="1"/>
  <c r="L4188" i="1" s="1"/>
  <c r="K4185" i="1"/>
  <c r="L4185" i="1" s="1"/>
  <c r="K4182" i="1"/>
  <c r="L4182" i="1" s="1"/>
  <c r="K4177" i="1"/>
  <c r="L4177" i="1" s="1"/>
  <c r="K4174" i="1"/>
  <c r="L4174" i="1" s="1"/>
  <c r="K4171" i="1"/>
  <c r="L4171" i="1" s="1"/>
  <c r="K4168" i="1"/>
  <c r="L4168" i="1" s="1"/>
  <c r="K4164" i="1"/>
  <c r="L4164" i="1" s="1"/>
  <c r="K4162" i="1"/>
  <c r="L4162" i="1" s="1"/>
  <c r="K4159" i="1"/>
  <c r="L4159" i="1" s="1"/>
  <c r="K4150" i="1"/>
  <c r="L4150" i="1" s="1"/>
  <c r="K4136" i="1"/>
  <c r="L4136" i="1" s="1"/>
  <c r="K4135" i="1"/>
  <c r="L4135" i="1" s="1"/>
  <c r="K4133" i="1"/>
  <c r="L4133" i="1" s="1"/>
  <c r="K4129" i="1"/>
  <c r="L4129" i="1" s="1"/>
  <c r="K4122" i="1"/>
  <c r="L4122" i="1" s="1"/>
  <c r="K4119" i="1"/>
  <c r="L4119" i="1" s="1"/>
  <c r="K4116" i="1"/>
  <c r="L4116" i="1" s="1"/>
  <c r="K4113" i="1"/>
  <c r="L4113" i="1" s="1"/>
  <c r="K4110" i="1"/>
  <c r="L4110" i="1" s="1"/>
  <c r="K4107" i="1"/>
  <c r="L4107" i="1" s="1"/>
  <c r="K450" i="1"/>
  <c r="L450" i="1" s="1"/>
  <c r="K428" i="1"/>
  <c r="L428" i="1" s="1"/>
  <c r="K426" i="1"/>
  <c r="L426" i="1" s="1"/>
  <c r="K424" i="1"/>
  <c r="L424" i="1" s="1"/>
  <c r="K421" i="1"/>
  <c r="L421" i="1" s="1"/>
  <c r="K419" i="1"/>
  <c r="L419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117" i="1"/>
  <c r="L117" i="1" s="1"/>
  <c r="K113" i="1"/>
  <c r="L113" i="1" s="1"/>
  <c r="K106" i="1"/>
  <c r="L106" i="1" s="1"/>
  <c r="K103" i="1"/>
  <c r="L103" i="1" s="1"/>
  <c r="K100" i="1"/>
  <c r="L100" i="1" s="1"/>
  <c r="K97" i="1"/>
  <c r="L97" i="1" s="1"/>
  <c r="K95" i="1"/>
  <c r="L95" i="1" s="1"/>
  <c r="K92" i="1"/>
  <c r="L92" i="1" s="1"/>
  <c r="K88" i="1"/>
  <c r="L88" i="1" s="1"/>
  <c r="K85" i="1"/>
  <c r="L85" i="1" s="1"/>
  <c r="K82" i="1"/>
  <c r="L82" i="1" s="1"/>
  <c r="K79" i="1"/>
  <c r="L79" i="1" s="1"/>
  <c r="K75" i="1"/>
  <c r="L75" i="1" s="1"/>
  <c r="K72" i="1"/>
  <c r="L72" i="1" s="1"/>
  <c r="K69" i="1"/>
  <c r="L69" i="1" s="1"/>
  <c r="K67" i="1"/>
  <c r="L67" i="1" s="1"/>
  <c r="K62" i="1"/>
  <c r="L62" i="1" s="1"/>
  <c r="K59" i="1"/>
  <c r="L59" i="1" s="1"/>
  <c r="K56" i="1"/>
  <c r="L56" i="1" s="1"/>
  <c r="K54" i="1"/>
  <c r="L54" i="1" s="1"/>
  <c r="K459" i="1"/>
  <c r="L459" i="1" s="1"/>
  <c r="K442" i="1"/>
  <c r="L442" i="1" s="1"/>
  <c r="K409" i="1"/>
  <c r="L409" i="1" s="1"/>
  <c r="K392" i="1"/>
  <c r="L392" i="1" s="1"/>
  <c r="K388" i="1"/>
  <c r="L388" i="1" s="1"/>
  <c r="K114" i="1"/>
  <c r="L114" i="1" s="1"/>
  <c r="K111" i="1"/>
  <c r="L111" i="1" s="1"/>
  <c r="K107" i="1"/>
  <c r="L107" i="1" s="1"/>
  <c r="K102" i="1"/>
  <c r="L102" i="1" s="1"/>
  <c r="K99" i="1"/>
  <c r="L99" i="1" s="1"/>
  <c r="K96" i="1"/>
  <c r="L96" i="1" s="1"/>
  <c r="K93" i="1"/>
  <c r="L93" i="1" s="1"/>
  <c r="K89" i="1"/>
  <c r="L89" i="1" s="1"/>
  <c r="K86" i="1"/>
  <c r="L86" i="1" s="1"/>
  <c r="K83" i="1"/>
  <c r="L83" i="1" s="1"/>
  <c r="K81" i="1"/>
  <c r="L81" i="1" s="1"/>
  <c r="K77" i="1"/>
  <c r="L77" i="1" s="1"/>
  <c r="K74" i="1"/>
  <c r="L74" i="1" s="1"/>
  <c r="K70" i="1"/>
  <c r="L70" i="1" s="1"/>
  <c r="K68" i="1"/>
  <c r="L68" i="1" s="1"/>
  <c r="K63" i="1"/>
  <c r="L63" i="1" s="1"/>
  <c r="K60" i="1"/>
  <c r="L60" i="1" s="1"/>
  <c r="K57" i="1"/>
  <c r="L57" i="1" s="1"/>
  <c r="K55" i="1"/>
  <c r="L55" i="1" s="1"/>
  <c r="K51" i="1"/>
  <c r="L51" i="1" s="1"/>
  <c r="K116" i="1"/>
  <c r="L116" i="1" s="1"/>
  <c r="K112" i="1"/>
  <c r="L112" i="1" s="1"/>
  <c r="K105" i="1"/>
  <c r="L105" i="1" s="1"/>
  <c r="K104" i="1"/>
  <c r="L104" i="1" s="1"/>
  <c r="K101" i="1"/>
  <c r="L101" i="1" s="1"/>
  <c r="K98" i="1"/>
  <c r="L98" i="1" s="1"/>
  <c r="K94" i="1"/>
  <c r="L94" i="1" s="1"/>
  <c r="K90" i="1"/>
  <c r="L90" i="1" s="1"/>
  <c r="K87" i="1"/>
  <c r="L87" i="1" s="1"/>
  <c r="K84" i="1"/>
  <c r="L84" i="1" s="1"/>
  <c r="K80" i="1"/>
  <c r="L80" i="1" s="1"/>
  <c r="K76" i="1"/>
  <c r="L76" i="1" s="1"/>
  <c r="K73" i="1"/>
  <c r="L73" i="1" s="1"/>
  <c r="K61" i="1"/>
  <c r="L61" i="1" s="1"/>
  <c r="K58" i="1"/>
  <c r="L58" i="1" s="1"/>
  <c r="K52" i="1"/>
  <c r="L52" i="1" s="1"/>
  <c r="K557" i="1"/>
  <c r="L557" i="1" s="1"/>
  <c r="K555" i="1"/>
  <c r="L555" i="1" s="1"/>
  <c r="K552" i="1"/>
  <c r="L552" i="1" s="1"/>
  <c r="K491" i="1"/>
  <c r="L491" i="1" s="1"/>
  <c r="K488" i="1"/>
  <c r="L488" i="1" s="1"/>
  <c r="K484" i="1"/>
  <c r="L484" i="1" s="1"/>
  <c r="K481" i="1"/>
  <c r="L481" i="1" s="1"/>
  <c r="K472" i="1"/>
  <c r="L472" i="1" s="1"/>
  <c r="K469" i="1"/>
  <c r="L469" i="1" s="1"/>
  <c r="K465" i="1"/>
  <c r="L465" i="1" s="1"/>
  <c r="K458" i="1"/>
  <c r="L458" i="1" s="1"/>
  <c r="K449" i="1"/>
  <c r="L449" i="1" s="1"/>
  <c r="K437" i="1"/>
  <c r="L437" i="1" s="1"/>
  <c r="K435" i="1"/>
  <c r="L435" i="1" s="1"/>
  <c r="K433" i="1"/>
  <c r="L433" i="1" s="1"/>
  <c r="K431" i="1"/>
  <c r="L431" i="1" s="1"/>
  <c r="K429" i="1"/>
  <c r="L429" i="1" s="1"/>
  <c r="K427" i="1"/>
  <c r="L427" i="1" s="1"/>
  <c r="K416" i="1"/>
  <c r="L416" i="1" s="1"/>
  <c r="K414" i="1"/>
  <c r="L414" i="1" s="1"/>
  <c r="K407" i="1"/>
  <c r="L407" i="1" s="1"/>
  <c r="K405" i="1"/>
  <c r="L405" i="1" s="1"/>
  <c r="K403" i="1"/>
  <c r="L403" i="1" s="1"/>
  <c r="K398" i="1"/>
  <c r="L398" i="1" s="1"/>
  <c r="K396" i="1"/>
  <c r="L396" i="1" s="1"/>
  <c r="K320" i="1"/>
  <c r="L320" i="1" s="1"/>
  <c r="K318" i="1"/>
  <c r="L318" i="1" s="1"/>
  <c r="K316" i="1"/>
  <c r="L316" i="1" s="1"/>
  <c r="K314" i="1"/>
  <c r="L314" i="1" s="1"/>
  <c r="K311" i="1"/>
  <c r="L311" i="1" s="1"/>
  <c r="K295" i="1"/>
  <c r="L295" i="1" s="1"/>
  <c r="K292" i="1"/>
  <c r="L292" i="1" s="1"/>
  <c r="K290" i="1"/>
  <c r="L290" i="1" s="1"/>
  <c r="K288" i="1"/>
  <c r="L288" i="1" s="1"/>
  <c r="K278" i="1"/>
  <c r="L278" i="1" s="1"/>
  <c r="K276" i="1"/>
  <c r="L276" i="1" s="1"/>
  <c r="K274" i="1"/>
  <c r="L274" i="1" s="1"/>
  <c r="K272" i="1"/>
  <c r="L272" i="1" s="1"/>
  <c r="K270" i="1"/>
  <c r="L270" i="1" s="1"/>
  <c r="K267" i="1"/>
  <c r="L267" i="1" s="1"/>
  <c r="K265" i="1"/>
  <c r="L265" i="1" s="1"/>
  <c r="K263" i="1"/>
  <c r="L263" i="1" s="1"/>
  <c r="K261" i="1"/>
  <c r="L261" i="1" s="1"/>
  <c r="K259" i="1"/>
  <c r="L259" i="1" s="1"/>
  <c r="K257" i="1"/>
  <c r="L257" i="1" s="1"/>
  <c r="K556" i="1"/>
  <c r="L556" i="1" s="1"/>
  <c r="K553" i="1"/>
  <c r="L553" i="1" s="1"/>
  <c r="K551" i="1"/>
  <c r="L551" i="1" s="1"/>
  <c r="K492" i="1"/>
  <c r="L492" i="1" s="1"/>
  <c r="K489" i="1"/>
  <c r="L489" i="1" s="1"/>
  <c r="K485" i="1"/>
  <c r="L485" i="1" s="1"/>
  <c r="K479" i="1"/>
  <c r="L479" i="1" s="1"/>
  <c r="K476" i="1"/>
  <c r="L476" i="1" s="1"/>
  <c r="K473" i="1"/>
  <c r="L473" i="1" s="1"/>
  <c r="K470" i="1"/>
  <c r="L470" i="1" s="1"/>
  <c r="K466" i="1"/>
  <c r="L466" i="1" s="1"/>
  <c r="K462" i="1"/>
  <c r="L462" i="1" s="1"/>
  <c r="K460" i="1"/>
  <c r="L460" i="1" s="1"/>
  <c r="K448" i="1"/>
  <c r="L448" i="1" s="1"/>
  <c r="K446" i="1"/>
  <c r="L446" i="1" s="1"/>
  <c r="K444" i="1"/>
  <c r="L444" i="1" s="1"/>
  <c r="K440" i="1"/>
  <c r="L440" i="1" s="1"/>
  <c r="K490" i="1"/>
  <c r="L490" i="1" s="1"/>
  <c r="K486" i="1"/>
  <c r="L486" i="1" s="1"/>
  <c r="K483" i="1"/>
  <c r="L483" i="1" s="1"/>
  <c r="K480" i="1"/>
  <c r="L480" i="1" s="1"/>
  <c r="K477" i="1"/>
  <c r="L477" i="1" s="1"/>
  <c r="K475" i="1"/>
  <c r="L475" i="1" s="1"/>
  <c r="K474" i="1"/>
  <c r="L474" i="1" s="1"/>
  <c r="K471" i="1"/>
  <c r="L471" i="1" s="1"/>
  <c r="K467" i="1"/>
  <c r="L467" i="1" s="1"/>
  <c r="K464" i="1"/>
  <c r="L464" i="1" s="1"/>
  <c r="K457" i="1"/>
  <c r="L457" i="1" s="1"/>
  <c r="K454" i="1"/>
  <c r="L454" i="1" s="1"/>
  <c r="K452" i="1"/>
  <c r="L452" i="1" s="1"/>
  <c r="K441" i="1"/>
  <c r="L441" i="1" s="1"/>
  <c r="K439" i="1"/>
  <c r="L439" i="1" s="1"/>
  <c r="K438" i="1"/>
  <c r="L438" i="1" s="1"/>
  <c r="K436" i="1"/>
  <c r="L436" i="1" s="1"/>
  <c r="K434" i="1"/>
  <c r="L434" i="1" s="1"/>
  <c r="K432" i="1"/>
  <c r="L432" i="1" s="1"/>
  <c r="K425" i="1"/>
  <c r="L425" i="1" s="1"/>
  <c r="K422" i="1"/>
  <c r="L422" i="1" s="1"/>
  <c r="K420" i="1"/>
  <c r="L420" i="1" s="1"/>
  <c r="K418" i="1"/>
  <c r="L418" i="1" s="1"/>
  <c r="K415" i="1"/>
  <c r="L415" i="1" s="1"/>
  <c r="K413" i="1"/>
  <c r="L413" i="1" s="1"/>
  <c r="K410" i="1"/>
  <c r="L410" i="1" s="1"/>
  <c r="K408" i="1"/>
  <c r="L408" i="1" s="1"/>
  <c r="K406" i="1"/>
  <c r="L406" i="1" s="1"/>
  <c r="K404" i="1"/>
  <c r="L404" i="1" s="1"/>
  <c r="K401" i="1"/>
  <c r="L401" i="1" s="1"/>
  <c r="K309" i="1"/>
  <c r="L309" i="1" s="1"/>
  <c r="K307" i="1"/>
  <c r="L307" i="1" s="1"/>
  <c r="K305" i="1"/>
  <c r="L305" i="1" s="1"/>
  <c r="K303" i="1"/>
  <c r="L303" i="1" s="1"/>
  <c r="K301" i="1"/>
  <c r="L301" i="1" s="1"/>
  <c r="K299" i="1"/>
  <c r="L299" i="1" s="1"/>
  <c r="K297" i="1"/>
  <c r="L297" i="1" s="1"/>
  <c r="K285" i="1"/>
  <c r="L285" i="1" s="1"/>
  <c r="K283" i="1"/>
  <c r="L283" i="1" s="1"/>
  <c r="K281" i="1"/>
  <c r="L281" i="1" s="1"/>
  <c r="K277" i="1"/>
  <c r="L277" i="1" s="1"/>
  <c r="K275" i="1"/>
  <c r="L275" i="1" s="1"/>
  <c r="K273" i="1"/>
  <c r="L273" i="1" s="1"/>
  <c r="K271" i="1"/>
  <c r="L271" i="1" s="1"/>
  <c r="K269" i="1"/>
  <c r="L269" i="1" s="1"/>
  <c r="K266" i="1"/>
  <c r="L266" i="1" s="1"/>
  <c r="K264" i="1"/>
  <c r="L264" i="1" s="1"/>
  <c r="K254" i="1"/>
  <c r="L254" i="1" s="1"/>
  <c r="K252" i="1"/>
  <c r="L252" i="1" s="1"/>
  <c r="K494" i="1"/>
  <c r="L494" i="1" s="1"/>
  <c r="K171" i="1"/>
  <c r="L171" i="1" s="1"/>
  <c r="K195" i="1"/>
  <c r="L195" i="1" s="1"/>
  <c r="K191" i="1"/>
  <c r="L191" i="1" s="1"/>
  <c r="K173" i="1"/>
  <c r="L173" i="1" s="1"/>
  <c r="K172" i="1"/>
  <c r="L172" i="1" s="1"/>
  <c r="K495" i="1"/>
  <c r="L495" i="1" s="1"/>
  <c r="K493" i="1"/>
  <c r="L493" i="1" s="1"/>
  <c r="K208" i="1"/>
  <c r="L208" i="1" s="1"/>
  <c r="K206" i="1"/>
  <c r="L206" i="1" s="1"/>
  <c r="K202" i="1"/>
  <c r="L202" i="1" s="1"/>
  <c r="K200" i="1"/>
  <c r="L200" i="1" s="1"/>
  <c r="K196" i="1"/>
  <c r="L196" i="1" s="1"/>
  <c r="K194" i="1"/>
  <c r="L194" i="1" s="1"/>
  <c r="K189" i="1"/>
  <c r="L189" i="1" s="1"/>
  <c r="K186" i="1"/>
  <c r="L186" i="1" s="1"/>
  <c r="K183" i="1"/>
  <c r="L183" i="1" s="1"/>
  <c r="K180" i="1"/>
  <c r="L180" i="1" s="1"/>
  <c r="K176" i="1"/>
  <c r="L176" i="1" s="1"/>
  <c r="K174" i="1"/>
  <c r="L174" i="1" s="1"/>
  <c r="K50" i="1"/>
  <c r="L50" i="1" s="1"/>
  <c r="K46" i="1"/>
  <c r="L46" i="1" s="1"/>
  <c r="K43" i="1"/>
  <c r="L43" i="1" s="1"/>
  <c r="K40" i="1"/>
  <c r="L40" i="1" s="1"/>
  <c r="K14" i="1"/>
  <c r="L14" i="1" s="1"/>
  <c r="K482" i="1"/>
  <c r="L482" i="1" s="1"/>
  <c r="K251" i="1"/>
  <c r="L251" i="1" s="1"/>
  <c r="K249" i="1"/>
  <c r="L249" i="1" s="1"/>
  <c r="K246" i="1"/>
  <c r="L246" i="1" s="1"/>
  <c r="K244" i="1"/>
  <c r="L244" i="1" s="1"/>
  <c r="K242" i="1"/>
  <c r="L242" i="1" s="1"/>
  <c r="K240" i="1"/>
  <c r="L240" i="1" s="1"/>
  <c r="K236" i="1"/>
  <c r="L236" i="1" s="1"/>
  <c r="K234" i="1"/>
  <c r="L234" i="1" s="1"/>
  <c r="K232" i="1"/>
  <c r="L232" i="1" s="1"/>
  <c r="K230" i="1"/>
  <c r="L230" i="1" s="1"/>
  <c r="K228" i="1"/>
  <c r="L228" i="1" s="1"/>
  <c r="K226" i="1"/>
  <c r="L226" i="1" s="1"/>
  <c r="K223" i="1"/>
  <c r="L223" i="1" s="1"/>
  <c r="K220" i="1"/>
  <c r="L220" i="1" s="1"/>
  <c r="K218" i="1"/>
  <c r="L218" i="1" s="1"/>
  <c r="K216" i="1"/>
  <c r="L216" i="1" s="1"/>
  <c r="K214" i="1"/>
  <c r="L214" i="1" s="1"/>
  <c r="K212" i="1"/>
  <c r="L212" i="1" s="1"/>
  <c r="K209" i="1"/>
  <c r="L209" i="1" s="1"/>
  <c r="K187" i="1"/>
  <c r="L187" i="1" s="1"/>
  <c r="K184" i="1"/>
  <c r="L184" i="1" s="1"/>
  <c r="K181" i="1"/>
  <c r="L181" i="1" s="1"/>
  <c r="K177" i="1"/>
  <c r="L177" i="1" s="1"/>
  <c r="K16" i="1"/>
  <c r="L16" i="1" s="1"/>
  <c r="K250" i="1"/>
  <c r="L250" i="1" s="1"/>
  <c r="K247" i="1"/>
  <c r="L247" i="1" s="1"/>
  <c r="K245" i="1"/>
  <c r="L245" i="1" s="1"/>
  <c r="K241" i="1"/>
  <c r="L241" i="1" s="1"/>
  <c r="K237" i="1"/>
  <c r="L237" i="1" s="1"/>
  <c r="K235" i="1"/>
  <c r="L235" i="1" s="1"/>
  <c r="K233" i="1"/>
  <c r="L233" i="1" s="1"/>
  <c r="K231" i="1"/>
  <c r="L231" i="1" s="1"/>
  <c r="K229" i="1"/>
  <c r="L229" i="1" s="1"/>
  <c r="K227" i="1"/>
  <c r="L227" i="1" s="1"/>
  <c r="K225" i="1"/>
  <c r="L225" i="1" s="1"/>
  <c r="K222" i="1"/>
  <c r="L222" i="1" s="1"/>
  <c r="K219" i="1"/>
  <c r="L219" i="1" s="1"/>
  <c r="K217" i="1"/>
  <c r="L217" i="1" s="1"/>
  <c r="K215" i="1"/>
  <c r="L215" i="1" s="1"/>
  <c r="K213" i="1"/>
  <c r="L213" i="1" s="1"/>
  <c r="K210" i="1"/>
  <c r="L210" i="1" s="1"/>
  <c r="K203" i="1"/>
  <c r="L203" i="1" s="1"/>
  <c r="K201" i="1"/>
  <c r="L201" i="1" s="1"/>
  <c r="K193" i="1"/>
  <c r="L193" i="1" s="1"/>
  <c r="K190" i="1"/>
  <c r="L190" i="1" s="1"/>
  <c r="K188" i="1"/>
  <c r="L188" i="1" s="1"/>
  <c r="K185" i="1"/>
  <c r="L185" i="1" s="1"/>
  <c r="K182" i="1"/>
  <c r="L182" i="1" s="1"/>
  <c r="K178" i="1"/>
  <c r="L178" i="1" s="1"/>
  <c r="K175" i="1"/>
  <c r="L175" i="1" s="1"/>
  <c r="K49" i="1"/>
  <c r="L49" i="1" s="1"/>
  <c r="K45" i="1"/>
  <c r="L45" i="1" s="1"/>
  <c r="K42" i="1"/>
  <c r="L42" i="1" s="1"/>
  <c r="K39" i="1"/>
  <c r="L39" i="1" s="1"/>
  <c r="K13" i="1"/>
  <c r="L13" i="1" s="1"/>
  <c r="K167" i="1"/>
  <c r="L167" i="1" s="1"/>
  <c r="K48" i="1"/>
  <c r="L48" i="1" s="1"/>
  <c r="K44" i="1"/>
  <c r="L44" i="1" s="1"/>
  <c r="K41" i="1"/>
  <c r="L41" i="1" s="1"/>
  <c r="K15" i="1"/>
  <c r="L15" i="1" s="1"/>
  <c r="K542" i="1"/>
  <c r="L542" i="1" s="1"/>
  <c r="K537" i="1"/>
  <c r="L537" i="1" s="1"/>
  <c r="K533" i="1"/>
  <c r="L533" i="1" s="1"/>
  <c r="K528" i="1"/>
  <c r="L528" i="1" s="1"/>
  <c r="K525" i="1"/>
  <c r="L525" i="1" s="1"/>
  <c r="K521" i="1"/>
  <c r="L521" i="1" s="1"/>
  <c r="K517" i="1"/>
  <c r="L517" i="1" s="1"/>
  <c r="K513" i="1"/>
  <c r="L513" i="1" s="1"/>
  <c r="K508" i="1"/>
  <c r="L508" i="1" s="1"/>
  <c r="K499" i="1"/>
  <c r="L499" i="1" s="1"/>
  <c r="K497" i="1"/>
  <c r="L497" i="1" s="1"/>
  <c r="K12" i="1"/>
  <c r="L12" i="1" s="1"/>
  <c r="K10" i="1"/>
  <c r="L10" i="1" s="1"/>
  <c r="K7" i="1"/>
  <c r="L7" i="1" s="1"/>
  <c r="K4" i="1"/>
  <c r="L4" i="1" s="1"/>
  <c r="K545" i="1"/>
  <c r="L545" i="1" s="1"/>
  <c r="K539" i="1"/>
  <c r="L539" i="1" s="1"/>
  <c r="K535" i="1"/>
  <c r="L535" i="1" s="1"/>
  <c r="K530" i="1"/>
  <c r="L530" i="1" s="1"/>
  <c r="K524" i="1"/>
  <c r="L524" i="1" s="1"/>
  <c r="K520" i="1"/>
  <c r="L520" i="1" s="1"/>
  <c r="K516" i="1"/>
  <c r="L516" i="1" s="1"/>
  <c r="K512" i="1"/>
  <c r="L512" i="1" s="1"/>
  <c r="K507" i="1"/>
  <c r="L507" i="1" s="1"/>
  <c r="K38" i="1"/>
  <c r="L38" i="1" s="1"/>
  <c r="K36" i="1"/>
  <c r="L36" i="1" s="1"/>
  <c r="K34" i="1"/>
  <c r="L34" i="1" s="1"/>
  <c r="K32" i="1"/>
  <c r="L32" i="1" s="1"/>
  <c r="K29" i="1"/>
  <c r="L29" i="1" s="1"/>
  <c r="K27" i="1"/>
  <c r="L27" i="1" s="1"/>
  <c r="K25" i="1"/>
  <c r="L25" i="1" s="1"/>
  <c r="K22" i="1"/>
  <c r="L22" i="1" s="1"/>
  <c r="K20" i="1"/>
  <c r="L20" i="1" s="1"/>
  <c r="K18" i="1"/>
  <c r="L18" i="1" s="1"/>
  <c r="K11" i="1"/>
  <c r="L11" i="1" s="1"/>
  <c r="K8" i="1"/>
  <c r="L8" i="1" s="1"/>
  <c r="K5" i="1"/>
  <c r="L5" i="1" s="1"/>
  <c r="K540" i="1"/>
  <c r="L540" i="1" s="1"/>
  <c r="K536" i="1"/>
  <c r="L536" i="1" s="1"/>
  <c r="K531" i="1"/>
  <c r="L531" i="1" s="1"/>
  <c r="K527" i="1"/>
  <c r="L527" i="1" s="1"/>
  <c r="K523" i="1"/>
  <c r="L523" i="1" s="1"/>
  <c r="K519" i="1"/>
  <c r="L519" i="1" s="1"/>
  <c r="K515" i="1"/>
  <c r="L515" i="1" s="1"/>
  <c r="K511" i="1"/>
  <c r="L511" i="1" s="1"/>
  <c r="K506" i="1"/>
  <c r="L506" i="1" s="1"/>
  <c r="K501" i="1"/>
  <c r="L501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9" i="1"/>
  <c r="L9" i="1" s="1"/>
  <c r="K6" i="1"/>
  <c r="L6" i="1" s="1"/>
  <c r="K2" i="1"/>
  <c r="L2" i="1" s="1"/>
  <c r="K550" i="1"/>
  <c r="L550" i="1" s="1"/>
  <c r="K544" i="1"/>
  <c r="L544" i="1" s="1"/>
  <c r="K538" i="1"/>
  <c r="L538" i="1" s="1"/>
  <c r="K534" i="1"/>
  <c r="L534" i="1" s="1"/>
  <c r="K529" i="1"/>
  <c r="L529" i="1" s="1"/>
  <c r="K526" i="1"/>
  <c r="L526" i="1" s="1"/>
  <c r="K522" i="1"/>
  <c r="L522" i="1" s="1"/>
  <c r="K518" i="1"/>
  <c r="L518" i="1" s="1"/>
  <c r="K514" i="1"/>
  <c r="L514" i="1" s="1"/>
  <c r="K510" i="1"/>
  <c r="L510" i="1" s="1"/>
  <c r="K505" i="1"/>
  <c r="L505" i="1" s="1"/>
  <c r="K500" i="1"/>
  <c r="L500" i="1" s="1"/>
</calcChain>
</file>

<file path=xl/sharedStrings.xml><?xml version="1.0" encoding="utf-8"?>
<sst xmlns="http://schemas.openxmlformats.org/spreadsheetml/2006/main" count="8964" uniqueCount="121">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</sst>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470"/>
  <sheetViews>
    <sheetView tabSelected="1" topLeftCell="A2721" zoomScale="85" zoomScaleNormal="85" workbookViewId="0">
      <selection activeCell="I1672" sqref="I1672:L274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H2" s="3">
        <v>0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H4" s="3">
        <v>0</v>
      </c>
      <c r="I4" s="3">
        <f t="shared" ref="I4:I16" si="1">E4+G4+H4</f>
        <v>40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2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H5" s="3">
        <v>0</v>
      </c>
      <c r="I5" s="3">
        <f t="shared" si="1"/>
        <v>27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35</v>
      </c>
      <c r="K5" s="3">
        <f t="shared" si="2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10</v>
      </c>
      <c r="K6" s="3">
        <f t="shared" si="2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H7" s="3">
        <v>0</v>
      </c>
      <c r="I7" s="3">
        <f t="shared" si="1"/>
        <v>43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28</v>
      </c>
      <c r="K7" s="3">
        <f t="shared" si="2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H8" s="3">
        <v>0</v>
      </c>
      <c r="I8" s="3">
        <f t="shared" si="1"/>
        <v>29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28</v>
      </c>
      <c r="K8" s="3">
        <f t="shared" si="2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H9" s="3">
        <v>0</v>
      </c>
      <c r="I9" s="3">
        <f t="shared" si="1"/>
        <v>8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 t="shared" si="2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H10" s="3">
        <v>0</v>
      </c>
      <c r="I10" s="3">
        <f t="shared" si="1"/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23</v>
      </c>
      <c r="K10" s="3">
        <f t="shared" si="2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H11" s="3">
        <v>0</v>
      </c>
      <c r="I11" s="3">
        <f t="shared" si="1"/>
        <v>38</v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>35</v>
      </c>
      <c r="K11" s="3">
        <f t="shared" si="2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H12" s="3">
        <v>0</v>
      </c>
      <c r="I12" s="3">
        <f t="shared" si="1"/>
        <v>31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28</v>
      </c>
      <c r="K12" s="3">
        <f t="shared" si="2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H13" s="3">
        <v>0</v>
      </c>
      <c r="I13" s="3">
        <f t="shared" si="1"/>
        <v>27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23</v>
      </c>
      <c r="K13" s="3">
        <f t="shared" si="2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H14" s="3">
        <v>0</v>
      </c>
      <c r="I14" s="3">
        <f t="shared" si="1"/>
        <v>24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35</v>
      </c>
      <c r="K14" s="3">
        <f t="shared" si="2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H15" s="3">
        <v>0</v>
      </c>
      <c r="I15" s="3">
        <f t="shared" si="1"/>
        <v>8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 t="shared" si="2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H16" s="3">
        <v>0</v>
      </c>
      <c r="I16" s="3">
        <f t="shared" si="1"/>
        <v>35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28</v>
      </c>
      <c r="K16" s="3">
        <f t="shared" si="2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H18" s="3">
        <v>0</v>
      </c>
      <c r="I18" s="3">
        <f t="shared" ref="I18:I23" si="3">E18+G18+H18</f>
        <v>33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4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11">
        <v>46024</v>
      </c>
      <c r="B19" t="s">
        <v>36</v>
      </c>
      <c r="C19" t="s">
        <v>20</v>
      </c>
      <c r="D19">
        <v>17</v>
      </c>
      <c r="E19">
        <v>17</v>
      </c>
      <c r="F19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8</v>
      </c>
      <c r="K19" s="3">
        <f>I19-J19</f>
        <v>9</v>
      </c>
      <c r="L19" s="3" t="str">
        <f>IF(K19&lt;-5,"CRÍTICO",IF(K19&lt;0,"ATENÇÃO",IF(K19&lt;=5,"BOM","EXCELENTE")))</f>
        <v>EXCELENTE</v>
      </c>
      <c r="N19">
        <v>98.91</v>
      </c>
      <c r="O19">
        <v>31.367292225201069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H20" s="3">
        <v>0</v>
      </c>
      <c r="I20" s="3">
        <f>E20+G20+H20</f>
        <v>34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28</v>
      </c>
      <c r="K20" s="3">
        <f>I20-J20</f>
        <v>6</v>
      </c>
      <c r="L20" s="3" t="str">
        <f>IF(K20&lt;-5,"CRÍTICO",IF(K20&lt;0,"ATENÇÃO",IF(K20&lt;=5,"BOM","EXCELENTE")))</f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H21" s="3">
        <v>0</v>
      </c>
      <c r="I21" s="3">
        <f>E21+G21+H21</f>
        <v>49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35</v>
      </c>
      <c r="K21" s="3">
        <f>I21-J21</f>
        <v>14</v>
      </c>
      <c r="L21" s="3" t="str">
        <f>IF(K21&lt;-5,"CRÍTICO",IF(K21&lt;0,"ATENÇÃO",IF(K21&lt;=5,"BOM","EXCELENTE")))</f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H22" s="3">
        <v>0</v>
      </c>
      <c r="I22" s="3">
        <f>E22+G22+H22</f>
        <v>16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35</v>
      </c>
      <c r="K22" s="3">
        <f>I22-J22</f>
        <v>-19</v>
      </c>
      <c r="L22" s="3" t="str">
        <f>IF(K22&lt;-5,"CRÍTICO",IF(K22&lt;0,"ATENÇÃO",IF(K22&lt;=5,"BOM","EXCELENTE")))</f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28</v>
      </c>
      <c r="K23" s="3">
        <f>I23-J23</f>
        <v>4</v>
      </c>
      <c r="L23" s="3" t="str">
        <f>IF(K23&lt;-5,"CRÍTICO",IF(K23&lt;0,"ATENÇÃO",IF(K23&lt;=5,"BOM","EXCELENTE")))</f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>IF(K24&lt;-5,"CRÍTICO",IF(K24&lt;0,"ATENÇÃO",IF(K24&lt;=5,"BOM","EXCELENTE")))</f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H25" s="3">
        <v>0</v>
      </c>
      <c r="I25" s="3">
        <f>E25+G25+H25</f>
        <v>24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>I25-J25</f>
        <v>4</v>
      </c>
      <c r="L25" s="3" t="str">
        <f>IF(K25&lt;-5,"CRÍTICO",IF(K25&lt;0,"ATENÇÃO",IF(K25&lt;=5,"BOM","EXCELENTE")))</f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H26" s="3">
        <v>0</v>
      </c>
      <c r="I26" s="3">
        <f>E26+G26+H26</f>
        <v>20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35</v>
      </c>
      <c r="K26" s="3">
        <f>I26-J26</f>
        <v>-15</v>
      </c>
      <c r="L26" s="3" t="str">
        <f>IF(K26&lt;-5,"CRÍTICO",IF(K26&lt;0,"ATENÇÃO",IF(K26&lt;=5,"BOM","EXCELENTE")))</f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H27" s="3">
        <v>0</v>
      </c>
      <c r="I27" s="3">
        <f>E27+G27+H27</f>
        <v>15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20</v>
      </c>
      <c r="K27" s="3">
        <f>I27-J27</f>
        <v>-5</v>
      </c>
      <c r="L27" s="3" t="str">
        <f>IF(K27&lt;-5,"CRÍTICO",IF(K27&lt;0,"ATENÇÃO",IF(K27&lt;=5,"BOM","EXCELENTE")))</f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H28" s="3">
        <v>0</v>
      </c>
      <c r="I28" s="3">
        <f>E28+G28+H28</f>
        <v>29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35</v>
      </c>
      <c r="K28" s="3">
        <f>I28-J28</f>
        <v>-6</v>
      </c>
      <c r="L28" s="3" t="str">
        <f>IF(K28&lt;-5,"CRÍTICO",IF(K28&lt;0,"ATENÇÃO",IF(K28&lt;=5,"BOM","EXCELENTE")))</f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H29" s="3">
        <v>0</v>
      </c>
      <c r="I29" s="3">
        <f>E29+G29+H29</f>
        <v>26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28</v>
      </c>
      <c r="K29" s="3">
        <f>I29-J29</f>
        <v>-2</v>
      </c>
      <c r="L29" s="3" t="str">
        <f>IF(K29&lt;-5,"CRÍTICO",IF(K29&lt;0,"ATENÇÃO",IF(K29&lt;=5,"BOM","EXCELENTE")))</f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H30" s="3">
        <v>0</v>
      </c>
      <c r="I30" s="3">
        <f>E30+G30+H30</f>
        <v>40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28</v>
      </c>
      <c r="K30" s="3">
        <f>I30-J30</f>
        <v>12</v>
      </c>
      <c r="L30" s="3" t="str">
        <f>IF(K30&lt;-5,"CRÍTICO",IF(K30&lt;0,"ATENÇÃO",IF(K30&lt;=5,"BOM","EXCELENTE")))</f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>IF(K31&lt;-5,"CRÍTICO",IF(K31&lt;0,"ATENÇÃO",IF(K31&lt;=5,"BOM","EXCELENTE")))</f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H32" s="3">
        <v>0</v>
      </c>
      <c r="I32" s="3">
        <f>E32+G32+H32</f>
        <v>25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>I32-J32</f>
        <v>2</v>
      </c>
      <c r="L32" s="3" t="str">
        <f>IF(K32&lt;-5,"CRÍTICO",IF(K32&lt;0,"ATENÇÃO",IF(K32&lt;=5,"BOM","EXCELENTE")))</f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>E33+G33+H33</f>
        <v>25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10</v>
      </c>
      <c r="K33" s="3">
        <f>I33-J33</f>
        <v>15</v>
      </c>
      <c r="L33" s="3" t="str">
        <f>IF(K33&lt;-5,"CRÍTICO",IF(K33&lt;0,"ATENÇÃO",IF(K33&lt;=5,"BOM","EXCELENTE")))</f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>E34+G34+H34</f>
        <v>57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22</v>
      </c>
      <c r="L34" s="3" t="str">
        <f>IF(K34&lt;-5,"CRÍTICO",IF(K34&lt;0,"ATENÇÃO",IF(K34&lt;=5,"BOM","EXCELENTE")))</f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>IF(K35&lt;-5,"CRÍTICO",IF(K35&lt;0,"ATENÇÃO",IF(K35&lt;=5,"BOM","EXCELENTE")))</f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H36" s="3">
        <v>0</v>
      </c>
      <c r="I36" s="3">
        <f>E36+G36+H36</f>
        <v>7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10</v>
      </c>
      <c r="K36" s="3">
        <f>I36-J36</f>
        <v>-3</v>
      </c>
      <c r="L36" s="3" t="str">
        <f>IF(K36&lt;-5,"CRÍTICO",IF(K36&lt;0,"ATENÇÃO",IF(K36&lt;=5,"BOM","EXCELENTE")))</f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H37" s="3">
        <v>0</v>
      </c>
      <c r="I37" s="3">
        <f>E37+G37+H37</f>
        <v>23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20</v>
      </c>
      <c r="K37" s="3">
        <f>I37-J37</f>
        <v>3</v>
      </c>
      <c r="L37" s="3" t="str">
        <f>IF(K37&lt;-5,"CRÍTICO",IF(K37&lt;0,"ATENÇÃO",IF(K37&lt;=5,"BOM","EXCELENTE")))</f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H38" s="3">
        <v>0</v>
      </c>
      <c r="I38" s="3">
        <f>E38+G38+H38</f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28</v>
      </c>
      <c r="K38" s="3">
        <f>I38-J38</f>
        <v>-12</v>
      </c>
      <c r="L38" s="3" t="str">
        <f>IF(K38&lt;-5,"CRÍTICO",IF(K38&lt;0,"ATENÇÃO",IF(K38&lt;=5,"BOM","EXCELENTE")))</f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H39" s="3">
        <v>0</v>
      </c>
      <c r="I39" s="3">
        <f>E39+G39+H39</f>
        <v>23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20</v>
      </c>
      <c r="K39" s="3">
        <f>I39-J39</f>
        <v>3</v>
      </c>
      <c r="L39" s="3" t="str">
        <f>IF(K39&lt;-5,"CRÍTICO",IF(K39&lt;0,"ATENÇÃO",IF(K39&lt;=5,"BOM","EXCELENTE")))</f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H40" s="3">
        <v>0</v>
      </c>
      <c r="I40" s="3">
        <f>E40+G40+H40</f>
        <v>21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20</v>
      </c>
      <c r="K40" s="3">
        <f>I40-J40</f>
        <v>1</v>
      </c>
      <c r="L40" s="3" t="str">
        <f>IF(K40&lt;-5,"CRÍTICO",IF(K40&lt;0,"ATENÇÃO",IF(K40&lt;=5,"BOM","EXCELENTE")))</f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>E41+G41+H41</f>
        <v>15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10</v>
      </c>
      <c r="K41" s="3">
        <f>I41-J41</f>
        <v>5</v>
      </c>
      <c r="L41" s="3" t="str">
        <f>IF(K41&lt;-5,"CRÍTICO",IF(K41&lt;0,"ATENÇÃO",IF(K41&lt;=5,"BOM","EXCELENTE")))</f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23</v>
      </c>
      <c r="K42" s="3">
        <f>I42-J42</f>
        <v>4</v>
      </c>
      <c r="L42" s="3" t="str">
        <f>IF(K42&lt;-5,"CRÍTICO",IF(K42&lt;0,"ATENÇÃO",IF(K42&lt;=5,"BOM","EXCELENTE")))</f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H43" s="3">
        <v>0</v>
      </c>
      <c r="I43" s="3">
        <f>E43+G43+H43</f>
        <v>47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35</v>
      </c>
      <c r="K43" s="3">
        <f>I43-J43</f>
        <v>12</v>
      </c>
      <c r="L43" s="3" t="str">
        <f>IF(K43&lt;-5,"CRÍTICO",IF(K43&lt;0,"ATENÇÃO",IF(K43&lt;=5,"BOM","EXCELENTE")))</f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H44" s="3">
        <v>0</v>
      </c>
      <c r="I44" s="3">
        <f>E44+G44+H44</f>
        <v>20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23</v>
      </c>
      <c r="K44" s="3">
        <f>I44-J44</f>
        <v>-3</v>
      </c>
      <c r="L44" s="3" t="str">
        <f>IF(K44&lt;-5,"CRÍTICO",IF(K44&lt;0,"ATENÇÃO",IF(K44&lt;=5,"BOM","EXCELENTE")))</f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>E45+G45+H45</f>
        <v>29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-6</v>
      </c>
      <c r="L45" s="3" t="str">
        <f>IF(K45&lt;-5,"CRÍTICO",IF(K45&lt;0,"ATENÇÃO",IF(K45&lt;=5,"BOM","EXCELENTE")))</f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H46" s="3">
        <v>0</v>
      </c>
      <c r="I46" s="3">
        <f>E46+G46+H46</f>
        <v>41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28</v>
      </c>
      <c r="K46" s="3">
        <f>I46-J46</f>
        <v>13</v>
      </c>
      <c r="L46" s="3" t="str">
        <f>IF(K46&lt;-5,"CRÍTICO",IF(K46&lt;0,"ATENÇÃO",IF(K46&lt;=5,"BOM","EXCELENTE")))</f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>IF(K47&lt;-5,"CRÍTICO",IF(K47&lt;0,"ATENÇÃO",IF(K47&lt;=5,"BOM","EXCELENTE")))</f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H48" s="3">
        <v>0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>IF(K48&lt;-5,"CRÍTICO",IF(K48&lt;0,"ATENÇÃO",IF(K48&lt;=5,"BOM","EXCELENTE")))</f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H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>IF(K49&lt;-5,"CRÍTICO",IF(K49&lt;0,"ATENÇÃO",IF(K49&lt;=5,"BOM","EXCELENTE")))</f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>IF(K50&lt;-5,"CRÍTICO",IF(K50&lt;0,"ATENÇÃO",IF(K50&lt;=5,"BOM","EXCELENTE")))</f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H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>IF(K51&lt;-5,"CRÍTICO",IF(K51&lt;0,"ATENÇÃO",IF(K51&lt;=5,"BOM","EXCELENTE")))</f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>IF(K52&lt;-5,"CRÍTICO",IF(K52&lt;0,"ATENÇÃO",IF(K52&lt;=5,"BOM","EXCELENTE")))</f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>IF(K53&lt;-5,"CRÍTICO",IF(K53&lt;0,"ATENÇÃO",IF(K53&lt;=5,"BOM","EXCELENTE")))</f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>IF(K54&lt;-5,"CRÍTICO",IF(K54&lt;0,"ATENÇÃO",IF(K54&lt;=5,"BOM","EXCELENTE")))</f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H55" s="3">
        <v>0</v>
      </c>
      <c r="I55" s="3">
        <f>E55+G55+H55</f>
        <v>27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28</v>
      </c>
      <c r="K55" s="3">
        <f>I55-J55</f>
        <v>-1</v>
      </c>
      <c r="L55" s="3" t="str">
        <f>IF(K55&lt;-5,"CRÍTICO",IF(K55&lt;0,"ATENÇÃO",IF(K55&lt;=5,"BOM","EXCELENTE")))</f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>E56+G56+H56</f>
        <v>11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10</v>
      </c>
      <c r="K56" s="3">
        <f>I56-J56</f>
        <v>1</v>
      </c>
      <c r="L56" s="3" t="str">
        <f>IF(K56&lt;-5,"CRÍTICO",IF(K56&lt;0,"ATENÇÃO",IF(K56&lt;=5,"BOM","EXCELENTE")))</f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>E57+G57+H57</f>
        <v>19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10</v>
      </c>
      <c r="K57" s="3">
        <f>I57-J57</f>
        <v>9</v>
      </c>
      <c r="L57" s="3" t="str">
        <f>IF(K57&lt;-5,"CRÍTICO",IF(K57&lt;0,"ATENÇÃO",IF(K57&lt;=5,"BOM","EXCELENTE")))</f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H58" s="3">
        <v>0</v>
      </c>
      <c r="I58" s="3">
        <f>E58+G58+H58</f>
        <v>29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23</v>
      </c>
      <c r="K58" s="3">
        <f>I58-J58</f>
        <v>6</v>
      </c>
      <c r="L58" s="3" t="str">
        <f>IF(K58&lt;-5,"CRÍTICO",IF(K58&lt;0,"ATENÇÃO",IF(K58&lt;=5,"BOM","EXCELENTE")))</f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H59" s="3">
        <v>0</v>
      </c>
      <c r="I59" s="3">
        <f>E59+G59+H59</f>
        <v>47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35</v>
      </c>
      <c r="K59" s="3">
        <f>I59-J59</f>
        <v>12</v>
      </c>
      <c r="L59" s="3" t="str">
        <f>IF(K59&lt;-5,"CRÍTICO",IF(K59&lt;0,"ATENÇÃO",IF(K59&lt;=5,"BOM","EXCELENTE")))</f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H60" s="3">
        <v>0</v>
      </c>
      <c r="I60" s="3">
        <f>E60+G60+H60</f>
        <v>30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2</v>
      </c>
      <c r="L60" s="3" t="str">
        <f>IF(K60&lt;-5,"CRÍTICO",IF(K60&lt;0,"ATENÇÃO",IF(K60&lt;=5,"BOM","EXCELENTE")))</f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H61" s="3">
        <v>0</v>
      </c>
      <c r="I61" s="3">
        <f>E61+G61+H61</f>
        <v>22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23</v>
      </c>
      <c r="K61" s="3">
        <f>I61-J61</f>
        <v>-1</v>
      </c>
      <c r="L61" s="3" t="str">
        <f>IF(K61&lt;-5,"CRÍTICO",IF(K61&lt;0,"ATENÇÃO",IF(K61&lt;=5,"BOM","EXCELENTE")))</f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H62" s="3">
        <v>0</v>
      </c>
      <c r="I62" s="3">
        <f>E62+G62+H62</f>
        <v>27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35</v>
      </c>
      <c r="K62" s="3">
        <f>I62-J62</f>
        <v>-8</v>
      </c>
      <c r="L62" s="3" t="str">
        <f>IF(K62&lt;-5,"CRÍTICO",IF(K62&lt;0,"ATENÇÃO",IF(K62&lt;=5,"BOM","EXCELENTE")))</f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>IF(K63&lt;-5,"CRÍTICO",IF(K63&lt;0,"ATENÇÃO",IF(K63&lt;=5,"BOM","EXCELENTE")))</f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>IF(K64&lt;-5,"CRÍTICO",IF(K64&lt;0,"ATENÇÃO",IF(K64&lt;=5,"BOM","EXCELENTE")))</f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>IF(K65&lt;-5,"CRÍTICO",IF(K65&lt;0,"ATENÇÃO",IF(K65&lt;=5,"BOM","EXCELENTE")))</f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11">
        <v>46027</v>
      </c>
      <c r="B66" t="s">
        <v>36</v>
      </c>
      <c r="C66" t="s">
        <v>20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15</v>
      </c>
      <c r="K66" s="3">
        <f>I66-J66</f>
        <v>4</v>
      </c>
      <c r="L66" s="3" t="str">
        <f>IF(K66&lt;-5,"CRÍTICO",IF(K66&lt;0,"ATENÇÃO",IF(K66&lt;=5,"BOM","EXCELENTE")))</f>
        <v>BOM</v>
      </c>
      <c r="N66">
        <v>98.91</v>
      </c>
      <c r="O66">
        <v>31.367292225201069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H67" s="3">
        <v>0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>IF(K67&lt;-5,"CRÍTICO",IF(K67&lt;0,"ATENÇÃO",IF(K67&lt;=5,"BOM","EXCELENTE")))</f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H68" s="3">
        <v>0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>IF(K68&lt;-5,"CRÍTICO",IF(K68&lt;0,"ATENÇÃO",IF(K68&lt;=5,"BOM","EXCELENTE")))</f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H69" s="3">
        <v>0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>IF(K69&lt;-5,"CRÍTICO",IF(K69&lt;0,"ATENÇÃO",IF(K69&lt;=5,"BOM","EXCELENTE")))</f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H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>IF(K70&lt;-5,"CRÍTICO",IF(K70&lt;0,"ATENÇÃO",IF(K70&lt;=5,"BOM","EXCELENTE")))</f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>IF(K71&lt;-5,"CRÍTICO",IF(K71&lt;0,"ATENÇÃO",IF(K71&lt;=5,"BOM","EXCELENTE")))</f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H72" s="3">
        <v>0</v>
      </c>
      <c r="I72" s="3">
        <f>E72+G72+H72</f>
        <v>24</v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>I72-J72</f>
        <v>4</v>
      </c>
      <c r="L72" s="3" t="str">
        <f>IF(K72&lt;-5,"CRÍTICO",IF(K72&lt;0,"ATENÇÃO",IF(K72&lt;=5,"BOM","EXCELENTE")))</f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H73" s="3">
        <v>0</v>
      </c>
      <c r="I73" s="3">
        <f>E73+G73+H73</f>
        <v>27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35</v>
      </c>
      <c r="K73" s="3">
        <f>I73-J73</f>
        <v>-8</v>
      </c>
      <c r="L73" s="3" t="str">
        <f>IF(K73&lt;-5,"CRÍTICO",IF(K73&lt;0,"ATENÇÃO",IF(K73&lt;=5,"BOM","EXCELENTE")))</f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H74" s="3">
        <v>0</v>
      </c>
      <c r="I74" s="3">
        <f>E74+G74+H74</f>
        <v>22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20</v>
      </c>
      <c r="K74" s="3">
        <f>I74-J74</f>
        <v>2</v>
      </c>
      <c r="L74" s="3" t="str">
        <f>IF(K74&lt;-5,"CRÍTICO",IF(K74&lt;0,"ATENÇÃO",IF(K74&lt;=5,"BOM","EXCELENTE")))</f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H75" s="3">
        <v>0</v>
      </c>
      <c r="I75" s="3">
        <f>E75+G75+H75</f>
        <v>25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35</v>
      </c>
      <c r="K75" s="3">
        <f>I75-J75</f>
        <v>-10</v>
      </c>
      <c r="L75" s="3" t="str">
        <f>IF(K75&lt;-5,"CRÍTICO",IF(K75&lt;0,"ATENÇÃO",IF(K75&lt;=5,"BOM","EXCELENTE")))</f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H76" s="3">
        <v>0</v>
      </c>
      <c r="I76" s="3">
        <f>E76+G76+H76</f>
        <v>22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28</v>
      </c>
      <c r="K76" s="3">
        <f>I76-J76</f>
        <v>-6</v>
      </c>
      <c r="L76" s="3" t="str">
        <f>IF(K76&lt;-5,"CRÍTICO",IF(K76&lt;0,"ATENÇÃO",IF(K76&lt;=5,"BOM","EXCELENTE")))</f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H77" s="3">
        <v>0</v>
      </c>
      <c r="I77" s="3">
        <f>E77+G77+H77</f>
        <v>35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28</v>
      </c>
      <c r="K77" s="3">
        <f>I77-J77</f>
        <v>7</v>
      </c>
      <c r="L77" s="3" t="str">
        <f>IF(K77&lt;-5,"CRÍTICO",IF(K77&lt;0,"ATENÇÃO",IF(K77&lt;=5,"BOM","EXCELENTE")))</f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IF(K78&lt;-5,"CRÍTICO",IF(K78&lt;0,"ATENÇÃO",IF(K78&lt;=5,"BOM","EXCELENTE")))</f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H79" s="3">
        <v>0</v>
      </c>
      <c r="I79" s="3">
        <f>E79+G79+H79</f>
        <v>29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6</v>
      </c>
      <c r="L79" s="3" t="str">
        <f>IF(K79&lt;-5,"CRÍTICO",IF(K79&lt;0,"ATENÇÃO",IF(K79&lt;=5,"BOM","EXCELENTE")))</f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>E80+G80+H80</f>
        <v>35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35</v>
      </c>
      <c r="K80" s="3">
        <f>I80-J80</f>
        <v>0</v>
      </c>
      <c r="L80" s="3" t="str">
        <f>IF(K80&lt;-5,"CRÍTICO",IF(K80&lt;0,"ATENÇÃO",IF(K80&lt;=5,"BOM","EXCELENTE")))</f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H81" s="3">
        <v>0</v>
      </c>
      <c r="I81" s="3">
        <f>E81+G81+H81</f>
        <v>40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35</v>
      </c>
      <c r="K81" s="3">
        <f>I81-J81</f>
        <v>5</v>
      </c>
      <c r="L81" s="3" t="str">
        <f>IF(K81&lt;-5,"CRÍTICO",IF(K81&lt;0,"ATENÇÃO",IF(K81&lt;=5,"BOM","EXCELENTE")))</f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H82" s="3">
        <v>0</v>
      </c>
      <c r="I82" s="3">
        <f>E82+G82+H82</f>
        <v>34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20</v>
      </c>
      <c r="K82" s="3">
        <f>I82-J82</f>
        <v>14</v>
      </c>
      <c r="L82" s="3" t="str">
        <f>IF(K82&lt;-5,"CRÍTICO",IF(K82&lt;0,"ATENÇÃO",IF(K82&lt;=5,"BOM","EXCELENTE")))</f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H83" s="3">
        <v>0</v>
      </c>
      <c r="I83" s="3">
        <f>E83+G83+H83</f>
        <v>25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28</v>
      </c>
      <c r="K83" s="3">
        <f>I83-J83</f>
        <v>-3</v>
      </c>
      <c r="L83" s="3" t="str">
        <f>IF(K83&lt;-5,"CRÍTICO",IF(K83&lt;0,"ATENÇÃO",IF(K83&lt;=5,"BOM","EXCELENTE")))</f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H84" s="3">
        <v>0</v>
      </c>
      <c r="I84" s="3">
        <f>E84+G84+H84</f>
        <v>17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20</v>
      </c>
      <c r="K84" s="3">
        <f>I84-J84</f>
        <v>-3</v>
      </c>
      <c r="L84" s="3" t="str">
        <f>IF(K84&lt;-5,"CRÍTICO",IF(K84&lt;0,"ATENÇÃO",IF(K84&lt;=5,"BOM","EXCELENTE")))</f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H85" s="3">
        <v>0</v>
      </c>
      <c r="I85" s="3">
        <f>E85+G85+H85</f>
        <v>20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20</v>
      </c>
      <c r="K85" s="3">
        <f>I85-J85</f>
        <v>0</v>
      </c>
      <c r="L85" s="3" t="str">
        <f>IF(K85&lt;-5,"CRÍTICO",IF(K85&lt;0,"ATENÇÃO",IF(K85&lt;=5,"BOM","EXCELENTE")))</f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H86" s="3">
        <v>0</v>
      </c>
      <c r="I86" s="3">
        <f>E86+G86+H86</f>
        <v>36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23</v>
      </c>
      <c r="K86" s="3">
        <f>I86-J86</f>
        <v>13</v>
      </c>
      <c r="L86" s="3" t="str">
        <f>IF(K86&lt;-5,"CRÍTICO",IF(K86&lt;0,"ATENÇÃO",IF(K86&lt;=5,"BOM","EXCELENTE")))</f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H87" s="3">
        <v>0</v>
      </c>
      <c r="I87" s="3">
        <f>E87+G87+H87</f>
        <v>54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35</v>
      </c>
      <c r="K87" s="3">
        <f>I87-J87</f>
        <v>19</v>
      </c>
      <c r="L87" s="3" t="str">
        <f>IF(K87&lt;-5,"CRÍTICO",IF(K87&lt;0,"ATENÇÃO",IF(K87&lt;=5,"BOM","EXCELENTE")))</f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H88" s="3">
        <v>0</v>
      </c>
      <c r="I88" s="3">
        <f>E88+G88+H88</f>
        <v>17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23</v>
      </c>
      <c r="K88" s="3">
        <f>I88-J88</f>
        <v>-6</v>
      </c>
      <c r="L88" s="3" t="str">
        <f>IF(K88&lt;-5,"CRÍTICO",IF(K88&lt;0,"ATENÇÃO",IF(K88&lt;=5,"BOM","EXCELENTE")))</f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>E89+G89+H89</f>
        <v>32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35</v>
      </c>
      <c r="K89" s="3">
        <f>I89-J89</f>
        <v>-3</v>
      </c>
      <c r="L89" s="3" t="str">
        <f>IF(K89&lt;-5,"CRÍTICO",IF(K89&lt;0,"ATENÇÃO",IF(K89&lt;=5,"BOM","EXCELENTE")))</f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H90" s="3">
        <v>0</v>
      </c>
      <c r="I90" s="3">
        <f>E90+G90+H90</f>
        <v>40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28</v>
      </c>
      <c r="K90" s="3">
        <f>I90-J90</f>
        <v>12</v>
      </c>
      <c r="L90" s="3" t="str">
        <f>IF(K90&lt;-5,"CRÍTICO",IF(K90&lt;0,"ATENÇÃO",IF(K90&lt;=5,"BOM","EXCELENTE")))</f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>IF(K91&lt;-5,"CRÍTICO",IF(K91&lt;0,"ATENÇÃO",IF(K91&lt;=5,"BOM","EXCELENTE")))</f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H92" s="3">
        <v>0</v>
      </c>
      <c r="I92" s="3">
        <f>E92+G92+H92</f>
        <v>49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>I92-J92</f>
        <v>26</v>
      </c>
      <c r="L92" s="3" t="str">
        <f>IF(K92&lt;-5,"CRÍTICO",IF(K92&lt;0,"ATENÇÃO",IF(K92&lt;=5,"BOM","EXCELENTE")))</f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H93" s="3">
        <v>0</v>
      </c>
      <c r="I93" s="3">
        <f>E93+G93+H93</f>
        <v>32</v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>35</v>
      </c>
      <c r="K93" s="3">
        <f>I93-J93</f>
        <v>-3</v>
      </c>
      <c r="L93" s="3" t="str">
        <f>IF(K93&lt;-5,"CRÍTICO",IF(K93&lt;0,"ATENÇÃO",IF(K93&lt;=5,"BOM","EXCELENTE")))</f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H94" s="3">
        <v>0</v>
      </c>
      <c r="I94" s="3">
        <f>E94+G94+H94</f>
        <v>37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28</v>
      </c>
      <c r="K94" s="3">
        <f>I94-J94</f>
        <v>9</v>
      </c>
      <c r="L94" s="3" t="str">
        <f>IF(K94&lt;-5,"CRÍTICO",IF(K94&lt;0,"ATENÇÃO",IF(K94&lt;=5,"BOM","EXCELENTE")))</f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H95" s="3">
        <v>0</v>
      </c>
      <c r="I95" s="3">
        <f>E95+G95+H95</f>
        <v>33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28</v>
      </c>
      <c r="K95" s="3">
        <f>I95-J95</f>
        <v>5</v>
      </c>
      <c r="L95" s="3" t="str">
        <f>IF(K95&lt;-5,"CRÍTICO",IF(K95&lt;0,"ATENÇÃO",IF(K95&lt;=5,"BOM","EXCELENTE")))</f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>E96+G96+H96</f>
        <v>26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10</v>
      </c>
      <c r="K96" s="3">
        <f>I96-J96</f>
        <v>16</v>
      </c>
      <c r="L96" s="3" t="str">
        <f>IF(K96&lt;-5,"CRÍTICO",IF(K96&lt;0,"ATENÇÃO",IF(K96&lt;=5,"BOM","EXCELENTE")))</f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H97" s="3">
        <v>0</v>
      </c>
      <c r="I97" s="3">
        <f>E97+G97+H97</f>
        <v>12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10</v>
      </c>
      <c r="K97" s="3">
        <f>I97-J97</f>
        <v>2</v>
      </c>
      <c r="L97" s="3" t="str">
        <f>IF(K97&lt;-5,"CRÍTICO",IF(K97&lt;0,"ATENÇÃO",IF(K97&lt;=5,"BOM","EXCELENTE")))</f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>E98+G98+H98</f>
        <v>43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10</v>
      </c>
      <c r="K98" s="3">
        <f>I98-J98</f>
        <v>33</v>
      </c>
      <c r="L98" s="3" t="str">
        <f>IF(K98&lt;-5,"CRÍTICO",IF(K98&lt;0,"ATENÇÃO",IF(K98&lt;=5,"BOM","EXCELENTE")))</f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H99" s="3">
        <v>0</v>
      </c>
      <c r="I99" s="3">
        <f>E99+G99+H99</f>
        <v>38</v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>10</v>
      </c>
      <c r="K99" s="3">
        <f>I99-J99</f>
        <v>28</v>
      </c>
      <c r="L99" s="3" t="str">
        <f>IF(K99&lt;-5,"CRÍTICO",IF(K99&lt;0,"ATENÇÃO",IF(K99&lt;=5,"BOM","EXCELENTE")))</f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H100" s="3">
        <v>0</v>
      </c>
      <c r="I100" s="3">
        <f>E100+G100+H100</f>
        <v>8</v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>10</v>
      </c>
      <c r="K100" s="3">
        <f>I100-J100</f>
        <v>-2</v>
      </c>
      <c r="L100" s="3" t="str">
        <f>IF(K100&lt;-5,"CRÍTICO",IF(K100&lt;0,"ATENÇÃO",IF(K100&lt;=5,"BOM","EXCELENTE")))</f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H101" s="3">
        <v>0</v>
      </c>
      <c r="I101" s="3">
        <f>E101+G101+H101</f>
        <v>15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5</v>
      </c>
      <c r="L101" s="3" t="str">
        <f>IF(K101&lt;-5,"CRÍTICO",IF(K101&lt;0,"ATENÇÃO",IF(K101&lt;=5,"BOM","EXCELENTE")))</f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H102" s="3">
        <v>0</v>
      </c>
      <c r="I102" s="3">
        <f>E102+G102+H102</f>
        <v>32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23</v>
      </c>
      <c r="K102" s="3">
        <f>I102-J102</f>
        <v>9</v>
      </c>
      <c r="L102" s="3" t="str">
        <f>IF(K102&lt;-5,"CRÍTICO",IF(K102&lt;0,"ATENÇÃO",IF(K102&lt;=5,"BOM","EXCELENTE")))</f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H103" s="3">
        <v>0</v>
      </c>
      <c r="I103" s="3">
        <f>E103+G103+H103</f>
        <v>44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35</v>
      </c>
      <c r="K103" s="3">
        <f>I103-J103</f>
        <v>9</v>
      </c>
      <c r="L103" s="3" t="str">
        <f>IF(K103&lt;-5,"CRÍTICO",IF(K103&lt;0,"ATENÇÃO",IF(K103&lt;=5,"BOM","EXCELENTE")))</f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H104" s="3">
        <v>0</v>
      </c>
      <c r="I104" s="3">
        <f>E104+G104+H104</f>
        <v>36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28</v>
      </c>
      <c r="K104" s="3">
        <f>I104-J104</f>
        <v>8</v>
      </c>
      <c r="L104" s="3" t="str">
        <f>IF(K104&lt;-5,"CRÍTICO",IF(K104&lt;0,"ATENÇÃO",IF(K104&lt;=5,"BOM","EXCELENTE")))</f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23</v>
      </c>
      <c r="K105" s="3">
        <f>I105-J105</f>
        <v>-7</v>
      </c>
      <c r="L105" s="3" t="str">
        <f>IF(K105&lt;-5,"CRÍTICO",IF(K105&lt;0,"ATENÇÃO",IF(K105&lt;=5,"BOM","EXCELENTE")))</f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H106" s="3">
        <v>0</v>
      </c>
      <c r="I106" s="3">
        <f>E106+G106+H106</f>
        <v>31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35</v>
      </c>
      <c r="K106" s="3">
        <f>I106-J106</f>
        <v>-4</v>
      </c>
      <c r="L106" s="3" t="str">
        <f>IF(K106&lt;-5,"CRÍTICO",IF(K106&lt;0,"ATENÇÃO",IF(K106&lt;=5,"BOM","EXCELENTE")))</f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H107" s="3">
        <v>0</v>
      </c>
      <c r="I107" s="3">
        <f>E107+G107+H107</f>
        <v>23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28</v>
      </c>
      <c r="K107" s="3">
        <f>I107-J107</f>
        <v>-5</v>
      </c>
      <c r="L107" s="3" t="str">
        <f>IF(K107&lt;-5,"CRÍTICO",IF(K107&lt;0,"ATENÇÃO",IF(K107&lt;=5,"BOM","EXCELENTE")))</f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>IF(K108&lt;-5,"CRÍTICO",IF(K108&lt;0,"ATENÇÃO",IF(K108&lt;=5,"BOM","EXCELENTE")))</f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>IF(K109&lt;-5,"CRÍTICO",IF(K109&lt;0,"ATENÇÃO",IF(K109&lt;=5,"BOM","EXCELENTE")))</f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11">
        <v>46028</v>
      </c>
      <c r="B110" t="s">
        <v>36</v>
      </c>
      <c r="C110" t="s">
        <v>20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15</v>
      </c>
      <c r="K110" s="3">
        <f>I110-J110</f>
        <v>18</v>
      </c>
      <c r="L110" s="3" t="str">
        <f>IF(K110&lt;-5,"CRÍTICO",IF(K110&lt;0,"ATENÇÃO",IF(K110&lt;=5,"BOM","EXCELENTE")))</f>
        <v>EXCELENTE</v>
      </c>
      <c r="N110">
        <v>98.91</v>
      </c>
      <c r="O110">
        <v>31.367292225201069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H111" s="3">
        <v>0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>IF(K111&lt;-5,"CRÍTICO",IF(K111&lt;0,"ATENÇÃO",IF(K111&lt;=5,"BOM","EXCELENTE")))</f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H112" s="3">
        <v>0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>IF(K112&lt;-5,"CRÍTICO",IF(K112&lt;0,"ATENÇÃO",IF(K112&lt;=5,"BOM","EXCELENTE")))</f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H113" s="3">
        <v>0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>IF(K113&lt;-5,"CRÍTICO",IF(K113&lt;0,"ATENÇÃO",IF(K113&lt;=5,"BOM","EXCELENTE")))</f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H114" s="3">
        <v>0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>IF(K114&lt;-5,"CRÍTICO",IF(K114&lt;0,"ATENÇÃO",IF(K114&lt;=5,"BOM","EXCELENTE")))</f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>IF(K115&lt;-5,"CRÍTICO",IF(K115&lt;0,"ATENÇÃO",IF(K115&lt;=5,"BOM","EXCELENTE")))</f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H116" s="3">
        <v>0</v>
      </c>
      <c r="I116" s="3">
        <f>E116+G116+H116</f>
        <v>23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>I116-J116</f>
        <v>3</v>
      </c>
      <c r="L116" s="3" t="str">
        <f>IF(K116&lt;-5,"CRÍTICO",IF(K116&lt;0,"ATENÇÃO",IF(K116&lt;=5,"BOM","EXCELENTE")))</f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H117" s="3">
        <v>0</v>
      </c>
      <c r="I117" s="3">
        <f>E117+G117+H117</f>
        <v>26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35</v>
      </c>
      <c r="K117" s="3">
        <f>I117-J117</f>
        <v>-9</v>
      </c>
      <c r="L117" s="3" t="str">
        <f>IF(K117&lt;-5,"CRÍTICO",IF(K117&lt;0,"ATENÇÃO",IF(K117&lt;=5,"BOM","EXCELENTE")))</f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H118" s="3">
        <v>0</v>
      </c>
      <c r="I118" s="3">
        <f>E118+G118+H118</f>
        <v>24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20</v>
      </c>
      <c r="K118" s="3">
        <f>I118-J118</f>
        <v>4</v>
      </c>
      <c r="L118" s="3" t="str">
        <f>IF(K118&lt;-5,"CRÍTICO",IF(K118&lt;0,"ATENÇÃO",IF(K118&lt;=5,"BOM","EXCELENTE")))</f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H119" s="3">
        <v>0</v>
      </c>
      <c r="I119" s="3">
        <f>E119+G119+H119</f>
        <v>38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35</v>
      </c>
      <c r="K119" s="3">
        <f>I119-J119</f>
        <v>3</v>
      </c>
      <c r="L119" s="3" t="str">
        <f>IF(K119&lt;-5,"CRÍTICO",IF(K119&lt;0,"ATENÇÃO",IF(K119&lt;=5,"BOM","EXCELENTE")))</f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H120" s="3">
        <v>0</v>
      </c>
      <c r="I120" s="3">
        <f>E120+G120+H120</f>
        <v>38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28</v>
      </c>
      <c r="K120" s="3">
        <f>I120-J120</f>
        <v>10</v>
      </c>
      <c r="L120" s="3" t="str">
        <f>IF(K120&lt;-5,"CRÍTICO",IF(K120&lt;0,"ATENÇÃO",IF(K120&lt;=5,"BOM","EXCELENTE")))</f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H121" s="3">
        <v>0</v>
      </c>
      <c r="I121" s="3">
        <f>E121+G121+H121</f>
        <v>31</v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>28</v>
      </c>
      <c r="K121" s="3">
        <f>I121-J121</f>
        <v>3</v>
      </c>
      <c r="L121" s="3" t="str">
        <f>IF(K121&lt;-5,"CRÍTICO",IF(K121&lt;0,"ATENÇÃO",IF(K121&lt;=5,"BOM","EXCELENTE")))</f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>IF(K122&lt;-5,"CRÍTICO",IF(K122&lt;0,"ATENÇÃO",IF(K122&lt;=5,"BOM","EXCELENTE")))</f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H123" s="3">
        <v>0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>IF(K123&lt;-5,"CRÍTICO",IF(K123&lt;0,"ATENÇÃO",IF(K123&lt;=5,"BOM","EXCELENTE")))</f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>IF(K124&lt;-5,"CRÍTICO",IF(K124&lt;0,"ATENÇÃO",IF(K124&lt;=5,"BOM","EXCELENTE")))</f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H125" s="3">
        <v>0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>IF(K125&lt;-5,"CRÍTICO",IF(K125&lt;0,"ATENÇÃO",IF(K125&lt;=5,"BOM","EXCELENTE")))</f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>IF(K126&lt;-5,"CRÍTICO",IF(K126&lt;0,"ATENÇÃO",IF(K126&lt;=5,"BOM","EXCELENTE")))</f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H127" s="3">
        <v>0</v>
      </c>
      <c r="I127" s="3">
        <f>E127+G127+H127</f>
        <v>33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>I127-J127</f>
        <v>5</v>
      </c>
      <c r="L127" s="3" t="str">
        <f>IF(K127&lt;-5,"CRÍTICO",IF(K127&lt;0,"ATENÇÃO",IF(K127&lt;=5,"BOM","EXCELENTE")))</f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H128" s="3">
        <v>0</v>
      </c>
      <c r="I128" s="3">
        <f>E128+G128+H128</f>
        <v>17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>I128-J128</f>
        <v>-3</v>
      </c>
      <c r="L128" s="3" t="str">
        <f>IF(K128&lt;-5,"CRÍTICO",IF(K128&lt;0,"ATENÇÃO",IF(K128&lt;=5,"BOM","EXCELENTE")))</f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H129" s="3">
        <v>0</v>
      </c>
      <c r="I129" s="3">
        <f>E129+G129+H129</f>
        <v>24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>I129-J129</f>
        <v>4</v>
      </c>
      <c r="L129" s="3" t="str">
        <f>IF(K129&lt;-5,"CRÍTICO",IF(K129&lt;0,"ATENÇÃO",IF(K129&lt;=5,"BOM","EXCELENTE")))</f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H130" s="3">
        <v>0</v>
      </c>
      <c r="I130" s="3">
        <f>E130+G130+H130</f>
        <v>35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23</v>
      </c>
      <c r="K130" s="3">
        <f>I130-J130</f>
        <v>12</v>
      </c>
      <c r="L130" s="3" t="str">
        <f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H131" s="3">
        <v>0</v>
      </c>
      <c r="I131" s="3">
        <f>E131+G131+H131</f>
        <v>52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35</v>
      </c>
      <c r="K131" s="3">
        <f>I131-J131</f>
        <v>17</v>
      </c>
      <c r="L131" s="3" t="str">
        <f>IF(K131&lt;-5,"CRÍTICO",IF(K131&lt;0,"ATENÇÃO",IF(K131&lt;=5,"BOM","EXCELENTE")))</f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H132" s="3">
        <v>0</v>
      </c>
      <c r="I132" s="3">
        <f>E132+G132+H132</f>
        <v>19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23</v>
      </c>
      <c r="K132" s="3">
        <f>I132-J132</f>
        <v>-4</v>
      </c>
      <c r="L132" s="3" t="str">
        <f>IF(K132&lt;-5,"CRÍTICO",IF(K132&lt;0,"ATENÇÃO",IF(K132&lt;=5,"BOM","EXCELENTE")))</f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H133" s="3">
        <v>0</v>
      </c>
      <c r="I133" s="3">
        <f>E133+G133+H133</f>
        <v>28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35</v>
      </c>
      <c r="K133" s="3">
        <f>I133-J133</f>
        <v>-7</v>
      </c>
      <c r="L133" s="3" t="str">
        <f>IF(K133&lt;-5,"CRÍTICO",IF(K133&lt;0,"ATENÇÃO",IF(K133&lt;=5,"BOM","EXCELENTE")))</f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H134" s="3">
        <v>0</v>
      </c>
      <c r="I134" s="3">
        <f>E134+G134+H134</f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26</v>
      </c>
      <c r="K134" s="3">
        <f>I134-J134</f>
        <v>8</v>
      </c>
      <c r="L134" s="3" t="str">
        <f>IF(K134&lt;-5,"CRÍTICO",IF(K134&lt;0,"ATENÇÃO",IF(K134&lt;=5,"BOM","EXCELENTE")))</f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>IF(K135&lt;-5,"CRÍTICO",IF(K135&lt;0,"ATENÇÃO",IF(K135&lt;=5,"BOM","EXCELENTE")))</f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H136" s="3">
        <v>0</v>
      </c>
      <c r="I136" s="3">
        <f>E136+G136+H136</f>
        <v>38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>I136-J136</f>
        <v>16</v>
      </c>
      <c r="L136" s="3" t="str">
        <f>IF(K136&lt;-5,"CRÍTICO",IF(K136&lt;0,"ATENÇÃO",IF(K136&lt;=5,"BOM","EXCELENTE")))</f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H137" s="3">
        <v>0</v>
      </c>
      <c r="I137" s="3">
        <f>E137+G137+H137</f>
        <v>32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33</v>
      </c>
      <c r="K137" s="3">
        <f>I137-J137</f>
        <v>-1</v>
      </c>
      <c r="L137" s="3" t="str">
        <f>IF(K137&lt;-5,"CRÍTICO",IF(K137&lt;0,"ATENÇÃO",IF(K137&lt;=5,"BOM","EXCELENTE")))</f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H138" s="3">
        <v>0</v>
      </c>
      <c r="I138" s="3">
        <f>E138+G138+H138</f>
        <v>34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26</v>
      </c>
      <c r="K138" s="3">
        <f>I138-J138</f>
        <v>8</v>
      </c>
      <c r="L138" s="3" t="str">
        <f>IF(K138&lt;-5,"CRÍTICO",IF(K138&lt;0,"ATENÇÃO",IF(K138&lt;=5,"BOM","EXCELENTE")))</f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H139" s="3">
        <v>0</v>
      </c>
      <c r="I139" s="3">
        <f>E139+G139+H139</f>
        <v>29</v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>26</v>
      </c>
      <c r="K139" s="3">
        <f>I139-J139</f>
        <v>3</v>
      </c>
      <c r="L139" s="3" t="str">
        <f>IF(K139&lt;-5,"CRÍTICO",IF(K139&lt;0,"ATENÇÃO",IF(K139&lt;=5,"BOM","EXCELENTE")))</f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>E140+G140+H140</f>
        <v>32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9</v>
      </c>
      <c r="K140" s="3">
        <f>I140-J140</f>
        <v>23</v>
      </c>
      <c r="L140" s="3" t="str">
        <f>IF(K140&lt;-5,"CRÍTICO",IF(K140&lt;0,"ATENÇÃO",IF(K140&lt;=5,"BOM","EXCELENTE")))</f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H141" s="3">
        <v>0</v>
      </c>
      <c r="I141" s="3">
        <f>E141+G141+H141</f>
        <v>12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9</v>
      </c>
      <c r="K141" s="3">
        <f>I141-J141</f>
        <v>3</v>
      </c>
      <c r="L141" s="3" t="str">
        <f>IF(K141&lt;-5,"CRÍTICO",IF(K141&lt;0,"ATENÇÃO",IF(K141&lt;=5,"BOM","EXCELENTE")))</f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H142" s="3">
        <v>0</v>
      </c>
      <c r="I142" s="3">
        <f>E142+G142+H142</f>
        <v>32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9</v>
      </c>
      <c r="K142" s="3">
        <f>I142-J142</f>
        <v>23</v>
      </c>
      <c r="L142" s="3" t="str">
        <f>IF(K142&lt;-5,"CRÍTICO",IF(K142&lt;0,"ATENÇÃO",IF(K142&lt;=5,"BOM","EXCELENTE")))</f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>E143+G143+H143</f>
        <v>37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9</v>
      </c>
      <c r="K143" s="3">
        <f>I143-J143</f>
        <v>28</v>
      </c>
      <c r="L143" s="3" t="str">
        <f>IF(K143&lt;-5,"CRÍTICO",IF(K143&lt;0,"ATENÇÃO",IF(K143&lt;=5,"BOM","EXCELENTE")))</f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H144" s="3">
        <v>0</v>
      </c>
      <c r="I144" s="3">
        <f>E144+G144+H144</f>
        <v>24</v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>22</v>
      </c>
      <c r="K144" s="3">
        <f>I144-J144</f>
        <v>2</v>
      </c>
      <c r="L144" s="3" t="str">
        <f>IF(K144&lt;-5,"CRÍTICO",IF(K144&lt;0,"ATENÇÃO",IF(K144&lt;=5,"BOM","EXCELENTE")))</f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H145" s="3">
        <v>0</v>
      </c>
      <c r="I145" s="3">
        <f>E145+G145+H145</f>
        <v>44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33</v>
      </c>
      <c r="K145" s="3">
        <f>I145-J145</f>
        <v>11</v>
      </c>
      <c r="L145" s="3" t="str">
        <f>IF(K145&lt;-5,"CRÍTICO",IF(K145&lt;0,"ATENÇÃO",IF(K145&lt;=5,"BOM","EXCELENTE")))</f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H146" s="3">
        <v>0</v>
      </c>
      <c r="I146" s="3">
        <f>E146+G146+H146</f>
        <v>20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26</v>
      </c>
      <c r="K146" s="3">
        <f>I146-J146</f>
        <v>-6</v>
      </c>
      <c r="L146" s="3" t="str">
        <f>IF(K146&lt;-5,"CRÍTICO",IF(K146&lt;0,"ATENÇÃO",IF(K146&lt;=5,"BOM","EXCELENTE")))</f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H147" s="3">
        <v>0</v>
      </c>
      <c r="I147" s="3">
        <f>E147+G147+H147</f>
        <v>24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22</v>
      </c>
      <c r="K147" s="3">
        <f>I147-J147</f>
        <v>2</v>
      </c>
      <c r="L147" s="3" t="str">
        <f>IF(K147&lt;-5,"CRÍTICO",IF(K147&lt;0,"ATENÇÃO",IF(K147&lt;=5,"BOM","EXCELENTE")))</f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H148" s="3">
        <v>0</v>
      </c>
      <c r="I148" s="3">
        <f>E148+G148+H148</f>
        <v>30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33</v>
      </c>
      <c r="K148" s="3">
        <f>I148-J148</f>
        <v>-3</v>
      </c>
      <c r="L148" s="3" t="str">
        <f>IF(K148&lt;-5,"CRÍTICO",IF(K148&lt;0,"ATENÇÃO",IF(K148&lt;=5,"BOM","EXCELENTE")))</f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H149" s="3">
        <v>0</v>
      </c>
      <c r="I149" s="3">
        <f>E149+G149+H149</f>
        <v>15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9</v>
      </c>
      <c r="K149" s="3">
        <f>I149-J149</f>
        <v>6</v>
      </c>
      <c r="L149" s="3" t="str">
        <f>IF(K149&lt;-5,"CRÍTICO",IF(K149&lt;0,"ATENÇÃO",IF(K149&lt;=5,"BOM","EXCELENTE")))</f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>E150+G150+H150</f>
        <v>15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9</v>
      </c>
      <c r="K150" s="3">
        <f>I150-J150</f>
        <v>6</v>
      </c>
      <c r="L150" s="3" t="str">
        <f>IF(K150&lt;-5,"CRÍTICO",IF(K150&lt;0,"ATENÇÃO",IF(K150&lt;=5,"BOM","EXCELENTE")))</f>
        <v>EXCELENTE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H151" s="3">
        <v>0</v>
      </c>
      <c r="I151" s="3">
        <f>E151+G151+H151</f>
        <v>31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26</v>
      </c>
      <c r="K151" s="3">
        <f>I151-J151</f>
        <v>5</v>
      </c>
      <c r="L151" s="3" t="str">
        <f>IF(K151&lt;-5,"CRÍTICO",IF(K151&lt;0,"ATENÇÃO",IF(K151&lt;=5,"BOM","EXCELENTE")))</f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>IF(K152&lt;-5,"CRÍTICO",IF(K152&lt;0,"ATENÇÃO",IF(K152&lt;=5,"BOM","EXCELENTE")))</f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>IF(K153&lt;-5,"CRÍTICO",IF(K153&lt;0,"ATENÇÃO",IF(K153&lt;=5,"BOM","EXCELENTE")))</f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11">
        <v>46029</v>
      </c>
      <c r="B154" t="s">
        <v>36</v>
      </c>
      <c r="C154" t="s">
        <v>20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16</v>
      </c>
      <c r="K154" s="3">
        <f>I154-J154</f>
        <v>9</v>
      </c>
      <c r="L154" s="3" t="str">
        <f>IF(K154&lt;-5,"CRÍTICO",IF(K154&lt;0,"ATENÇÃO",IF(K154&lt;=5,"BOM","EXCELENTE")))</f>
        <v>EXCELENTE</v>
      </c>
      <c r="N154">
        <v>98.91</v>
      </c>
      <c r="O154">
        <v>31.367292225201069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H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>IF(K155&lt;-5,"CRÍTICO",IF(K155&lt;0,"ATENÇÃO",IF(K155&lt;=5,"BOM","EXCELENTE")))</f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H156" s="3">
        <v>0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>IF(K156&lt;-5,"CRÍTICO",IF(K156&lt;0,"ATENÇÃO",IF(K156&lt;=5,"BOM","EXCELENTE")))</f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H157" s="3">
        <v>0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>IF(K157&lt;-5,"CRÍTICO",IF(K157&lt;0,"ATENÇÃO",IF(K157&lt;=5,"BOM","EXCELENTE")))</f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H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>IF(K158&lt;-5,"CRÍTICO",IF(K158&lt;0,"ATENÇÃO",IF(K158&lt;=5,"BOM","EXCELENTE")))</f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>IF(K159&lt;-5,"CRÍTICO",IF(K159&lt;0,"ATENÇÃO",IF(K159&lt;=5,"BOM","EXCELENTE")))</f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H160" s="3">
        <v>0</v>
      </c>
      <c r="I160" s="3">
        <f>E160+G160+H160</f>
        <v>26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>I160-J160</f>
        <v>7</v>
      </c>
      <c r="L160" s="3" t="str">
        <f>IF(K160&lt;-5,"CRÍTICO",IF(K160&lt;0,"ATENÇÃO",IF(K160&lt;=5,"BOM","EXCELENTE")))</f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H161" s="3">
        <v>0</v>
      </c>
      <c r="I161" s="3">
        <f>E161+G161+H161</f>
        <v>23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33</v>
      </c>
      <c r="K161" s="3">
        <f>I161-J161</f>
        <v>-10</v>
      </c>
      <c r="L161" s="3" t="str">
        <f>IF(K161&lt;-5,"CRÍTICO",IF(K161&lt;0,"ATENÇÃO",IF(K161&lt;=5,"BOM","EXCELENTE")))</f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H162" s="3">
        <v>0</v>
      </c>
      <c r="I162" s="3">
        <f>E162+G162+H162</f>
        <v>16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19</v>
      </c>
      <c r="K162" s="3">
        <f>I162-J162</f>
        <v>-3</v>
      </c>
      <c r="L162" s="3" t="str">
        <f>IF(K162&lt;-5,"CRÍTICO",IF(K162&lt;0,"ATENÇÃO",IF(K162&lt;=5,"BOM","EXCELENTE")))</f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H163" s="3">
        <v>0</v>
      </c>
      <c r="I163" s="3">
        <f>E163+G163+H163</f>
        <v>23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33</v>
      </c>
      <c r="K163" s="3">
        <f>I163-J163</f>
        <v>-10</v>
      </c>
      <c r="L163" s="3" t="str">
        <f>IF(K163&lt;-5,"CRÍTICO",IF(K163&lt;0,"ATENÇÃO",IF(K163&lt;=5,"BOM","EXCELENTE")))</f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H164" s="3">
        <v>0</v>
      </c>
      <c r="I164" s="3">
        <f>E164+G164+H164</f>
        <v>43</v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>26</v>
      </c>
      <c r="K164" s="3">
        <f>I164-J164</f>
        <v>17</v>
      </c>
      <c r="L164" s="3" t="str">
        <f>IF(K164&lt;-5,"CRÍTICO",IF(K164&lt;0,"ATENÇÃO",IF(K164&lt;=5,"BOM","EXCELENTE")))</f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H165" s="3">
        <v>0</v>
      </c>
      <c r="I165" s="3">
        <f>E165+G165+H165</f>
        <v>27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26</v>
      </c>
      <c r="K165" s="3">
        <f>I165-J165</f>
        <v>1</v>
      </c>
      <c r="L165" s="3" t="str">
        <f>IF(K165&lt;-5,"CRÍTICO",IF(K165&lt;0,"ATENÇÃO",IF(K165&lt;=5,"BOM","EXCELENTE")))</f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>IF(K166&lt;-5,"CRÍTICO",IF(K166&lt;0,"ATENÇÃO",IF(K166&lt;=5,"BOM","EXCELENTE")))</f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H167" s="3">
        <v>0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>IF(K167&lt;-5,"CRÍTICO",IF(K167&lt;0,"ATENÇÃO",IF(K167&lt;=5,"BOM","EXCELENTE")))</f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>IF(K168&lt;-5,"CRÍTICO",IF(K168&lt;0,"ATENÇÃO",IF(K168&lt;=5,"BOM","EXCELENTE")))</f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H169" s="3">
        <v>0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>IF(K169&lt;-5,"CRÍTICO",IF(K169&lt;0,"ATENÇÃO",IF(K169&lt;=5,"BOM","EXCELENTE")))</f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>IF(K170&lt;-5,"CRÍTICO",IF(K170&lt;0,"ATENÇÃO",IF(K170&lt;=5,"BOM","EXCELENTE")))</f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H171" s="3">
        <v>0</v>
      </c>
      <c r="I171" s="3">
        <f>E171+G171+H171</f>
        <v>10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>I171-J171</f>
        <v>-16</v>
      </c>
      <c r="L171" s="3" t="str">
        <f>IF(K171&lt;-5,"CRÍTICO",IF(K171&lt;0,"ATENÇÃO",IF(K171&lt;=5,"BOM","EXCELENTE")))</f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H172" s="3">
        <v>0</v>
      </c>
      <c r="I172" s="3">
        <f>E172+G172+H172</f>
        <v>24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19</v>
      </c>
      <c r="K172" s="3">
        <f>I172-J172</f>
        <v>5</v>
      </c>
      <c r="L172" s="3" t="str">
        <f>IF(K172&lt;-5,"CRÍTICO",IF(K172&lt;0,"ATENÇÃO",IF(K172&lt;=5,"BOM","EXCELENTE")))</f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H173" s="3">
        <v>0</v>
      </c>
      <c r="I173" s="3">
        <f>E173+G173+H173</f>
        <v>24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19</v>
      </c>
      <c r="K173" s="3">
        <f>I173-J173</f>
        <v>5</v>
      </c>
      <c r="L173" s="3" t="str">
        <f>IF(K173&lt;-5,"CRÍTICO",IF(K173&lt;0,"ATENÇÃO",IF(K173&lt;=5,"BOM","EXCELENTE")))</f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H174" s="3">
        <v>0</v>
      </c>
      <c r="I174" s="3">
        <f>E174+G174+H174</f>
        <v>40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22</v>
      </c>
      <c r="K174" s="3">
        <f>I174-J174</f>
        <v>18</v>
      </c>
      <c r="L174" s="3" t="str">
        <f>IF(K174&lt;-5,"CRÍTICO",IF(K174&lt;0,"ATENÇÃO",IF(K174&lt;=5,"BOM","EXCELENTE")))</f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33</v>
      </c>
      <c r="K175" s="3">
        <f>I175-J175</f>
        <v>5</v>
      </c>
      <c r="L175" s="3" t="str">
        <f>IF(K175&lt;-5,"CRÍTICO",IF(K175&lt;0,"ATENÇÃO",IF(K175&lt;=5,"BOM","EXCELENTE")))</f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H176" s="3">
        <v>0</v>
      </c>
      <c r="I176" s="3">
        <f>E176+G176+H176</f>
        <v>20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22</v>
      </c>
      <c r="K176" s="3">
        <f>I176-J176</f>
        <v>-2</v>
      </c>
      <c r="L176" s="3" t="str">
        <f>IF(K176&lt;-5,"CRÍTICO",IF(K176&lt;0,"ATENÇÃO",IF(K176&lt;=5,"BOM","EXCELENTE")))</f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>E177+G177+H177</f>
        <v>32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33</v>
      </c>
      <c r="K177" s="3">
        <f>I177-J177</f>
        <v>-1</v>
      </c>
      <c r="L177" s="3" t="str">
        <f>IF(K177&lt;-5,"CRÍTICO",IF(K177&lt;0,"ATENÇÃO",IF(K177&lt;=5,"BOM","EXCELENTE")))</f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>E178+G178+H178</f>
        <v>34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23</v>
      </c>
      <c r="K178" s="3">
        <f>I178-J178</f>
        <v>11</v>
      </c>
      <c r="L178" s="3" t="str">
        <f>IF(K178&lt;-5,"CRÍTICO",IF(K178&lt;0,"ATENÇÃO",IF(K178&lt;=5,"BOM","EXCELENTE")))</f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>IF(K179&lt;-5,"CRÍTICO",IF(K179&lt;0,"ATENÇÃO",IF(K179&lt;=5,"BOM","EXCELENTE")))</f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>E180+G180+H180</f>
        <v>25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>I180-J180</f>
        <v>6</v>
      </c>
      <c r="L180" s="3" t="str">
        <f>IF(K180&lt;-5,"CRÍTICO",IF(K180&lt;0,"ATENÇÃO",IF(K180&lt;=5,"BOM","EXCELENTE")))</f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>E181+G181+H181</f>
        <v>24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29</v>
      </c>
      <c r="K181" s="3">
        <f>I181-J181</f>
        <v>-5</v>
      </c>
      <c r="L181" s="3" t="str">
        <f>IF(K181&lt;-5,"CRÍTICO",IF(K181&lt;0,"ATENÇÃO",IF(K181&lt;=5,"BOM","EXCELENTE")))</f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>E182+G182+H182</f>
        <v>32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23</v>
      </c>
      <c r="K182" s="3">
        <f>I182-J182</f>
        <v>9</v>
      </c>
      <c r="L182" s="3" t="str">
        <f>IF(K182&lt;-5,"CRÍTICO",IF(K182&lt;0,"ATENÇÃO",IF(K182&lt;=5,"BOM","EXCELENTE")))</f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>E183+G183+H183</f>
        <v>12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23</v>
      </c>
      <c r="K183" s="3">
        <f>I183-J183</f>
        <v>-11</v>
      </c>
      <c r="L183" s="3" t="str">
        <f>IF(K183&lt;-5,"CRÍTICO",IF(K183&lt;0,"ATENÇÃO",IF(K183&lt;=5,"BOM","EXCELENTE")))</f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>E184+G184+H184</f>
        <v>30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19</v>
      </c>
      <c r="K184" s="3">
        <f>I184-J184</f>
        <v>11</v>
      </c>
      <c r="L184" s="3" t="str">
        <f>IF(K184&lt;-5,"CRÍTICO",IF(K184&lt;0,"ATENÇÃO",IF(K184&lt;=5,"BOM","EXCELENTE")))</f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>E185+G185+H185</f>
        <v>26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29</v>
      </c>
      <c r="K185" s="3">
        <f>I185-J185</f>
        <v>-3</v>
      </c>
      <c r="L185" s="3" t="str">
        <f>IF(K185&lt;-5,"CRÍTICO",IF(K185&lt;0,"ATENÇÃO",IF(K185&lt;=5,"BOM","EXCELENTE")))</f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>E186+G186+H186</f>
        <v>17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23</v>
      </c>
      <c r="K186" s="3">
        <f>I186-J186</f>
        <v>-6</v>
      </c>
      <c r="L186" s="3" t="str">
        <f>IF(K186&lt;-5,"CRÍTICO",IF(K186&lt;0,"ATENÇÃO",IF(K186&lt;=5,"BOM","EXCELENTE")))</f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>E187+G187+H187</f>
        <v>16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19</v>
      </c>
      <c r="K187" s="3">
        <f>I187-J187</f>
        <v>-3</v>
      </c>
      <c r="L187" s="3" t="str">
        <f>IF(K187&lt;-5,"CRÍTICO",IF(K187&lt;0,"ATENÇÃO",IF(K187&lt;=5,"BOM","EXCELENTE")))</f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>E188+G188+H188</f>
        <v>22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29</v>
      </c>
      <c r="K188" s="3">
        <f>I188-J188</f>
        <v>-7</v>
      </c>
      <c r="L188" s="3" t="str">
        <f>IF(K188&lt;-5,"CRÍTICO",IF(K188&lt;0,"ATENÇÃO",IF(K188&lt;=5,"BOM","EXCELENTE")))</f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>E189+G189+H189</f>
        <v>35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8</v>
      </c>
      <c r="K189" s="3">
        <f>I189-J189</f>
        <v>27</v>
      </c>
      <c r="L189" s="3" t="str">
        <f>IF(K189&lt;-5,"CRÍTICO",IF(K189&lt;0,"ATENÇÃO",IF(K189&lt;=5,"BOM","EXCELENTE")))</f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>E190+G190+H190</f>
        <v>9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8</v>
      </c>
      <c r="K190" s="3">
        <f>I190-J190</f>
        <v>1</v>
      </c>
      <c r="L190" s="3" t="str">
        <f>IF(K190&lt;-5,"CRÍTICO",IF(K190&lt;0,"ATENÇÃO",IF(K190&lt;=5,"BOM","EXCELENTE")))</f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>E191+G191+H191</f>
        <v>8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8</v>
      </c>
      <c r="K191" s="3">
        <f>I191-J191</f>
        <v>0</v>
      </c>
      <c r="L191" s="3" t="str">
        <f>IF(K191&lt;-5,"CRÍTICO",IF(K191&lt;0,"ATENÇÃO",IF(K191&lt;=5,"BOM","EXCELENTE")))</f>
        <v>BOM</v>
      </c>
      <c r="M191">
        <v>6</v>
      </c>
      <c r="N191">
        <v>100</v>
      </c>
      <c r="O191">
        <v>29.032258064516132</v>
      </c>
    </row>
    <row r="192" spans="1:15" hidden="1" x14ac:dyDescent="0.25">
      <c r="A192" s="11">
        <v>46030</v>
      </c>
      <c r="B192" t="s">
        <v>36</v>
      </c>
      <c r="C192" t="s">
        <v>20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14</v>
      </c>
      <c r="K192" s="3">
        <f>I192-J192</f>
        <v>3</v>
      </c>
      <c r="L192" s="3" t="str">
        <f>IF(K192&lt;-5,"CRÍTICO",IF(K192&lt;0,"ATENÇÃO",IF(K192&lt;=5,"BOM","EXCELENTE")))</f>
        <v>BOM</v>
      </c>
      <c r="N192">
        <v>98.91</v>
      </c>
      <c r="O192">
        <v>31.367292225201069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>E193+G193+H193</f>
        <v>34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8</v>
      </c>
      <c r="K193" s="3">
        <f>I193-J193</f>
        <v>26</v>
      </c>
      <c r="L193" s="3" t="str">
        <f>IF(K193&lt;-5,"CRÍTICO",IF(K193&lt;0,"ATENÇÃO",IF(K193&lt;=5,"BOM","EXCELENTE")))</f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>E194+G194+H194</f>
        <v>13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8</v>
      </c>
      <c r="K194" s="3">
        <f>I194-J194</f>
        <v>5</v>
      </c>
      <c r="L194" s="3" t="str">
        <f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>E195+G195+H195</f>
        <v>17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8</v>
      </c>
      <c r="K195" s="3">
        <f>I195-J195</f>
        <v>9</v>
      </c>
      <c r="L195" s="3" t="str">
        <f>IF(K195&lt;-5,"CRÍTICO",IF(K195&lt;0,"ATENÇÃO",IF(K195&lt;=5,"BOM","EXCELENTE")))</f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>E196+G196+H196</f>
        <v>29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23</v>
      </c>
      <c r="K196" s="3">
        <f>I196-J196</f>
        <v>6</v>
      </c>
      <c r="L196" s="3" t="str">
        <f>IF(K196&lt;-5,"CRÍTICO",IF(K196&lt;0,"ATENÇÃO",IF(K196&lt;=5,"BOM","EXCELENTE")))</f>
        <v>EXCELENTE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>IF(K197&lt;-5,"CRÍTICO",IF(K197&lt;0,"ATENÇÃO",IF(K197&lt;=5,"BOM","EXCELENTE")))</f>
        <v>BOM</v>
      </c>
      <c r="M197" s="9">
        <v>0</v>
      </c>
      <c r="N197" s="9">
        <v>100</v>
      </c>
      <c r="O197" s="9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>IF(K198&lt;-5,"CRÍTICO",IF(K198&lt;0,"ATENÇÃO",IF(K198&lt;=5,"BOM","EXCELENTE")))</f>
        <v>BOM</v>
      </c>
      <c r="M198" s="9">
        <v>0</v>
      </c>
      <c r="N198" s="9">
        <v>100</v>
      </c>
      <c r="O198" s="9">
        <v>17.241379310344829</v>
      </c>
    </row>
    <row r="199" spans="1:15" hidden="1" x14ac:dyDescent="0.25">
      <c r="A199" s="11">
        <v>46031</v>
      </c>
      <c r="B199" t="s">
        <v>36</v>
      </c>
      <c r="C199" t="s">
        <v>20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12</v>
      </c>
      <c r="K199" s="3">
        <f>I199-J199</f>
        <v>5</v>
      </c>
      <c r="L199" s="3" t="str">
        <f>IF(K199&lt;-5,"CRÍTICO",IF(K199&lt;0,"ATENÇÃO",IF(K199&lt;=5,"BOM","EXCELENTE")))</f>
        <v>BOM</v>
      </c>
      <c r="N199">
        <v>98.91</v>
      </c>
      <c r="O199">
        <v>31.367292225201069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>IF(K200&lt;-5,"CRÍTICO",IF(K200&lt;0,"ATENÇÃO",IF(K200&lt;=5,"BOM","EXCELENTE")))</f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>IF(K201&lt;-5,"CRÍTICO",IF(K201&lt;0,"ATENÇÃO",IF(K201&lt;=5,"BOM","EXCELENTE")))</f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>IF(K202&lt;-5,"CRÍTICO",IF(K202&lt;0,"ATENÇÃO",IF(K202&lt;=5,"BOM","EXCELENTE")))</f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>IF(K203&lt;-5,"CRÍTICO",IF(K203&lt;0,"ATENÇÃO",IF(K203&lt;=5,"BOM","EXCELENTE")))</f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>IF(K204&lt;-5,"CRÍTICO",IF(K204&lt;0,"ATENÇÃO",IF(K204&lt;=5,"BOM","EXCELENTE")))</f>
        <v>BOM</v>
      </c>
      <c r="M204" s="9">
        <v>0</v>
      </c>
      <c r="N204" s="9">
        <v>0</v>
      </c>
      <c r="O204" s="9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>E205+G205+H205</f>
        <v>21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>I205-J205</f>
        <v>5</v>
      </c>
      <c r="L205" s="3" t="str">
        <f>IF(K205&lt;-5,"CRÍTICO",IF(K205&lt;0,"ATENÇÃO",IF(K205&lt;=5,"BOM","EXCELENTE")))</f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>E206+G206+H206</f>
        <v>4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29</v>
      </c>
      <c r="K206" s="3">
        <f>I206-J206</f>
        <v>-25</v>
      </c>
      <c r="L206" s="3" t="str">
        <f>IF(K206&lt;-5,"CRÍTICO",IF(K206&lt;0,"ATENÇÃO",IF(K206&lt;=5,"BOM","EXCELENTE")))</f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>E207+G207+H207</f>
        <v>15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16</v>
      </c>
      <c r="K207" s="3">
        <f>I207-J207</f>
        <v>-1</v>
      </c>
      <c r="L207" s="3" t="str">
        <f>IF(K207&lt;-5,"CRÍTICO",IF(K207&lt;0,"ATENÇÃO",IF(K207&lt;=5,"BOM","EXCELENTE")))</f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>E208+G208+H208</f>
        <v>28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29</v>
      </c>
      <c r="K208" s="3">
        <f>I208-J208</f>
        <v>-1</v>
      </c>
      <c r="L208" s="3" t="str">
        <f>IF(K208&lt;-5,"CRÍTICO",IF(K208&lt;0,"ATENÇÃO",IF(K208&lt;=5,"BOM","EXCELENTE")))</f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>E209+G209+H209</f>
        <v>21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23</v>
      </c>
      <c r="K209" s="3">
        <f>I209-J209</f>
        <v>-2</v>
      </c>
      <c r="L209" s="3" t="str">
        <f>IF(K209&lt;-5,"CRÍTICO",IF(K209&lt;0,"ATENÇÃO",IF(K209&lt;=5,"BOM","EXCELENTE")))</f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>E210+G210+H210</f>
        <v>26</v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>23</v>
      </c>
      <c r="K210" s="3">
        <f>I210-J210</f>
        <v>3</v>
      </c>
      <c r="L210" s="3" t="str">
        <f>IF(K210&lt;-5,"CRÍTICO",IF(K210&lt;0,"ATENÇÃO",IF(K210&lt;=5,"BOM","EXCELENTE")))</f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>IF(K211&lt;-5,"CRÍTICO",IF(K211&lt;0,"ATENÇÃO",IF(K211&lt;=5,"BOM","EXCELENTE")))</f>
        <v>BOM</v>
      </c>
      <c r="M211" s="9">
        <v>0</v>
      </c>
      <c r="N211" s="9">
        <v>100</v>
      </c>
      <c r="O211" s="9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>E212+G212+H212</f>
        <v>23</v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>I212-J212</f>
        <v>4</v>
      </c>
      <c r="L212" s="3" t="str">
        <f>IF(K212&lt;-5,"CRÍTICO",IF(K212&lt;0,"ATENÇÃO",IF(K212&lt;=5,"BOM","EXCELENTE")))</f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>E213+G213+H213</f>
        <v>31</v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29</v>
      </c>
      <c r="K213" s="3">
        <f>I213-J213</f>
        <v>2</v>
      </c>
      <c r="L213" s="3" t="str">
        <f>IF(K213&lt;-5,"CRÍTICO",IF(K213&lt;0,"ATENÇÃO",IF(K213&lt;=5,"BOM","EXCELENTE")))</f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>E214+G214+H214</f>
        <v>29</v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>29</v>
      </c>
      <c r="K214" s="3">
        <f>I214-J214</f>
        <v>0</v>
      </c>
      <c r="L214" s="3" t="str">
        <f>IF(K214&lt;-5,"CRÍTICO",IF(K214&lt;0,"ATENÇÃO",IF(K214&lt;=5,"BOM","EXCELENTE")))</f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>E215+G215+H215</f>
        <v>26</v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>16</v>
      </c>
      <c r="K215" s="3">
        <f>I215-J215</f>
        <v>10</v>
      </c>
      <c r="L215" s="3" t="str">
        <f>IF(K215&lt;-5,"CRÍTICO",IF(K215&lt;0,"ATENÇÃO",IF(K215&lt;=5,"BOM","EXCELENTE")))</f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>E216+G216+H216</f>
        <v>19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23</v>
      </c>
      <c r="K216" s="3">
        <f>I216-J216</f>
        <v>-4</v>
      </c>
      <c r="L216" s="3" t="str">
        <f>IF(K216&lt;-5,"CRÍTICO",IF(K216&lt;0,"ATENÇÃO",IF(K216&lt;=5,"BOM","EXCELENTE")))</f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16</v>
      </c>
      <c r="K217" s="3">
        <f>I217-J217</f>
        <v>-2</v>
      </c>
      <c r="L217" s="3" t="str">
        <f>IF(K217&lt;-5,"CRÍTICO",IF(K217&lt;0,"ATENÇÃO",IF(K217&lt;=5,"BOM","EXCELENTE")))</f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>E218+G218+H218</f>
        <v>17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16</v>
      </c>
      <c r="K218" s="3">
        <f>I218-J218</f>
        <v>1</v>
      </c>
      <c r="L218" s="3" t="str">
        <f>IF(K218&lt;-5,"CRÍTICO",IF(K218&lt;0,"ATENÇÃO",IF(K218&lt;=5,"BOM","EXCELENTE")))</f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>E219+G219+H219</f>
        <v>36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17</v>
      </c>
      <c r="L219" s="3" t="str">
        <f>IF(K219&lt;-5,"CRÍTICO",IF(K219&lt;0,"ATENÇÃO",IF(K219&lt;=5,"BOM","EXCELENTE")))</f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>E220+G220+H220</f>
        <v>38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29</v>
      </c>
      <c r="K220" s="3">
        <f>I220-J220</f>
        <v>9</v>
      </c>
      <c r="L220" s="3" t="str">
        <f>IF(K220&lt;-5,"CRÍTICO",IF(K220&lt;0,"ATENÇÃO",IF(K220&lt;=5,"BOM","EXCELENTE")))</f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>IF(K221&lt;-5,"CRÍTICO",IF(K221&lt;0,"ATENÇÃO",IF(K221&lt;=5,"BOM","EXCELENTE")))</f>
        <v>BOM</v>
      </c>
      <c r="M221" s="9">
        <v>0</v>
      </c>
      <c r="N221" s="9">
        <v>100</v>
      </c>
      <c r="O221" s="9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>IF(K222&lt;-5,"CRÍTICO",IF(K222&lt;0,"ATENÇÃO",IF(K222&lt;=5,"BOM","EXCELENTE")))</f>
        <v>ATENÇÃO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H223" s="3">
        <v>0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>IF(K223&lt;-5,"CRÍTICO",IF(K223&lt;0,"ATENÇÃO",IF(K223&lt;=5,"BOM","EXCELENTE")))</f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>IF(K224&lt;-5,"CRÍTICO",IF(K224&lt;0,"ATENÇÃO",IF(K224&lt;=5,"BOM","EXCELENTE")))</f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H225" s="3">
        <v>0</v>
      </c>
      <c r="I225" s="3">
        <f>E225+G225+H225</f>
        <v>46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26</v>
      </c>
      <c r="L225" s="3" t="str">
        <f>IF(K225&lt;-5,"CRÍTICO",IF(K225&lt;0,"ATENÇÃO",IF(K225&lt;=5,"BOM","EXCELENTE")))</f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G226" s="3">
        <v>0</v>
      </c>
      <c r="H226" s="3">
        <v>0</v>
      </c>
      <c r="I226" s="3">
        <f>E226+G226+H226</f>
        <v>16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30</v>
      </c>
      <c r="K226" s="3">
        <f>I226-J226</f>
        <v>-14</v>
      </c>
      <c r="L226" s="3" t="str">
        <f>IF(K226&lt;-5,"CRÍTICO",IF(K226&lt;0,"ATENÇÃO",IF(K226&lt;=5,"BOM","EXCELENTE")))</f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H227" s="3">
        <v>0</v>
      </c>
      <c r="I227" s="3">
        <f>E227+G227+H227</f>
        <v>30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24</v>
      </c>
      <c r="K227" s="3">
        <f>I227-J227</f>
        <v>6</v>
      </c>
      <c r="L227" s="3" t="str">
        <f>IF(K227&lt;-5,"CRÍTICO",IF(K227&lt;0,"ATENÇÃO",IF(K227&lt;=5,"BOM","EXCELENTE")))</f>
        <v>EXCELENTE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H228" s="3">
        <v>0</v>
      </c>
      <c r="I228" s="3">
        <f>E228+G228+H228</f>
        <v>26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24</v>
      </c>
      <c r="K228" s="3">
        <f>I228-J228</f>
        <v>2</v>
      </c>
      <c r="L228" s="3" t="str">
        <f>IF(K228&lt;-5,"CRÍTICO",IF(K228&lt;0,"ATENÇÃO",IF(K228&lt;=5,"BOM","EXCELENTE")))</f>
        <v>BOM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H229" s="3">
        <v>0</v>
      </c>
      <c r="I229" s="3">
        <f>E229+G229+H229</f>
        <v>25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20</v>
      </c>
      <c r="K229" s="3">
        <f>I229-J229</f>
        <v>5</v>
      </c>
      <c r="L229" s="3" t="str">
        <f>IF(K229&lt;-5,"CRÍTICO",IF(K229&lt;0,"ATENÇÃO",IF(K229&lt;=5,"BOM","EXCELENTE")))</f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G230" s="3">
        <v>0</v>
      </c>
      <c r="H230" s="3">
        <v>0</v>
      </c>
      <c r="I230" s="3">
        <f>E230+G230+H230</f>
        <v>35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30</v>
      </c>
      <c r="K230" s="3">
        <f>I230-J230</f>
        <v>5</v>
      </c>
      <c r="L230" s="3" t="str">
        <f>IF(K230&lt;-5,"CRÍTICO",IF(K230&lt;0,"ATENÇÃO",IF(K230&lt;=5,"BOM","EXCELENTE")))</f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H231" s="3">
        <v>0</v>
      </c>
      <c r="I231" s="3">
        <f>E231+G231+H231</f>
        <v>31</v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>24</v>
      </c>
      <c r="K231" s="3">
        <f>I231-J231</f>
        <v>7</v>
      </c>
      <c r="L231" s="3" t="str">
        <f>IF(K231&lt;-5,"CRÍTICO",IF(K231&lt;0,"ATENÇÃO",IF(K231&lt;=5,"BOM","EXCELENTE")))</f>
        <v>EXCELENTE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H232" s="3">
        <v>0</v>
      </c>
      <c r="I232" s="3">
        <f>E232+G232+H232</f>
        <v>22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20</v>
      </c>
      <c r="K232" s="3">
        <f>I232-J232</f>
        <v>2</v>
      </c>
      <c r="L232" s="3" t="str">
        <f>IF(K232&lt;-5,"CRÍTICO",IF(K232&lt;0,"ATENÇÃO",IF(K232&lt;=5,"BOM","EXCELENTE")))</f>
        <v>BOM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G233" s="3">
        <v>0</v>
      </c>
      <c r="H233" s="3">
        <v>0</v>
      </c>
      <c r="I233" s="3">
        <f>E233+G233+H233</f>
        <v>25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30</v>
      </c>
      <c r="K233" s="3">
        <f>I233-J233</f>
        <v>-5</v>
      </c>
      <c r="L233" s="3" t="str">
        <f>IF(K233&lt;-5,"CRÍTICO",IF(K233&lt;0,"ATENÇÃO",IF(K233&lt;=5,"BOM","EXCELENTE")))</f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>E234+G234+H234</f>
        <v>32</v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>9</v>
      </c>
      <c r="K234" s="3">
        <f>I234-J234</f>
        <v>23</v>
      </c>
      <c r="L234" s="3" t="str">
        <f>IF(K234&lt;-5,"CRÍTICO",IF(K234&lt;0,"ATENÇÃO",IF(K234&lt;=5,"BOM","EXCELENTE")))</f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G235" s="3">
        <v>0</v>
      </c>
      <c r="H235" s="3">
        <v>0</v>
      </c>
      <c r="I235" s="3">
        <f>E235+G235+H235</f>
        <v>1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9</v>
      </c>
      <c r="K235" s="3">
        <f>I235-J235</f>
        <v>-8</v>
      </c>
      <c r="L235" s="3" t="str">
        <f>IF(K235&lt;-5,"CRÍTICO",IF(K235&lt;0,"ATENÇÃO",IF(K235&lt;=5,"BOM","EXCELENTE")))</f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G236" s="3">
        <v>0</v>
      </c>
      <c r="H236" s="3">
        <v>0</v>
      </c>
      <c r="I236" s="3">
        <f>E236+G236+H236</f>
        <v>5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9</v>
      </c>
      <c r="K236" s="3">
        <f>I236-J236</f>
        <v>-4</v>
      </c>
      <c r="L236" s="3" t="str">
        <f>IF(K236&lt;-5,"CRÍTICO",IF(K236&lt;0,"ATENÇÃO",IF(K236&lt;=5,"BOM","EXCELENTE")))</f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H237" s="3">
        <v>0</v>
      </c>
      <c r="I237" s="3">
        <f>E237+G237+H237</f>
        <v>31</v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>24</v>
      </c>
      <c r="K237" s="3">
        <f>I237-J237</f>
        <v>7</v>
      </c>
      <c r="L237" s="3" t="str">
        <f>IF(K237&lt;-5,"CRÍTICO",IF(K237&lt;0,"ATENÇÃO",IF(K237&lt;=5,"BOM","EXCELENTE")))</f>
        <v>EXCELENTE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IF(K238&lt;-5,"CRÍTICO",IF(K238&lt;0,"ATENÇÃO",IF(K238&lt;=5,"BOM","EXCELENTE")))</f>
        <v>BOM</v>
      </c>
      <c r="M238" s="9">
        <v>0</v>
      </c>
      <c r="N238" s="9">
        <v>100</v>
      </c>
      <c r="O238" s="9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IF(K239&lt;-5,"CRÍTICO",IF(K239&lt;0,"ATENÇÃO",IF(K239&lt;=5,"BOM","EXCELENTE")))</f>
        <v>BOM</v>
      </c>
      <c r="M239" s="9">
        <v>0</v>
      </c>
      <c r="N239" s="9">
        <v>100</v>
      </c>
      <c r="O239" s="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>E240+G240+H240</f>
        <v>32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>I240-J240</f>
        <v>23</v>
      </c>
      <c r="L240" s="3" t="str">
        <f>IF(K240&lt;-5,"CRÍTICO",IF(K240&lt;0,"ATENÇÃO",IF(K240&lt;=5,"BOM","EXCELENTE")))</f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G241" s="3">
        <v>0</v>
      </c>
      <c r="H241" s="3">
        <v>0</v>
      </c>
      <c r="I241" s="3">
        <f>E241+G241+H241</f>
        <v>7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9</v>
      </c>
      <c r="K241" s="3">
        <f>I241-J241</f>
        <v>-2</v>
      </c>
      <c r="L241" s="3" t="str">
        <f>IF(K241&lt;-5,"CRÍTICO",IF(K241&lt;0,"ATENÇÃO",IF(K241&lt;=5,"BOM","EXCELENTE")))</f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G242" s="3">
        <v>0</v>
      </c>
      <c r="H242" s="3">
        <v>0</v>
      </c>
      <c r="I242" s="3">
        <f>E242+G242+H242</f>
        <v>16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9</v>
      </c>
      <c r="K242" s="3">
        <f>I242-J242</f>
        <v>7</v>
      </c>
      <c r="L242" s="3" t="str">
        <f>IF(K242&lt;-5,"CRÍTICO",IF(K242&lt;0,"ATENÇÃO",IF(K242&lt;=5,"BOM","EXCELENTE")))</f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11">
        <v>46034</v>
      </c>
      <c r="B243" t="s">
        <v>36</v>
      </c>
      <c r="C243" t="s">
        <v>20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12</v>
      </c>
      <c r="K243" s="3">
        <f>I243-J243</f>
        <v>10</v>
      </c>
      <c r="L243" s="3" t="str">
        <f>IF(K243&lt;-5,"CRÍTICO",IF(K243&lt;0,"ATENÇÃO",IF(K243&lt;=5,"BOM","EXCELENTE")))</f>
        <v>EXCELENTE</v>
      </c>
      <c r="N243">
        <v>98.91</v>
      </c>
      <c r="O243">
        <v>31.367292225201069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G244" s="3">
        <v>0</v>
      </c>
      <c r="H244" s="3">
        <v>0</v>
      </c>
      <c r="I244" s="3">
        <f>E244+G244+H244</f>
        <v>24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24</v>
      </c>
      <c r="K244" s="3">
        <f>I244-J244</f>
        <v>0</v>
      </c>
      <c r="L244" s="3" t="str">
        <f>IF(K244&lt;-5,"CRÍTICO",IF(K244&lt;0,"ATENÇÃO",IF(K244&lt;=5,"BOM","EXCELENTE")))</f>
        <v>BOM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H245" s="3">
        <v>0</v>
      </c>
      <c r="I245" s="3">
        <f>E245+G245+H245</f>
        <v>49</v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>30</v>
      </c>
      <c r="K245" s="3">
        <f>I245-J245</f>
        <v>19</v>
      </c>
      <c r="L245" s="3" t="str">
        <f>IF(K245&lt;-5,"CRÍTICO",IF(K245&lt;0,"ATENÇÃO",IF(K245&lt;=5,"BOM","EXCELENTE")))</f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H246" s="3">
        <v>0</v>
      </c>
      <c r="I246" s="3">
        <f>E246+G246+H246</f>
        <v>24</v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>30</v>
      </c>
      <c r="K246" s="3">
        <f>I246-J246</f>
        <v>-6</v>
      </c>
      <c r="L246" s="3" t="str">
        <f>IF(K246&lt;-5,"CRÍTICO",IF(K246&lt;0,"ATENÇÃO",IF(K246&lt;=5,"BOM","EXCELENTE")))</f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24</v>
      </c>
      <c r="K247" s="3">
        <f>I247-J247</f>
        <v>8</v>
      </c>
      <c r="L247" s="3" t="str">
        <f>IF(K247&lt;-5,"CRÍTICO",IF(K247&lt;0,"ATENÇÃO",IF(K247&lt;=5,"BOM","EXCELENTE")))</f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IF(K248&lt;-5,"CRÍTICO",IF(K248&lt;0,"ATENÇÃO",IF(K248&lt;=5,"BOM","EXCELENTE")))</f>
        <v>BOM</v>
      </c>
      <c r="M248" s="9">
        <v>0</v>
      </c>
      <c r="N248" s="9">
        <v>0</v>
      </c>
      <c r="O248" s="9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H249" s="3">
        <v>0</v>
      </c>
      <c r="I249" s="3">
        <f>E249+G249+H249</f>
        <v>19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>I249-J249</f>
        <v>2</v>
      </c>
      <c r="L249" s="3" t="str">
        <f>IF(K249&lt;-5,"CRÍTICO",IF(K249&lt;0,"ATENÇÃO",IF(K249&lt;=5,"BOM","EXCELENTE")))</f>
        <v>BOM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H250" s="3">
        <v>0</v>
      </c>
      <c r="I250" s="3">
        <f>E250+G250+H250</f>
        <v>24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30</v>
      </c>
      <c r="K250" s="3">
        <f>I250-J250</f>
        <v>-6</v>
      </c>
      <c r="L250" s="3" t="str">
        <f>IF(K250&lt;-5,"CRÍTICO",IF(K250&lt;0,"ATENÇÃO",IF(K250&lt;=5,"BOM","EXCELENTE")))</f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H251" s="3">
        <v>0</v>
      </c>
      <c r="I251" s="3">
        <f>E251+G251+H251</f>
        <v>12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17</v>
      </c>
      <c r="K251" s="3">
        <f>I251-J251</f>
        <v>-5</v>
      </c>
      <c r="L251" s="3" t="str">
        <f>IF(K251&lt;-5,"CRÍTICO",IF(K251&lt;0,"ATENÇÃO",IF(K251&lt;=5,"BOM","EXCELENTE")))</f>
        <v>ATENÇÃO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H252" s="3">
        <v>0</v>
      </c>
      <c r="I252" s="3">
        <f>E252+G252+H252</f>
        <v>29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30</v>
      </c>
      <c r="K252" s="3">
        <f>I252-J252</f>
        <v>-1</v>
      </c>
      <c r="L252" s="3" t="str">
        <f>IF(K252&lt;-5,"CRÍTICO",IF(K252&lt;0,"ATENÇÃO",IF(K252&lt;=5,"BOM","EXCELENTE")))</f>
        <v>ATENÇÃO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H253" s="3">
        <v>0</v>
      </c>
      <c r="I253" s="3">
        <f>E253+G253+H253</f>
        <v>24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24</v>
      </c>
      <c r="K253" s="3">
        <f>I253-J253</f>
        <v>0</v>
      </c>
      <c r="L253" s="3" t="str">
        <f>IF(K253&lt;-5,"CRÍTICO",IF(K253&lt;0,"ATENÇÃO",IF(K253&lt;=5,"BOM","EXCELENTE")))</f>
        <v>BOM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G254" s="3">
        <v>0</v>
      </c>
      <c r="H254" s="3">
        <v>0</v>
      </c>
      <c r="I254" s="3">
        <f>E254+G254+H254</f>
        <v>30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24</v>
      </c>
      <c r="K254" s="3">
        <f>I254-J254</f>
        <v>6</v>
      </c>
      <c r="L254" s="3" t="str">
        <f>IF(K254&lt;-5,"CRÍTICO",IF(K254&lt;0,"ATENÇÃO",IF(K254&lt;=5,"BOM","EXCELENTE")))</f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>IF(K255&lt;-5,"CRÍTICO",IF(K255&lt;0,"ATENÇÃO",IF(K255&lt;=5,"BOM","EXCELENTE")))</f>
        <v>BOM</v>
      </c>
      <c r="M255" s="9">
        <v>0</v>
      </c>
      <c r="N255" s="9">
        <v>100</v>
      </c>
      <c r="O255" s="9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H256" s="3">
        <v>0</v>
      </c>
      <c r="I256" s="3">
        <f>E256+G256+H256</f>
        <v>24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>I256-J256</f>
        <v>4</v>
      </c>
      <c r="L256" s="3" t="str">
        <f>IF(K256&lt;-5,"CRÍTICO",IF(K256&lt;0,"ATENÇÃO",IF(K256&lt;=5,"BOM","EXCELENTE")))</f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>E257+G257+H257</f>
        <v>46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30</v>
      </c>
      <c r="K257" s="3">
        <f>I257-J257</f>
        <v>16</v>
      </c>
      <c r="L257" s="3" t="str">
        <f>IF(K257&lt;-5,"CRÍTICO",IF(K257&lt;0,"ATENÇÃO",IF(K257&lt;=5,"BOM","EXCELENTE")))</f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H258" s="3">
        <v>0</v>
      </c>
      <c r="I258" s="3">
        <f>E258+G258+H258</f>
        <v>29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30</v>
      </c>
      <c r="K258" s="3">
        <f>I258-J258</f>
        <v>-1</v>
      </c>
      <c r="L258" s="3" t="str">
        <f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G259" s="3">
        <v>0</v>
      </c>
      <c r="H259" s="3">
        <v>0</v>
      </c>
      <c r="I259" s="3">
        <f>E259+G259+H259</f>
        <v>23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17</v>
      </c>
      <c r="K259" s="3">
        <f>I259-J259</f>
        <v>6</v>
      </c>
      <c r="L259" s="3" t="str">
        <f>IF(K259&lt;-5,"CRÍTICO",IF(K259&lt;0,"ATENÇÃO",IF(K259&lt;=5,"BOM","EXCELENTE")))</f>
        <v>EXCELENTE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G260" s="3">
        <v>0</v>
      </c>
      <c r="H260" s="3">
        <v>0</v>
      </c>
      <c r="I260" s="3">
        <f>E260+G260+H260</f>
        <v>8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24</v>
      </c>
      <c r="K260" s="3">
        <f>I260-J260</f>
        <v>-16</v>
      </c>
      <c r="L260" s="3" t="str">
        <f>IF(K260&lt;-5,"CRÍTICO",IF(K260&lt;0,"ATENÇÃO",IF(K260&lt;=5,"BOM","EXCELENTE")))</f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G261" s="3">
        <v>0</v>
      </c>
      <c r="H261" s="3">
        <v>0</v>
      </c>
      <c r="I261" s="3">
        <f>E261+G261+H261</f>
        <v>11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17</v>
      </c>
      <c r="K261" s="3">
        <f>I261-J261</f>
        <v>-6</v>
      </c>
      <c r="L261" s="3" t="str">
        <f>IF(K261&lt;-5,"CRÍTICO",IF(K261&lt;0,"ATENÇÃO",IF(K261&lt;=5,"BOM","EXCELENTE")))</f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H262" s="3">
        <v>0</v>
      </c>
      <c r="I262" s="3">
        <f>E262+G262+H262</f>
        <v>20</v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>17</v>
      </c>
      <c r="K262" s="3">
        <f>I262-J262</f>
        <v>3</v>
      </c>
      <c r="L262" s="3" t="str">
        <f>IF(K262&lt;-5,"CRÍTICO",IF(K262&lt;0,"ATENÇÃO",IF(K262&lt;=5,"BOM","EXCELENTE")))</f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H263" s="3">
        <v>0</v>
      </c>
      <c r="I263" s="3">
        <f>E263+G263+H263</f>
        <v>31</v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>20</v>
      </c>
      <c r="K263" s="3">
        <f>I263-J263</f>
        <v>11</v>
      </c>
      <c r="L263" s="3" t="str">
        <f>IF(K263&lt;-5,"CRÍTICO",IF(K263&lt;0,"ATENÇÃO",IF(K263&lt;=5,"BOM","EXCELENTE")))</f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H264" s="3">
        <v>0</v>
      </c>
      <c r="I264" s="3">
        <f>E264+G264+H264</f>
        <v>23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30</v>
      </c>
      <c r="K264" s="3">
        <f>I264-J264</f>
        <v>-7</v>
      </c>
      <c r="L264" s="3" t="str">
        <f>IF(K264&lt;-5,"CRÍTICO",IF(K264&lt;0,"ATENÇÃO",IF(K264&lt;=5,"BOM","EXCELENTE")))</f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H265" s="3">
        <v>0</v>
      </c>
      <c r="I265" s="3">
        <f>E265+G265+H265</f>
        <v>17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20</v>
      </c>
      <c r="K265" s="3">
        <f>I265-J265</f>
        <v>-3</v>
      </c>
      <c r="L265" s="3" t="str">
        <f>IF(K265&lt;-5,"CRÍTICO",IF(K265&lt;0,"ATENÇÃO",IF(K265&lt;=5,"BOM","EXCELENTE")))</f>
        <v>ATENÇÃO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G266" s="3">
        <v>0</v>
      </c>
      <c r="H266" s="3">
        <v>0</v>
      </c>
      <c r="I266" s="3">
        <f>E266+G266+H266</f>
        <v>21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30</v>
      </c>
      <c r="K266" s="3">
        <f>I266-J266</f>
        <v>-9</v>
      </c>
      <c r="L266" s="3" t="str">
        <f>IF(K266&lt;-5,"CRÍTICO",IF(K266&lt;0,"ATENÇÃO",IF(K266&lt;=5,"BOM","EXCELENTE")))</f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H267" s="3">
        <v>0</v>
      </c>
      <c r="I267" s="3">
        <f>E267+G267+H267</f>
        <v>26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25</v>
      </c>
      <c r="K267" s="3">
        <f>I267-J267</f>
        <v>1</v>
      </c>
      <c r="L267" s="3" t="str">
        <f>IF(K267&lt;-5,"CRÍTICO",IF(K267&lt;0,"ATENÇÃO",IF(K267&lt;=5,"BOM","EXCELENTE")))</f>
        <v>BOM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>IF(K268&lt;-5,"CRÍTICO",IF(K268&lt;0,"ATENÇÃO",IF(K268&lt;=5,"BOM","EXCELENTE")))</f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H269" s="3">
        <v>0</v>
      </c>
      <c r="I269" s="3">
        <f>E269+G269+H269</f>
        <v>31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>I269-J269</f>
        <v>10</v>
      </c>
      <c r="L269" s="3" t="str">
        <f>IF(K269&lt;-5,"CRÍTICO",IF(K269&lt;0,"ATENÇÃO",IF(K269&lt;=5,"BOM","EXCELENTE")))</f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H270" s="3">
        <v>0</v>
      </c>
      <c r="I270" s="3">
        <f>E270+G270+H270</f>
        <v>28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32</v>
      </c>
      <c r="K270" s="3">
        <f>I270-J270</f>
        <v>-4</v>
      </c>
      <c r="L270" s="3" t="str">
        <f>IF(K270&lt;-5,"CRÍTICO",IF(K270&lt;0,"ATENÇÃO",IF(K270&lt;=5,"BOM","EXCELENTE")))</f>
        <v>ATENÇÃO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H271" s="3">
        <v>0</v>
      </c>
      <c r="I271" s="3">
        <f>E271+G271+H271</f>
        <v>38</v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>25</v>
      </c>
      <c r="K271" s="3">
        <f>I271-J271</f>
        <v>13</v>
      </c>
      <c r="L271" s="3" t="str">
        <f>IF(K271&lt;-5,"CRÍTICO",IF(K271&lt;0,"ATENÇÃO",IF(K271&lt;=5,"BOM","EXCELENTE")))</f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G272" s="3">
        <v>0</v>
      </c>
      <c r="H272" s="3">
        <v>0</v>
      </c>
      <c r="I272" s="3">
        <f>E272+G272+H272</f>
        <v>26</v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>25</v>
      </c>
      <c r="K272" s="3">
        <f>I272-J272</f>
        <v>1</v>
      </c>
      <c r="L272" s="3" t="str">
        <f>IF(K272&lt;-5,"CRÍTICO",IF(K272&lt;0,"ATENÇÃO",IF(K272&lt;=5,"BOM","EXCELENTE")))</f>
        <v>BOM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H273" s="3">
        <v>0</v>
      </c>
      <c r="I273" s="3">
        <f>E273+G273+H273</f>
        <v>28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21</v>
      </c>
      <c r="K273" s="3">
        <f>I273-J273</f>
        <v>7</v>
      </c>
      <c r="L273" s="3" t="str">
        <f>IF(K273&lt;-5,"CRÍTICO",IF(K273&lt;0,"ATENÇÃO",IF(K273&lt;=5,"BOM","EXCELENTE")))</f>
        <v>EXCELENTE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G274" s="3">
        <v>0</v>
      </c>
      <c r="H274" s="3">
        <v>0</v>
      </c>
      <c r="I274" s="3">
        <f>E274+G274+H274</f>
        <v>39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32</v>
      </c>
      <c r="K274" s="3">
        <f>I274-J274</f>
        <v>7</v>
      </c>
      <c r="L274" s="3" t="str">
        <f>IF(K274&lt;-5,"CRÍTICO",IF(K274&lt;0,"ATENÇÃO",IF(K274&lt;=5,"BOM","EXCELENTE")))</f>
        <v>EXCELENTE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G275" s="3">
        <v>0</v>
      </c>
      <c r="H275" s="3">
        <v>0</v>
      </c>
      <c r="I275" s="3">
        <f>E275+G275+H275</f>
        <v>30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25</v>
      </c>
      <c r="K275" s="3">
        <f>I275-J275</f>
        <v>5</v>
      </c>
      <c r="L275" s="3" t="str">
        <f>IF(K275&lt;-5,"CRÍTICO",IF(K275&lt;0,"ATENÇÃO",IF(K275&lt;=5,"BOM","EXCELENTE")))</f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G276" s="3">
        <v>0</v>
      </c>
      <c r="H276" s="3">
        <v>0</v>
      </c>
      <c r="I276" s="3">
        <f>E276+G276+H276</f>
        <v>26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21</v>
      </c>
      <c r="K276" s="3">
        <f>I276-J276</f>
        <v>5</v>
      </c>
      <c r="L276" s="3" t="str">
        <f>IF(K276&lt;-5,"CRÍTICO",IF(K276&lt;0,"ATENÇÃO",IF(K276&lt;=5,"BOM","EXCELENTE")))</f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H277" s="3">
        <v>0</v>
      </c>
      <c r="I277" s="3">
        <f>E277+G277+H277</f>
        <v>25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32</v>
      </c>
      <c r="K277" s="3">
        <f>I277-J277</f>
        <v>-7</v>
      </c>
      <c r="L277" s="3" t="str">
        <f>IF(K277&lt;-5,"CRÍTICO",IF(K277&lt;0,"ATENÇÃO",IF(K277&lt;=5,"BOM","EXCELENTE")))</f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H278" s="3">
        <v>0</v>
      </c>
      <c r="I278" s="3">
        <f>E278+G278+H278</f>
        <v>29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25</v>
      </c>
      <c r="K278" s="3">
        <f>I278-J278</f>
        <v>4</v>
      </c>
      <c r="L278" s="3" t="str">
        <f>IF(K278&lt;-5,"CRÍTICO",IF(K278&lt;0,"ATENÇÃO",IF(K278&lt;=5,"BOM","EXCELENTE")))</f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IF(K279&lt;-5,"CRÍTICO",IF(K279&lt;0,"ATENÇÃO",IF(K279&lt;=5,"BOM","EXCELENTE")))</f>
        <v>BOM</v>
      </c>
      <c r="M279" s="9">
        <v>0</v>
      </c>
      <c r="N279" s="9">
        <v>100</v>
      </c>
      <c r="O279" s="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>IF(K280&lt;-5,"CRÍTICO",IF(K280&lt;0,"ATENÇÃO",IF(K280&lt;=5,"BOM","EXCELENTE")))</f>
        <v>BOM</v>
      </c>
      <c r="M280" s="9">
        <v>0</v>
      </c>
      <c r="N280" s="9">
        <v>100</v>
      </c>
      <c r="O280" s="9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G281" s="3">
        <v>0</v>
      </c>
      <c r="H281" s="3">
        <v>0</v>
      </c>
      <c r="I281" s="3">
        <f>E281+G281+H281</f>
        <v>25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>I281-J281</f>
        <v>16</v>
      </c>
      <c r="L281" s="3" t="str">
        <f>IF(K281&lt;-5,"CRÍTICO",IF(K281&lt;0,"ATENÇÃO",IF(K281&lt;=5,"BOM","EXCELENTE")))</f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11">
        <v>46035</v>
      </c>
      <c r="B282" t="s">
        <v>36</v>
      </c>
      <c r="C282" t="s">
        <v>20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13</v>
      </c>
      <c r="K282" s="3">
        <f>I282-J282</f>
        <v>11</v>
      </c>
      <c r="L282" s="3" t="str">
        <f>IF(K282&lt;-5,"CRÍTICO",IF(K282&lt;0,"ATENÇÃO",IF(K282&lt;=5,"BOM","EXCELENTE")))</f>
        <v>EXCELENTE</v>
      </c>
      <c r="N282">
        <v>98.91</v>
      </c>
      <c r="O282">
        <v>31.367292225201069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G283" s="3">
        <v>0</v>
      </c>
      <c r="H283" s="3">
        <v>0</v>
      </c>
      <c r="I283" s="3">
        <f>E283+G283+H283</f>
        <v>24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25</v>
      </c>
      <c r="K283" s="3">
        <f>I283-J283</f>
        <v>-1</v>
      </c>
      <c r="L283" s="3" t="str">
        <f>IF(K283&lt;-5,"CRÍTICO",IF(K283&lt;0,"ATENÇÃO",IF(K283&lt;=5,"BOM","EXCELENTE")))</f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H284" s="3">
        <v>0</v>
      </c>
      <c r="I284" s="3">
        <f>E284+G284+H284</f>
        <v>51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32</v>
      </c>
      <c r="K284" s="3">
        <f>I284-J284</f>
        <v>19</v>
      </c>
      <c r="L284" s="3" t="str">
        <f>IF(K284&lt;-5,"CRÍTICO",IF(K284&lt;0,"ATENÇÃO",IF(K284&lt;=5,"BOM","EXCELENTE")))</f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H285" s="3">
        <v>0</v>
      </c>
      <c r="I285" s="3">
        <f>E285+G285+H285</f>
        <v>46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32</v>
      </c>
      <c r="K285" s="3">
        <f>I285-J285</f>
        <v>14</v>
      </c>
      <c r="L285" s="3" t="str">
        <f>IF(K285&lt;-5,"CRÍTICO",IF(K285&lt;0,"ATENÇÃO",IF(K285&lt;=5,"BOM","EXCELENTE")))</f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H286" s="3">
        <v>0</v>
      </c>
      <c r="I286" s="3">
        <f>E286+G286+H286</f>
        <v>31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25</v>
      </c>
      <c r="K286" s="3">
        <f>I286-J286</f>
        <v>6</v>
      </c>
      <c r="L286" s="3" t="str">
        <f>IF(K286&lt;-5,"CRÍTICO",IF(K286&lt;0,"ATENÇÃO",IF(K286&lt;=5,"BOM","EXCELENTE")))</f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>IF(K287&lt;-5,"CRÍTICO",IF(K287&lt;0,"ATENÇÃO",IF(K287&lt;=5,"BOM","EXCELENTE")))</f>
        <v>BOM</v>
      </c>
      <c r="M287" s="9">
        <v>0</v>
      </c>
      <c r="N287" s="9">
        <v>0</v>
      </c>
      <c r="O287" s="9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G288" s="3">
        <v>0</v>
      </c>
      <c r="H288" s="3">
        <v>0</v>
      </c>
      <c r="I288" s="3">
        <f>E288+G288+H288</f>
        <v>22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>I288-J288</f>
        <v>4</v>
      </c>
      <c r="L288" s="3" t="str">
        <f>IF(K288&lt;-5,"CRÍTICO",IF(K288&lt;0,"ATENÇÃO",IF(K288&lt;=5,"BOM","EXCELENTE")))</f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H289" s="3">
        <v>0</v>
      </c>
      <c r="I289" s="3">
        <f>E289+G289+H289</f>
        <v>18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32</v>
      </c>
      <c r="K289" s="3">
        <f>I289-J289</f>
        <v>-14</v>
      </c>
      <c r="L289" s="3" t="str">
        <f>IF(K289&lt;-5,"CRÍTICO",IF(K289&lt;0,"ATENÇÃO",IF(K289&lt;=5,"BOM","EXCELENTE")))</f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H290" s="3">
        <v>0</v>
      </c>
      <c r="I290" s="3">
        <f>E290+G290+H290</f>
        <v>13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18</v>
      </c>
      <c r="K290" s="3">
        <f>I290-J290</f>
        <v>-5</v>
      </c>
      <c r="L290" s="3" t="str">
        <f>IF(K290&lt;-5,"CRÍTICO",IF(K290&lt;0,"ATENÇÃO",IF(K290&lt;=5,"BOM","EXCELENTE")))</f>
        <v>ATENÇÃO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H291" s="3">
        <v>0</v>
      </c>
      <c r="I291" s="3">
        <f>E291+G291+H291</f>
        <v>25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32</v>
      </c>
      <c r="K291" s="3">
        <f>I291-J291</f>
        <v>-7</v>
      </c>
      <c r="L291" s="3" t="str">
        <f>IF(K291&lt;-5,"CRÍTICO",IF(K291&lt;0,"ATENÇÃO",IF(K291&lt;=5,"BOM","EXCELENTE")))</f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H292" s="3">
        <v>0</v>
      </c>
      <c r="I292" s="3">
        <f>E292+G292+H292</f>
        <v>28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25</v>
      </c>
      <c r="K292" s="3">
        <f>I292-J292</f>
        <v>3</v>
      </c>
      <c r="L292" s="3" t="str">
        <f>IF(K292&lt;-5,"CRÍTICO",IF(K292&lt;0,"ATENÇÃO",IF(K292&lt;=5,"BOM","EXCELENTE")))</f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G293" s="3">
        <v>0</v>
      </c>
      <c r="H293" s="3">
        <v>0</v>
      </c>
      <c r="I293" s="3">
        <f>E293+G293+H293</f>
        <v>24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25</v>
      </c>
      <c r="K293" s="3">
        <f>I293-J293</f>
        <v>-1</v>
      </c>
      <c r="L293" s="3" t="str">
        <f>IF(K293&lt;-5,"CRÍTICO",IF(K293&lt;0,"ATENÇÃO",IF(K293&lt;=5,"BOM","EXCELENTE")))</f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>IF(K294&lt;-5,"CRÍTICO",IF(K294&lt;0,"ATENÇÃO",IF(K294&lt;=5,"BOM","EXCELENTE")))</f>
        <v>BOM</v>
      </c>
      <c r="M294" s="9">
        <v>0</v>
      </c>
      <c r="N294" s="9">
        <v>100</v>
      </c>
      <c r="O294" s="9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H295" s="3">
        <v>0</v>
      </c>
      <c r="I295" s="3">
        <f>E295+G295+H295</f>
        <v>24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>I295-J295</f>
        <v>3</v>
      </c>
      <c r="L295" s="3" t="str">
        <f>IF(K295&lt;-5,"CRÍTICO",IF(K295&lt;0,"ATENÇÃO",IF(K295&lt;=5,"BOM","EXCELENTE")))</f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G296" s="3">
        <v>0</v>
      </c>
      <c r="H296" s="3">
        <v>0</v>
      </c>
      <c r="I296" s="3">
        <f>E296+G296+H296</f>
        <v>7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9</v>
      </c>
      <c r="K296" s="3">
        <f>I296-J296</f>
        <v>-2</v>
      </c>
      <c r="L296" s="3" t="str">
        <f>IF(K296&lt;-5,"CRÍTICO",IF(K296&lt;0,"ATENÇÃO",IF(K296&lt;=5,"BOM","EXCELENTE")))</f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G297" s="3">
        <v>0</v>
      </c>
      <c r="H297" s="3">
        <v>0</v>
      </c>
      <c r="I297" s="3">
        <f>E297+G297+H297</f>
        <v>16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9</v>
      </c>
      <c r="K297" s="3">
        <f>I297-J297</f>
        <v>7</v>
      </c>
      <c r="L297" s="3" t="str">
        <f>IF(K297&lt;-5,"CRÍTICO",IF(K297&lt;0,"ATENÇÃO",IF(K297&lt;=5,"BOM","EXCELENTE")))</f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G298" s="3">
        <v>0</v>
      </c>
      <c r="H298" s="3">
        <v>0</v>
      </c>
      <c r="I298" s="3">
        <f>E298+G298+H298</f>
        <v>27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9</v>
      </c>
      <c r="K298" s="3">
        <f>I298-J298</f>
        <v>18</v>
      </c>
      <c r="L298" s="3" t="str">
        <f>IF(K298&lt;-5,"CRÍTICO",IF(K298&lt;0,"ATENÇÃO",IF(K298&lt;=5,"BOM","EXCELENTE")))</f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G299" s="3">
        <v>0</v>
      </c>
      <c r="H299" s="3">
        <v>0</v>
      </c>
      <c r="I299" s="3">
        <f>E299+G299+H299</f>
        <v>7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9</v>
      </c>
      <c r="K299" s="3">
        <f>I299-J299</f>
        <v>-2</v>
      </c>
      <c r="L299" s="3" t="str">
        <f>IF(K299&lt;-5,"CRÍTICO",IF(K299&lt;0,"ATENÇÃO",IF(K299&lt;=5,"BOM","EXCELENTE")))</f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>E300+G300+H300</f>
        <v>17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9</v>
      </c>
      <c r="K300" s="3">
        <f>I300-J300</f>
        <v>8</v>
      </c>
      <c r="L300" s="3" t="str">
        <f>IF(K300&lt;-5,"CRÍTICO",IF(K300&lt;0,"ATENÇÃO",IF(K300&lt;=5,"BOM","EXCELENTE")))</f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>E301+G301+H301</f>
        <v>51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32</v>
      </c>
      <c r="K301" s="3">
        <f>I301-J301</f>
        <v>19</v>
      </c>
      <c r="L301" s="3" t="str">
        <f>IF(K301&lt;-5,"CRÍTICO",IF(K301&lt;0,"ATENÇÃO",IF(K301&lt;=5,"BOM","EXCELENTE")))</f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H302" s="3">
        <v>0</v>
      </c>
      <c r="I302" s="3">
        <f>E302+G302+H302</f>
        <v>33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32</v>
      </c>
      <c r="K302" s="3">
        <f>I302-J302</f>
        <v>1</v>
      </c>
      <c r="L302" s="3" t="str">
        <f>IF(K302&lt;-5,"CRÍTICO",IF(K302&lt;0,"ATENÇÃO",IF(K302&lt;=5,"BOM","EXCELENTE")))</f>
        <v>BOM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G303" s="3">
        <v>0</v>
      </c>
      <c r="H303" s="3">
        <v>0</v>
      </c>
      <c r="I303" s="3">
        <f>E303+G303+H303</f>
        <v>23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18</v>
      </c>
      <c r="K303" s="3">
        <f>I303-J303</f>
        <v>5</v>
      </c>
      <c r="L303" s="3" t="str">
        <f>IF(K303&lt;-5,"CRÍTICO",IF(K303&lt;0,"ATENÇÃO",IF(K303&lt;=5,"BOM","EXCELENTE")))</f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G304" s="3">
        <v>0</v>
      </c>
      <c r="H304" s="3">
        <v>0</v>
      </c>
      <c r="I304" s="3">
        <f>E304+G304+H304</f>
        <v>26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25</v>
      </c>
      <c r="K304" s="3">
        <f>I304-J304</f>
        <v>1</v>
      </c>
      <c r="L304" s="3" t="str">
        <f>IF(K304&lt;-5,"CRÍTICO",IF(K304&lt;0,"ATENÇÃO",IF(K304&lt;=5,"BOM","EXCELENTE")))</f>
        <v>BOM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G305" s="3">
        <v>0</v>
      </c>
      <c r="H305" s="3">
        <v>0</v>
      </c>
      <c r="I305" s="3">
        <f>E305+G305+H305</f>
        <v>21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18</v>
      </c>
      <c r="K305" s="3">
        <f>I305-J305</f>
        <v>3</v>
      </c>
      <c r="L305" s="3" t="str">
        <f>IF(K305&lt;-5,"CRÍTICO",IF(K305&lt;0,"ATENÇÃO",IF(K305&lt;=5,"BOM","EXCELENTE")))</f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G306" s="3">
        <v>0</v>
      </c>
      <c r="H306" s="3">
        <v>0</v>
      </c>
      <c r="I306" s="3">
        <f>E306+G306+H306</f>
        <v>12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18</v>
      </c>
      <c r="K306" s="3">
        <f>I306-J306</f>
        <v>-6</v>
      </c>
      <c r="L306" s="3" t="str">
        <f>IF(K306&lt;-5,"CRÍTICO",IF(K306&lt;0,"ATENÇÃO",IF(K306&lt;=5,"BOM","EXCELENTE")))</f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H307" s="3">
        <v>0</v>
      </c>
      <c r="I307" s="3">
        <f>E307+G307+H307</f>
        <v>27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21</v>
      </c>
      <c r="K307" s="3">
        <f>I307-J307</f>
        <v>6</v>
      </c>
      <c r="L307" s="3" t="str">
        <f>IF(K307&lt;-5,"CRÍTICO",IF(K307&lt;0,"ATENÇÃO",IF(K307&lt;=5,"BOM","EXCELENTE")))</f>
        <v>EXCELENTE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H308" s="3">
        <v>0</v>
      </c>
      <c r="I308" s="3">
        <f>E308+G308+H308</f>
        <v>29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-3</v>
      </c>
      <c r="L308" s="3" t="str">
        <f>IF(K308&lt;-5,"CRÍTICO",IF(K308&lt;0,"ATENÇÃO",IF(K308&lt;=5,"BOM","EXCELENTE")))</f>
        <v>ATENÇÃO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G309" s="3">
        <v>0</v>
      </c>
      <c r="H309" s="3">
        <v>0</v>
      </c>
      <c r="I309" s="3">
        <f>E309+G309+H309</f>
        <v>19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21</v>
      </c>
      <c r="K309" s="3">
        <f>I309-J309</f>
        <v>-2</v>
      </c>
      <c r="L309" s="3" t="str">
        <f>IF(K309&lt;-5,"CRÍTICO",IF(K309&lt;0,"ATENÇÃO",IF(K309&lt;=5,"BOM","EXCELENTE")))</f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H310" s="3">
        <v>0</v>
      </c>
      <c r="I310" s="3">
        <f>E310+G310+H310</f>
        <v>32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0</v>
      </c>
      <c r="L310" s="3" t="str">
        <f>IF(K310&lt;-5,"CRÍTICO",IF(K310&lt;0,"ATENÇÃO",IF(K310&lt;=5,"BOM","EXCELENTE")))</f>
        <v>BOM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H311" s="3">
        <v>0</v>
      </c>
      <c r="I311" s="3">
        <f>E311+G311+H311</f>
        <v>23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23</v>
      </c>
      <c r="K311" s="3">
        <f>I311-J311</f>
        <v>0</v>
      </c>
      <c r="L311" s="3" t="str">
        <f>IF(K311&lt;-5,"CRÍTICO",IF(K311&lt;0,"ATENÇÃO",IF(K311&lt;=5,"BOM","EXCELENTE")))</f>
        <v>BOM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IF(K312&lt;-5,"CRÍTICO",IF(K312&lt;0,"ATENÇÃO",IF(K312&lt;=5,"BOM","EXCELENTE")))</f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H313" s="3">
        <v>0</v>
      </c>
      <c r="I313" s="3">
        <f>E313+G313+H313</f>
        <v>28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>I313-J313</f>
        <v>9</v>
      </c>
      <c r="L313" s="3" t="str">
        <f>IF(K313&lt;-5,"CRÍTICO",IF(K313&lt;0,"ATENÇÃO",IF(K313&lt;=5,"BOM","EXCELENTE")))</f>
        <v>EXCELENTE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G314" s="3">
        <v>0</v>
      </c>
      <c r="H314" s="3">
        <v>0</v>
      </c>
      <c r="I314" s="3">
        <f>E314+G314+H314</f>
        <v>23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29</v>
      </c>
      <c r="K314" s="3">
        <f>I314-J314</f>
        <v>-6</v>
      </c>
      <c r="L314" s="3" t="str">
        <f>IF(K314&lt;-5,"CRÍTICO",IF(K314&lt;0,"ATENÇÃO",IF(K314&lt;=5,"BOM","EXCELENTE")))</f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H315" s="3">
        <v>0</v>
      </c>
      <c r="I315" s="3">
        <f>E315+G315+H315</f>
        <v>30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23</v>
      </c>
      <c r="K315" s="3">
        <f>I315-J315</f>
        <v>7</v>
      </c>
      <c r="L315" s="3" t="str">
        <f>IF(K315&lt;-5,"CRÍTICO",IF(K315&lt;0,"ATENÇÃO",IF(K315&lt;=5,"BOM","EXCELENTE")))</f>
        <v>EXCELENTE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H316" s="3">
        <v>0</v>
      </c>
      <c r="I316" s="3">
        <f>E316+G316+H316</f>
        <v>21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23</v>
      </c>
      <c r="K316" s="3">
        <f>I316-J316</f>
        <v>-2</v>
      </c>
      <c r="L316" s="3" t="str">
        <f>IF(K316&lt;-5,"CRÍTICO",IF(K316&lt;0,"ATENÇÃO",IF(K316&lt;=5,"BOM","EXCELENTE")))</f>
        <v>ATENÇÃO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H317" s="3">
        <v>0</v>
      </c>
      <c r="I317" s="3">
        <f>E317+G317+H317</f>
        <v>35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19</v>
      </c>
      <c r="K317" s="3">
        <f>I317-J317</f>
        <v>16</v>
      </c>
      <c r="L317" s="3" t="str">
        <f>IF(K317&lt;-5,"CRÍTICO",IF(K317&lt;0,"ATENÇÃO",IF(K317&lt;=5,"BOM","EXCELENTE")))</f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G318" s="3">
        <v>0</v>
      </c>
      <c r="H318" s="3">
        <v>0</v>
      </c>
      <c r="I318" s="3">
        <f>E318+G318+H318</f>
        <v>30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29</v>
      </c>
      <c r="K318" s="3">
        <f>I318-J318</f>
        <v>1</v>
      </c>
      <c r="L318" s="3" t="str">
        <f>IF(K318&lt;-5,"CRÍTICO",IF(K318&lt;0,"ATENÇÃO",IF(K318&lt;=5,"BOM","EXCELENTE")))</f>
        <v>BOM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H319" s="3">
        <v>0</v>
      </c>
      <c r="I319" s="3">
        <f>E319+G319+H319</f>
        <v>13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23</v>
      </c>
      <c r="K319" s="3">
        <f>I319-J319</f>
        <v>-10</v>
      </c>
      <c r="L319" s="3" t="str">
        <f>IF(K319&lt;-5,"CRÍTICO",IF(K319&lt;0,"ATENÇÃO",IF(K319&lt;=5,"BOM","EXCELENTE")))</f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H320" s="3">
        <v>0</v>
      </c>
      <c r="I320" s="3">
        <f>E320+G320+H320</f>
        <v>21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19</v>
      </c>
      <c r="K320" s="3">
        <f>I320-J320</f>
        <v>2</v>
      </c>
      <c r="L320" s="3" t="str">
        <f>IF(K320&lt;-5,"CRÍTICO",IF(K320&lt;0,"ATENÇÃO",IF(K320&lt;=5,"BOM","EXCELENTE")))</f>
        <v>BOM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G321" s="3">
        <v>0</v>
      </c>
      <c r="H321" s="3">
        <v>0</v>
      </c>
      <c r="I321" s="3">
        <f>E321+G321+H321</f>
        <v>23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29</v>
      </c>
      <c r="K321" s="3">
        <f>I321-J321</f>
        <v>-6</v>
      </c>
      <c r="L321" s="3" t="str">
        <f>IF(K321&lt;-5,"CRÍTICO",IF(K321&lt;0,"ATENÇÃO",IF(K321&lt;=5,"BOM","EXCELENTE")))</f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H322" s="3">
        <v>0</v>
      </c>
      <c r="I322" s="3">
        <f>E322+G322+H322</f>
        <v>27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23</v>
      </c>
      <c r="K322" s="3">
        <f>I322-J322</f>
        <v>4</v>
      </c>
      <c r="L322" s="3" t="str">
        <f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>IF(K323&lt;-5,"CRÍTICO",IF(K323&lt;0,"ATENÇÃO",IF(K323&lt;=5,"BOM","EXCELENTE")))</f>
        <v>BOM</v>
      </c>
      <c r="M323" s="9">
        <v>0</v>
      </c>
      <c r="N323" s="9">
        <v>100</v>
      </c>
      <c r="O323" s="9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>IF(K324&lt;-5,"CRÍTICO",IF(K324&lt;0,"ATENÇÃO",IF(K324&lt;=5,"BOM","EXCELENTE")))</f>
        <v>BOM</v>
      </c>
      <c r="M324" s="9">
        <v>0</v>
      </c>
      <c r="N324" s="9">
        <v>100</v>
      </c>
      <c r="O324" s="9">
        <v>17.241379310344829</v>
      </c>
    </row>
    <row r="325" spans="1:15" hidden="1" x14ac:dyDescent="0.25">
      <c r="A325" s="11">
        <v>46036</v>
      </c>
      <c r="B325" t="s">
        <v>36</v>
      </c>
      <c r="C325" t="s">
        <v>20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12</v>
      </c>
      <c r="K325" s="3">
        <f>I325-J325</f>
        <v>4</v>
      </c>
      <c r="L325" s="3" t="str">
        <f>IF(K325&lt;-5,"CRÍTICO",IF(K325&lt;0,"ATENÇÃO",IF(K325&lt;=5,"BOM","EXCELENTE")))</f>
        <v>BOM</v>
      </c>
      <c r="N325">
        <v>98.91</v>
      </c>
      <c r="O325">
        <v>31.367292225201069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H326" s="3">
        <v>0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>IF(K326&lt;-5,"CRÍTICO",IF(K326&lt;0,"ATENÇÃO",IF(K326&lt;=5,"BOM","EXCELENTE")))</f>
        <v>ATENÇÃO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H327" s="3">
        <v>0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>IF(K327&lt;-5,"CRÍTICO",IF(K327&lt;0,"ATENÇÃO",IF(K327&lt;=5,"BOM","EXCELENTE")))</f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H328" s="3">
        <v>0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>IF(K328&lt;-5,"CRÍTICO",IF(K328&lt;0,"ATENÇÃO",IF(K328&lt;=5,"BOM","EXCELENTE")))</f>
        <v>BOM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G329" s="3">
        <v>0</v>
      </c>
      <c r="H329" s="3">
        <v>0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>IF(K329&lt;-5,"CRÍTICO",IF(K329&lt;0,"ATENÇÃO",IF(K329&lt;=5,"BOM","EXCELENTE")))</f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IF(K330&lt;-5,"CRÍTICO",IF(K330&lt;0,"ATENÇÃO",IF(K330&lt;=5,"BOM","EXCELENTE")))</f>
        <v>BOM</v>
      </c>
      <c r="M330" s="9">
        <v>0</v>
      </c>
      <c r="N330" s="9">
        <v>0</v>
      </c>
      <c r="O330" s="9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H331" s="3">
        <v>0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>IF(K331&lt;-5,"CRÍTICO",IF(K331&lt;0,"ATENÇÃO",IF(K331&lt;=5,"BOM","EXCELENTE")))</f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G332" s="3">
        <v>0</v>
      </c>
      <c r="H332" s="3">
        <v>0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>IF(K332&lt;-5,"CRÍTICO",IF(K332&lt;0,"ATENÇÃO",IF(K332&lt;=5,"BOM","EXCELENTE")))</f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>IF(K333&lt;-5,"CRÍTICO",IF(K333&lt;0,"ATENÇÃO",IF(K333&lt;=5,"BOM","EXCELENTE")))</f>
        <v>BOM</v>
      </c>
      <c r="M333" s="9">
        <v>0</v>
      </c>
      <c r="N333" s="9">
        <v>100</v>
      </c>
      <c r="O333" s="9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H334" s="3">
        <v>0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>IF(K334&lt;-5,"CRÍTICO",IF(K334&lt;0,"ATENÇÃO",IF(K334&lt;=5,"BOM","EXCELENTE")))</f>
        <v>ATENÇÃO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H335" s="3">
        <v>0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>IF(K335&lt;-5,"CRÍTICO",IF(K335&lt;0,"ATENÇÃO",IF(K335&lt;=5,"BOM","EXCELENTE")))</f>
        <v>BOM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H336" s="3">
        <v>0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>IF(K336&lt;-5,"CRÍTICO",IF(K336&lt;0,"ATENÇÃO",IF(K336&lt;=5,"BOM","EXCELENTE")))</f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>IF(K337&lt;-5,"CRÍTICO",IF(K337&lt;0,"ATENÇÃO",IF(K337&lt;=5,"BOM","EXCELENTE")))</f>
        <v>BOM</v>
      </c>
      <c r="M337" s="9">
        <v>0</v>
      </c>
      <c r="N337" s="9">
        <v>100</v>
      </c>
      <c r="O337" s="9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H338" s="3">
        <v>0</v>
      </c>
      <c r="I338" s="3">
        <f>E338+G338+H338</f>
        <v>23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>I338-J338</f>
        <v>4</v>
      </c>
      <c r="L338" s="3" t="str">
        <f>IF(K338&lt;-5,"CRÍTICO",IF(K338&lt;0,"ATENÇÃO",IF(K338&lt;=5,"BOM","EXCELENTE")))</f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>E339+G339+H339</f>
        <v>23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8</v>
      </c>
      <c r="K339" s="3">
        <f>I339-J339</f>
        <v>15</v>
      </c>
      <c r="L339" s="3" t="str">
        <f>IF(K339&lt;-5,"CRÍTICO",IF(K339&lt;0,"ATENÇÃO",IF(K339&lt;=5,"BOM","EXCELENTE")))</f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G340" s="3">
        <v>0</v>
      </c>
      <c r="H340" s="3">
        <v>0</v>
      </c>
      <c r="I340" s="3">
        <f>E340+G340+H340</f>
        <v>5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8</v>
      </c>
      <c r="K340" s="3">
        <f>I340-J340</f>
        <v>-3</v>
      </c>
      <c r="L340" s="3" t="str">
        <f>IF(K340&lt;-5,"CRÍTICO",IF(K340&lt;0,"ATENÇÃO",IF(K340&lt;=5,"BOM","EXCELENTE")))</f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G341" s="3">
        <v>0</v>
      </c>
      <c r="H341" s="3">
        <v>0</v>
      </c>
      <c r="I341" s="3">
        <f>E341+G341+H341</f>
        <v>19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8</v>
      </c>
      <c r="K341" s="3">
        <f>I341-J341</f>
        <v>11</v>
      </c>
      <c r="L341" s="3" t="str">
        <f>IF(K341&lt;-5,"CRÍTICO",IF(K341&lt;0,"ATENÇÃO",IF(K341&lt;=5,"BOM","EXCELENTE")))</f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>E342+G342+H342</f>
        <v>23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8</v>
      </c>
      <c r="K342" s="3">
        <f>I342-J342</f>
        <v>15</v>
      </c>
      <c r="L342" s="3" t="str">
        <f>IF(K342&lt;-5,"CRÍTICO",IF(K342&lt;0,"ATENÇÃO",IF(K342&lt;=5,"BOM","EXCELENTE")))</f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G343" s="3">
        <v>0</v>
      </c>
      <c r="H343" s="3">
        <v>0</v>
      </c>
      <c r="I343" s="3">
        <f>E343+G343+H343</f>
        <v>6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8</v>
      </c>
      <c r="K343" s="3">
        <f>I343-J343</f>
        <v>-2</v>
      </c>
      <c r="L343" s="3" t="str">
        <f>IF(K343&lt;-5,"CRÍTICO",IF(K343&lt;0,"ATENÇÃO",IF(K343&lt;=5,"BOM","EXCELENTE")))</f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G344" s="3">
        <v>0</v>
      </c>
      <c r="H344" s="3">
        <v>0</v>
      </c>
      <c r="I344" s="3">
        <f>E344+G344+H344</f>
        <v>18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8</v>
      </c>
      <c r="K344" s="3">
        <f>I344-J344</f>
        <v>10</v>
      </c>
      <c r="L344" s="3" t="str">
        <f>IF(K344&lt;-5,"CRÍTICO",IF(K344&lt;0,"ATENÇÃO",IF(K344&lt;=5,"BOM","EXCELENTE")))</f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>E345+G345+H345</f>
        <v>41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29</v>
      </c>
      <c r="K345" s="3">
        <f>I345-J345</f>
        <v>12</v>
      </c>
      <c r="L345" s="3" t="str">
        <f>IF(K345&lt;-5,"CRÍTICO",IF(K345&lt;0,"ATENÇÃO",IF(K345&lt;=5,"BOM","EXCELENTE")))</f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H346" s="3">
        <v>0</v>
      </c>
      <c r="I346" s="3">
        <f>E346+G346+H346</f>
        <v>34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5</v>
      </c>
      <c r="L346" s="3" t="str">
        <f>IF(K346&lt;-5,"CRÍTICO",IF(K346&lt;0,"ATENÇÃO",IF(K346&lt;=5,"BOM","EXCELENTE")))</f>
        <v>BOM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H347" s="3">
        <v>0</v>
      </c>
      <c r="I347" s="3">
        <f>E347+G347+H347</f>
        <v>25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16</v>
      </c>
      <c r="K347" s="3">
        <f>I347-J347</f>
        <v>9</v>
      </c>
      <c r="L347" s="3" t="str">
        <f>IF(K347&lt;-5,"CRÍTICO",IF(K347&lt;0,"ATENÇÃO",IF(K347&lt;=5,"BOM","EXCELENTE")))</f>
        <v>EXCELENTE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G348" s="3">
        <v>0</v>
      </c>
      <c r="H348" s="3">
        <v>0</v>
      </c>
      <c r="I348" s="3">
        <f>E348+G348+H348</f>
        <v>22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23</v>
      </c>
      <c r="K348" s="3">
        <f>I348-J348</f>
        <v>-1</v>
      </c>
      <c r="L348" s="3" t="str">
        <f>IF(K348&lt;-5,"CRÍTICO",IF(K348&lt;0,"ATENÇÃO",IF(K348&lt;=5,"BOM","EXCELENTE")))</f>
        <v>ATENÇÃO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G349" s="3">
        <v>0</v>
      </c>
      <c r="H349" s="3">
        <v>0</v>
      </c>
      <c r="I349" s="3">
        <f>E349+G349+H349</f>
        <v>11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16</v>
      </c>
      <c r="K349" s="3">
        <f>I349-J349</f>
        <v>-5</v>
      </c>
      <c r="L349" s="3" t="str">
        <f>IF(K349&lt;-5,"CRÍTICO",IF(K349&lt;0,"ATENÇÃO",IF(K349&lt;=5,"BOM","EXCELENTE")))</f>
        <v>ATENÇÃO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H350" s="3">
        <v>0</v>
      </c>
      <c r="I350" s="3">
        <f>E350+G350+H350</f>
        <v>18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16</v>
      </c>
      <c r="K350" s="3">
        <f>I350-J350</f>
        <v>2</v>
      </c>
      <c r="L350" s="3" t="str">
        <f>IF(K350&lt;-5,"CRÍTICO",IF(K350&lt;0,"ATENÇÃO",IF(K350&lt;=5,"BOM","EXCELENTE")))</f>
        <v>BOM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19</v>
      </c>
      <c r="K351" s="3">
        <f>I351-J351</f>
        <v>19</v>
      </c>
      <c r="L351" s="3" t="str">
        <f>IF(K351&lt;-5,"CRÍTICO",IF(K351&lt;0,"ATENÇÃO",IF(K351&lt;=5,"BOM","EXCELENTE")))</f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H352" s="3">
        <v>0</v>
      </c>
      <c r="I352" s="3">
        <f>E352+G352+H352</f>
        <v>37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29</v>
      </c>
      <c r="K352" s="3">
        <f>I352-J352</f>
        <v>8</v>
      </c>
      <c r="L352" s="3" t="str">
        <f>IF(K352&lt;-5,"CRÍTICO",IF(K352&lt;0,"ATENÇÃO",IF(K352&lt;=5,"BOM","EXCELENTE")))</f>
        <v>EXCELENTE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H353" s="3">
        <v>0</v>
      </c>
      <c r="I353" s="3">
        <f>E353+G353+H353</f>
        <v>15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19</v>
      </c>
      <c r="K353" s="3">
        <f>I353-J353</f>
        <v>-4</v>
      </c>
      <c r="L353" s="3" t="str">
        <f>IF(K353&lt;-5,"CRÍTICO",IF(K353&lt;0,"ATENÇÃO",IF(K353&lt;=5,"BOM","EXCELENTE")))</f>
        <v>ATENÇÃO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G354" s="3">
        <v>0</v>
      </c>
      <c r="H354" s="3">
        <v>0</v>
      </c>
      <c r="I354" s="3">
        <f>E354+G354+H354</f>
        <v>23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-6</v>
      </c>
      <c r="L354" s="3" t="str">
        <f>IF(K354&lt;-5,"CRÍTICO",IF(K354&lt;0,"ATENÇÃO",IF(K354&lt;=5,"BOM","EXCELENTE")))</f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>E355+G355+H355</f>
        <v>34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23</v>
      </c>
      <c r="K355" s="3">
        <f>I355-J355</f>
        <v>11</v>
      </c>
      <c r="L355" s="3" t="str">
        <f>IF(K355&lt;-5,"CRÍTICO",IF(K355&lt;0,"ATENÇÃO",IF(K355&lt;=5,"BOM","EXCELENTE")))</f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>IF(K356&lt;-5,"CRÍTICO",IF(K356&lt;0,"ATENÇÃO",IF(K356&lt;=5,"BOM","EXCELENTE")))</f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>E357+G357+H357</f>
        <v>26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>I357-J357</f>
        <v>7</v>
      </c>
      <c r="L357" s="3" t="str">
        <f>IF(K357&lt;-5,"CRÍTICO",IF(K357&lt;0,"ATENÇÃO",IF(K357&lt;=5,"BOM","EXCELENTE")))</f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>E358+G358+H358</f>
        <v>30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2</v>
      </c>
      <c r="L358" s="3" t="str">
        <f>IF(K358&lt;-5,"CRÍTICO",IF(K358&lt;0,"ATENÇÃO",IF(K358&lt;=5,"BOM","EXCELENTE")))</f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23</v>
      </c>
      <c r="K359" s="3">
        <f>I359-J359</f>
        <v>10</v>
      </c>
      <c r="L359" s="3" t="str">
        <f>IF(K359&lt;-5,"CRÍTICO",IF(K359&lt;0,"ATENÇÃO",IF(K359&lt;=5,"BOM","EXCELENTE")))</f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>E360+G360+H360</f>
        <v>27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23</v>
      </c>
      <c r="K360" s="3">
        <f>I360-J360</f>
        <v>4</v>
      </c>
      <c r="L360" s="3" t="str">
        <f>IF(K360&lt;-5,"CRÍTICO",IF(K360&lt;0,"ATENÇÃO",IF(K360&lt;=5,"BOM","EXCELENTE")))</f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>E361+G361+H361</f>
        <v>36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19</v>
      </c>
      <c r="K361" s="3">
        <f>I361-J361</f>
        <v>17</v>
      </c>
      <c r="L361" s="3" t="str">
        <f>IF(K361&lt;-5,"CRÍTICO",IF(K361&lt;0,"ATENÇÃO",IF(K361&lt;=5,"BOM","EXCELENTE")))</f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>IF(K362&lt;-5,"CRÍTICO",IF(K362&lt;0,"ATENÇÃO",IF(K362&lt;=5,"BOM","EXCELENTE")))</f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>E363+G363+H363</f>
        <v>18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23</v>
      </c>
      <c r="K363" s="3">
        <f>I363-J363</f>
        <v>-5</v>
      </c>
      <c r="L363" s="3" t="str">
        <f>IF(K363&lt;-5,"CRÍTICO",IF(K363&lt;0,"ATENÇÃO",IF(K363&lt;=5,"BOM","EXCELENTE")))</f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>E364+G364+H364</f>
        <v>29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19</v>
      </c>
      <c r="K364" s="3">
        <f>I364-J364</f>
        <v>10</v>
      </c>
      <c r="L364" s="3" t="str">
        <f>IF(K364&lt;-5,"CRÍTICO",IF(K364&lt;0,"ATENÇÃO",IF(K364&lt;=5,"BOM","EXCELENTE")))</f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>E365+G365+H365</f>
        <v>26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-2</v>
      </c>
      <c r="L365" s="3" t="str">
        <f>IF(K365&lt;-5,"CRÍTICO",IF(K365&lt;0,"ATENÇÃO",IF(K365&lt;=5,"BOM","EXCELENTE")))</f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>E366+G366+H366</f>
        <v>13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-10</v>
      </c>
      <c r="L366" s="3" t="str">
        <f>IF(K366&lt;-5,"CRÍTICO",IF(K366&lt;0,"ATENÇÃO",IF(K366&lt;=5,"BOM","EXCELENTE")))</f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>IF(K367&lt;-5,"CRÍTICO",IF(K367&lt;0,"ATENÇÃO",IF(K367&lt;=5,"BOM","EXCELENTE")))</f>
        <v>BOM</v>
      </c>
      <c r="M367" s="9">
        <v>0</v>
      </c>
      <c r="N367" s="9">
        <v>100</v>
      </c>
      <c r="O367" s="9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>IF(K368&lt;-5,"CRÍTICO",IF(K368&lt;0,"ATENÇÃO",IF(K368&lt;=5,"BOM","EXCELENTE")))</f>
        <v>BOM</v>
      </c>
      <c r="M368" s="9">
        <v>0</v>
      </c>
      <c r="N368" s="9">
        <v>100</v>
      </c>
      <c r="O368" s="9">
        <v>17.241379310344829</v>
      </c>
    </row>
    <row r="369" spans="1:15" hidden="1" x14ac:dyDescent="0.25">
      <c r="A369" s="11">
        <v>46037</v>
      </c>
      <c r="B369" t="s">
        <v>36</v>
      </c>
      <c r="C369" t="s">
        <v>20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13</v>
      </c>
      <c r="K369" s="3">
        <f>I369-J369</f>
        <v>14</v>
      </c>
      <c r="L369" s="3" t="str">
        <f>IF(K369&lt;-5,"CRÍTICO",IF(K369&lt;0,"ATENÇÃO",IF(K369&lt;=5,"BOM","EXCELENTE")))</f>
        <v>EXCELENTE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>IF(K370&lt;-5,"CRÍTICO",IF(K370&lt;0,"ATENÇÃO",IF(K370&lt;=5,"BOM","EXCELENTE")))</f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>IF(K371&lt;-5,"CRÍTICO",IF(K371&lt;0,"ATENÇÃO",IF(K371&lt;=5,"BOM","EXCELENTE")))</f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>IF(K372&lt;-5,"CRÍTICO",IF(K372&lt;0,"ATENÇÃO",IF(K372&lt;=5,"BOM","EXCELENTE")))</f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>IF(K373&lt;-5,"CRÍTICO",IF(K373&lt;0,"ATENÇÃO",IF(K373&lt;=5,"BOM","EXCELENTE")))</f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>IF(K374&lt;-5,"CRÍTICO",IF(K374&lt;0,"ATENÇÃO",IF(K374&lt;=5,"BOM","EXCELENTE")))</f>
        <v>BOM</v>
      </c>
      <c r="M374" s="9">
        <v>0</v>
      </c>
      <c r="N374" s="9">
        <v>0</v>
      </c>
      <c r="O374" s="9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>E375+G375+H375</f>
        <v>23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>I375-J375</f>
        <v>7</v>
      </c>
      <c r="L375" s="3" t="str">
        <f>IF(K375&lt;-5,"CRÍTICO",IF(K375&lt;0,"ATENÇÃO",IF(K375&lt;=5,"BOM","EXCELENTE")))</f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>E376+G376+H376</f>
        <v>29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28</v>
      </c>
      <c r="K376" s="3">
        <f>I376-J376</f>
        <v>1</v>
      </c>
      <c r="L376" s="3" t="str">
        <f>IF(K376&lt;-5,"CRÍTICO",IF(K376&lt;0,"ATENÇÃO",IF(K376&lt;=5,"BOM","EXCELENTE")))</f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>E377+G377+H377</f>
        <v>15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16</v>
      </c>
      <c r="K377" s="3">
        <f>I377-J377</f>
        <v>-1</v>
      </c>
      <c r="L377" s="3" t="str">
        <f>IF(K377&lt;-5,"CRÍTICO",IF(K377&lt;0,"ATENÇÃO",IF(K377&lt;=5,"BOM","EXCELENTE")))</f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>E378+G378+H378</f>
        <v>27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28</v>
      </c>
      <c r="K378" s="3">
        <f>I378-J378</f>
        <v>-1</v>
      </c>
      <c r="L378" s="3" t="str">
        <f>IF(K378&lt;-5,"CRÍTICO",IF(K378&lt;0,"ATENÇÃO",IF(K378&lt;=5,"BOM","EXCELENTE")))</f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>E379+G379+H379</f>
        <v>24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23</v>
      </c>
      <c r="K379" s="3">
        <f>I379-J379</f>
        <v>1</v>
      </c>
      <c r="L379" s="3" t="str">
        <f>IF(K379&lt;-5,"CRÍTICO",IF(K379&lt;0,"ATENÇÃO",IF(K379&lt;=5,"BOM","EXCELENTE")))</f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>E380+G380+H380</f>
        <v>18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23</v>
      </c>
      <c r="K380" s="3">
        <f>I380-J380</f>
        <v>-5</v>
      </c>
      <c r="L380" s="3" t="str">
        <f>IF(K380&lt;-5,"CRÍTICO",IF(K380&lt;0,"ATENÇÃO",IF(K380&lt;=5,"BOM","EXCELENTE")))</f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>IF(K381&lt;-5,"CRÍTICO",IF(K381&lt;0,"ATENÇÃO",IF(K381&lt;=5,"BOM","EXCELENTE")))</f>
        <v>BOM</v>
      </c>
      <c r="M381" s="9">
        <v>0</v>
      </c>
      <c r="N381" s="9">
        <v>100</v>
      </c>
      <c r="O381" s="9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>E382+G382+H382</f>
        <v>15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>I382-J382</f>
        <v>-4</v>
      </c>
      <c r="L382" s="3" t="str">
        <f>IF(K382&lt;-5,"CRÍTICO",IF(K382&lt;0,"ATENÇÃO",IF(K382&lt;=5,"BOM","EXCELENTE")))</f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>E383+G383+H383</f>
        <v>29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8</v>
      </c>
      <c r="K383" s="3">
        <f>I383-J383</f>
        <v>21</v>
      </c>
      <c r="L383" s="3" t="str">
        <f>IF(K383&lt;-5,"CRÍTICO",IF(K383&lt;0,"ATENÇÃO",IF(K383&lt;=5,"BOM","EXCELENTE")))</f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>E384+G384+H384</f>
        <v>52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28</v>
      </c>
      <c r="K384" s="3">
        <f>I384-J384</f>
        <v>24</v>
      </c>
      <c r="L384" s="3" t="str">
        <f>IF(K384&lt;-5,"CRÍTICO",IF(K384&lt;0,"ATENÇÃO",IF(K384&lt;=5,"BOM","EXCELENTE")))</f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>E385+G385+H385</f>
        <v>35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28</v>
      </c>
      <c r="K385" s="3">
        <f>I385-J385</f>
        <v>7</v>
      </c>
      <c r="L385" s="3" t="str">
        <f>IF(K385&lt;-5,"CRÍTICO",IF(K385&lt;0,"ATENÇÃO",IF(K385&lt;=5,"BOM","EXCELENTE")))</f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>E386+G386+H386</f>
        <v>9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8</v>
      </c>
      <c r="K386" s="3">
        <f>I386-J386</f>
        <v>1</v>
      </c>
      <c r="L386" s="3" t="str">
        <f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>E387+G387+H387</f>
        <v>15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8</v>
      </c>
      <c r="K387" s="3">
        <f>I387-J387</f>
        <v>7</v>
      </c>
      <c r="L387" s="3" t="str">
        <f>IF(K387&lt;-5,"CRÍTICO",IF(K387&lt;0,"ATENÇÃO",IF(K387&lt;=5,"BOM","EXCELENTE")))</f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>E388+G388+H388</f>
        <v>43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8</v>
      </c>
      <c r="K388" s="3">
        <f>I388-J388</f>
        <v>35</v>
      </c>
      <c r="L388" s="3" t="str">
        <f>IF(K388&lt;-5,"CRÍTICO",IF(K388&lt;0,"ATENÇÃO",IF(K388&lt;=5,"BOM","EXCELENTE")))</f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>E389+G389+H389</f>
        <v>4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8</v>
      </c>
      <c r="K389" s="3">
        <f>I389-J389</f>
        <v>-4</v>
      </c>
      <c r="L389" s="3" t="str">
        <f>IF(K389&lt;-5,"CRÍTICO",IF(K389&lt;0,"ATENÇÃO",IF(K389&lt;=5,"BOM","EXCELENTE")))</f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>E390+G390+H390</f>
        <v>18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8</v>
      </c>
      <c r="K390" s="3">
        <f>I390-J390</f>
        <v>10</v>
      </c>
      <c r="L390" s="3" t="str">
        <f>IF(K390&lt;-5,"CRÍTICO",IF(K390&lt;0,"ATENÇÃO",IF(K390&lt;=5,"BOM","EXCELENTE")))</f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>E391+G391+H391</f>
        <v>23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16</v>
      </c>
      <c r="K391" s="3">
        <f>I391-J391</f>
        <v>7</v>
      </c>
      <c r="L391" s="3" t="str">
        <f>IF(K391&lt;-5,"CRÍTICO",IF(K391&lt;0,"ATENÇÃO",IF(K391&lt;=5,"BOM","EXCELENTE")))</f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>E392+G392+H392</f>
        <v>26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23</v>
      </c>
      <c r="K392" s="3">
        <f>I392-J392</f>
        <v>3</v>
      </c>
      <c r="L392" s="3" t="str">
        <f>IF(K392&lt;-5,"CRÍTICO",IF(K392&lt;0,"ATENÇÃO",IF(K392&lt;=5,"BOM","EXCELENTE")))</f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>E393+G393+H393</f>
        <v>15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16</v>
      </c>
      <c r="K393" s="3">
        <f>I393-J393</f>
        <v>-1</v>
      </c>
      <c r="L393" s="3" t="str">
        <f>IF(K393&lt;-5,"CRÍTICO",IF(K393&lt;0,"ATENÇÃO",IF(K393&lt;=5,"BOM","EXCELENTE")))</f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>E394+G394+H394</f>
        <v>6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16</v>
      </c>
      <c r="K394" s="3">
        <f>I394-J394</f>
        <v>-10</v>
      </c>
      <c r="L394" s="3" t="str">
        <f>IF(K394&lt;-5,"CRÍTICO",IF(K394&lt;0,"ATENÇÃO",IF(K394&lt;=5,"BOM","EXCELENTE")))</f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>E395+G395+H395</f>
        <v>26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19</v>
      </c>
      <c r="K395" s="3">
        <f>I395-J395</f>
        <v>7</v>
      </c>
      <c r="L395" s="3" t="str">
        <f>IF(K395&lt;-5,"CRÍTICO",IF(K395&lt;0,"ATENÇÃO",IF(K395&lt;=5,"BOM","EXCELENTE")))</f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>E396+G396+H396</f>
        <v>37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9</v>
      </c>
      <c r="L396" s="3" t="str">
        <f>IF(K396&lt;-5,"CRÍTICO",IF(K396&lt;0,"ATENÇÃO",IF(K396&lt;=5,"BOM","EXCELENTE")))</f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>E397+G397+H397</f>
        <v>19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19</v>
      </c>
      <c r="K397" s="3">
        <f>I397-J397</f>
        <v>0</v>
      </c>
      <c r="L397" s="3" t="str">
        <f>IF(K397&lt;-5,"CRÍTICO",IF(K397&lt;0,"ATENÇÃO",IF(K397&lt;=5,"BOM","EXCELENTE")))</f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>E398+G398+H398</f>
        <v>27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-1</v>
      </c>
      <c r="L398" s="3" t="str">
        <f>IF(K398&lt;-5,"CRÍTICO",IF(K398&lt;0,"ATENÇÃO",IF(K398&lt;=5,"BOM","EXCELENTE")))</f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>E399+G399+H399</f>
        <v>20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-3</v>
      </c>
      <c r="L399" s="3" t="str">
        <f>IF(K399&lt;-5,"CRÍTICO",IF(K399&lt;0,"ATENÇÃO",IF(K399&lt;=5,"BOM","EXCELENTE")))</f>
        <v>ATENÇÃO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>IF(K400&lt;-5,"CRÍTICO",IF(K400&lt;0,"ATENÇÃO",IF(K400&lt;=5,"BOM","EXCELENTE")))</f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>E401+G401+H401</f>
        <v>43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>I401-J401</f>
        <v>24</v>
      </c>
      <c r="L401" s="3" t="str">
        <f>IF(K401&lt;-5,"CRÍTICO",IF(K401&lt;0,"ATENÇÃO",IF(K401&lt;=5,"BOM","EXCELENTE")))</f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>E402+G402+H402</f>
        <v>31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29</v>
      </c>
      <c r="K402" s="3">
        <f>I402-J402</f>
        <v>2</v>
      </c>
      <c r="L402" s="3" t="str">
        <f>IF(K402&lt;-5,"CRÍTICO",IF(K402&lt;0,"ATENÇÃO",IF(K402&lt;=5,"BOM","EXCELENTE")))</f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>E403+G403+H403</f>
        <v>21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-2</v>
      </c>
      <c r="L403" s="3" t="str">
        <f>IF(K403&lt;-5,"CRÍTICO",IF(K403&lt;0,"ATENÇÃO",IF(K403&lt;=5,"BOM","EXCELENTE")))</f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>E404+G404+H404</f>
        <v>29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6</v>
      </c>
      <c r="L404" s="3" t="str">
        <f>IF(K404&lt;-5,"CRÍTICO",IF(K404&lt;0,"ATENÇÃO",IF(K404&lt;=5,"BOM","EXCELENTE")))</f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>E405+G405+H405</f>
        <v>23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19</v>
      </c>
      <c r="K405" s="3">
        <f>I405-J405</f>
        <v>4</v>
      </c>
      <c r="L405" s="3" t="str">
        <f>IF(K405&lt;-5,"CRÍTICO",IF(K405&lt;0,"ATENÇÃO",IF(K405&lt;=5,"BOM","EXCELENTE")))</f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>E406+G406+H406</f>
        <v>31</v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>29</v>
      </c>
      <c r="K406" s="3">
        <f>I406-J406</f>
        <v>2</v>
      </c>
      <c r="L406" s="3" t="str">
        <f>IF(K406&lt;-5,"CRÍTICO",IF(K406&lt;0,"ATENÇÃO",IF(K406&lt;=5,"BOM","EXCELENTE")))</f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>E407+G407+H407</f>
        <v>34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23</v>
      </c>
      <c r="K407" s="3">
        <f>I407-J407</f>
        <v>11</v>
      </c>
      <c r="L407" s="3" t="str">
        <f>IF(K407&lt;-5,"CRÍTICO",IF(K407&lt;0,"ATENÇÃO",IF(K407&lt;=5,"BOM","EXCELENTE")))</f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>E408+G408+H408</f>
        <v>21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19</v>
      </c>
      <c r="K408" s="3">
        <f>I408-J408</f>
        <v>2</v>
      </c>
      <c r="L408" s="3" t="str">
        <f>IF(K408&lt;-5,"CRÍTICO",IF(K408&lt;0,"ATENÇÃO",IF(K408&lt;=5,"BOM","EXCELENTE")))</f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>E409+G409+H409</f>
        <v>23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-6</v>
      </c>
      <c r="L409" s="3" t="str">
        <f>IF(K409&lt;-5,"CRÍTICO",IF(K409&lt;0,"ATENÇÃO",IF(K409&lt;=5,"BOM","EXCELENTE")))</f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>E410+G410+H410</f>
        <v>27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23</v>
      </c>
      <c r="K410" s="3">
        <f>I410-J410</f>
        <v>4</v>
      </c>
      <c r="L410" s="3" t="str">
        <f>IF(K410&lt;-5,"CRÍTICO",IF(K410&lt;0,"ATENÇÃO",IF(K410&lt;=5,"BOM","EXCELENTE")))</f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>IF(K411&lt;-5,"CRÍTICO",IF(K411&lt;0,"ATENÇÃO",IF(K411&lt;=5,"BOM","EXCELENTE")))</f>
        <v>BOM</v>
      </c>
      <c r="M411" s="9">
        <v>0</v>
      </c>
      <c r="N411" s="9">
        <v>100</v>
      </c>
      <c r="O411" s="9">
        <v>17.241379310344829</v>
      </c>
    </row>
    <row r="412" spans="1:15" hidden="1" x14ac:dyDescent="0.25">
      <c r="A412" s="11">
        <v>46038</v>
      </c>
      <c r="B412" t="s">
        <v>36</v>
      </c>
      <c r="C412" t="s">
        <v>20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13</v>
      </c>
      <c r="K412" s="3">
        <f>I412-J412</f>
        <v>6</v>
      </c>
      <c r="L412" s="3" t="str">
        <f>IF(K412&lt;-5,"CRÍTICO",IF(K412&lt;0,"ATENÇÃO",IF(K412&lt;=5,"BOM","EXCELENTE")))</f>
        <v>EXCELENTE</v>
      </c>
      <c r="N412">
        <v>98.91</v>
      </c>
      <c r="O412">
        <v>31.367292225201069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>IF(K413&lt;-5,"CRÍTICO",IF(K413&lt;0,"ATENÇÃO",IF(K413&lt;=5,"BOM","EXCELENTE")))</f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>IF(K414&lt;-5,"CRÍTICO",IF(K414&lt;0,"ATENÇÃO",IF(K414&lt;=5,"BOM","EXCELENTE")))</f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>IF(K415&lt;-5,"CRÍTICO",IF(K415&lt;0,"ATENÇÃO",IF(K415&lt;=5,"BOM","EXCELENTE")))</f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>IF(K416&lt;-5,"CRÍTICO",IF(K416&lt;0,"ATENÇÃO",IF(K416&lt;=5,"BOM","EXCELENTE")))</f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>IF(K417&lt;-5,"CRÍTICO",IF(K417&lt;0,"ATENÇÃO",IF(K417&lt;=5,"BOM","EXCELENTE")))</f>
        <v>BOM</v>
      </c>
      <c r="M417" s="9">
        <v>0</v>
      </c>
      <c r="N417" s="9">
        <v>0</v>
      </c>
      <c r="O417" s="9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>IF(K418&lt;-5,"CRÍTICO",IF(K418&lt;0,"ATENÇÃO",IF(K418&lt;=5,"BOM","EXCELENTE")))</f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>IF(K419&lt;-5,"CRÍTICO",IF(K419&lt;0,"ATENÇÃO",IF(K419&lt;=5,"BOM","EXCELENTE")))</f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>IF(K420&lt;-5,"CRÍTICO",IF(K420&lt;0,"ATENÇÃO",IF(K420&lt;=5,"BOM","EXCELENTE")))</f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>IF(K421&lt;-5,"CRÍTICO",IF(K421&lt;0,"ATENÇÃO",IF(K421&lt;=5,"BOM","EXCELENTE")))</f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>IF(K422&lt;-5,"CRÍTICO",IF(K422&lt;0,"ATENÇÃO",IF(K422&lt;=5,"BOM","EXCELENTE")))</f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>IF(K423&lt;-5,"CRÍTICO",IF(K423&lt;0,"ATENÇÃO",IF(K423&lt;=5,"BOM","EXCELENTE")))</f>
        <v>BOM</v>
      </c>
      <c r="M423" s="9">
        <v>0</v>
      </c>
      <c r="N423" s="9">
        <v>100</v>
      </c>
      <c r="O423" s="9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>E424+G424+H424</f>
        <v>23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>I424-J424</f>
        <v>4</v>
      </c>
      <c r="L424" s="3" t="str">
        <f>IF(K424&lt;-5,"CRÍTICO",IF(K424&lt;0,"ATENÇÃO",IF(K424&lt;=5,"BOM","EXCELENTE")))</f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>E425+G425+H425</f>
        <v>31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29</v>
      </c>
      <c r="K425" s="3">
        <f>I425-J425</f>
        <v>2</v>
      </c>
      <c r="L425" s="3" t="str">
        <f>IF(K425&lt;-5,"CRÍTICO",IF(K425&lt;0,"ATENÇÃO",IF(K425&lt;=5,"BOM","EXCELENTE")))</f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>E426+G426+H426</f>
        <v>26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29</v>
      </c>
      <c r="K426" s="3">
        <f>I426-J426</f>
        <v>-3</v>
      </c>
      <c r="L426" s="3" t="str">
        <f>IF(K426&lt;-5,"CRÍTICO",IF(K426&lt;0,"ATENÇÃO",IF(K426&lt;=5,"BOM","EXCELENTE")))</f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>E427+G427+H427</f>
        <v>40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8</v>
      </c>
      <c r="K427" s="3">
        <f>I427-J427</f>
        <v>32</v>
      </c>
      <c r="L427" s="3" t="str">
        <f>IF(K427&lt;-5,"CRÍTICO",IF(K427&lt;0,"ATENÇÃO",IF(K427&lt;=5,"BOM","EXCELENTE")))</f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>E428+G428+H428</f>
        <v>10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8</v>
      </c>
      <c r="K428" s="3">
        <f>I428-J428</f>
        <v>2</v>
      </c>
      <c r="L428" s="3" t="str">
        <f>IF(K428&lt;-5,"CRÍTICO",IF(K428&lt;0,"ATENÇÃO",IF(K428&lt;=5,"BOM","EXCELENTE")))</f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>E429+G429+H429</f>
        <v>24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8</v>
      </c>
      <c r="K429" s="3">
        <f>I429-J429</f>
        <v>16</v>
      </c>
      <c r="L429" s="3" t="str">
        <f>IF(K429&lt;-5,"CRÍTICO",IF(K429&lt;0,"ATENÇÃO",IF(K429&lt;=5,"BOM","EXCELENTE")))</f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11">
        <v>46041</v>
      </c>
      <c r="B430" t="s">
        <v>36</v>
      </c>
      <c r="C430" t="s">
        <v>20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12</v>
      </c>
      <c r="K430" s="3">
        <f>I430-J430</f>
        <v>1</v>
      </c>
      <c r="L430" s="3" t="str">
        <f>IF(K430&lt;-5,"CRÍTICO",IF(K430&lt;0,"ATENÇÃO",IF(K430&lt;=5,"BOM","EXCELENTE")))</f>
        <v>BOM</v>
      </c>
      <c r="N430">
        <v>98.91</v>
      </c>
      <c r="O430">
        <v>31.367292225201069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>E431+G431+H431</f>
        <v>32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8</v>
      </c>
      <c r="K431" s="3">
        <f>I431-J431</f>
        <v>24</v>
      </c>
      <c r="L431" s="3" t="str">
        <f>IF(K431&lt;-5,"CRÍTICO",IF(K431&lt;0,"ATENÇÃO",IF(K431&lt;=5,"BOM","EXCELENTE")))</f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>E432+G432+H432</f>
        <v>8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8</v>
      </c>
      <c r="K432" s="3">
        <f>I432-J432</f>
        <v>0</v>
      </c>
      <c r="L432" s="3" t="str">
        <f>IF(K432&lt;-5,"CRÍTICO",IF(K432&lt;0,"ATENÇÃO",IF(K432&lt;=5,"BOM","EXCELENTE")))</f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>E433+G433+H433</f>
        <v>15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8</v>
      </c>
      <c r="K433" s="3">
        <f>I433-J433</f>
        <v>7</v>
      </c>
      <c r="L433" s="3" t="str">
        <f>IF(K433&lt;-5,"CRÍTICO",IF(K433&lt;0,"ATENÇÃO",IF(K433&lt;=5,"BOM","EXCELENTE")))</f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>E434+G434+H434</f>
        <v>23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17</v>
      </c>
      <c r="K434" s="3">
        <f>I434-J434</f>
        <v>6</v>
      </c>
      <c r="L434" s="3" t="str">
        <f>IF(K434&lt;-5,"CRÍTICO",IF(K434&lt;0,"ATENÇÃO",IF(K434&lt;=5,"BOM","EXCELENTE")))</f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>E435+G435+H435</f>
        <v>13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-10</v>
      </c>
      <c r="L435" s="3" t="str">
        <f>IF(K435&lt;-5,"CRÍTICO",IF(K435&lt;0,"ATENÇÃO",IF(K435&lt;=5,"BOM","EXCELENTE")))</f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>E436+G436+H436</f>
        <v>13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17</v>
      </c>
      <c r="K436" s="3">
        <f>I436-J436</f>
        <v>-4</v>
      </c>
      <c r="L436" s="3" t="str">
        <f>IF(K436&lt;-5,"CRÍTICO",IF(K436&lt;0,"ATENÇÃO",IF(K436&lt;=5,"BOM","EXCELENTE")))</f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>E437+G437+H437</f>
        <v>14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17</v>
      </c>
      <c r="K437" s="3">
        <f>I437-J437</f>
        <v>-3</v>
      </c>
      <c r="L437" s="3" t="str">
        <f>IF(K437&lt;-5,"CRÍTICO",IF(K437&lt;0,"ATENÇÃO",IF(K437&lt;=5,"BOM","EXCELENTE")))</f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>E438+G438+H438</f>
        <v>30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19</v>
      </c>
      <c r="K438" s="3">
        <f>I438-J438</f>
        <v>11</v>
      </c>
      <c r="L438" s="3" t="str">
        <f>IF(K438&lt;-5,"CRÍTICO",IF(K438&lt;0,"ATENÇÃO",IF(K438&lt;=5,"BOM","EXCELENTE")))</f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>E439+G439+H439</f>
        <v>31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29</v>
      </c>
      <c r="K439" s="3">
        <f>I439-J439</f>
        <v>2</v>
      </c>
      <c r="L439" s="3" t="str">
        <f>IF(K439&lt;-5,"CRÍTICO",IF(K439&lt;0,"ATENÇÃO",IF(K439&lt;=5,"BOM","EXCELENTE")))</f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>E440+G440+H440</f>
        <v>20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19</v>
      </c>
      <c r="K440" s="3">
        <f>I440-J440</f>
        <v>1</v>
      </c>
      <c r="L440" s="3" t="str">
        <f>IF(K440&lt;-5,"CRÍTICO",IF(K440&lt;0,"ATENÇÃO",IF(K440&lt;=5,"BOM","EXCELENTE")))</f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>E441+G441+H441</f>
        <v>21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29</v>
      </c>
      <c r="K441" s="3">
        <f>I441-J441</f>
        <v>-8</v>
      </c>
      <c r="L441" s="3" t="str">
        <f>IF(K441&lt;-5,"CRÍTICO",IF(K441&lt;0,"ATENÇÃO",IF(K441&lt;=5,"BOM","EXCELENTE")))</f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>E442+G442+H442</f>
        <v>31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22</v>
      </c>
      <c r="K442" s="3">
        <f>I442-J442</f>
        <v>9</v>
      </c>
      <c r="L442" s="3" t="str">
        <f>IF(K442&lt;-5,"CRÍTICO",IF(K442&lt;0,"ATENÇÃO",IF(K442&lt;=5,"BOM","EXCELENTE")))</f>
        <v>EXCELENTE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>IF(K443&lt;-5,"CRÍTICO",IF(K443&lt;0,"ATENÇÃO",IF(K443&lt;=5,"BOM","EXCELENTE")))</f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>IF(K444&lt;-5,"CRÍTICO",IF(K444&lt;0,"ATENÇÃO",IF(K444&lt;=5,"BOM","EXCELENTE")))</f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>IF(K445&lt;-5,"CRÍTICO",IF(K445&lt;0,"ATENÇÃO",IF(K445&lt;=5,"BOM","EXCELENTE")))</f>
        <v>BOM</v>
      </c>
      <c r="M445" s="9">
        <v>0</v>
      </c>
      <c r="N445" s="9">
        <v>96.34</v>
      </c>
      <c r="O445" s="9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>IF(K446&lt;-5,"CRÍTICO",IF(K446&lt;0,"ATENÇÃO",IF(K446&lt;=5,"BOM","EXCELENTE")))</f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>IF(K447&lt;-5,"CRÍTICO",IF(K447&lt;0,"ATENÇÃO",IF(K447&lt;=5,"BOM","EXCELENTE")))</f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>IF(K448&lt;-5,"CRÍTICO",IF(K448&lt;0,"ATENÇÃO",IF(K448&lt;=5,"BOM","EXCELENTE")))</f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>IF(K449&lt;-5,"CRÍTICO",IF(K449&lt;0,"ATENÇÃO",IF(K449&lt;=5,"BOM","EXCELENTE")))</f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>IF(K451&lt;-5,"CRÍTICO",IF(K451&lt;0,"ATENÇÃO",IF(K451&lt;=5,"BOM","EXCELENTE")))</f>
        <v>BOM</v>
      </c>
      <c r="M451" s="9">
        <v>0</v>
      </c>
      <c r="N451" s="9">
        <v>98.63</v>
      </c>
      <c r="O451" s="9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>IF(K452&lt;-5,"CRÍTICO",IF(K452&lt;0,"ATENÇÃO",IF(K452&lt;=5,"BOM","EXCELENTE")))</f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>IF(K453&lt;-5,"CRÍTICO",IF(K453&lt;0,"ATENÇÃO",IF(K453&lt;=5,"BOM","EXCELENTE")))</f>
        <v>BOM</v>
      </c>
      <c r="M453" s="9">
        <v>0</v>
      </c>
      <c r="N453" s="9">
        <v>99.06</v>
      </c>
      <c r="O453" s="9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>IF(K454&lt;-5,"CRÍTICO",IF(K454&lt;0,"ATENÇÃO",IF(K454&lt;=5,"BOM","EXCELENTE")))</f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>IF(K455&lt;-5,"CRÍTICO",IF(K455&lt;0,"ATENÇÃO",IF(K455&lt;=5,"BOM","EXCELENTE")))</f>
        <v>BOM</v>
      </c>
      <c r="M455" s="9">
        <v>0</v>
      </c>
      <c r="N455" s="9">
        <v>100</v>
      </c>
      <c r="O455" s="9">
        <v>17.241379310344829</v>
      </c>
    </row>
    <row r="456" spans="1:15" hidden="1" x14ac:dyDescent="0.25">
      <c r="A456" s="11">
        <v>46042</v>
      </c>
      <c r="B456" t="s">
        <v>36</v>
      </c>
      <c r="C456" t="s">
        <v>20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12</v>
      </c>
      <c r="K456" s="3">
        <f>I456-J456</f>
        <v>-3</v>
      </c>
      <c r="L456" s="3" t="str">
        <f>IF(K456&lt;-5,"CRÍTICO",IF(K456&lt;0,"ATENÇÃO",IF(K456&lt;=5,"BOM","EXCELENTE")))</f>
        <v>ATENÇÃO</v>
      </c>
      <c r="N456">
        <v>98.91</v>
      </c>
      <c r="O456">
        <v>31.367292225201069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>IF(K457&lt;-5,"CRÍTICO",IF(K457&lt;0,"ATENÇÃO",IF(K457&lt;=5,"BOM","EXCELENTE")))</f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>IF(K458&lt;-5,"CRÍTICO",IF(K458&lt;0,"ATENÇÃO",IF(K458&lt;=5,"BOM","EXCELENTE")))</f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>IF(K459&lt;-5,"CRÍTICO",IF(K459&lt;0,"ATENÇÃO",IF(K459&lt;=5,"BOM","EXCELENTE")))</f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>IF(K460&lt;-5,"CRÍTICO",IF(K460&lt;0,"ATENÇÃO",IF(K460&lt;=5,"BOM","EXCELENTE")))</f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>IF(K461&lt;-5,"CRÍTICO",IF(K461&lt;0,"ATENÇÃO",IF(K461&lt;=5,"BOM","EXCELENTE")))</f>
        <v>BOM</v>
      </c>
      <c r="M461" s="9">
        <v>0</v>
      </c>
      <c r="N461" s="9">
        <v>0</v>
      </c>
      <c r="O461" s="9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>E462+G462+H462</f>
        <v>19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>I462-J462</f>
        <v>4</v>
      </c>
      <c r="L462" s="3" t="str">
        <f>IF(K462&lt;-5,"CRÍTICO",IF(K462&lt;0,"ATENÇÃO",IF(K462&lt;=5,"BOM","EXCELENTE")))</f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27</v>
      </c>
      <c r="K463" s="3">
        <f>I463-J463</f>
        <v>-3</v>
      </c>
      <c r="L463" s="3" t="str">
        <f>IF(K463&lt;-5,"CRÍTICO",IF(K463&lt;0,"ATENÇÃO",IF(K463&lt;=5,"BOM","EXCELENTE")))</f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>E464+G464+H464</f>
        <v>17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15</v>
      </c>
      <c r="K464" s="3">
        <f>I464-J464</f>
        <v>2</v>
      </c>
      <c r="L464" s="3" t="str">
        <f>IF(K464&lt;-5,"CRÍTICO",IF(K464&lt;0,"ATENÇÃO",IF(K464&lt;=5,"BOM","EXCELENTE")))</f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>E465+G465+H465</f>
        <v>25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27</v>
      </c>
      <c r="K465" s="3">
        <f>I465-J465</f>
        <v>-2</v>
      </c>
      <c r="L465" s="3" t="str">
        <f>IF(K465&lt;-5,"CRÍTICO",IF(K465&lt;0,"ATENÇÃO",IF(K465&lt;=5,"BOM","EXCELENTE")))</f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>E466+G466+H466</f>
        <v>25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22</v>
      </c>
      <c r="K466" s="3">
        <f>I466-J466</f>
        <v>3</v>
      </c>
      <c r="L466" s="3" t="str">
        <f>IF(K466&lt;-5,"CRÍTICO",IF(K466&lt;0,"ATENÇÃO",IF(K466&lt;=5,"BOM","EXCELENTE")))</f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>E467+G467+H467</f>
        <v>26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22</v>
      </c>
      <c r="K467" s="3">
        <f>I467-J467</f>
        <v>4</v>
      </c>
      <c r="L467" s="3" t="str">
        <f>IF(K467&lt;-5,"CRÍTICO",IF(K467&lt;0,"ATENÇÃO",IF(K467&lt;=5,"BOM","EXCELENTE")))</f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>IF(K468&lt;-5,"CRÍTICO",IF(K468&lt;0,"ATENÇÃO",IF(K468&lt;=5,"BOM","EXCELENTE")))</f>
        <v>BOM</v>
      </c>
      <c r="M468" s="9">
        <v>0</v>
      </c>
      <c r="N468" s="9">
        <v>100</v>
      </c>
      <c r="O468" s="9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>E469+G469+H469</f>
        <v>22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>I469-J469</f>
        <v>4</v>
      </c>
      <c r="L469" s="3" t="str">
        <f>IF(K469&lt;-5,"CRÍTICO",IF(K469&lt;0,"ATENÇÃO",IF(K469&lt;=5,"BOM","EXCELENTE")))</f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>E470+G470+H470</f>
        <v>32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27</v>
      </c>
      <c r="K470" s="3">
        <f>I470-J470</f>
        <v>5</v>
      </c>
      <c r="L470" s="3" t="str">
        <f>IF(K470&lt;-5,"CRÍTICO",IF(K470&lt;0,"ATENÇÃO",IF(K470&lt;=5,"BOM","EXCELENTE")))</f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>E471+G471+H471</f>
        <v>29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27</v>
      </c>
      <c r="K471" s="3">
        <f>I471-J471</f>
        <v>2</v>
      </c>
      <c r="L471" s="3" t="str">
        <f>IF(K471&lt;-5,"CRÍTICO",IF(K471&lt;0,"ATENÇÃO",IF(K471&lt;=5,"BOM","EXCELENTE")))</f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>E472+G472+H472</f>
        <v>10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15</v>
      </c>
      <c r="K472" s="3">
        <f>I472-J472</f>
        <v>-5</v>
      </c>
      <c r="L472" s="3" t="str">
        <f>IF(K472&lt;-5,"CRÍTICO",IF(K472&lt;0,"ATENÇÃO",IF(K472&lt;=5,"BOM","EXCELENTE")))</f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>E473+G473+H473</f>
        <v>15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-7</v>
      </c>
      <c r="L473" s="3" t="str">
        <f>IF(K473&lt;-5,"CRÍTICO",IF(K473&lt;0,"ATENÇÃO",IF(K473&lt;=5,"BOM","EXCELENTE")))</f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>E474+G474+H474</f>
        <v>10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15</v>
      </c>
      <c r="K474" s="3">
        <f>I474-J474</f>
        <v>-5</v>
      </c>
      <c r="L474" s="3" t="str">
        <f>IF(K474&lt;-5,"CRÍTICO",IF(K474&lt;0,"ATENÇÃO",IF(K474&lt;=5,"BOM","EXCELENTE")))</f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>E475+G475+H475</f>
        <v>15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15</v>
      </c>
      <c r="K475" s="3">
        <f>I475-J475</f>
        <v>0</v>
      </c>
      <c r="L475" s="3" t="str">
        <f>IF(K475&lt;-5,"CRÍTICO",IF(K475&lt;0,"ATENÇÃO",IF(K475&lt;=5,"BOM","EXCELENTE")))</f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>E476+G476+H476</f>
        <v>6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8</v>
      </c>
      <c r="K476" s="3">
        <f>I476-J476</f>
        <v>-2</v>
      </c>
      <c r="L476" s="3" t="str">
        <f>IF(K476&lt;-5,"CRÍTICO",IF(K476&lt;0,"ATENÇÃO",IF(K476&lt;=5,"BOM","EXCELENTE")))</f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>E477+G477+H477</f>
        <v>13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8</v>
      </c>
      <c r="K477" s="3">
        <f>I477-J477</f>
        <v>5</v>
      </c>
      <c r="L477" s="3" t="str">
        <f>IF(K477&lt;-5,"CRÍTICO",IF(K477&lt;0,"ATENÇÃO",IF(K477&lt;=5,"BOM","EXCELENTE")))</f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11">
        <v>46043</v>
      </c>
      <c r="B478" t="s">
        <v>36</v>
      </c>
      <c r="C478" t="s">
        <v>20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12</v>
      </c>
      <c r="K478" s="3">
        <f>I478-J478</f>
        <v>5</v>
      </c>
      <c r="L478" s="3" t="str">
        <f>IF(K478&lt;-5,"CRÍTICO",IF(K478&lt;0,"ATENÇÃO",IF(K478&lt;=5,"BOM","EXCELENTE")))</f>
        <v>BOM</v>
      </c>
      <c r="N478">
        <v>98.91</v>
      </c>
      <c r="O478">
        <v>31.367292225201069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>E479+G479+H479</f>
        <v>45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8</v>
      </c>
      <c r="K479" s="3">
        <f>I479-J479</f>
        <v>37</v>
      </c>
      <c r="L479" s="3" t="str">
        <f>IF(K479&lt;-5,"CRÍTICO",IF(K479&lt;0,"ATENÇÃO",IF(K479&lt;=5,"BOM","EXCELENTE")))</f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>E480+G480+H480</f>
        <v>7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8</v>
      </c>
      <c r="K480" s="3">
        <f>I480-J480</f>
        <v>-1</v>
      </c>
      <c r="L480" s="3" t="str">
        <f>IF(K480&lt;-5,"CRÍTICO",IF(K480&lt;0,"ATENÇÃO",IF(K480&lt;=5,"BOM","EXCELENTE")))</f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>E481+G481+H481</f>
        <v>13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8</v>
      </c>
      <c r="K481" s="3">
        <f>I481-J481</f>
        <v>5</v>
      </c>
      <c r="L481" s="3" t="str">
        <f>IF(K481&lt;-5,"CRÍTICO",IF(K481&lt;0,"ATENÇÃO",IF(K481&lt;=5,"BOM","EXCELENTE")))</f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>E482+G482+H482</f>
        <v>26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18</v>
      </c>
      <c r="K482" s="3">
        <f>I482-J482</f>
        <v>8</v>
      </c>
      <c r="L482" s="3" t="str">
        <f>IF(K482&lt;-5,"CRÍTICO",IF(K482&lt;0,"ATENÇÃO",IF(K482&lt;=5,"BOM","EXCELENTE")))</f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>E483+G483+H483</f>
        <v>31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27</v>
      </c>
      <c r="K483" s="3">
        <f>I483-J483</f>
        <v>4</v>
      </c>
      <c r="L483" s="3" t="str">
        <f>IF(K483&lt;-5,"CRÍTICO",IF(K483&lt;0,"ATENÇÃO",IF(K483&lt;=5,"BOM","EXCELENTE")))</f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>E484+G484+H484</f>
        <v>22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18</v>
      </c>
      <c r="K484" s="3">
        <f>I484-J484</f>
        <v>4</v>
      </c>
      <c r="L484" s="3" t="str">
        <f>IF(K484&lt;-5,"CRÍTICO",IF(K484&lt;0,"ATENÇÃO",IF(K484&lt;=5,"BOM","EXCELENTE")))</f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>E485+G485+H485</f>
        <v>26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27</v>
      </c>
      <c r="K485" s="3">
        <f>I485-J485</f>
        <v>-1</v>
      </c>
      <c r="L485" s="3" t="str">
        <f>IF(K485&lt;-5,"CRÍTICO",IF(K485&lt;0,"ATENÇÃO",IF(K485&lt;=5,"BOM","EXCELENTE")))</f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>E486+G486+H486</f>
        <v>34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23</v>
      </c>
      <c r="K486" s="3">
        <f>I486-J486</f>
        <v>11</v>
      </c>
      <c r="L486" s="3" t="str">
        <f>IF(K486&lt;-5,"CRÍTICO",IF(K486&lt;0,"ATENÇÃO",IF(K486&lt;=5,"BOM","EXCELENTE")))</f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IF(K487&lt;-5,"CRÍTICO",IF(K487&lt;0,"ATENÇÃO",IF(K487&lt;=5,"BOM","EXCELENTE")))</f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>E488+G488+H488</f>
        <v>30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>I488-J488</f>
        <v>11</v>
      </c>
      <c r="L488" s="3" t="str">
        <f>IF(K488&lt;-5,"CRÍTICO",IF(K488&lt;0,"ATENÇÃO",IF(K488&lt;=5,"BOM","EXCELENTE")))</f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>E489+G489+H489</f>
        <v>20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-9</v>
      </c>
      <c r="L489" s="3" t="str">
        <f>IF(K489&lt;-5,"CRÍTICO",IF(K489&lt;0,"ATENÇÃO",IF(K489&lt;=5,"BOM","EXCELENTE")))</f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>E490+G490+H490</f>
        <v>29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17</v>
      </c>
      <c r="K490" s="3">
        <f>I490-J490</f>
        <v>12</v>
      </c>
      <c r="L490" s="3" t="str">
        <f>IF(K490&lt;-5,"CRÍTICO",IF(K490&lt;0,"ATENÇÃO",IF(K490&lt;=5,"BOM","EXCELENTE")))</f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IF(K491&lt;-5,"CRÍTICO",IF(K491&lt;0,"ATENÇÃO",IF(K491&lt;=5,"BOM","EXCELENTE")))</f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>E492+G492+H492</f>
        <v>34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11</v>
      </c>
      <c r="L492" s="3" t="str">
        <f>IF(K492&lt;-5,"CRÍTICO",IF(K492&lt;0,"ATENÇÃO",IF(K492&lt;=5,"BOM","EXCELENTE")))</f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>E493+G493+H493</f>
        <v>9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8</v>
      </c>
      <c r="K493" s="3">
        <f>I493-J493</f>
        <v>1</v>
      </c>
      <c r="L493" s="3" t="str">
        <f>IF(K493&lt;-5,"CRÍTICO",IF(K493&lt;0,"ATENÇÃO",IF(K493&lt;=5,"BOM","EXCELENTE")))</f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>E494+G494+H494</f>
        <v>26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19</v>
      </c>
      <c r="K494" s="3">
        <f>I494-J494</f>
        <v>7</v>
      </c>
      <c r="L494" s="3" t="str">
        <f>IF(K494&lt;-5,"CRÍTICO",IF(K494&lt;0,"ATENÇÃO",IF(K494&lt;=5,"BOM","EXCELENTE")))</f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>E495+G495+H495</f>
        <v>30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29</v>
      </c>
      <c r="K495" s="3">
        <f>I495-J495</f>
        <v>1</v>
      </c>
      <c r="L495" s="3" t="str">
        <f>IF(K495&lt;-5,"CRÍTICO",IF(K495&lt;0,"ATENÇÃO",IF(K495&lt;=5,"BOM","EXCELENTE")))</f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>IF(K496&lt;-5,"CRÍTICO",IF(K496&lt;0,"ATENÇÃO",IF(K496&lt;=5,"BOM","EXCELENTE")))</f>
        <v>BOM</v>
      </c>
      <c r="M496" s="9">
        <v>0</v>
      </c>
      <c r="N496" s="9">
        <v>98.63</v>
      </c>
      <c r="O496" s="9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>IF(K497&lt;-5,"CRÍTICO",IF(K497&lt;0,"ATENÇÃO",IF(K497&lt;=5,"BOM","EXCELENTE")))</f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>IF(K498&lt;-5,"CRÍTICO",IF(K498&lt;0,"ATENÇÃO",IF(K498&lt;=5,"BOM","EXCELENTE")))</f>
        <v>BOM</v>
      </c>
      <c r="M498" s="9">
        <v>0</v>
      </c>
      <c r="N498" s="9">
        <v>99.06</v>
      </c>
      <c r="O498" s="9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>IF(K499&lt;-5,"CRÍTICO",IF(K499&lt;0,"ATENÇÃO",IF(K499&lt;=5,"BOM","EXCELENTE")))</f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>IF(K500&lt;-5,"CRÍTICO",IF(K500&lt;0,"ATENÇÃO",IF(K500&lt;=5,"BOM","EXCELENTE")))</f>
        <v>BOM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>IF(K501&lt;-5,"CRÍTICO",IF(K501&lt;0,"ATENÇÃO",IF(K501&lt;=5,"BOM","EXCELENTE")))</f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>IF(K502&lt;-5,"CRÍTICO",IF(K502&lt;0,"ATENÇÃO",IF(K502&lt;=5,"BOM","EXCELENTE")))</f>
        <v>BOM</v>
      </c>
      <c r="M502" s="9">
        <v>0</v>
      </c>
      <c r="N502" s="9">
        <v>100</v>
      </c>
      <c r="O502" s="9">
        <v>17.241379310344829</v>
      </c>
    </row>
    <row r="503" spans="1:15" hidden="1" x14ac:dyDescent="0.25">
      <c r="A503" s="11">
        <v>46044</v>
      </c>
      <c r="B503" t="s">
        <v>36</v>
      </c>
      <c r="C503" t="s">
        <v>20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ref="I503:I504" si="5">E503+G503+H503</f>
        <v>22</v>
      </c>
      <c r="J503" s="3">
        <f t="shared" ref="J503:J504" si="6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13</v>
      </c>
      <c r="K503" s="3">
        <f t="shared" ref="K503:K504" si="7">I503-J503</f>
        <v>9</v>
      </c>
      <c r="L503" s="3" t="str">
        <f t="shared" ref="L503:L504" si="8">IF(K503&lt;-5,"CRÍTICO",IF(K503&lt;0,"ATENÇÃO",IF(K503&lt;=5,"BOM","EXCELENTE")))</f>
        <v>EXCELENTE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36</v>
      </c>
      <c r="C504" t="s">
        <v>20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5"/>
        <v>17</v>
      </c>
      <c r="J504" s="3">
        <f t="shared" si="6"/>
        <v>13</v>
      </c>
      <c r="K504" s="3">
        <f t="shared" si="7"/>
        <v>4</v>
      </c>
      <c r="L504" s="3" t="str">
        <f t="shared" si="8"/>
        <v>BOM</v>
      </c>
      <c r="N504">
        <v>98.91</v>
      </c>
      <c r="O504">
        <v>31.367292225201069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>E505+G505+H505</f>
        <v>25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23</v>
      </c>
      <c r="K505" s="3">
        <f>I505-J505</f>
        <v>2</v>
      </c>
      <c r="L505" s="3" t="str">
        <f>IF(K505&lt;-5,"CRÍTICO",IF(K505&lt;0,"ATENÇÃO",IF(K505&lt;=5,"BOM","EXCELENTE")))</f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>E506+G506+H506</f>
        <v>42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29</v>
      </c>
      <c r="K506" s="3">
        <f>I506-J506</f>
        <v>13</v>
      </c>
      <c r="L506" s="3" t="str">
        <f>IF(K506&lt;-5,"CRÍTICO",IF(K506&lt;0,"ATENÇÃO",IF(K506&lt;=5,"BOM","EXCELENTE")))</f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>E507+G507+H507</f>
        <v>14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29</v>
      </c>
      <c r="K507" s="3">
        <f>I507-J507</f>
        <v>-15</v>
      </c>
      <c r="L507" s="3" t="str">
        <f>IF(K507&lt;-5,"CRÍTICO",IF(K507&lt;0,"ATENÇÃO",IF(K507&lt;=5,"BOM","EXCELENTE")))</f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>E508+G508+H508</f>
        <v>22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23</v>
      </c>
      <c r="K508" s="3">
        <f>I508-J508</f>
        <v>-1</v>
      </c>
      <c r="L508" s="3" t="str">
        <f>IF(K508&lt;-5,"CRÍTICO",IF(K508&lt;0,"ATENÇÃO",IF(K508&lt;=5,"BOM","EXCELENTE")))</f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IF(K509&lt;-5,"CRÍTICO",IF(K509&lt;0,"ATENÇÃO",IF(K509&lt;=5,"BOM","EXCELENTE")))</f>
        <v>BOM</v>
      </c>
      <c r="M509" s="9">
        <v>0</v>
      </c>
      <c r="N509" s="9">
        <v>0</v>
      </c>
      <c r="O509" s="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>E510+G510+H510</f>
        <v>21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>I510-J510</f>
        <v>4</v>
      </c>
      <c r="L510" s="3" t="str">
        <f>IF(K510&lt;-5,"CRÍTICO",IF(K510&lt;0,"ATENÇÃO",IF(K510&lt;=5,"BOM","EXCELENTE")))</f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>E511+G511+H511</f>
        <v>32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29</v>
      </c>
      <c r="K511" s="3">
        <f>I511-J511</f>
        <v>3</v>
      </c>
      <c r="L511" s="3" t="str">
        <f>IF(K511&lt;-5,"CRÍTICO",IF(K511&lt;0,"ATENÇÃO",IF(K511&lt;=5,"BOM","EXCELENTE")))</f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>E512+G512+H512</f>
        <v>18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17</v>
      </c>
      <c r="K512" s="3">
        <f>I512-J512</f>
        <v>1</v>
      </c>
      <c r="L512" s="3" t="str">
        <f>IF(K512&lt;-5,"CRÍTICO",IF(K512&lt;0,"ATENÇÃO",IF(K512&lt;=5,"BOM","EXCELENTE")))</f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>E513+G513+H513</f>
        <v>26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29</v>
      </c>
      <c r="K513" s="3">
        <f>I513-J513</f>
        <v>-3</v>
      </c>
      <c r="L513" s="3" t="str">
        <f>IF(K513&lt;-5,"CRÍTICO",IF(K513&lt;0,"ATENÇÃO",IF(K513&lt;=5,"BOM","EXCELENTE")))</f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>E514+G514+H514</f>
        <v>28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23</v>
      </c>
      <c r="K514" s="3">
        <f>I514-J514</f>
        <v>5</v>
      </c>
      <c r="L514" s="3" t="str">
        <f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>E515+G515+H515</f>
        <v>22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23</v>
      </c>
      <c r="K515" s="3">
        <f>I515-J515</f>
        <v>-1</v>
      </c>
      <c r="L515" s="3" t="str">
        <f>IF(K515&lt;-5,"CRÍTICO",IF(K515&lt;0,"ATENÇÃO",IF(K515&lt;=5,"BOM","EXCELENTE")))</f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>E516+G516+H516</f>
        <v>20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29</v>
      </c>
      <c r="K516" s="3">
        <f>I516-J516</f>
        <v>-9</v>
      </c>
      <c r="L516" s="3" t="str">
        <f>IF(K516&lt;-5,"CRÍTICO",IF(K516&lt;0,"ATENÇÃO",IF(K516&lt;=5,"BOM","EXCELENTE")))</f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>E517+G517+H517</f>
        <v>19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19</v>
      </c>
      <c r="K517" s="3">
        <f>I517-J517</f>
        <v>0</v>
      </c>
      <c r="L517" s="3" t="str">
        <f>IF(K517&lt;-5,"CRÍTICO",IF(K517&lt;0,"ATENÇÃO",IF(K517&lt;=5,"BOM","EXCELENTE")))</f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>E518+G518+H518</f>
        <v>24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8</v>
      </c>
      <c r="K518" s="3">
        <f>I518-J518</f>
        <v>16</v>
      </c>
      <c r="L518" s="3" t="str">
        <f>IF(K518&lt;-5,"CRÍTICO",IF(K518&lt;0,"ATENÇÃO",IF(K518&lt;=5,"BOM","EXCELENTE")))</f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>E519+G519+H519</f>
        <v>33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4</v>
      </c>
      <c r="L519" s="3" t="str">
        <f>IF(K519&lt;-5,"CRÍTICO",IF(K519&lt;0,"ATENÇÃO",IF(K519&lt;=5,"BOM","EXCELENTE")))</f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>E520+G520+H520</f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29</v>
      </c>
      <c r="K520" s="3">
        <f>I520-J520</f>
        <v>6</v>
      </c>
      <c r="L520" s="3" t="str">
        <f>IF(K520&lt;-5,"CRÍTICO",IF(K520&lt;0,"ATENÇÃO",IF(K520&lt;=5,"BOM","EXCELENTE")))</f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>E521+G521+H521</f>
        <v>13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8</v>
      </c>
      <c r="K521" s="3">
        <f>I521-J521</f>
        <v>5</v>
      </c>
      <c r="L521" s="3" t="str">
        <f>IF(K521&lt;-5,"CRÍTICO",IF(K521&lt;0,"ATENÇÃO",IF(K521&lt;=5,"BOM","EXCELENTE")))</f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>E522+G522+H522</f>
        <v>23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17</v>
      </c>
      <c r="K522" s="3">
        <f>I522-J522</f>
        <v>6</v>
      </c>
      <c r="L522" s="3" t="str">
        <f>IF(K522&lt;-5,"CRÍTICO",IF(K522&lt;0,"ATENÇÃO",IF(K522&lt;=5,"BOM","EXCELENTE")))</f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>E523+G523+H523</f>
        <v>23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23</v>
      </c>
      <c r="K523" s="3">
        <f>I523-J523</f>
        <v>0</v>
      </c>
      <c r="L523" s="3" t="str">
        <f>IF(K523&lt;-5,"CRÍTICO",IF(K523&lt;0,"ATENÇÃO",IF(K523&lt;=5,"BOM","EXCELENTE")))</f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>E524+G524+H524</f>
        <v>13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17</v>
      </c>
      <c r="K524" s="3">
        <f>I524-J524</f>
        <v>-4</v>
      </c>
      <c r="L524" s="3" t="str">
        <f>IF(K524&lt;-5,"CRÍTICO",IF(K524&lt;0,"ATENÇÃO",IF(K524&lt;=5,"BOM","EXCELENTE")))</f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>E525+G525+H525</f>
        <v>17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17</v>
      </c>
      <c r="K525" s="3">
        <f>I525-J525</f>
        <v>0</v>
      </c>
      <c r="L525" s="3" t="str">
        <f>IF(K525&lt;-5,"CRÍTICO",IF(K525&lt;0,"ATENÇÃO",IF(K525&lt;=5,"BOM","EXCELENTE")))</f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>E526+G526+H526</f>
        <v>19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8</v>
      </c>
      <c r="K526" s="3">
        <f>I526-J526</f>
        <v>11</v>
      </c>
      <c r="L526" s="3" t="str">
        <f>IF(K526&lt;-5,"CRÍTICO",IF(K526&lt;0,"ATENÇÃO",IF(K526&lt;=5,"BOM","EXCELENTE")))</f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>E527+G527+H527</f>
        <v>33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19</v>
      </c>
      <c r="K527" s="3">
        <f>I527-J527</f>
        <v>14</v>
      </c>
      <c r="L527" s="3" t="str">
        <f>IF(K527&lt;-5,"CRÍTICO",IF(K527&lt;0,"ATENÇÃO",IF(K527&lt;=5,"BOM","EXCELENTE")))</f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>E528+G528+H528</f>
        <v>38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>I528-J528</f>
        <v>9</v>
      </c>
      <c r="L528" s="3" t="str">
        <f>IF(K528&lt;-5,"CRÍTICO",IF(K528&lt;0,"ATENÇÃO",IF(K528&lt;=5,"BOM","EXCELENTE")))</f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>E529+G529+H529</f>
        <v>18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19</v>
      </c>
      <c r="K529" s="3">
        <f>I529-J529</f>
        <v>-1</v>
      </c>
      <c r="L529" s="3" t="str">
        <f>IF(K529&lt;-5,"CRÍTICO",IF(K529&lt;0,"ATENÇÃO",IF(K529&lt;=5,"BOM","EXCELENTE")))</f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>E530+G530+H530</f>
        <v>27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29</v>
      </c>
      <c r="K530" s="3">
        <f>I530-J530</f>
        <v>-2</v>
      </c>
      <c r="L530" s="3" t="str">
        <f>IF(K530&lt;-5,"CRÍTICO",IF(K530&lt;0,"ATENÇÃO",IF(K530&lt;=5,"BOM","EXCELENTE")))</f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>E531+G531+H531</f>
        <v>31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21</v>
      </c>
      <c r="K531" s="3">
        <f>I531-J531</f>
        <v>10</v>
      </c>
      <c r="L531" s="3" t="str">
        <f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>IF(K532&lt;-5,"CRÍTICO",IF(K532&lt;0,"ATENÇÃO",IF(K532&lt;=5,"OPORTUNO","MUITO BOM")))</f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>E533+G533+H533</f>
        <v>26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>I533-J533</f>
        <v>9</v>
      </c>
      <c r="L533" s="3" t="str">
        <f>IF(K533&lt;-5,"CRÍTICO",IF(K533&lt;0,"ATENÇÃO",IF(K533&lt;=5,"OPORTUNO","MUITO BOM")))</f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>E534+G534+H534</f>
        <v>22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26</v>
      </c>
      <c r="K534" s="3">
        <f>I534-J534</f>
        <v>-4</v>
      </c>
      <c r="L534" s="3" t="str">
        <f>IF(K534&lt;-5,"CRÍTICO",IF(K534&lt;0,"ATENÇÃO",IF(K534&lt;=5,"OPORTUNO","MUITO BOM")))</f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>E535+G535+H535</f>
        <v>33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15</v>
      </c>
      <c r="K535" s="3">
        <f>I535-J535</f>
        <v>18</v>
      </c>
      <c r="L535" s="3" t="str">
        <f>IF(K535&lt;-5,"CRÍTICO",IF(K535&lt;0,"ATENÇÃO",IF(K535&lt;=5,"OPORTUNO","MUITO BOM")))</f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>E536+G536+H536</f>
        <v>25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21</v>
      </c>
      <c r="K536" s="3">
        <f>I536-J536</f>
        <v>4</v>
      </c>
      <c r="L536" s="3" t="str">
        <f>IF(K536&lt;-5,"CRÍTICO",IF(K536&lt;0,"ATENÇÃO",IF(K536&lt;=5,"OPORTUNO","MUITO BOM")))</f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>E537+G537+H537</f>
        <v>27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21</v>
      </c>
      <c r="K537" s="3">
        <f>I537-J537</f>
        <v>6</v>
      </c>
      <c r="L537" s="3" t="str">
        <f>IF(K537&lt;-5,"CRÍTICO",IF(K537&lt;0,"ATENÇÃO",IF(K537&lt;=5,"OPORTUNO","MUITO BOM")))</f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>E538+G538+H538</f>
        <v>10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7</v>
      </c>
      <c r="K538" s="3">
        <f>I538-J538</f>
        <v>3</v>
      </c>
      <c r="L538" s="3" t="str">
        <f>IF(K538&lt;-5,"CRÍTICO",IF(K538&lt;0,"ATENÇÃO",IF(K538&lt;=5,"OPORTUNO","MUITO BOM")))</f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>E539+G539+H539</f>
        <v>24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17</v>
      </c>
      <c r="K539" s="3">
        <f>I539-J539</f>
        <v>7</v>
      </c>
      <c r="L539" s="3" t="str">
        <f>IF(K539&lt;-5,"CRÍTICO",IF(K539&lt;0,"ATENÇÃO",IF(K539&lt;=5,"OPORTUNO","MUITO BOM")))</f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>E540+G540+H540</f>
        <v>26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26</v>
      </c>
      <c r="K540" s="3">
        <f>I540-J540</f>
        <v>0</v>
      </c>
      <c r="L540" s="3" t="str">
        <f>IF(K540&lt;-5,"CRÍTICO",IF(K540&lt;0,"ATENÇÃO",IF(K540&lt;=5,"OPORTUNO","MUITO BOM")))</f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>IF(K541&lt;-5,"CRÍTICO",IF(K541&lt;0,"ATENÇÃO",IF(K541&lt;=5,"OPORTUNO","MUITO BOM")))</f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>IF(K542&lt;-5,"CRÍTICO",IF(K542&lt;0,"ATENÇÃO",IF(K542&lt;=5,"OPORTUNO","MUITO BOM")))</f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>IF(K543&lt;-5,"CRÍTICO",IF(K543&lt;0,"ATENÇÃO",IF(K543&lt;=5,"OPORTUNO","MUITO BOM")))</f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>IF(K544&lt;-5,"CRÍTICO",IF(K544&lt;0,"ATENÇÃO",IF(K544&lt;=5,"OPORTUNO","MUITO BOM")))</f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>IF(K545&lt;-5,"CRÍTICO",IF(K545&lt;0,"ATENÇÃO",IF(K545&lt;=5,"OPORTUNO","MUITO BOM")))</f>
        <v>MUITO BOM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>IF(K546&lt;-5,"CRÍTICO",IF(K546&lt;0,"ATENÇÃO",IF(K546&lt;=5,"OPORTUNO","MUITO BOM")))</f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>IF(K547&lt;-5,"CRÍTICO",IF(K547&lt;0,"ATENÇÃO",IF(K547&lt;=5,"OPORTUNO","MUITO BOM")))</f>
        <v>OPORTUNO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11">
        <v>46048</v>
      </c>
      <c r="B548" t="s">
        <v>36</v>
      </c>
      <c r="C548" t="s">
        <v>20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ref="I548:I549" si="9">E548+G548+H548</f>
        <v>17</v>
      </c>
      <c r="J548" s="3">
        <f t="shared" ref="J548:J549" si="10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14</v>
      </c>
      <c r="K548" s="3">
        <f t="shared" ref="K548:K549" si="11">I548-J548</f>
        <v>3</v>
      </c>
      <c r="L548" s="3" t="str">
        <f t="shared" ref="L548:L549" si="12">IF(K548&lt;-5,"CRÍTICO",IF(K548&lt;0,"ATENÇÃO",IF(K548&lt;=5,"BOM","EXCELENTE")))</f>
        <v>BOM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36</v>
      </c>
      <c r="C549" t="s">
        <v>20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9"/>
        <v>20</v>
      </c>
      <c r="J549" s="3">
        <f t="shared" si="10"/>
        <v>15</v>
      </c>
      <c r="K549" s="3">
        <f t="shared" si="11"/>
        <v>5</v>
      </c>
      <c r="L549" s="3" t="str">
        <f t="shared" si="12"/>
        <v>BOM</v>
      </c>
      <c r="N549">
        <v>98.91</v>
      </c>
      <c r="O549">
        <v>31.367292225201069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>E550+G550+H550</f>
        <v>25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21</v>
      </c>
      <c r="K550" s="3">
        <f>I550-J550</f>
        <v>4</v>
      </c>
      <c r="L550" s="3" t="str">
        <f>IF(K550&lt;-5,"CRÍTICO",IF(K550&lt;0,"ATENÇÃO",IF(K550&lt;=5,"OPORTUNO","MUITO BOM")))</f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>E551+G551+H551</f>
        <v>38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26</v>
      </c>
      <c r="K551" s="3">
        <f>I551-J551</f>
        <v>12</v>
      </c>
      <c r="L551" s="3" t="str">
        <f>IF(K551&lt;-5,"CRÍTICO",IF(K551&lt;0,"ATENÇÃO",IF(K551&lt;=5,"OPORTUNO","MUITO BOM")))</f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>E552+G552+H552</f>
        <v>23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26</v>
      </c>
      <c r="K552" s="3">
        <f>I552-J552</f>
        <v>-3</v>
      </c>
      <c r="L552" s="3" t="str">
        <f>IF(K552&lt;-5,"CRÍTICO",IF(K552&lt;0,"ATENÇÃO",IF(K552&lt;=5,"OPORTUNO","MUITO BOM")))</f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>E553+G553+H553</f>
        <v>26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21</v>
      </c>
      <c r="K553" s="3">
        <f>I553-J553</f>
        <v>5</v>
      </c>
      <c r="L553" s="3" t="str">
        <f>IF(K553&lt;-5,"CRÍTICO",IF(K553&lt;0,"ATENÇÃO",IF(K553&lt;=5,"OPORTUNO","MUITO BOM")))</f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>IF(K554&lt;-5,"CRÍTICO",IF(K554&lt;0,"ATENÇÃO",IF(K554&lt;=5,"OPORTUNO","MUITO BOM")))</f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>E555+G555+H555</f>
        <v>20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>I555-J555</f>
        <v>5</v>
      </c>
      <c r="L555" s="3" t="str">
        <f>IF(K555&lt;-5,"CRÍTICO",IF(K555&lt;0,"ATENÇÃO",IF(K555&lt;=5,"OPORTUNO","MUITO BOM")))</f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>E556+G556+H556</f>
        <v>17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26</v>
      </c>
      <c r="K556" s="3">
        <f>I556-J556</f>
        <v>-9</v>
      </c>
      <c r="L556" s="3" t="str">
        <f>IF(K556&lt;-5,"CRÍTICO",IF(K556&lt;0,"ATENÇÃO",IF(K556&lt;=5,"OPORTUNO","MUITO BOM")))</f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>E557+G557+H557</f>
        <v>12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15</v>
      </c>
      <c r="K557" s="3">
        <f>I557-J557</f>
        <v>-3</v>
      </c>
      <c r="L557" s="3" t="str">
        <f>IF(K557&lt;-5,"CRÍTICO",IF(K557&lt;0,"ATENÇÃO",IF(K557&lt;=5,"OPORTUNO","MUITO BOM")))</f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>E558+G558+H558</f>
        <v>29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26</v>
      </c>
      <c r="K558" s="3">
        <f>I558-J558</f>
        <v>3</v>
      </c>
      <c r="L558" s="3" t="str">
        <f>IF(K558&lt;-5,"CRÍTICO",IF(K558&lt;0,"ATENÇÃO",IF(K558&lt;=5,"OPORTUNO","MUITO BOM")))</f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>E559+G559+H559</f>
        <v>25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21</v>
      </c>
      <c r="K559" s="3">
        <f>I559-J559</f>
        <v>4</v>
      </c>
      <c r="L559" s="3" t="str">
        <f>IF(K559&lt;-5,"CRÍTICO",IF(K559&lt;0,"ATENÇÃO",IF(K559&lt;=5,"OPORTUNO","MUITO BOM")))</f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>E560+G560+H560</f>
        <v>13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21</v>
      </c>
      <c r="K560" s="3">
        <f>I560-J560</f>
        <v>-8</v>
      </c>
      <c r="L560" s="3" t="str">
        <f>IF(K560&lt;-5,"CRÍTICO",IF(K560&lt;0,"ATENÇÃO",IF(K560&lt;=5,"OPORTUNO","MUITO BOM")))</f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>E561+G561+H561</f>
        <v>21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26</v>
      </c>
      <c r="K561" s="3">
        <f>I561-J561</f>
        <v>-5</v>
      </c>
      <c r="L561" s="3" t="str">
        <f>IF(K561&lt;-5,"CRÍTICO",IF(K561&lt;0,"ATENÇÃO",IF(K561&lt;=5,"OPORTUNO","MUITO BOM")))</f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>E562+G562+H562</f>
        <v>18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17</v>
      </c>
      <c r="K562" s="3">
        <f>I562-J562</f>
        <v>1</v>
      </c>
      <c r="L562" s="3" t="str">
        <f>IF(K562&lt;-5,"CRÍTICO",IF(K562&lt;0,"ATENÇÃO",IF(K562&lt;=5,"OPORTUNO","MUITO BOM")))</f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>E563+G563+H563</f>
        <v>10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7</v>
      </c>
      <c r="K563" s="3">
        <f>I563-J563</f>
        <v>3</v>
      </c>
      <c r="L563" s="3" t="str">
        <f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>E564+G564+H564</f>
        <v>25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26</v>
      </c>
      <c r="K564" s="3">
        <f>I564-J564</f>
        <v>-1</v>
      </c>
      <c r="L564" s="3" t="str">
        <f>IF(K564&lt;-5,"CRÍTICO",IF(K564&lt;0,"ATENÇÃO",IF(K564&lt;=5,"OPORTUNO","MUITO BOM")))</f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>E565+G565+H565</f>
        <v>27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26</v>
      </c>
      <c r="K565" s="3">
        <f>I565-J565</f>
        <v>1</v>
      </c>
      <c r="L565" s="3" t="str">
        <f>IF(K565&lt;-5,"CRÍTICO",IF(K565&lt;0,"ATENÇÃO",IF(K565&lt;=5,"OPORTUNO","MUITO BOM")))</f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>E566+G566+H566</f>
        <v>17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7</v>
      </c>
      <c r="K566" s="3">
        <f>I566-J566</f>
        <v>10</v>
      </c>
      <c r="L566" s="3" t="str">
        <f>IF(K566&lt;-5,"CRÍTICO",IF(K566&lt;0,"ATENÇÃO",IF(K566&lt;=5,"OPORTUNO","MUITO BOM")))</f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>E567+G567+H567</f>
        <v>21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15</v>
      </c>
      <c r="K567" s="3">
        <f>I567-J567</f>
        <v>6</v>
      </c>
      <c r="L567" s="3" t="str">
        <f>IF(K567&lt;-5,"CRÍTICO",IF(K567&lt;0,"ATENÇÃO",IF(K567&lt;=5,"OPORTUNO","MUITO BOM")))</f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>E569+G569+H569</f>
        <v>14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>I569-J569</f>
        <v>-1</v>
      </c>
      <c r="L569" s="3" t="str">
        <f>IF(K569&lt;-5,"CRÍTICO",IF(K569&lt;0,"ATENÇÃO",IF(K569&lt;=5,"OPORTUNO","MUITO BOM")))</f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>E570+G570+H570</f>
        <v>15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15</v>
      </c>
      <c r="K570" s="3">
        <f>I570-J570</f>
        <v>0</v>
      </c>
      <c r="L570" s="3" t="str">
        <f>IF(K570&lt;-5,"CRÍTICO",IF(K570&lt;0,"ATENÇÃO",IF(K570&lt;=5,"OPORTUNO","MUITO BOM")))</f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>E571+G571+H571</f>
        <v>15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7</v>
      </c>
      <c r="K571" s="3">
        <f>I571-J571</f>
        <v>8</v>
      </c>
      <c r="L571" s="3" t="str">
        <f>IF(K571&lt;-5,"CRÍTICO",IF(K571&lt;0,"ATENÇÃO",IF(K571&lt;=5,"OPORTUNO","MUITO BOM")))</f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>E572+G572+H572</f>
        <v>25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17</v>
      </c>
      <c r="K572" s="3">
        <f>I572-J572</f>
        <v>8</v>
      </c>
      <c r="L572" s="3" t="str">
        <f>IF(K572&lt;-5,"CRÍTICO",IF(K572&lt;0,"ATENÇÃO",IF(K572&lt;=5,"OPORTUNO","MUITO BOM")))</f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>E573+G573+H573</f>
        <v>33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26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>E574+G574+H574</f>
        <v>18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17</v>
      </c>
      <c r="K574" s="3">
        <f>I574-J574</f>
        <v>1</v>
      </c>
      <c r="L574" s="3" t="str">
        <f>IF(K574&lt;-5,"CRÍTICO",IF(K574&lt;0,"ATENÇÃO",IF(K574&lt;=5,"OPORTUNO","MUITO BOM")))</f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26</v>
      </c>
      <c r="K575" s="3">
        <f>I575-J575</f>
        <v>-2</v>
      </c>
      <c r="L575" s="3" t="str">
        <f>IF(K575&lt;-5,"CRÍTICO",IF(K575&lt;0,"ATENÇÃO",IF(K575&lt;=5,"OPORTUNO","MUITO BOM")))</f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>E576+G576+H576</f>
        <v>20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18</v>
      </c>
      <c r="K576" s="3">
        <f>I576-J576</f>
        <v>2</v>
      </c>
      <c r="L576" s="3" t="str">
        <f>IF(K576&lt;-5,"CRÍTICO",IF(K576&lt;0,"ATENÇÃO",IF(K576&lt;=5,"OPORTUNO","MUITO BOM")))</f>
        <v>OPORTUNO</v>
      </c>
      <c r="M576" s="3">
        <v>17</v>
      </c>
      <c r="N576" s="3">
        <v>98.94</v>
      </c>
      <c r="O576" s="3">
        <v>19.614147909967851</v>
      </c>
    </row>
    <row r="577" spans="1:15" hidden="1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>IF(K577&lt;-5,"CRÍTICO",IF(K577&lt;0,"ATENÇÃO",IF(K577&lt;=5,"OPORTUNO","MUITO BOM")))</f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>E578+G578+H578</f>
        <v>23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15</v>
      </c>
      <c r="K578" s="3">
        <f>I578-J578</f>
        <v>8</v>
      </c>
      <c r="L578" s="3" t="str">
        <f>IF(K578&lt;-5,"CRÍTICO",IF(K578&lt;0,"ATENÇÃO",IF(K578&lt;=5,"OPORTUNO","MUITO BOM")))</f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>E579+G579+H579</f>
        <v>15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22</v>
      </c>
      <c r="K579" s="3">
        <f>I579-J579</f>
        <v>-7</v>
      </c>
      <c r="L579" s="3" t="str">
        <f>IF(K579&lt;-5,"CRÍTICO",IF(K579&lt;0,"ATENÇÃO",IF(K579&lt;=5,"OPORTUNO","MUITO BOM")))</f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>E580+G580+H580</f>
        <v>22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13</v>
      </c>
      <c r="K580" s="3">
        <f>I580-J580</f>
        <v>9</v>
      </c>
      <c r="L580" s="3" t="str">
        <f>IF(K580&lt;-5,"CRÍTICO",IF(K580&lt;0,"ATENÇÃO",IF(K580&lt;=5,"OPORTUNO","MUITO BOM")))</f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>E581+G581+H581</f>
        <v>31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18</v>
      </c>
      <c r="K581" s="3">
        <f>I581-J581</f>
        <v>13</v>
      </c>
      <c r="L581" s="3" t="str">
        <f>IF(K581&lt;-5,"CRÍTICO",IF(K581&lt;0,"ATENÇÃO",IF(K581&lt;=5,"OPORTUNO","MUITO BOM")))</f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18</v>
      </c>
      <c r="K582" s="3">
        <f>I582-J582</f>
        <v>5</v>
      </c>
      <c r="L582" s="3" t="str">
        <f>IF(K582&lt;-5,"CRÍTICO",IF(K582&lt;0,"ATENÇÃO",IF(K582&lt;=5,"OPORTUNO","MUITO BOM")))</f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>E583+G583+H583</f>
        <v>6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6</v>
      </c>
      <c r="K583" s="3">
        <f>I583-J583</f>
        <v>0</v>
      </c>
      <c r="L583" s="3" t="str">
        <f>IF(K583&lt;-5,"CRÍTICO",IF(K583&lt;0,"ATENÇÃO",IF(K583&lt;=5,"OPORTUNO","MUITO BOM")))</f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>E584+G584+H584</f>
        <v>22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15</v>
      </c>
      <c r="K584" s="3">
        <f>I584-J584</f>
        <v>7</v>
      </c>
      <c r="L584" s="3" t="str">
        <f>IF(K584&lt;-5,"CRÍTICO",IF(K584&lt;0,"ATENÇÃO",IF(K584&lt;=5,"OPORTUNO","MUITO BOM")))</f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>E585+G585+H585</f>
        <v>22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22</v>
      </c>
      <c r="K585" s="3">
        <f>I585-J585</f>
        <v>0</v>
      </c>
      <c r="L585" s="3" t="str">
        <f>IF(K585&lt;-5,"CRÍTICO",IF(K585&lt;0,"ATENÇÃO",IF(K585&lt;=5,"OPORTUNO","MUITO BOM")))</f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>IF(K586&lt;-5,"CRÍTICO",IF(K586&lt;0,"ATENÇÃO",IF(K586&lt;=5,"OPORTUNO","MUITO BOM")))</f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>IF(K587&lt;-5,"CRÍTICO",IF(K587&lt;0,"ATENÇÃO",IF(K587&lt;=5,"OPORTUNO","MUITO BOM")))</f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>IF(K588&lt;-5,"CRÍTICO",IF(K588&lt;0,"ATENÇÃO",IF(K588&lt;=5,"OPORTUNO","MUITO BOM")))</f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>IF(K589&lt;-5,"CRÍTICO",IF(K589&lt;0,"ATENÇÃO",IF(K589&lt;=5,"OPORTUNO","MUITO BOM")))</f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>IF(K590&lt;-5,"CRÍTICO",IF(K590&lt;0,"ATENÇÃO",IF(K590&lt;=5,"OPORTUNO","MUITO BOM")))</f>
        <v>MUITO BOM</v>
      </c>
      <c r="M590" s="3">
        <v>25</v>
      </c>
      <c r="N590" s="3">
        <v>100</v>
      </c>
      <c r="O590" s="3">
        <v>13.8121546961326</v>
      </c>
    </row>
    <row r="591" spans="1:15" hidden="1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>IF(K591&lt;-5,"CRÍTICO",IF(K591&lt;0,"ATENÇÃO",IF(K591&lt;=5,"OPORTUNO","MUITO BOM")))</f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>IF(K592&lt;-5,"CRÍTICO",IF(K592&lt;0,"ATENÇÃO",IF(K592&lt;=5,"OPORTUNO","MUITO BOM")))</f>
        <v>OPORTUNO</v>
      </c>
      <c r="M592" s="3">
        <v>0</v>
      </c>
      <c r="N592" s="3">
        <v>100</v>
      </c>
      <c r="O592" s="3">
        <v>17.241379310344829</v>
      </c>
    </row>
    <row r="593" spans="1:15" hidden="1" x14ac:dyDescent="0.25">
      <c r="A593" s="11">
        <v>46050</v>
      </c>
      <c r="B593" t="s">
        <v>36</v>
      </c>
      <c r="C593" t="s">
        <v>20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 t="shared" ref="I593:I594" si="13">E593+G593+H593</f>
        <v>25</v>
      </c>
      <c r="J593" s="3">
        <f t="shared" ref="J593:J594" si="14"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17</v>
      </c>
      <c r="K593" s="3">
        <f t="shared" ref="K593:K594" si="15">I593-J593</f>
        <v>8</v>
      </c>
      <c r="L593" s="3" t="str">
        <f t="shared" ref="L593:L594" si="16">IF(K593&lt;-5,"CRÍTICO",IF(K593&lt;0,"ATENÇÃO",IF(K593&lt;=5,"BOM","EXCELENTE")))</f>
        <v>EXCELENTE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36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f t="shared" si="13"/>
        <v>0</v>
      </c>
      <c r="J594" s="3">
        <f t="shared" si="14"/>
        <v>17</v>
      </c>
      <c r="K594" s="3">
        <f t="shared" si="15"/>
        <v>-17</v>
      </c>
      <c r="L594" s="3" t="str">
        <f t="shared" si="16"/>
        <v>CRÍTICO</v>
      </c>
      <c r="N594">
        <v>98.91</v>
      </c>
      <c r="O594">
        <v>31.367292225201069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>IF(K596&lt;-5,"CRÍTICO",IF(K596&lt;0,"ATENÇÃO",IF(K596&lt;=5,"OPORTUNO","MUITO BOM")))</f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>IF(K597&lt;-5,"CRÍTICO",IF(K597&lt;0,"ATENÇÃO",IF(K597&lt;=5,"OPORTUNO","MUITO BOM")))</f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>IF(K598&lt;-5,"CRÍTICO",IF(K598&lt;0,"ATENÇÃO",IF(K598&lt;=5,"OPORTUNO","MUITO BOM")))</f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>IF(K599&lt;-5,"CRÍTICO",IF(K599&lt;0,"ATENÇÃO",IF(K599&lt;=5,"OPORTUNO","MUITO BOM")))</f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>E600+G600+H600</f>
        <v>14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>I600-J600</f>
        <v>1</v>
      </c>
      <c r="L600" s="3" t="str">
        <f>IF(K600&lt;-5,"CRÍTICO",IF(K600&lt;0,"ATENÇÃO",IF(K600&lt;=5,"OPORTUNO","MUITO BOM")))</f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>E601+G601+H601</f>
        <v>21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22</v>
      </c>
      <c r="K601" s="3">
        <f>I601-J601</f>
        <v>-1</v>
      </c>
      <c r="L601" s="3" t="str">
        <f>IF(K601&lt;-5,"CRÍTICO",IF(K601&lt;0,"ATENÇÃO",IF(K601&lt;=5,"OPORTUNO","MUITO BOM")))</f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>E602+G602+H602</f>
        <v>12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13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>E603+G603+H603</f>
        <v>21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22</v>
      </c>
      <c r="K603" s="3">
        <f>I603-J603</f>
        <v>-1</v>
      </c>
      <c r="L603" s="3" t="str">
        <f>IF(K603&lt;-5,"CRÍTICO",IF(K603&lt;0,"ATENÇÃO",IF(K603&lt;=5,"OPORTUNO","MUITO BOM")))</f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>E604+G604+H604</f>
        <v>19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18</v>
      </c>
      <c r="K604" s="3">
        <f>I604-J604</f>
        <v>1</v>
      </c>
      <c r="L604" s="3" t="str">
        <f>IF(K604&lt;-5,"CRÍTICO",IF(K604&lt;0,"ATENÇÃO",IF(K604&lt;=5,"OPORTUNO","MUITO BOM")))</f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>E605+G605+H605</f>
        <v>15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18</v>
      </c>
      <c r="K605" s="3">
        <f>I605-J605</f>
        <v>-3</v>
      </c>
      <c r="L605" s="3" t="str">
        <f>IF(K605&lt;-5,"CRÍTICO",IF(K605&lt;0,"ATENÇÃO",IF(K605&lt;=5,"OPORTUNO","MUITO BOM")))</f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>E606+G606+H606</f>
        <v>27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22</v>
      </c>
      <c r="K606" s="3">
        <f>I606-J606</f>
        <v>5</v>
      </c>
      <c r="L606" s="3" t="str">
        <f>IF(K606&lt;-5,"CRÍTICO",IF(K606&lt;0,"ATENÇÃO",IF(K606&lt;=5,"OPORTUNO","MUITO BOM")))</f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>E607+G607+H607</f>
        <v>20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15</v>
      </c>
      <c r="K607" s="3">
        <f>I607-J607</f>
        <v>5</v>
      </c>
      <c r="L607" s="3" t="str">
        <f>IF(K607&lt;-5,"CRÍTICO",IF(K607&lt;0,"ATENÇÃO",IF(K607&lt;=5,"OPORTUNO","MUITO BOM")))</f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>E608+G608+H608</f>
        <v>12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6</v>
      </c>
      <c r="K608" s="3">
        <f>I608-J608</f>
        <v>6</v>
      </c>
      <c r="L608" s="3" t="str">
        <f>IF(K608&lt;-5,"CRÍTICO",IF(K608&lt;0,"ATENÇÃO",IF(K608&lt;=5,"OPORTUNO","MUITO BOM")))</f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>E609+G609+H609</f>
        <v>30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22</v>
      </c>
      <c r="K609" s="3">
        <f>I609-J609</f>
        <v>8</v>
      </c>
      <c r="L609" s="3" t="str">
        <f>IF(K609&lt;-5,"CRÍTICO",IF(K609&lt;0,"ATENÇÃO",IF(K609&lt;=5,"OPORTUNO","MUITO BOM")))</f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>E610+G610+H610</f>
        <v>25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22</v>
      </c>
      <c r="K610" s="3">
        <f>I610-J610</f>
        <v>3</v>
      </c>
      <c r="L610" s="3" t="str">
        <f>IF(K610&lt;-5,"CRÍTICO",IF(K610&lt;0,"ATENÇÃO",IF(K610&lt;=5,"OPORTUNO","MUITO BOM")))</f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>E611+G611+H611</f>
        <v>13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6</v>
      </c>
      <c r="K611" s="3">
        <f>I611-J611</f>
        <v>7</v>
      </c>
      <c r="L611" s="3" t="str">
        <f>IF(K611&lt;-5,"CRÍTICO",IF(K611&lt;0,"ATENÇÃO",IF(K611&lt;=5,"OPORTUNO","MUITO BOM")))</f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>E612+G612+H612</f>
        <v>18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13</v>
      </c>
      <c r="K612" s="3">
        <f>I612-J612</f>
        <v>5</v>
      </c>
      <c r="L612" s="3" t="str">
        <f>IF(K612&lt;-5,"CRÍTICO",IF(K612&lt;0,"ATENÇÃO",IF(K612&lt;=5,"OPORTUNO","MUITO BOM")))</f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>IF(K613&lt;-5,"CRÍTICO",IF(K613&lt;0,"ATENÇÃO",IF(K613&lt;=5,"OPORTUNO","MUITO BOM")))</f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>E614+G614+H614</f>
        <v>10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>I614-J614</f>
        <v>-3</v>
      </c>
      <c r="L614" s="3" t="str">
        <f>IF(K614&lt;-5,"CRÍTICO",IF(K614&lt;0,"ATENÇÃO",IF(K614&lt;=5,"OPORTUNO","MUITO BOM")))</f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>E615+G615+H615</f>
        <v>14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13</v>
      </c>
      <c r="K615" s="3">
        <f>I615-J615</f>
        <v>1</v>
      </c>
      <c r="L615" s="3" t="str">
        <f>IF(K615&lt;-5,"CRÍTICO",IF(K615&lt;0,"ATENÇÃO",IF(K615&lt;=5,"OPORTUNO","MUITO BOM")))</f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6</v>
      </c>
      <c r="K616" s="3">
        <f>I616-J616</f>
        <v>12</v>
      </c>
      <c r="L616" s="3" t="str">
        <f>IF(K616&lt;-5,"CRÍTICO",IF(K616&lt;0,"ATENÇÃO",IF(K616&lt;=5,"OPORTUNO","MUITO BOM")))</f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>E617+G617+H617</f>
        <v>27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15</v>
      </c>
      <c r="K617" s="3">
        <f>I617-J617</f>
        <v>12</v>
      </c>
      <c r="L617" s="3" t="str">
        <f>IF(K617&lt;-5,"CRÍTICO",IF(K617&lt;0,"ATENÇÃO",IF(K617&lt;=5,"OPORTUNO","MUITO BOM")))</f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>E618+G618+H618</f>
        <v>33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22</v>
      </c>
      <c r="K618" s="3">
        <f>I618-J618</f>
        <v>11</v>
      </c>
      <c r="L618" s="3" t="str">
        <f>IF(K618&lt;-5,"CRÍTICO",IF(K618&lt;0,"ATENÇÃO",IF(K618&lt;=5,"OPORTUNO","MUITO BOM")))</f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>E619+G619+H619</f>
        <v>12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15</v>
      </c>
      <c r="K619" s="3">
        <f>I619-J619</f>
        <v>-3</v>
      </c>
      <c r="L619" s="3" t="str">
        <f>IF(K619&lt;-5,"CRÍTICO",IF(K619&lt;0,"ATENÇÃO",IF(K619&lt;=5,"OPORTUNO","MUITO BOM")))</f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>E620+G620+H620</f>
        <v>23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22</v>
      </c>
      <c r="K620" s="3">
        <f>I620-J620</f>
        <v>1</v>
      </c>
      <c r="L620" s="3" t="str">
        <f>IF(K620&lt;-5,"CRÍTICO",IF(K620&lt;0,"ATENÇÃO",IF(K620&lt;=5,"OPORTUNO","MUITO BOM")))</f>
        <v>OPORTUNO</v>
      </c>
      <c r="M620" s="3">
        <v>21</v>
      </c>
      <c r="N620" s="3">
        <v>97.33</v>
      </c>
      <c r="O620" s="3">
        <v>15.805471124620061</v>
      </c>
    </row>
    <row r="621" spans="1:15" hidden="1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H621" s="3">
        <v>0</v>
      </c>
      <c r="I621" s="3">
        <f>E621+G621+H621</f>
        <v>16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16</v>
      </c>
      <c r="K621" s="3">
        <f>I621-J621</f>
        <v>0</v>
      </c>
      <c r="L621" s="3" t="str">
        <f>IF(K621&lt;-5,"CRÍTICO",IF(K621&lt;0,"ATENÇÃO",IF(K621&lt;=5,"OPORTUNO","MUITO BOM")))</f>
        <v>OPORTUNO</v>
      </c>
      <c r="M621" s="3">
        <v>11</v>
      </c>
      <c r="N621" s="3">
        <v>98.94</v>
      </c>
      <c r="O621" s="3">
        <v>19.614147909967851</v>
      </c>
    </row>
    <row r="622" spans="1:15" hidden="1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 t="str">
        <f>IF(K622&lt;-5,"CRÍTICO",IF(K622&lt;0,"ATENÇÃO",IF(K622&lt;=5,"OPORTUNO","MUITO BOM")))</f>
        <v>OPORTUNO</v>
      </c>
      <c r="M622" s="3">
        <v>0</v>
      </c>
      <c r="N622" s="3">
        <v>100</v>
      </c>
      <c r="O622" s="3">
        <v>0</v>
      </c>
    </row>
    <row r="623" spans="1:15" hidden="1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H623" s="3">
        <v>0</v>
      </c>
      <c r="I623" s="3">
        <f>E623+G623+H623</f>
        <v>12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13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10</v>
      </c>
      <c r="N623" s="3">
        <v>95.38</v>
      </c>
      <c r="O623" s="3">
        <v>21.5962441314554</v>
      </c>
    </row>
    <row r="624" spans="1:15" hidden="1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H624" s="3">
        <v>0</v>
      </c>
      <c r="I624" s="3">
        <f>E624+G624+H624</f>
        <v>23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21</v>
      </c>
      <c r="K624" s="3">
        <f>I624-J624</f>
        <v>2</v>
      </c>
      <c r="L624" s="3" t="str">
        <f>IF(K624&lt;-5,"CRÍTICO",IF(K624&lt;0,"ATENÇÃO",IF(K624&lt;=5,"OPORTUNO","MUITO BOM")))</f>
        <v>OPORTUNO</v>
      </c>
      <c r="M624" s="3">
        <v>16</v>
      </c>
      <c r="N624" s="3">
        <v>96.34</v>
      </c>
      <c r="O624" s="3">
        <v>17.571884984025559</v>
      </c>
    </row>
    <row r="625" spans="1:15" hidden="1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H625" s="3">
        <v>0</v>
      </c>
      <c r="I625" s="3">
        <f>E625+G625+H625</f>
        <v>19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12</v>
      </c>
      <c r="K625" s="3">
        <f>I625-J625</f>
        <v>7</v>
      </c>
      <c r="L625" s="3" t="str">
        <f>IF(K625&lt;-5,"CRÍTICO",IF(K625&lt;0,"ATENÇÃO",IF(K625&lt;=5,"OPORTUNO","MUITO BOM")))</f>
        <v>MUITO BOM</v>
      </c>
      <c r="M625" s="3">
        <v>18</v>
      </c>
      <c r="N625" s="3">
        <v>99.11</v>
      </c>
      <c r="O625" s="3">
        <v>17.721518987341771</v>
      </c>
    </row>
    <row r="626" spans="1:15" hidden="1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H626" s="3">
        <v>0</v>
      </c>
      <c r="I626" s="3">
        <f>E626+G626+H626</f>
        <v>33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16</v>
      </c>
      <c r="K626" s="3">
        <f>I626-J626</f>
        <v>17</v>
      </c>
      <c r="L626" s="3" t="str">
        <f>IF(K626&lt;-5,"CRÍTICO",IF(K626&lt;0,"ATENÇÃO",IF(K626&lt;=5,"OPORTUNO","MUITO BOM")))</f>
        <v>MUITO BOM</v>
      </c>
      <c r="M626" s="3">
        <v>24</v>
      </c>
      <c r="N626" s="3">
        <v>99.13</v>
      </c>
      <c r="O626" s="3">
        <v>14.7239263803681</v>
      </c>
    </row>
    <row r="627" spans="1:15" hidden="1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H627" s="3">
        <v>0</v>
      </c>
      <c r="I627" s="3">
        <f>E627+G627+H627</f>
        <v>12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16</v>
      </c>
      <c r="K627" s="3">
        <f>I627-J627</f>
        <v>-4</v>
      </c>
      <c r="L627" s="3" t="str">
        <f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hidden="1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H628" s="3">
        <v>0</v>
      </c>
      <c r="I628" s="3">
        <f>E628+G628+H628</f>
        <v>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6</v>
      </c>
      <c r="K628" s="3">
        <f>I628-J628</f>
        <v>1</v>
      </c>
      <c r="L628" s="3" t="str">
        <f>IF(K628&lt;-5,"CRÍTICO",IF(K628&lt;0,"ATENÇÃO",IF(K628&lt;=5,"OPORTUNO","MUITO BOM")))</f>
        <v>OPORTUNO</v>
      </c>
      <c r="M628" s="3">
        <v>3</v>
      </c>
      <c r="N628" s="3">
        <v>96.43</v>
      </c>
      <c r="O628" s="3">
        <v>20</v>
      </c>
    </row>
    <row r="629" spans="1:15" hidden="1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H629" s="3">
        <v>0</v>
      </c>
      <c r="I629" s="3">
        <f>E629+G629+H629</f>
        <v>14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13</v>
      </c>
      <c r="K629" s="3">
        <f>I629-J629</f>
        <v>1</v>
      </c>
      <c r="L629" s="3" t="str">
        <f>IF(K629&lt;-5,"CRÍTICO",IF(K629&lt;0,"ATENÇÃO",IF(K629&lt;=5,"OPORTUNO","MUITO BOM")))</f>
        <v>OPORTUNO</v>
      </c>
      <c r="M629" s="3">
        <v>12</v>
      </c>
      <c r="N629" s="3">
        <v>96.88</v>
      </c>
      <c r="O629" s="3">
        <v>19.526627218934909</v>
      </c>
    </row>
    <row r="630" spans="1:15" hidden="1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H630" s="3">
        <v>0</v>
      </c>
      <c r="I630" s="3">
        <f>E630+G630+H630</f>
        <v>24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21</v>
      </c>
      <c r="K630" s="3">
        <f>I630-J630</f>
        <v>3</v>
      </c>
      <c r="L630" s="3" t="str">
        <f>IF(K630&lt;-5,"CRÍTICO",IF(K630&lt;0,"ATENÇÃO",IF(K630&lt;=5,"OPORTUNO","MUITO BOM")))</f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 t="str">
        <f>IF(K631&lt;-5,"CRÍTICO",IF(K631&lt;0,"ATENÇÃO",IF(K631&lt;=5,"OPORTUNO","MUITO BOM")))</f>
        <v>OPORTUNO</v>
      </c>
      <c r="M631" s="3">
        <v>0</v>
      </c>
      <c r="N631" s="3">
        <v>98.63</v>
      </c>
      <c r="O631" s="3">
        <v>18.75</v>
      </c>
    </row>
    <row r="632" spans="1:15" hidden="1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H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13</v>
      </c>
      <c r="K632" s="3">
        <f>I632-J632</f>
        <v>10</v>
      </c>
      <c r="L632" s="3" t="str">
        <f>IF(K632&lt;-5,"CRÍTICO",IF(K632&lt;0,"ATENÇÃO",IF(K632&lt;=5,"OPORTUNO","MUITO BOM")))</f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>IF(K633&lt;-5,"CRÍTICO",IF(K633&lt;0,"ATENÇÃO",IF(K633&lt;=5,"OPORTUNO","MUITO BOM")))</f>
        <v>OPORTUNO</v>
      </c>
      <c r="M633" s="3">
        <v>0</v>
      </c>
      <c r="N633" s="3">
        <v>99.06</v>
      </c>
      <c r="O633" s="3">
        <v>22.95719844357977</v>
      </c>
    </row>
    <row r="634" spans="1:15" hidden="1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H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>IF(K634&lt;-5,"CRÍTICO",IF(K634&lt;0,"ATENÇÃO",IF(K634&lt;=5,"OPORTUNO","MUITO BOM")))</f>
        <v>OPORTUNO</v>
      </c>
      <c r="M634" s="3">
        <v>6</v>
      </c>
      <c r="N634" s="3">
        <v>100</v>
      </c>
      <c r="O634" s="3">
        <v>29.032258064516132</v>
      </c>
    </row>
    <row r="635" spans="1:15" hidden="1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H635" s="3">
        <v>0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16</v>
      </c>
      <c r="K635" s="3">
        <f>I635-J635</f>
        <v>-1</v>
      </c>
      <c r="L635" s="3" t="str">
        <f>IF(K635&lt;-5,"CRÍTICO",IF(K635&lt;0,"ATENÇÃO",IF(K635&lt;=5,"OPORTUNO","MUITO BOM")))</f>
        <v>ATENÇÃO</v>
      </c>
      <c r="M635" s="3">
        <v>15</v>
      </c>
      <c r="N635" s="3">
        <v>100</v>
      </c>
      <c r="O635" s="3">
        <v>13.8121546961326</v>
      </c>
    </row>
    <row r="636" spans="1:15" hidden="1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>IF(K636&lt;-5,"CRÍTICO",IF(K636&lt;0,"ATENÇÃO",IF(K636&lt;=5,"OPORTUNO","MUITO BOM")))</f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 t="str">
        <f>IF(K637&lt;-5,"CRÍTICO",IF(K637&lt;0,"ATENÇÃO",IF(K637&lt;=5,"OPORTUNO","MUITO BOM")))</f>
        <v>OPORTUNO</v>
      </c>
      <c r="M637" s="3">
        <v>0</v>
      </c>
      <c r="N637" s="3">
        <v>100</v>
      </c>
      <c r="O637" s="3">
        <v>17.241379310344829</v>
      </c>
    </row>
    <row r="638" spans="1:15" hidden="1" x14ac:dyDescent="0.25">
      <c r="A638" s="11">
        <v>46052</v>
      </c>
      <c r="B638" t="s">
        <v>36</v>
      </c>
      <c r="C638" t="s">
        <v>20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ref="I638:I639" si="17">E638+G638+H638</f>
        <v>31</v>
      </c>
      <c r="J638" s="3">
        <f t="shared" ref="J638:J639" si="18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17</v>
      </c>
      <c r="K638" s="3">
        <f t="shared" ref="K638:K639" si="19">I638-J638</f>
        <v>14</v>
      </c>
      <c r="L638" s="3" t="str">
        <f t="shared" ref="L638:L639" si="20">IF(K638&lt;-5,"CRÍTICO",IF(K638&lt;0,"ATENÇÃO",IF(K638&lt;=5,"BOM","EXCELENTE")))</f>
        <v>EXCELENTE</v>
      </c>
      <c r="N638">
        <v>98.91</v>
      </c>
      <c r="O638">
        <v>31.367292225201069</v>
      </c>
    </row>
    <row r="639" spans="1:15" x14ac:dyDescent="0.25">
      <c r="A639" s="11">
        <v>46055</v>
      </c>
      <c r="B639" t="s">
        <v>36</v>
      </c>
      <c r="C639" t="s">
        <v>20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17"/>
        <v>15</v>
      </c>
      <c r="J639" s="3">
        <f t="shared" si="18"/>
        <v>17</v>
      </c>
      <c r="K639" s="3">
        <f t="shared" si="19"/>
        <v>-2</v>
      </c>
      <c r="L639" s="3" t="str">
        <f t="shared" si="20"/>
        <v>ATENÇÃO</v>
      </c>
      <c r="N639">
        <v>96.67</v>
      </c>
      <c r="O639">
        <v>31.451612903225811</v>
      </c>
    </row>
    <row r="640" spans="1:15" hidden="1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H640" s="3">
        <v>0</v>
      </c>
      <c r="I640" s="3">
        <f>E640+G640+H640</f>
        <v>15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16</v>
      </c>
      <c r="K640" s="3">
        <f>I640-J640</f>
        <v>-1</v>
      </c>
      <c r="L640" s="3" t="str">
        <f>IF(K640&lt;-5,"CRÍTICO",IF(K640&lt;0,"ATENÇÃO",IF(K640&lt;=5,"OPORTUNO","MUITO BOM")))</f>
        <v>ATENÇÃO</v>
      </c>
      <c r="M640" s="3">
        <v>14</v>
      </c>
      <c r="N640" s="3">
        <v>98.63</v>
      </c>
      <c r="O640" s="3">
        <v>15.75757575757576</v>
      </c>
    </row>
    <row r="641" spans="1:15" hidden="1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H641" s="3">
        <v>0</v>
      </c>
      <c r="I641" s="3">
        <f>E641+G641+H641</f>
        <v>31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21</v>
      </c>
      <c r="K641" s="3">
        <f>I641-J641</f>
        <v>10</v>
      </c>
      <c r="L641" s="3" t="str">
        <f>IF(K641&lt;-5,"CRÍTICO",IF(K641&lt;0,"ATENÇÃO",IF(K641&lt;=5,"OPORTUNO","MUITO BOM")))</f>
        <v>MUITO BOM</v>
      </c>
      <c r="M641" s="3">
        <v>23</v>
      </c>
      <c r="N641" s="3">
        <v>98.64</v>
      </c>
      <c r="O641" s="3">
        <v>16.638370118845501</v>
      </c>
    </row>
    <row r="642" spans="1:15" hidden="1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H642" s="3">
        <v>0</v>
      </c>
      <c r="I642" s="3">
        <f>E642+G642+H642</f>
        <v>14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21</v>
      </c>
      <c r="K642" s="3">
        <f>I642-J642</f>
        <v>-7</v>
      </c>
      <c r="L642" s="3" t="str">
        <f>IF(K642&lt;-5,"CRÍTICO",IF(K642&lt;0,"ATENÇÃO",IF(K642&lt;=5,"OPORTUNO","MUITO BOM")))</f>
        <v>CRÍTICO</v>
      </c>
      <c r="M642" s="3">
        <v>14</v>
      </c>
      <c r="N642" s="3">
        <v>95.4</v>
      </c>
      <c r="O642" s="3">
        <v>20.533333333333331</v>
      </c>
    </row>
    <row r="643" spans="1:15" hidden="1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H643" s="3">
        <v>0</v>
      </c>
      <c r="I643" s="3">
        <f>E643+G643+H643</f>
        <v>13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16</v>
      </c>
      <c r="K643" s="3">
        <f>I643-J643</f>
        <v>-3</v>
      </c>
      <c r="L643" s="3" t="str">
        <f>IF(K643&lt;-5,"CRÍTICO",IF(K643&lt;0,"ATENÇÃO",IF(K643&lt;=5,"OPORTUNO","MUITO BOM")))</f>
        <v>ATENÇÃO</v>
      </c>
      <c r="M643" s="3">
        <v>10</v>
      </c>
      <c r="N643" s="3">
        <v>98.61</v>
      </c>
      <c r="O643" s="3">
        <v>16.97530864197531</v>
      </c>
    </row>
    <row r="644" spans="1:15" hidden="1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H644" s="3">
        <v>0</v>
      </c>
      <c r="I644" s="3">
        <f>E644+G644+H644</f>
        <v>36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21</v>
      </c>
      <c r="K644" s="3">
        <f>I644-J644</f>
        <v>15</v>
      </c>
      <c r="L644" s="3" t="str">
        <f>IF(K644&lt;-5,"CRÍTICO",IF(K644&lt;0,"ATENÇÃO",IF(K644&lt;=5,"OPORTUNO","MUITO BOM")))</f>
        <v>MUITO BOM</v>
      </c>
      <c r="M644" s="3">
        <v>0</v>
      </c>
      <c r="N644" s="3">
        <v>0</v>
      </c>
      <c r="O644" s="3">
        <v>0</v>
      </c>
    </row>
    <row r="645" spans="1:15" hidden="1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H645" s="3">
        <v>0</v>
      </c>
      <c r="I645" s="3">
        <f>E645+G645+H645</f>
        <v>19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12</v>
      </c>
      <c r="K645" s="3">
        <f>I645-J645</f>
        <v>7</v>
      </c>
      <c r="L645" s="3" t="str">
        <f>IF(K645&lt;-5,"CRÍTICO",IF(K645&lt;0,"ATENÇÃO",IF(K645&lt;=5,"OPORTUNO","MUITO BOM")))</f>
        <v>MUITO BOM</v>
      </c>
      <c r="M645" s="3">
        <v>20</v>
      </c>
      <c r="N645" s="3">
        <v>97.01</v>
      </c>
      <c r="O645" s="3">
        <v>13.961038961038961</v>
      </c>
    </row>
    <row r="646" spans="1:15" hidden="1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H646" s="3">
        <v>0</v>
      </c>
      <c r="I646" s="3">
        <f>E646+G646+H646</f>
        <v>19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21</v>
      </c>
      <c r="K646" s="3">
        <f>I646-J646</f>
        <v>-2</v>
      </c>
      <c r="L646" s="3" t="str">
        <f>IF(K646&lt;-5,"CRÍTICO",IF(K646&lt;0,"ATENÇÃO",IF(K646&lt;=5,"OPORTUNO","MUITO BOM")))</f>
        <v>ATENÇÃO</v>
      </c>
      <c r="M646" s="3">
        <v>21</v>
      </c>
      <c r="N646" s="3">
        <v>95.52</v>
      </c>
      <c r="O646" s="3">
        <v>10.561056105610559</v>
      </c>
    </row>
    <row r="647" spans="1:15" hidden="1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H647" s="3">
        <v>0</v>
      </c>
      <c r="I647" s="3">
        <f>E647+G647+H647</f>
        <v>12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12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8</v>
      </c>
      <c r="N647" s="3">
        <v>100</v>
      </c>
      <c r="O647" s="3">
        <v>16.959064327485379</v>
      </c>
    </row>
    <row r="648" spans="1:15" hidden="1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H648" s="3">
        <v>0</v>
      </c>
      <c r="I648" s="3">
        <f>E648+G648+H648</f>
        <v>20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21</v>
      </c>
      <c r="K648" s="3">
        <f>I648-J648</f>
        <v>-1</v>
      </c>
      <c r="L648" s="3" t="str">
        <f>IF(K648&lt;-5,"CRÍTICO",IF(K648&lt;0,"ATENÇÃO",IF(K648&lt;=5,"OPORTUNO","MUITO BOM")))</f>
        <v>ATENÇÃO</v>
      </c>
      <c r="M648" s="3">
        <v>20</v>
      </c>
      <c r="N648" s="3">
        <v>100</v>
      </c>
      <c r="O648" s="3">
        <v>15.584415584415581</v>
      </c>
    </row>
    <row r="649" spans="1:15" hidden="1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H649" s="3">
        <v>0</v>
      </c>
      <c r="I649" s="3">
        <f>E649+G649+H649</f>
        <v>19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16</v>
      </c>
      <c r="K649" s="3">
        <f>I649-J649</f>
        <v>3</v>
      </c>
      <c r="L649" s="3" t="str">
        <f>IF(K649&lt;-5,"CRÍTICO",IF(K649&lt;0,"ATENÇÃO",IF(K649&lt;=5,"OPORTUNO","MUITO BOM")))</f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 t="str">
        <f>IF(K650&lt;-5,"CRÍTICO",IF(K650&lt;0,"ATENÇÃO",IF(K650&lt;=5,"OPORTUNO","MUITO BOM")))</f>
        <v>OPORTUNO</v>
      </c>
      <c r="M650" s="3">
        <v>0</v>
      </c>
      <c r="N650" s="3">
        <v>100</v>
      </c>
      <c r="O650" s="3">
        <v>20.820189274447952</v>
      </c>
    </row>
    <row r="651" spans="1:15" hidden="1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H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>IF(K651&lt;-5,"CRÍTICO",IF(K651&lt;0,"ATENÇÃO",IF(K651&lt;=5,"OPORTUNO","MUITO BOM")))</f>
        <v>ATENÇÃO</v>
      </c>
      <c r="M651" s="3">
        <v>15</v>
      </c>
      <c r="N651" s="3">
        <v>100</v>
      </c>
      <c r="O651" s="3">
        <v>4.3478260869565224</v>
      </c>
    </row>
    <row r="652" spans="1:15" hidden="1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H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13</v>
      </c>
      <c r="K652" s="3">
        <f>I652-J652</f>
        <v>-5</v>
      </c>
      <c r="L652" s="3" t="str">
        <f>IF(K652&lt;-5,"CRÍTICO",IF(K652&lt;0,"ATENÇÃO",IF(K652&lt;=5,"OPORTUNO","MUITO BOM")))</f>
        <v>ATENÇÃO</v>
      </c>
      <c r="M652" s="3">
        <v>8</v>
      </c>
      <c r="N652" s="3">
        <v>93.26</v>
      </c>
      <c r="O652" s="3">
        <v>19.93957703927493</v>
      </c>
    </row>
    <row r="653" spans="1:15" hidden="1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H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>IF(K653&lt;-5,"CRÍTICO",IF(K653&lt;0,"ATENÇÃO",IF(K653&lt;=5,"OPORTUNO","MUITO BOM")))</f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>IF(K654&lt;-5,"CRÍTICO",IF(K654&lt;0,"ATENÇÃO",IF(K654&lt;=5,"OPORTUNO","MUITO BOM")))</f>
        <v>OPORTUNO</v>
      </c>
      <c r="M654" s="3">
        <v>3</v>
      </c>
      <c r="N654" s="3">
        <v>98.28</v>
      </c>
      <c r="O654" s="3">
        <v>9.037900874635568</v>
      </c>
    </row>
    <row r="655" spans="1:15" hidden="1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>I655-J655</f>
        <v>4</v>
      </c>
      <c r="L655" s="3" t="str">
        <f>IF(K655&lt;-5,"CRÍTICO",IF(K655&lt;0,"ATENÇÃO",IF(K655&lt;=5,"OPORTUNO","MUITO BOM")))</f>
        <v>OPORTUNO</v>
      </c>
      <c r="M655" s="3">
        <v>16</v>
      </c>
      <c r="N655" s="3">
        <v>97.22</v>
      </c>
      <c r="O655" s="3">
        <v>19.095477386934672</v>
      </c>
    </row>
    <row r="656" spans="1:15" hidden="1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H656" s="3">
        <v>0</v>
      </c>
      <c r="I656" s="3">
        <f>E656+G656+H656</f>
        <v>14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6</v>
      </c>
      <c r="K656" s="3">
        <f>I656-J656</f>
        <v>8</v>
      </c>
      <c r="L656" s="3" t="str">
        <f>IF(K656&lt;-5,"CRÍTICO",IF(K656&lt;0,"ATENÇÃO",IF(K656&lt;=5,"OPORTUNO","MUITO BOM")))</f>
        <v>MUITO BOM</v>
      </c>
      <c r="M656" s="3">
        <v>11</v>
      </c>
      <c r="N656" s="3">
        <v>100</v>
      </c>
      <c r="O656" s="3">
        <v>16.814159292035399</v>
      </c>
    </row>
    <row r="657" spans="1:15" hidden="1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H657" s="3">
        <v>0</v>
      </c>
      <c r="I657" s="3">
        <f>E657+G657+H657</f>
        <v>18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12</v>
      </c>
      <c r="K657" s="3">
        <f>I657-J657</f>
        <v>6</v>
      </c>
      <c r="L657" s="3" t="str">
        <f>IF(K657&lt;-5,"CRÍTICO",IF(K657&lt;0,"ATENÇÃO",IF(K657&lt;=5,"OPORTUNO","MUITO BOM")))</f>
        <v>MUITO BOM</v>
      </c>
      <c r="M657" s="3">
        <v>16</v>
      </c>
      <c r="N657" s="3">
        <v>98</v>
      </c>
      <c r="O657" s="3">
        <v>16.43835616438356</v>
      </c>
    </row>
    <row r="658" spans="1:15" hidden="1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H658" s="3">
        <v>0</v>
      </c>
      <c r="I658" s="3">
        <f>E658+G658+H658</f>
        <v>17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16</v>
      </c>
      <c r="K658" s="3">
        <f>I658-J658</f>
        <v>1</v>
      </c>
      <c r="L658" s="3" t="str">
        <f>IF(K658&lt;-5,"CRÍTICO",IF(K658&lt;0,"ATENÇÃO",IF(K658&lt;=5,"OPORTUNO","MUITO BOM")))</f>
        <v>OPORTUNO</v>
      </c>
      <c r="M658" s="3">
        <v>12</v>
      </c>
      <c r="N658" s="3">
        <v>100</v>
      </c>
      <c r="O658" s="3">
        <v>16.894977168949769</v>
      </c>
    </row>
    <row r="659" spans="1:15" hidden="1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H659" s="3">
        <v>0</v>
      </c>
      <c r="I659" s="3">
        <f>E659+G659+H659</f>
        <v>17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12</v>
      </c>
      <c r="K659" s="3">
        <f>I659-J659</f>
        <v>5</v>
      </c>
      <c r="L659" s="3" t="str">
        <f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hidden="1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H660" s="3">
        <v>0</v>
      </c>
      <c r="I660" s="3">
        <f>E660+G660+H660</f>
        <v>19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12</v>
      </c>
      <c r="K660" s="3">
        <f>I660-J660</f>
        <v>7</v>
      </c>
      <c r="L660" s="3" t="str">
        <f>IF(K660&lt;-5,"CRÍTICO",IF(K660&lt;0,"ATENÇÃO",IF(K660&lt;=5,"OPORTUNO","MUITO BOM")))</f>
        <v>MUITO BOM</v>
      </c>
      <c r="M660" s="3">
        <v>15</v>
      </c>
      <c r="N660" s="3">
        <v>100</v>
      </c>
      <c r="O660" s="3">
        <v>15.02145922746781</v>
      </c>
    </row>
    <row r="661" spans="1:15" hidden="1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H661" s="3">
        <v>0</v>
      </c>
      <c r="I661" s="3">
        <f>E661+G661+H661</f>
        <v>15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6</v>
      </c>
      <c r="K661" s="3">
        <f>I661-J661</f>
        <v>9</v>
      </c>
      <c r="L661" s="3" t="str">
        <f>IF(K661&lt;-5,"CRÍTICO",IF(K661&lt;0,"ATENÇÃO",IF(K661&lt;=5,"OPORTUNO","MUITO BOM")))</f>
        <v>MUITO BOM</v>
      </c>
      <c r="M661" s="3">
        <v>9</v>
      </c>
      <c r="N661" s="3">
        <v>98.11</v>
      </c>
      <c r="O661" s="3">
        <v>20.408163265306118</v>
      </c>
    </row>
    <row r="662" spans="1:15" hidden="1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13</v>
      </c>
      <c r="K662" s="3">
        <f>I662-J662</f>
        <v>7</v>
      </c>
      <c r="L662" s="3" t="str">
        <f>IF(K662&lt;-5,"CRÍTICO",IF(K662&lt;0,"ATENÇÃO",IF(K662&lt;=5,"OPORTUNO","MUITO BOM")))</f>
        <v>MUITO BOM</v>
      </c>
      <c r="M662" s="3">
        <v>12</v>
      </c>
      <c r="N662" s="3">
        <v>97.56</v>
      </c>
      <c r="O662" s="3">
        <v>19.28783382789317</v>
      </c>
    </row>
    <row r="663" spans="1:15" hidden="1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H663" s="3">
        <v>0</v>
      </c>
      <c r="I663" s="3">
        <f>E663+G663+H663</f>
        <v>22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21</v>
      </c>
      <c r="K663" s="3">
        <f>I663-J663</f>
        <v>1</v>
      </c>
      <c r="L663" s="3" t="str">
        <f>IF(K663&lt;-5,"CRÍTICO",IF(K663&lt;0,"ATENÇÃO",IF(K663&lt;=5,"OPORTUNO","MUITO BOM")))</f>
        <v>OPORTUNO</v>
      </c>
      <c r="M663" s="3">
        <v>18</v>
      </c>
      <c r="N663" s="3">
        <v>99.29</v>
      </c>
      <c r="O663" s="3">
        <v>22.49443207126949</v>
      </c>
    </row>
    <row r="664" spans="1:15" hidden="1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H664" s="3">
        <v>0</v>
      </c>
      <c r="I664" s="3">
        <f>E664+G664+H664</f>
        <v>17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13</v>
      </c>
      <c r="K664" s="3">
        <f>I664-J664</f>
        <v>4</v>
      </c>
      <c r="L664" s="3" t="str">
        <f>IF(K664&lt;-5,"CRÍTICO",IF(K664&lt;0,"ATENÇÃO",IF(K664&lt;=5,"OPORTUNO","MUITO BOM")))</f>
        <v>OPORTUNO</v>
      </c>
      <c r="M664" s="3">
        <v>17</v>
      </c>
      <c r="N664" s="3">
        <v>100</v>
      </c>
      <c r="O664" s="3">
        <v>16.97247706422019</v>
      </c>
    </row>
    <row r="665" spans="1:15" hidden="1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H665" s="3">
        <v>0</v>
      </c>
      <c r="I665" s="3">
        <f>E665+G665+H665</f>
        <v>22</v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>21</v>
      </c>
      <c r="K665" s="3">
        <f>I665-J665</f>
        <v>1</v>
      </c>
      <c r="L665" s="3" t="str">
        <f>IF(K665&lt;-5,"CRÍTICO",IF(K665&lt;0,"ATENÇÃO",IF(K665&lt;=5,"OPORTUNO","MUITO BOM")))</f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2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2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2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2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2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2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2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2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2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1:12" hidden="1" x14ac:dyDescent="0.25">
      <c r="A730" s="11">
        <v>46167</v>
      </c>
      <c r="B730" t="s">
        <v>15</v>
      </c>
      <c r="C730" t="s">
        <v>16</v>
      </c>
      <c r="D730">
        <v>0</v>
      </c>
      <c r="E730">
        <v>0</v>
      </c>
      <c r="F730">
        <v>0</v>
      </c>
      <c r="G730">
        <v>0</v>
      </c>
      <c r="H730">
        <v>0</v>
      </c>
      <c r="I730" s="3">
        <f t="shared" ref="I730:I746" si="21">E730+G730+H730</f>
        <v>0</v>
      </c>
      <c r="J730" s="3">
        <f t="shared" ref="J730:J746" si="22"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0</v>
      </c>
      <c r="K730" s="3">
        <f t="shared" ref="K730:K746" si="23">I730-J730</f>
        <v>0</v>
      </c>
      <c r="L730" s="3" t="str">
        <f t="shared" ref="L730:L746" si="24">IF(K730&lt;-5,"CRÍTICO",IF(K730&lt;0,"ATENÇÃO",IF(K730&lt;=5,"OPORTUNO","MUITO BOM")))</f>
        <v>OPORTUNO</v>
      </c>
    </row>
    <row r="731" spans="1:12" hidden="1" x14ac:dyDescent="0.25">
      <c r="A731" s="11">
        <v>46167</v>
      </c>
      <c r="B731" t="s">
        <v>17</v>
      </c>
      <c r="C731" t="s">
        <v>18</v>
      </c>
      <c r="D731">
        <v>0</v>
      </c>
      <c r="E731">
        <v>0</v>
      </c>
      <c r="F731">
        <v>0</v>
      </c>
      <c r="G731">
        <v>0</v>
      </c>
      <c r="H731">
        <v>0</v>
      </c>
      <c r="I731" s="3">
        <f t="shared" si="21"/>
        <v>0</v>
      </c>
      <c r="J731" s="3">
        <f t="shared" si="22"/>
        <v>0</v>
      </c>
      <c r="K731" s="3">
        <f t="shared" si="23"/>
        <v>0</v>
      </c>
      <c r="L731" s="3" t="str">
        <f t="shared" si="24"/>
        <v>OPORTUNO</v>
      </c>
    </row>
    <row r="732" spans="1:12" hidden="1" x14ac:dyDescent="0.25">
      <c r="A732" s="11">
        <v>46167</v>
      </c>
      <c r="B732" t="s">
        <v>19</v>
      </c>
      <c r="C732" t="s">
        <v>20</v>
      </c>
      <c r="D732">
        <v>0</v>
      </c>
      <c r="E732">
        <v>0</v>
      </c>
      <c r="F732">
        <v>0</v>
      </c>
      <c r="G732">
        <v>0</v>
      </c>
      <c r="H732">
        <v>0</v>
      </c>
      <c r="I732" s="3">
        <f t="shared" si="21"/>
        <v>0</v>
      </c>
      <c r="J732" s="3">
        <f t="shared" si="22"/>
        <v>0</v>
      </c>
      <c r="K732" s="3">
        <f t="shared" si="23"/>
        <v>0</v>
      </c>
      <c r="L732" s="3" t="str">
        <f t="shared" si="24"/>
        <v>OPORTUNO</v>
      </c>
    </row>
    <row r="733" spans="1:12" hidden="1" x14ac:dyDescent="0.25">
      <c r="A733" s="11">
        <v>46167</v>
      </c>
      <c r="B733" t="s">
        <v>21</v>
      </c>
      <c r="C733" t="s">
        <v>18</v>
      </c>
      <c r="D733">
        <v>0</v>
      </c>
      <c r="E733">
        <v>0</v>
      </c>
      <c r="F733">
        <v>0</v>
      </c>
      <c r="G733">
        <v>0</v>
      </c>
      <c r="H733">
        <v>0</v>
      </c>
      <c r="I733" s="3">
        <f t="shared" si="21"/>
        <v>0</v>
      </c>
      <c r="J733" s="3">
        <f t="shared" si="22"/>
        <v>0</v>
      </c>
      <c r="K733" s="3">
        <f t="shared" si="23"/>
        <v>0</v>
      </c>
      <c r="L733" s="3" t="str">
        <f t="shared" si="24"/>
        <v>OPORTUNO</v>
      </c>
    </row>
    <row r="734" spans="1:12" hidden="1" x14ac:dyDescent="0.25">
      <c r="A734" s="11">
        <v>46167</v>
      </c>
      <c r="B734" t="s">
        <v>22</v>
      </c>
      <c r="C734" t="s">
        <v>43</v>
      </c>
      <c r="D734">
        <v>0</v>
      </c>
      <c r="E734">
        <v>0</v>
      </c>
      <c r="F734">
        <v>0</v>
      </c>
      <c r="G734">
        <v>0</v>
      </c>
      <c r="H734">
        <v>0</v>
      </c>
      <c r="I734" s="3">
        <f t="shared" si="21"/>
        <v>0</v>
      </c>
      <c r="J734" s="3">
        <f t="shared" si="22"/>
        <v>0</v>
      </c>
      <c r="K734" s="3">
        <f t="shared" si="23"/>
        <v>0</v>
      </c>
      <c r="L734" s="3" t="str">
        <f t="shared" si="24"/>
        <v>OPORTUNO</v>
      </c>
    </row>
    <row r="735" spans="1:12" hidden="1" x14ac:dyDescent="0.25">
      <c r="A735" s="11">
        <v>46167</v>
      </c>
      <c r="B735" t="s">
        <v>24</v>
      </c>
      <c r="C735" t="s">
        <v>16</v>
      </c>
      <c r="D735">
        <v>0</v>
      </c>
      <c r="E735">
        <v>0</v>
      </c>
      <c r="F735">
        <v>0</v>
      </c>
      <c r="G735">
        <v>0</v>
      </c>
      <c r="H735">
        <v>0</v>
      </c>
      <c r="I735" s="3">
        <f t="shared" si="21"/>
        <v>0</v>
      </c>
      <c r="J735" s="3">
        <f t="shared" si="22"/>
        <v>0</v>
      </c>
      <c r="K735" s="3">
        <f t="shared" si="23"/>
        <v>0</v>
      </c>
      <c r="L735" s="3" t="str">
        <f t="shared" si="24"/>
        <v>OPORTUNO</v>
      </c>
    </row>
    <row r="736" spans="1:12" hidden="1" x14ac:dyDescent="0.25">
      <c r="A736" s="11">
        <v>46167</v>
      </c>
      <c r="B736" t="s">
        <v>25</v>
      </c>
      <c r="C736" t="s">
        <v>16</v>
      </c>
      <c r="D736">
        <v>0</v>
      </c>
      <c r="E736">
        <v>0</v>
      </c>
      <c r="F736">
        <v>0</v>
      </c>
      <c r="G736">
        <v>0</v>
      </c>
      <c r="H736">
        <v>0</v>
      </c>
      <c r="I736" s="3">
        <f t="shared" si="21"/>
        <v>0</v>
      </c>
      <c r="J736" s="3">
        <f t="shared" si="22"/>
        <v>0</v>
      </c>
      <c r="K736" s="3">
        <f t="shared" si="23"/>
        <v>0</v>
      </c>
      <c r="L736" s="3" t="str">
        <f t="shared" si="24"/>
        <v>OPORTUNO</v>
      </c>
    </row>
    <row r="737" spans="1:15" hidden="1" x14ac:dyDescent="0.25">
      <c r="A737" s="11">
        <v>46167</v>
      </c>
      <c r="B737" t="s">
        <v>26</v>
      </c>
      <c r="C737" t="s">
        <v>23</v>
      </c>
      <c r="D737">
        <v>0</v>
      </c>
      <c r="E737">
        <v>0</v>
      </c>
      <c r="F737">
        <v>0</v>
      </c>
      <c r="G737">
        <v>0</v>
      </c>
      <c r="H737">
        <v>0</v>
      </c>
      <c r="I737" s="3">
        <f t="shared" si="21"/>
        <v>0</v>
      </c>
      <c r="J737" s="3">
        <f t="shared" si="22"/>
        <v>0</v>
      </c>
      <c r="K737" s="3">
        <f t="shared" si="23"/>
        <v>0</v>
      </c>
      <c r="L737" s="3" t="str">
        <f t="shared" si="24"/>
        <v>OPORTUNO</v>
      </c>
    </row>
    <row r="738" spans="1:15" hidden="1" x14ac:dyDescent="0.25">
      <c r="A738" s="11">
        <v>46167</v>
      </c>
      <c r="B738" t="s">
        <v>27</v>
      </c>
      <c r="C738" t="s">
        <v>20</v>
      </c>
      <c r="D738">
        <v>0</v>
      </c>
      <c r="E738">
        <v>0</v>
      </c>
      <c r="F738">
        <v>0</v>
      </c>
      <c r="G738">
        <v>0</v>
      </c>
      <c r="H738">
        <v>0</v>
      </c>
      <c r="I738" s="3">
        <f t="shared" si="21"/>
        <v>0</v>
      </c>
      <c r="J738" s="3">
        <f t="shared" si="22"/>
        <v>0</v>
      </c>
      <c r="K738" s="3">
        <f t="shared" si="23"/>
        <v>0</v>
      </c>
      <c r="L738" s="3" t="str">
        <f t="shared" si="24"/>
        <v>OPORTUNO</v>
      </c>
    </row>
    <row r="739" spans="1:15" hidden="1" x14ac:dyDescent="0.25">
      <c r="A739" s="11">
        <v>46167</v>
      </c>
      <c r="B739" t="s">
        <v>28</v>
      </c>
      <c r="C739" t="s">
        <v>18</v>
      </c>
      <c r="D739">
        <v>0</v>
      </c>
      <c r="E739">
        <v>0</v>
      </c>
      <c r="F739">
        <v>0</v>
      </c>
      <c r="G739">
        <v>0</v>
      </c>
      <c r="H739">
        <v>0</v>
      </c>
      <c r="I739" s="3">
        <f t="shared" si="21"/>
        <v>0</v>
      </c>
      <c r="J739" s="3">
        <f t="shared" si="22"/>
        <v>0</v>
      </c>
      <c r="K739" s="3">
        <f t="shared" si="23"/>
        <v>0</v>
      </c>
      <c r="L739" s="3" t="str">
        <f t="shared" si="24"/>
        <v>OPORTUNO</v>
      </c>
    </row>
    <row r="740" spans="1:15" hidden="1" x14ac:dyDescent="0.25">
      <c r="A740" s="11">
        <v>46167</v>
      </c>
      <c r="B740" t="s">
        <v>29</v>
      </c>
      <c r="C740" t="s">
        <v>16</v>
      </c>
      <c r="D740">
        <v>0</v>
      </c>
      <c r="E740">
        <v>0</v>
      </c>
      <c r="F740">
        <v>0</v>
      </c>
      <c r="G740">
        <v>0</v>
      </c>
      <c r="H740">
        <v>0</v>
      </c>
      <c r="I740" s="3">
        <f t="shared" si="21"/>
        <v>0</v>
      </c>
      <c r="J740" s="3">
        <f t="shared" si="22"/>
        <v>0</v>
      </c>
      <c r="K740" s="3">
        <f t="shared" si="23"/>
        <v>0</v>
      </c>
      <c r="L740" s="3" t="str">
        <f t="shared" si="24"/>
        <v>OPORTUNO</v>
      </c>
    </row>
    <row r="741" spans="1:15" hidden="1" x14ac:dyDescent="0.25">
      <c r="A741" s="11">
        <v>46167</v>
      </c>
      <c r="B741" t="s">
        <v>30</v>
      </c>
      <c r="C741" t="s">
        <v>20</v>
      </c>
      <c r="D741">
        <v>0</v>
      </c>
      <c r="E741">
        <v>0</v>
      </c>
      <c r="F741">
        <v>0</v>
      </c>
      <c r="G741">
        <v>0</v>
      </c>
      <c r="H741">
        <v>0</v>
      </c>
      <c r="I741" s="3">
        <f t="shared" si="21"/>
        <v>0</v>
      </c>
      <c r="J741" s="3">
        <f t="shared" si="22"/>
        <v>0</v>
      </c>
      <c r="K741" s="3">
        <f t="shared" si="23"/>
        <v>0</v>
      </c>
      <c r="L741" s="3" t="str">
        <f t="shared" si="24"/>
        <v>OPORTUNO</v>
      </c>
    </row>
    <row r="742" spans="1:15" hidden="1" x14ac:dyDescent="0.25">
      <c r="A742" s="11">
        <v>46167</v>
      </c>
      <c r="B742" t="s">
        <v>31</v>
      </c>
      <c r="C742" t="s">
        <v>18</v>
      </c>
      <c r="D742">
        <v>0</v>
      </c>
      <c r="E742">
        <v>0</v>
      </c>
      <c r="F742">
        <v>0</v>
      </c>
      <c r="G742">
        <v>0</v>
      </c>
      <c r="H742">
        <v>0</v>
      </c>
      <c r="I742" s="3">
        <f t="shared" si="21"/>
        <v>0</v>
      </c>
      <c r="J742" s="3">
        <f t="shared" si="22"/>
        <v>0</v>
      </c>
      <c r="K742" s="3">
        <f t="shared" si="23"/>
        <v>0</v>
      </c>
      <c r="L742" s="3" t="str">
        <f t="shared" si="24"/>
        <v>OPORTUNO</v>
      </c>
    </row>
    <row r="743" spans="1:15" hidden="1" x14ac:dyDescent="0.25">
      <c r="A743" s="11">
        <v>46167</v>
      </c>
      <c r="B743" t="s">
        <v>32</v>
      </c>
      <c r="C743" t="s">
        <v>23</v>
      </c>
      <c r="D743">
        <v>0</v>
      </c>
      <c r="E743">
        <v>0</v>
      </c>
      <c r="F743">
        <v>0</v>
      </c>
      <c r="G743">
        <v>0</v>
      </c>
      <c r="H743">
        <v>0</v>
      </c>
      <c r="I743" s="3">
        <f t="shared" si="21"/>
        <v>0</v>
      </c>
      <c r="J743" s="3">
        <f t="shared" si="22"/>
        <v>0</v>
      </c>
      <c r="K743" s="3">
        <f t="shared" si="23"/>
        <v>0</v>
      </c>
      <c r="L743" s="3" t="str">
        <f t="shared" si="24"/>
        <v>OPORTUNO</v>
      </c>
    </row>
    <row r="744" spans="1:15" hidden="1" x14ac:dyDescent="0.25">
      <c r="A744" s="11">
        <v>46167</v>
      </c>
      <c r="B744" t="s">
        <v>33</v>
      </c>
      <c r="C744" t="s">
        <v>16</v>
      </c>
      <c r="D744">
        <v>0</v>
      </c>
      <c r="E744">
        <v>0</v>
      </c>
      <c r="F744">
        <v>0</v>
      </c>
      <c r="G744">
        <v>0</v>
      </c>
      <c r="H744">
        <v>0</v>
      </c>
      <c r="I744" s="3">
        <f t="shared" si="21"/>
        <v>0</v>
      </c>
      <c r="J744" s="3">
        <f t="shared" si="22"/>
        <v>0</v>
      </c>
      <c r="K744" s="3">
        <f t="shared" si="23"/>
        <v>0</v>
      </c>
      <c r="L744" s="3" t="str">
        <f t="shared" si="24"/>
        <v>OPORTUNO</v>
      </c>
    </row>
    <row r="745" spans="1:15" hidden="1" x14ac:dyDescent="0.25">
      <c r="A745" s="11">
        <v>46167</v>
      </c>
      <c r="B745" t="s">
        <v>34</v>
      </c>
      <c r="C745" t="s">
        <v>18</v>
      </c>
      <c r="D745">
        <v>0</v>
      </c>
      <c r="E745">
        <v>0</v>
      </c>
      <c r="F745">
        <v>0</v>
      </c>
      <c r="G745">
        <v>0</v>
      </c>
      <c r="H745">
        <v>0</v>
      </c>
      <c r="I745" s="3">
        <f t="shared" si="21"/>
        <v>0</v>
      </c>
      <c r="J745" s="3">
        <f t="shared" si="22"/>
        <v>0</v>
      </c>
      <c r="K745" s="3">
        <f t="shared" si="23"/>
        <v>0</v>
      </c>
      <c r="L745" s="3" t="str">
        <f t="shared" si="24"/>
        <v>OPORTUNO</v>
      </c>
    </row>
    <row r="746" spans="1:15" hidden="1" x14ac:dyDescent="0.25">
      <c r="A746" s="11">
        <v>46167</v>
      </c>
      <c r="B746" t="s">
        <v>35</v>
      </c>
      <c r="C746" t="s">
        <v>16</v>
      </c>
      <c r="D746">
        <v>0</v>
      </c>
      <c r="E746">
        <v>0</v>
      </c>
      <c r="F746">
        <v>0</v>
      </c>
      <c r="G746">
        <v>0</v>
      </c>
      <c r="H746">
        <v>0</v>
      </c>
      <c r="I746" s="3">
        <f t="shared" si="21"/>
        <v>0</v>
      </c>
      <c r="J746" s="3">
        <f t="shared" si="22"/>
        <v>0</v>
      </c>
      <c r="K746" s="3">
        <f t="shared" si="23"/>
        <v>0</v>
      </c>
      <c r="L746" s="3" t="str">
        <f t="shared" si="24"/>
        <v>OPORTUNO</v>
      </c>
    </row>
    <row r="747" spans="1:15" x14ac:dyDescent="0.25">
      <c r="A747" s="11">
        <v>46056</v>
      </c>
      <c r="B747" t="s">
        <v>36</v>
      </c>
      <c r="C747" t="s">
        <v>20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ref="I747:I774" si="25">E747+G747+H747</f>
        <v>31</v>
      </c>
      <c r="J747" s="3">
        <f t="shared" ref="J747:J774" si="26"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19</v>
      </c>
      <c r="K747" s="3">
        <f t="shared" ref="K747:K774" si="27">I747-J747</f>
        <v>12</v>
      </c>
      <c r="L747" s="3" t="str">
        <f t="shared" ref="L747:L748" si="28">IF(K747&lt;-5,"CRÍTICO",IF(K747&lt;0,"ATENÇÃO",IF(K747&lt;=5,"BOM","EXCELENTE")))</f>
        <v>EXCELENTE</v>
      </c>
      <c r="N747">
        <v>96.67</v>
      </c>
      <c r="O747">
        <v>31.451612903225811</v>
      </c>
    </row>
    <row r="748" spans="1:15" x14ac:dyDescent="0.25">
      <c r="A748" s="11">
        <v>46057</v>
      </c>
      <c r="B748" t="s">
        <v>36</v>
      </c>
      <c r="C748" t="s">
        <v>20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25"/>
        <v>19</v>
      </c>
      <c r="J748" s="3">
        <f t="shared" si="26"/>
        <v>19</v>
      </c>
      <c r="K748" s="3">
        <f t="shared" si="27"/>
        <v>0</v>
      </c>
      <c r="L748" s="3" t="str">
        <f t="shared" si="28"/>
        <v>BOM</v>
      </c>
      <c r="N748">
        <v>96.67</v>
      </c>
      <c r="O748">
        <v>31.451612903225811</v>
      </c>
    </row>
    <row r="749" spans="1:15" hidden="1" x14ac:dyDescent="0.25">
      <c r="A749" s="11">
        <v>46167</v>
      </c>
      <c r="B749" t="s">
        <v>37</v>
      </c>
      <c r="C749" t="s">
        <v>16</v>
      </c>
      <c r="D749">
        <v>0</v>
      </c>
      <c r="E749">
        <v>0</v>
      </c>
      <c r="F749">
        <v>0</v>
      </c>
      <c r="G749">
        <v>0</v>
      </c>
      <c r="H749">
        <v>0</v>
      </c>
      <c r="I749" s="3">
        <f t="shared" si="25"/>
        <v>0</v>
      </c>
      <c r="J749" s="3">
        <f t="shared" si="26"/>
        <v>0</v>
      </c>
      <c r="K749" s="3">
        <f t="shared" si="27"/>
        <v>0</v>
      </c>
      <c r="L749" s="3" t="str">
        <f t="shared" ref="L749:L774" si="29">IF(K749&lt;-5,"CRÍTICO",IF(K749&lt;0,"ATENÇÃO",IF(K749&lt;=5,"OPORTUNO","MUITO BOM")))</f>
        <v>OPORTUNO</v>
      </c>
    </row>
    <row r="750" spans="1:15" hidden="1" x14ac:dyDescent="0.25">
      <c r="A750" s="11">
        <v>46167</v>
      </c>
      <c r="B750" t="s">
        <v>38</v>
      </c>
      <c r="C750" t="s">
        <v>18</v>
      </c>
      <c r="D750">
        <v>0</v>
      </c>
      <c r="E750">
        <v>0</v>
      </c>
      <c r="F750">
        <v>0</v>
      </c>
      <c r="G750">
        <v>0</v>
      </c>
      <c r="H750">
        <v>0</v>
      </c>
      <c r="I750" s="3">
        <f t="shared" si="25"/>
        <v>0</v>
      </c>
      <c r="J750" s="3">
        <f t="shared" si="26"/>
        <v>0</v>
      </c>
      <c r="K750" s="3">
        <f t="shared" si="27"/>
        <v>0</v>
      </c>
      <c r="L750" s="3" t="str">
        <f t="shared" si="29"/>
        <v>OPORTUNO</v>
      </c>
    </row>
    <row r="751" spans="1:15" hidden="1" x14ac:dyDescent="0.25">
      <c r="A751" s="11">
        <v>46167</v>
      </c>
      <c r="B751" t="s">
        <v>39</v>
      </c>
      <c r="C751" t="s">
        <v>18</v>
      </c>
      <c r="D751">
        <v>0</v>
      </c>
      <c r="E751">
        <v>0</v>
      </c>
      <c r="F751">
        <v>0</v>
      </c>
      <c r="G751">
        <v>0</v>
      </c>
      <c r="H751">
        <v>0</v>
      </c>
      <c r="I751" s="3">
        <f t="shared" si="25"/>
        <v>0</v>
      </c>
      <c r="J751" s="3">
        <f t="shared" si="26"/>
        <v>0</v>
      </c>
      <c r="K751" s="3">
        <f t="shared" si="27"/>
        <v>0</v>
      </c>
      <c r="L751" s="3" t="str">
        <f t="shared" si="29"/>
        <v>OPORTUNO</v>
      </c>
    </row>
    <row r="752" spans="1:15" hidden="1" x14ac:dyDescent="0.25">
      <c r="A752" s="11">
        <v>46167</v>
      </c>
      <c r="B752" t="s">
        <v>40</v>
      </c>
      <c r="C752" t="s">
        <v>16</v>
      </c>
      <c r="D752">
        <v>0</v>
      </c>
      <c r="E752">
        <v>0</v>
      </c>
      <c r="F752">
        <v>0</v>
      </c>
      <c r="G752">
        <v>0</v>
      </c>
      <c r="H752">
        <v>0</v>
      </c>
      <c r="I752" s="3">
        <f t="shared" si="25"/>
        <v>0</v>
      </c>
      <c r="J752" s="3">
        <f t="shared" si="26"/>
        <v>0</v>
      </c>
      <c r="K752" s="3">
        <f t="shared" si="27"/>
        <v>0</v>
      </c>
      <c r="L752" s="3" t="str">
        <f t="shared" si="29"/>
        <v>OPORTUNO</v>
      </c>
    </row>
    <row r="753" spans="1:12" hidden="1" x14ac:dyDescent="0.25">
      <c r="A753" s="11">
        <v>46167</v>
      </c>
      <c r="B753" t="s">
        <v>41</v>
      </c>
      <c r="C753" t="s">
        <v>18</v>
      </c>
      <c r="D753">
        <v>0</v>
      </c>
      <c r="E753">
        <v>0</v>
      </c>
      <c r="F753">
        <v>0</v>
      </c>
      <c r="G753">
        <v>0</v>
      </c>
      <c r="H753">
        <v>0</v>
      </c>
      <c r="I753" s="3">
        <f t="shared" si="25"/>
        <v>0</v>
      </c>
      <c r="J753" s="3">
        <f t="shared" si="26"/>
        <v>0</v>
      </c>
      <c r="K753" s="3">
        <f t="shared" si="27"/>
        <v>0</v>
      </c>
      <c r="L753" s="3" t="str">
        <f t="shared" si="29"/>
        <v>OPORTUNO</v>
      </c>
    </row>
    <row r="754" spans="1:12" hidden="1" x14ac:dyDescent="0.25">
      <c r="A754" s="11">
        <v>46167</v>
      </c>
      <c r="B754" t="s">
        <v>42</v>
      </c>
      <c r="C754" t="s">
        <v>43</v>
      </c>
      <c r="D754">
        <v>0</v>
      </c>
      <c r="E754">
        <v>0</v>
      </c>
      <c r="F754">
        <v>0</v>
      </c>
      <c r="G754">
        <v>0</v>
      </c>
      <c r="H754">
        <v>0</v>
      </c>
      <c r="I754" s="3">
        <f t="shared" si="25"/>
        <v>0</v>
      </c>
      <c r="J754" s="3">
        <f t="shared" si="26"/>
        <v>0</v>
      </c>
      <c r="K754" s="3">
        <f t="shared" si="27"/>
        <v>0</v>
      </c>
      <c r="L754" s="3" t="str">
        <f t="shared" si="29"/>
        <v>OPORTUNO</v>
      </c>
    </row>
    <row r="755" spans="1:12" hidden="1" x14ac:dyDescent="0.25">
      <c r="A755" s="11">
        <v>46167</v>
      </c>
      <c r="B755" t="s">
        <v>44</v>
      </c>
      <c r="C755" t="s">
        <v>18</v>
      </c>
      <c r="D755">
        <v>0</v>
      </c>
      <c r="E755">
        <v>0</v>
      </c>
      <c r="F755">
        <v>0</v>
      </c>
      <c r="G755">
        <v>0</v>
      </c>
      <c r="H755">
        <v>0</v>
      </c>
      <c r="I755" s="3">
        <f t="shared" si="25"/>
        <v>0</v>
      </c>
      <c r="J755" s="3">
        <f t="shared" si="26"/>
        <v>0</v>
      </c>
      <c r="K755" s="3">
        <f t="shared" si="27"/>
        <v>0</v>
      </c>
      <c r="L755" s="3" t="str">
        <f t="shared" si="29"/>
        <v>OPORTUNO</v>
      </c>
    </row>
    <row r="756" spans="1:12" hidden="1" x14ac:dyDescent="0.25">
      <c r="A756" s="11">
        <v>46167</v>
      </c>
      <c r="B756" t="s">
        <v>45</v>
      </c>
      <c r="C756" t="s">
        <v>43</v>
      </c>
      <c r="D756">
        <v>0</v>
      </c>
      <c r="E756">
        <v>0</v>
      </c>
      <c r="F756">
        <v>0</v>
      </c>
      <c r="G756">
        <v>0</v>
      </c>
      <c r="H756">
        <v>0</v>
      </c>
      <c r="I756" s="3">
        <f t="shared" si="25"/>
        <v>0</v>
      </c>
      <c r="J756" s="3">
        <f t="shared" si="26"/>
        <v>0</v>
      </c>
      <c r="K756" s="3">
        <f t="shared" si="27"/>
        <v>0</v>
      </c>
      <c r="L756" s="3" t="str">
        <f t="shared" si="29"/>
        <v>OPORTUNO</v>
      </c>
    </row>
    <row r="757" spans="1:12" hidden="1" x14ac:dyDescent="0.25">
      <c r="A757" s="11">
        <v>46167</v>
      </c>
      <c r="B757" t="s">
        <v>46</v>
      </c>
      <c r="C757" t="s">
        <v>18</v>
      </c>
      <c r="D757">
        <v>0</v>
      </c>
      <c r="E757">
        <v>0</v>
      </c>
      <c r="F757">
        <v>0</v>
      </c>
      <c r="G757">
        <v>0</v>
      </c>
      <c r="H757">
        <v>0</v>
      </c>
      <c r="I757" s="3">
        <f t="shared" si="25"/>
        <v>0</v>
      </c>
      <c r="J757" s="3">
        <f t="shared" si="26"/>
        <v>0</v>
      </c>
      <c r="K757" s="3">
        <f t="shared" si="27"/>
        <v>0</v>
      </c>
      <c r="L757" s="3" t="str">
        <f t="shared" si="29"/>
        <v>OPORTUNO</v>
      </c>
    </row>
    <row r="758" spans="1:12" hidden="1" x14ac:dyDescent="0.25">
      <c r="A758" s="11">
        <v>46167</v>
      </c>
      <c r="B758" t="s">
        <v>47</v>
      </c>
      <c r="C758" t="s">
        <v>16</v>
      </c>
      <c r="D758">
        <v>0</v>
      </c>
      <c r="E758">
        <v>0</v>
      </c>
      <c r="F758">
        <v>0</v>
      </c>
      <c r="G758">
        <v>0</v>
      </c>
      <c r="H758">
        <v>0</v>
      </c>
      <c r="I758" s="3">
        <f t="shared" si="25"/>
        <v>0</v>
      </c>
      <c r="J758" s="3">
        <f t="shared" si="26"/>
        <v>0</v>
      </c>
      <c r="K758" s="3">
        <f t="shared" si="27"/>
        <v>0</v>
      </c>
      <c r="L758" s="3" t="str">
        <f t="shared" si="29"/>
        <v>OPORTUNO</v>
      </c>
    </row>
    <row r="759" spans="1:12" hidden="1" x14ac:dyDescent="0.25">
      <c r="A759" s="11">
        <v>46167</v>
      </c>
      <c r="B759" t="s">
        <v>48</v>
      </c>
      <c r="C759" t="s">
        <v>16</v>
      </c>
      <c r="D759">
        <v>0</v>
      </c>
      <c r="E759">
        <v>0</v>
      </c>
      <c r="F759">
        <v>0</v>
      </c>
      <c r="G759">
        <v>0</v>
      </c>
      <c r="H759">
        <v>0</v>
      </c>
      <c r="I759" s="3">
        <f t="shared" si="25"/>
        <v>0</v>
      </c>
      <c r="J759" s="3">
        <f t="shared" si="26"/>
        <v>0</v>
      </c>
      <c r="K759" s="3">
        <f t="shared" si="27"/>
        <v>0</v>
      </c>
      <c r="L759" s="3" t="str">
        <f t="shared" si="29"/>
        <v>OPORTUNO</v>
      </c>
    </row>
    <row r="760" spans="1:12" hidden="1" x14ac:dyDescent="0.25">
      <c r="A760" s="11">
        <v>46167</v>
      </c>
      <c r="B760" t="s">
        <v>49</v>
      </c>
      <c r="C760" t="s">
        <v>18</v>
      </c>
      <c r="D760">
        <v>0</v>
      </c>
      <c r="E760">
        <v>0</v>
      </c>
      <c r="F760">
        <v>0</v>
      </c>
      <c r="G760">
        <v>0</v>
      </c>
      <c r="H760">
        <v>0</v>
      </c>
      <c r="I760" s="3">
        <f t="shared" si="25"/>
        <v>0</v>
      </c>
      <c r="J760" s="3">
        <f t="shared" si="26"/>
        <v>0</v>
      </c>
      <c r="K760" s="3">
        <f t="shared" si="27"/>
        <v>0</v>
      </c>
      <c r="L760" s="3" t="str">
        <f t="shared" si="29"/>
        <v>OPORTUNO</v>
      </c>
    </row>
    <row r="761" spans="1:12" hidden="1" x14ac:dyDescent="0.25">
      <c r="A761" s="11">
        <v>46167</v>
      </c>
      <c r="B761" t="s">
        <v>50</v>
      </c>
      <c r="C761" t="s">
        <v>20</v>
      </c>
      <c r="D761">
        <v>0</v>
      </c>
      <c r="E761">
        <v>0</v>
      </c>
      <c r="F761">
        <v>0</v>
      </c>
      <c r="G761">
        <v>0</v>
      </c>
      <c r="H761">
        <v>0</v>
      </c>
      <c r="I761" s="3">
        <f t="shared" si="25"/>
        <v>0</v>
      </c>
      <c r="J761" s="3">
        <f t="shared" si="26"/>
        <v>0</v>
      </c>
      <c r="K761" s="3">
        <f t="shared" si="27"/>
        <v>0</v>
      </c>
      <c r="L761" s="3" t="str">
        <f t="shared" si="29"/>
        <v>OPORTUNO</v>
      </c>
    </row>
    <row r="762" spans="1:12" hidden="1" x14ac:dyDescent="0.25">
      <c r="A762" s="11">
        <v>46167</v>
      </c>
      <c r="B762" t="s">
        <v>51</v>
      </c>
      <c r="C762" t="s">
        <v>23</v>
      </c>
      <c r="D762">
        <v>0</v>
      </c>
      <c r="E762">
        <v>0</v>
      </c>
      <c r="F762">
        <v>0</v>
      </c>
      <c r="G762">
        <v>0</v>
      </c>
      <c r="H762">
        <v>0</v>
      </c>
      <c r="I762" s="3">
        <f t="shared" si="25"/>
        <v>0</v>
      </c>
      <c r="J762" s="3">
        <f t="shared" si="26"/>
        <v>0</v>
      </c>
      <c r="K762" s="3">
        <f t="shared" si="27"/>
        <v>0</v>
      </c>
      <c r="L762" s="3" t="str">
        <f t="shared" si="29"/>
        <v>OPORTUNO</v>
      </c>
    </row>
    <row r="763" spans="1:12" hidden="1" x14ac:dyDescent="0.25">
      <c r="A763" s="11">
        <v>46167</v>
      </c>
      <c r="B763" t="s">
        <v>52</v>
      </c>
      <c r="C763" t="s">
        <v>18</v>
      </c>
      <c r="D763">
        <v>0</v>
      </c>
      <c r="E763">
        <v>0</v>
      </c>
      <c r="F763">
        <v>0</v>
      </c>
      <c r="G763">
        <v>0</v>
      </c>
      <c r="H763">
        <v>0</v>
      </c>
      <c r="I763" s="3">
        <f t="shared" si="25"/>
        <v>0</v>
      </c>
      <c r="J763" s="3">
        <f t="shared" si="26"/>
        <v>0</v>
      </c>
      <c r="K763" s="3">
        <f t="shared" si="27"/>
        <v>0</v>
      </c>
      <c r="L763" s="3" t="str">
        <f t="shared" si="29"/>
        <v>OPORTUNO</v>
      </c>
    </row>
    <row r="764" spans="1:12" hidden="1" x14ac:dyDescent="0.25">
      <c r="A764" s="11">
        <v>46167</v>
      </c>
      <c r="B764" t="s">
        <v>53</v>
      </c>
      <c r="C764" t="s">
        <v>18</v>
      </c>
      <c r="D764">
        <v>0</v>
      </c>
      <c r="E764">
        <v>0</v>
      </c>
      <c r="F764">
        <v>0</v>
      </c>
      <c r="G764">
        <v>0</v>
      </c>
      <c r="H764">
        <v>0</v>
      </c>
      <c r="I764" s="3">
        <f t="shared" si="25"/>
        <v>0</v>
      </c>
      <c r="J764" s="3">
        <f t="shared" si="26"/>
        <v>0</v>
      </c>
      <c r="K764" s="3">
        <f t="shared" si="27"/>
        <v>0</v>
      </c>
      <c r="L764" s="3" t="str">
        <f t="shared" si="29"/>
        <v>OPORTUNO</v>
      </c>
    </row>
    <row r="765" spans="1:12" hidden="1" x14ac:dyDescent="0.25">
      <c r="A765" s="11">
        <v>46167</v>
      </c>
      <c r="B765" t="s">
        <v>54</v>
      </c>
      <c r="C765" t="s">
        <v>23</v>
      </c>
      <c r="D765">
        <v>0</v>
      </c>
      <c r="E765">
        <v>0</v>
      </c>
      <c r="F765">
        <v>0</v>
      </c>
      <c r="G765">
        <v>0</v>
      </c>
      <c r="H765">
        <v>0</v>
      </c>
      <c r="I765" s="3">
        <f t="shared" si="25"/>
        <v>0</v>
      </c>
      <c r="J765" s="3">
        <f t="shared" si="26"/>
        <v>0</v>
      </c>
      <c r="K765" s="3">
        <f t="shared" si="27"/>
        <v>0</v>
      </c>
      <c r="L765" s="3" t="str">
        <f t="shared" si="29"/>
        <v>OPORTUNO</v>
      </c>
    </row>
    <row r="766" spans="1:12" hidden="1" x14ac:dyDescent="0.25">
      <c r="A766" s="11">
        <v>46167</v>
      </c>
      <c r="B766" t="s">
        <v>55</v>
      </c>
      <c r="C766" t="s">
        <v>43</v>
      </c>
      <c r="D766">
        <v>0</v>
      </c>
      <c r="E766">
        <v>0</v>
      </c>
      <c r="F766">
        <v>0</v>
      </c>
      <c r="G766">
        <v>0</v>
      </c>
      <c r="H766">
        <v>0</v>
      </c>
      <c r="I766" s="3">
        <f t="shared" si="25"/>
        <v>0</v>
      </c>
      <c r="J766" s="3">
        <f t="shared" si="26"/>
        <v>0</v>
      </c>
      <c r="K766" s="3">
        <f t="shared" si="27"/>
        <v>0</v>
      </c>
      <c r="L766" s="3" t="str">
        <f t="shared" si="29"/>
        <v>OPORTUNO</v>
      </c>
    </row>
    <row r="767" spans="1:12" hidden="1" x14ac:dyDescent="0.25">
      <c r="A767" s="11">
        <v>46167</v>
      </c>
      <c r="B767" t="s">
        <v>56</v>
      </c>
      <c r="C767" t="s">
        <v>16</v>
      </c>
      <c r="D767">
        <v>0</v>
      </c>
      <c r="E767">
        <v>0</v>
      </c>
      <c r="F767">
        <v>0</v>
      </c>
      <c r="G767">
        <v>0</v>
      </c>
      <c r="H767">
        <v>0</v>
      </c>
      <c r="I767" s="3">
        <f t="shared" si="25"/>
        <v>0</v>
      </c>
      <c r="J767" s="3">
        <f t="shared" si="26"/>
        <v>0</v>
      </c>
      <c r="K767" s="3">
        <f t="shared" si="27"/>
        <v>0</v>
      </c>
      <c r="L767" s="3" t="str">
        <f t="shared" si="29"/>
        <v>OPORTUNO</v>
      </c>
    </row>
    <row r="768" spans="1:12" hidden="1" x14ac:dyDescent="0.25">
      <c r="A768" s="11">
        <v>46167</v>
      </c>
      <c r="B768" t="s">
        <v>57</v>
      </c>
      <c r="C768" t="s">
        <v>43</v>
      </c>
      <c r="D768">
        <v>0</v>
      </c>
      <c r="E768">
        <v>0</v>
      </c>
      <c r="F768">
        <v>0</v>
      </c>
      <c r="G768">
        <v>0</v>
      </c>
      <c r="H768">
        <v>0</v>
      </c>
      <c r="I768" s="3">
        <f t="shared" si="25"/>
        <v>0</v>
      </c>
      <c r="J768" s="3">
        <f t="shared" si="26"/>
        <v>0</v>
      </c>
      <c r="K768" s="3">
        <f t="shared" si="27"/>
        <v>0</v>
      </c>
      <c r="L768" s="3" t="str">
        <f t="shared" si="29"/>
        <v>OPORTUNO</v>
      </c>
    </row>
    <row r="769" spans="1:15" hidden="1" x14ac:dyDescent="0.25">
      <c r="A769" s="11">
        <v>46167</v>
      </c>
      <c r="B769" t="s">
        <v>58</v>
      </c>
      <c r="C769" t="s">
        <v>43</v>
      </c>
      <c r="D769">
        <v>0</v>
      </c>
      <c r="E769">
        <v>0</v>
      </c>
      <c r="F769">
        <v>0</v>
      </c>
      <c r="G769">
        <v>0</v>
      </c>
      <c r="H769">
        <v>0</v>
      </c>
      <c r="I769" s="3">
        <f t="shared" si="25"/>
        <v>0</v>
      </c>
      <c r="J769" s="3">
        <f t="shared" si="26"/>
        <v>0</v>
      </c>
      <c r="K769" s="3">
        <f t="shared" si="27"/>
        <v>0</v>
      </c>
      <c r="L769" s="3" t="str">
        <f t="shared" si="29"/>
        <v>OPORTUNO</v>
      </c>
    </row>
    <row r="770" spans="1:15" hidden="1" x14ac:dyDescent="0.25">
      <c r="A770" s="11">
        <v>46167</v>
      </c>
      <c r="B770" t="s">
        <v>59</v>
      </c>
      <c r="C770" t="s">
        <v>23</v>
      </c>
      <c r="D770">
        <v>0</v>
      </c>
      <c r="E770">
        <v>0</v>
      </c>
      <c r="F770">
        <v>0</v>
      </c>
      <c r="G770">
        <v>0</v>
      </c>
      <c r="H770">
        <v>0</v>
      </c>
      <c r="I770" s="3">
        <f t="shared" si="25"/>
        <v>0</v>
      </c>
      <c r="J770" s="3">
        <f t="shared" si="26"/>
        <v>0</v>
      </c>
      <c r="K770" s="3">
        <f t="shared" si="27"/>
        <v>0</v>
      </c>
      <c r="L770" s="3" t="str">
        <f t="shared" si="29"/>
        <v>OPORTUNO</v>
      </c>
    </row>
    <row r="771" spans="1:15" hidden="1" x14ac:dyDescent="0.25">
      <c r="A771" s="11">
        <v>46167</v>
      </c>
      <c r="B771" t="s">
        <v>60</v>
      </c>
      <c r="C771" t="s">
        <v>20</v>
      </c>
      <c r="D771">
        <v>0</v>
      </c>
      <c r="E771">
        <v>0</v>
      </c>
      <c r="F771">
        <v>0</v>
      </c>
      <c r="G771">
        <v>0</v>
      </c>
      <c r="H771">
        <v>0</v>
      </c>
      <c r="I771" s="3">
        <f t="shared" si="25"/>
        <v>0</v>
      </c>
      <c r="J771" s="3">
        <f t="shared" si="26"/>
        <v>0</v>
      </c>
      <c r="K771" s="3">
        <f t="shared" si="27"/>
        <v>0</v>
      </c>
      <c r="L771" s="3" t="str">
        <f t="shared" si="29"/>
        <v>OPORTUNO</v>
      </c>
    </row>
    <row r="772" spans="1:15" hidden="1" x14ac:dyDescent="0.25">
      <c r="A772" s="11">
        <v>46167</v>
      </c>
      <c r="B772" t="s">
        <v>61</v>
      </c>
      <c r="C772" t="s">
        <v>18</v>
      </c>
      <c r="D772">
        <v>0</v>
      </c>
      <c r="E772">
        <v>0</v>
      </c>
      <c r="F772">
        <v>0</v>
      </c>
      <c r="G772">
        <v>0</v>
      </c>
      <c r="H772">
        <v>0</v>
      </c>
      <c r="I772" s="3">
        <f t="shared" si="25"/>
        <v>0</v>
      </c>
      <c r="J772" s="3">
        <f t="shared" si="26"/>
        <v>0</v>
      </c>
      <c r="K772" s="3">
        <f t="shared" si="27"/>
        <v>0</v>
      </c>
      <c r="L772" s="3" t="str">
        <f t="shared" si="29"/>
        <v>OPORTUNO</v>
      </c>
    </row>
    <row r="773" spans="1:15" hidden="1" x14ac:dyDescent="0.25">
      <c r="A773" s="11">
        <v>46167</v>
      </c>
      <c r="B773" t="s">
        <v>62</v>
      </c>
      <c r="C773" t="s">
        <v>20</v>
      </c>
      <c r="D773">
        <v>0</v>
      </c>
      <c r="E773">
        <v>0</v>
      </c>
      <c r="F773">
        <v>0</v>
      </c>
      <c r="G773">
        <v>0</v>
      </c>
      <c r="H773">
        <v>0</v>
      </c>
      <c r="I773" s="3">
        <f t="shared" si="25"/>
        <v>0</v>
      </c>
      <c r="J773" s="3">
        <f t="shared" si="26"/>
        <v>0</v>
      </c>
      <c r="K773" s="3">
        <f t="shared" si="27"/>
        <v>0</v>
      </c>
      <c r="L773" s="3" t="str">
        <f t="shared" si="29"/>
        <v>OPORTUNO</v>
      </c>
    </row>
    <row r="774" spans="1:15" hidden="1" x14ac:dyDescent="0.25">
      <c r="A774" s="11">
        <v>46167</v>
      </c>
      <c r="B774" t="s">
        <v>63</v>
      </c>
      <c r="C774" t="s">
        <v>18</v>
      </c>
      <c r="D774">
        <v>0</v>
      </c>
      <c r="E774">
        <v>0</v>
      </c>
      <c r="F774">
        <v>0</v>
      </c>
      <c r="G774">
        <v>0</v>
      </c>
      <c r="H774">
        <v>0</v>
      </c>
      <c r="I774" s="3">
        <f t="shared" si="25"/>
        <v>0</v>
      </c>
      <c r="J774" s="3">
        <f t="shared" si="26"/>
        <v>0</v>
      </c>
      <c r="K774" s="3">
        <f t="shared" si="27"/>
        <v>0</v>
      </c>
      <c r="L774" s="3" t="str">
        <f t="shared" si="29"/>
        <v>OPORTUNO</v>
      </c>
    </row>
    <row r="775" spans="1:15" hidden="1" x14ac:dyDescent="0.25">
      <c r="A775" s="11">
        <v>46024</v>
      </c>
      <c r="B775" t="s">
        <v>15</v>
      </c>
      <c r="C775" t="s">
        <v>16</v>
      </c>
      <c r="D775">
        <v>21</v>
      </c>
      <c r="E775">
        <v>17</v>
      </c>
      <c r="F775">
        <v>12.2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17</v>
      </c>
      <c r="C776" t="s">
        <v>18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19</v>
      </c>
      <c r="C777" t="s">
        <v>20</v>
      </c>
      <c r="D777">
        <v>21</v>
      </c>
      <c r="E777">
        <v>19</v>
      </c>
      <c r="F777">
        <v>20.149999999999999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21</v>
      </c>
      <c r="C778" t="s">
        <v>18</v>
      </c>
      <c r="D778">
        <v>21</v>
      </c>
      <c r="E778">
        <v>20</v>
      </c>
      <c r="F778">
        <v>21.43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22</v>
      </c>
      <c r="C779" t="s">
        <v>23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24</v>
      </c>
      <c r="C780" t="s">
        <v>16</v>
      </c>
      <c r="D780">
        <v>28</v>
      </c>
      <c r="E780">
        <v>25</v>
      </c>
      <c r="F780">
        <v>13.37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25</v>
      </c>
      <c r="C781" t="s">
        <v>16</v>
      </c>
      <c r="D781">
        <v>22</v>
      </c>
      <c r="E781">
        <v>19</v>
      </c>
      <c r="F781">
        <v>16.579999999999998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26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27</v>
      </c>
      <c r="C783" t="s">
        <v>20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28</v>
      </c>
      <c r="C784" t="s">
        <v>18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29</v>
      </c>
      <c r="C785" t="s">
        <v>16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30</v>
      </c>
      <c r="C786" t="s">
        <v>20</v>
      </c>
      <c r="D786">
        <v>14</v>
      </c>
      <c r="E786">
        <v>14</v>
      </c>
      <c r="F786">
        <v>26.53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31</v>
      </c>
      <c r="C787" t="s">
        <v>18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32</v>
      </c>
      <c r="C788" t="s">
        <v>23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33</v>
      </c>
      <c r="C789" t="s">
        <v>16</v>
      </c>
      <c r="D789">
        <v>27</v>
      </c>
      <c r="E789">
        <v>26</v>
      </c>
      <c r="F789">
        <v>12.32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34</v>
      </c>
      <c r="C790" t="s">
        <v>18</v>
      </c>
      <c r="D790">
        <v>17</v>
      </c>
      <c r="E790">
        <v>17</v>
      </c>
      <c r="F790">
        <v>16.5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35</v>
      </c>
      <c r="C791" t="s">
        <v>16</v>
      </c>
      <c r="D791">
        <v>27</v>
      </c>
      <c r="E791">
        <v>25</v>
      </c>
      <c r="F791">
        <v>14.1</v>
      </c>
      <c r="N791">
        <v>99.31</v>
      </c>
      <c r="O791">
        <v>30.96234309623431</v>
      </c>
    </row>
    <row r="792" spans="1:15" x14ac:dyDescent="0.25">
      <c r="A792" s="11">
        <v>46058</v>
      </c>
      <c r="B792" t="s">
        <v>36</v>
      </c>
      <c r="C792" t="s">
        <v>20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>E792+G792+H792</f>
        <v>26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22</v>
      </c>
      <c r="K792" s="3">
        <f>I792-J792</f>
        <v>4</v>
      </c>
      <c r="L792" s="3" t="str">
        <f>IF(K792&lt;-5,"CRÍTICO",IF(K792&lt;0,"ATENÇÃO",IF(K792&lt;=5,"BOM","EXCELENTE")))</f>
        <v>BOM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37</v>
      </c>
      <c r="C793" t="s">
        <v>16</v>
      </c>
      <c r="D793">
        <v>21</v>
      </c>
      <c r="E793">
        <v>21</v>
      </c>
      <c r="F793">
        <v>20.28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38</v>
      </c>
      <c r="C794" t="s">
        <v>18</v>
      </c>
      <c r="D794">
        <v>30</v>
      </c>
      <c r="E794">
        <v>27</v>
      </c>
      <c r="F794">
        <v>12.25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39</v>
      </c>
      <c r="C795" t="s">
        <v>18</v>
      </c>
      <c r="D795">
        <v>14</v>
      </c>
      <c r="E795">
        <v>9</v>
      </c>
      <c r="F795">
        <v>8.59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40</v>
      </c>
      <c r="C796" t="s">
        <v>16</v>
      </c>
      <c r="D796">
        <v>28</v>
      </c>
      <c r="E796">
        <v>24</v>
      </c>
      <c r="F796">
        <v>10.210000000000001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41</v>
      </c>
      <c r="C797" t="s">
        <v>18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42</v>
      </c>
      <c r="C798" t="s">
        <v>43</v>
      </c>
      <c r="D798">
        <v>7</v>
      </c>
      <c r="E798">
        <v>7</v>
      </c>
      <c r="F798">
        <v>29.05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44</v>
      </c>
      <c r="C799" t="s">
        <v>18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45</v>
      </c>
      <c r="C800" t="s">
        <v>43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46</v>
      </c>
      <c r="C801" t="s">
        <v>18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47</v>
      </c>
      <c r="C802" t="s">
        <v>16</v>
      </c>
      <c r="D802">
        <v>18</v>
      </c>
      <c r="E802">
        <v>17</v>
      </c>
      <c r="F802">
        <v>20.36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48</v>
      </c>
      <c r="C803" t="s">
        <v>16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49</v>
      </c>
      <c r="C804" t="s">
        <v>18</v>
      </c>
      <c r="D804">
        <v>32</v>
      </c>
      <c r="E804">
        <v>21</v>
      </c>
      <c r="F804">
        <v>15.38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50</v>
      </c>
      <c r="C805" t="s">
        <v>20</v>
      </c>
      <c r="D805">
        <v>22</v>
      </c>
      <c r="E805">
        <v>20</v>
      </c>
      <c r="F805">
        <v>17.170000000000002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51</v>
      </c>
      <c r="C806" t="s">
        <v>23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52</v>
      </c>
      <c r="C807" t="s">
        <v>18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53</v>
      </c>
      <c r="C808" t="s">
        <v>18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54</v>
      </c>
      <c r="C809" t="s">
        <v>23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55</v>
      </c>
      <c r="C810" t="s">
        <v>43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56</v>
      </c>
      <c r="C811" t="s">
        <v>16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57</v>
      </c>
      <c r="C812" t="s">
        <v>43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58</v>
      </c>
      <c r="C813" t="s">
        <v>43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59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60</v>
      </c>
      <c r="C815" t="s">
        <v>20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61</v>
      </c>
      <c r="C816" t="s">
        <v>18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62</v>
      </c>
      <c r="C817" t="s">
        <v>20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63</v>
      </c>
      <c r="C818" t="s">
        <v>18</v>
      </c>
      <c r="D818">
        <v>25</v>
      </c>
      <c r="E818">
        <v>24</v>
      </c>
      <c r="F818">
        <v>10.49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15</v>
      </c>
      <c r="C819" t="s">
        <v>16</v>
      </c>
      <c r="D819">
        <v>36</v>
      </c>
      <c r="E819">
        <v>25</v>
      </c>
      <c r="F819">
        <v>11.48</v>
      </c>
      <c r="G819">
        <v>0</v>
      </c>
      <c r="H819">
        <v>0</v>
      </c>
      <c r="I819">
        <v>0</v>
      </c>
      <c r="J819">
        <v>0</v>
      </c>
      <c r="K819">
        <v>0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17</v>
      </c>
      <c r="C820" t="s">
        <v>18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19</v>
      </c>
      <c r="C821" t="s">
        <v>20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>
        <v>0</v>
      </c>
      <c r="J821">
        <v>0</v>
      </c>
      <c r="K821">
        <v>0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21</v>
      </c>
      <c r="C822" t="s">
        <v>18</v>
      </c>
      <c r="D822">
        <v>32</v>
      </c>
      <c r="E822">
        <v>32</v>
      </c>
      <c r="F822">
        <v>15.4</v>
      </c>
      <c r="G822">
        <v>0</v>
      </c>
      <c r="H822">
        <v>0</v>
      </c>
      <c r="I822">
        <v>0</v>
      </c>
      <c r="J822">
        <v>0</v>
      </c>
      <c r="K822">
        <v>0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22</v>
      </c>
      <c r="C823" t="s">
        <v>23</v>
      </c>
      <c r="D823">
        <v>9</v>
      </c>
      <c r="E823">
        <v>9</v>
      </c>
      <c r="F823">
        <v>20.23</v>
      </c>
      <c r="G823">
        <v>0</v>
      </c>
      <c r="H823">
        <v>0</v>
      </c>
      <c r="I823">
        <v>0</v>
      </c>
      <c r="J823">
        <v>0</v>
      </c>
      <c r="K823">
        <v>0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24</v>
      </c>
      <c r="C824" t="s">
        <v>16</v>
      </c>
      <c r="D824">
        <v>28</v>
      </c>
      <c r="E824">
        <v>26</v>
      </c>
      <c r="F824">
        <v>18.22</v>
      </c>
      <c r="G824">
        <v>0</v>
      </c>
      <c r="H824">
        <v>0</v>
      </c>
      <c r="I824">
        <v>0</v>
      </c>
      <c r="J824">
        <v>0</v>
      </c>
      <c r="K824">
        <v>0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25</v>
      </c>
      <c r="C825" t="s">
        <v>16</v>
      </c>
      <c r="D825">
        <v>33</v>
      </c>
      <c r="E825">
        <v>31</v>
      </c>
      <c r="F825">
        <v>15.32</v>
      </c>
      <c r="G825">
        <v>0</v>
      </c>
      <c r="H825">
        <v>0</v>
      </c>
      <c r="I825">
        <v>0</v>
      </c>
      <c r="J825">
        <v>0</v>
      </c>
      <c r="K825">
        <v>0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26</v>
      </c>
      <c r="C826" t="s">
        <v>23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27</v>
      </c>
      <c r="C827" t="s">
        <v>20</v>
      </c>
      <c r="D827">
        <v>22</v>
      </c>
      <c r="E827">
        <v>20</v>
      </c>
      <c r="F827">
        <v>18.23</v>
      </c>
      <c r="G827">
        <v>0</v>
      </c>
      <c r="H827">
        <v>0</v>
      </c>
      <c r="I827">
        <v>0</v>
      </c>
      <c r="J827">
        <v>0</v>
      </c>
      <c r="K827">
        <v>0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28</v>
      </c>
      <c r="C828" t="s">
        <v>18</v>
      </c>
      <c r="D828">
        <v>42</v>
      </c>
      <c r="E828">
        <v>40</v>
      </c>
      <c r="F828">
        <v>12.27</v>
      </c>
      <c r="G828">
        <v>0</v>
      </c>
      <c r="H828">
        <v>0</v>
      </c>
      <c r="I828">
        <v>0</v>
      </c>
      <c r="J828">
        <v>0</v>
      </c>
      <c r="K828">
        <v>0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29</v>
      </c>
      <c r="C829" t="s">
        <v>16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30</v>
      </c>
      <c r="C830" t="s">
        <v>20</v>
      </c>
      <c r="D830">
        <v>26</v>
      </c>
      <c r="E830">
        <v>22</v>
      </c>
      <c r="F830">
        <v>19.13</v>
      </c>
      <c r="G830">
        <v>0</v>
      </c>
      <c r="H830">
        <v>0</v>
      </c>
      <c r="I830">
        <v>0</v>
      </c>
      <c r="J830">
        <v>0</v>
      </c>
      <c r="K830">
        <v>0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31</v>
      </c>
      <c r="C831" t="s">
        <v>18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32</v>
      </c>
      <c r="C832" t="s">
        <v>23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33</v>
      </c>
      <c r="C833" t="s">
        <v>16</v>
      </c>
      <c r="D833">
        <v>39</v>
      </c>
      <c r="E833">
        <v>38</v>
      </c>
      <c r="F833">
        <v>12.19</v>
      </c>
      <c r="G833">
        <v>0</v>
      </c>
      <c r="H833">
        <v>0</v>
      </c>
      <c r="I833">
        <v>0</v>
      </c>
      <c r="J833">
        <v>0</v>
      </c>
      <c r="K833">
        <v>0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34</v>
      </c>
      <c r="C834" t="s">
        <v>18</v>
      </c>
      <c r="D834">
        <v>32</v>
      </c>
      <c r="E834">
        <v>29</v>
      </c>
      <c r="F834">
        <v>11.53</v>
      </c>
      <c r="G834">
        <v>0</v>
      </c>
      <c r="H834">
        <v>0</v>
      </c>
      <c r="I834">
        <v>0</v>
      </c>
      <c r="J834">
        <v>0</v>
      </c>
      <c r="K834">
        <v>0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35</v>
      </c>
      <c r="C835" t="s">
        <v>16</v>
      </c>
      <c r="D835">
        <v>32</v>
      </c>
      <c r="E835">
        <v>27</v>
      </c>
      <c r="F835">
        <v>20.36</v>
      </c>
      <c r="G835">
        <v>0</v>
      </c>
      <c r="H835">
        <v>0</v>
      </c>
      <c r="I835">
        <v>0</v>
      </c>
      <c r="J835">
        <v>0</v>
      </c>
      <c r="K835">
        <v>0</v>
      </c>
      <c r="N835">
        <v>99.31</v>
      </c>
      <c r="O835">
        <v>30.96234309623431</v>
      </c>
    </row>
    <row r="836" spans="1:15" x14ac:dyDescent="0.25">
      <c r="A836" s="11">
        <v>46059</v>
      </c>
      <c r="B836" t="s">
        <v>36</v>
      </c>
      <c r="C836" t="s">
        <v>20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>E836+G836+H836</f>
        <v>16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-4</v>
      </c>
      <c r="L836" s="3" t="str">
        <f>IF(K836&lt;-5,"CRÍTICO",IF(K836&lt;0,"ATENÇÃO",IF(K836&lt;=5,"BOM","EXCELENTE")))</f>
        <v>ATENÇÃO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37</v>
      </c>
      <c r="C837" t="s">
        <v>16</v>
      </c>
      <c r="D837">
        <v>27</v>
      </c>
      <c r="E837">
        <v>24</v>
      </c>
      <c r="F837">
        <v>22.12</v>
      </c>
      <c r="G837">
        <v>0</v>
      </c>
      <c r="H837">
        <v>0</v>
      </c>
      <c r="I837">
        <v>0</v>
      </c>
      <c r="J837">
        <v>0</v>
      </c>
      <c r="K837">
        <v>0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38</v>
      </c>
      <c r="C838" t="s">
        <v>18</v>
      </c>
      <c r="D838">
        <v>53</v>
      </c>
      <c r="E838">
        <v>44</v>
      </c>
      <c r="F838">
        <v>12.26</v>
      </c>
      <c r="G838">
        <v>0</v>
      </c>
      <c r="H838">
        <v>0</v>
      </c>
      <c r="I838">
        <v>0</v>
      </c>
      <c r="J838">
        <v>0</v>
      </c>
      <c r="K838">
        <v>0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39</v>
      </c>
      <c r="C839" t="s">
        <v>18</v>
      </c>
      <c r="D839">
        <v>14</v>
      </c>
      <c r="E839">
        <v>12</v>
      </c>
      <c r="F839">
        <v>15.15</v>
      </c>
      <c r="G839">
        <v>0</v>
      </c>
      <c r="H839">
        <v>0</v>
      </c>
      <c r="I839">
        <v>0</v>
      </c>
      <c r="J839">
        <v>0</v>
      </c>
      <c r="K839">
        <v>0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40</v>
      </c>
      <c r="C840" t="s">
        <v>16</v>
      </c>
      <c r="D840">
        <v>40</v>
      </c>
      <c r="E840">
        <v>30</v>
      </c>
      <c r="F840">
        <v>11.52</v>
      </c>
      <c r="G840">
        <v>0</v>
      </c>
      <c r="H840">
        <v>0</v>
      </c>
      <c r="I840">
        <v>0</v>
      </c>
      <c r="J840">
        <v>0</v>
      </c>
      <c r="K840">
        <v>0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41</v>
      </c>
      <c r="C841" t="s">
        <v>18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42</v>
      </c>
      <c r="C842" t="s">
        <v>43</v>
      </c>
      <c r="D842">
        <v>7</v>
      </c>
      <c r="E842">
        <v>6</v>
      </c>
      <c r="F842">
        <v>29.13</v>
      </c>
      <c r="G842">
        <v>0</v>
      </c>
      <c r="H842">
        <v>0</v>
      </c>
      <c r="I842">
        <v>0</v>
      </c>
      <c r="J842">
        <v>0</v>
      </c>
      <c r="K842">
        <v>0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44</v>
      </c>
      <c r="C843" t="s">
        <v>18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45</v>
      </c>
      <c r="C844" t="s">
        <v>43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46</v>
      </c>
      <c r="C845" t="s">
        <v>18</v>
      </c>
      <c r="D845">
        <v>31</v>
      </c>
      <c r="E845">
        <v>29</v>
      </c>
      <c r="F845">
        <v>15.57</v>
      </c>
      <c r="G845">
        <v>0</v>
      </c>
      <c r="H845">
        <v>0</v>
      </c>
      <c r="I845">
        <v>0</v>
      </c>
      <c r="J845">
        <v>0</v>
      </c>
      <c r="K845">
        <v>0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47</v>
      </c>
      <c r="C846" t="s">
        <v>16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>
        <v>0</v>
      </c>
      <c r="J846">
        <v>0</v>
      </c>
      <c r="K846">
        <v>0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48</v>
      </c>
      <c r="C847" t="s">
        <v>16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49</v>
      </c>
      <c r="C848" t="s">
        <v>18</v>
      </c>
      <c r="D848">
        <v>47</v>
      </c>
      <c r="E848">
        <v>40</v>
      </c>
      <c r="F848">
        <v>9</v>
      </c>
      <c r="G848">
        <v>0</v>
      </c>
      <c r="H848">
        <v>0</v>
      </c>
      <c r="I848">
        <v>0</v>
      </c>
      <c r="J848">
        <v>0</v>
      </c>
      <c r="K848">
        <v>0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50</v>
      </c>
      <c r="C849" t="s">
        <v>20</v>
      </c>
      <c r="D849">
        <v>29</v>
      </c>
      <c r="E849">
        <v>28</v>
      </c>
      <c r="F849">
        <v>16.5</v>
      </c>
      <c r="G849">
        <v>0</v>
      </c>
      <c r="H849">
        <v>0</v>
      </c>
      <c r="I849">
        <v>0</v>
      </c>
      <c r="J849">
        <v>0</v>
      </c>
      <c r="K849">
        <v>0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51</v>
      </c>
      <c r="C850" t="s">
        <v>23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>
        <v>0</v>
      </c>
      <c r="J850">
        <v>0</v>
      </c>
      <c r="K850">
        <v>0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52</v>
      </c>
      <c r="C851" t="s">
        <v>18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53</v>
      </c>
      <c r="C852" t="s">
        <v>18</v>
      </c>
      <c r="D852">
        <v>44</v>
      </c>
      <c r="E852">
        <v>32</v>
      </c>
      <c r="F852">
        <v>10.58</v>
      </c>
      <c r="G852">
        <v>0</v>
      </c>
      <c r="H852">
        <v>0</v>
      </c>
      <c r="I852">
        <v>0</v>
      </c>
      <c r="J852">
        <v>0</v>
      </c>
      <c r="K852">
        <v>0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54</v>
      </c>
      <c r="C853" t="s">
        <v>23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55</v>
      </c>
      <c r="C854" t="s">
        <v>43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56</v>
      </c>
      <c r="C855" t="s">
        <v>16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57</v>
      </c>
      <c r="C856" t="s">
        <v>43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58</v>
      </c>
      <c r="C857" t="s">
        <v>43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59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60</v>
      </c>
      <c r="C859" t="s">
        <v>20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61</v>
      </c>
      <c r="C860" t="s">
        <v>18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62</v>
      </c>
      <c r="C861" t="s">
        <v>20</v>
      </c>
      <c r="D861">
        <v>22</v>
      </c>
      <c r="E861">
        <v>19</v>
      </c>
      <c r="F861">
        <v>26.57</v>
      </c>
      <c r="G861">
        <v>0</v>
      </c>
      <c r="H861">
        <v>0</v>
      </c>
      <c r="I861">
        <v>0</v>
      </c>
      <c r="J861">
        <v>0</v>
      </c>
      <c r="K861">
        <v>0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63</v>
      </c>
      <c r="C862" t="s">
        <v>18</v>
      </c>
      <c r="D862">
        <v>30</v>
      </c>
      <c r="E862">
        <v>28</v>
      </c>
      <c r="F862">
        <v>18.21</v>
      </c>
      <c r="G862">
        <v>0</v>
      </c>
      <c r="H862">
        <v>0</v>
      </c>
      <c r="I862">
        <v>0</v>
      </c>
      <c r="J862">
        <v>0</v>
      </c>
      <c r="K862">
        <v>0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15</v>
      </c>
      <c r="C863" t="s">
        <v>16</v>
      </c>
      <c r="D863">
        <v>28</v>
      </c>
      <c r="E863">
        <v>25</v>
      </c>
      <c r="F863">
        <v>20.2</v>
      </c>
      <c r="G863">
        <v>0</v>
      </c>
      <c r="H863">
        <v>0</v>
      </c>
      <c r="I863">
        <v>0</v>
      </c>
      <c r="J863">
        <v>0</v>
      </c>
      <c r="K863">
        <v>0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17</v>
      </c>
      <c r="C864" t="s">
        <v>18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19</v>
      </c>
      <c r="C865" t="s">
        <v>20</v>
      </c>
      <c r="D865">
        <v>33</v>
      </c>
      <c r="E865">
        <v>30</v>
      </c>
      <c r="F865">
        <v>22.04</v>
      </c>
      <c r="G865">
        <v>0</v>
      </c>
      <c r="H865">
        <v>0</v>
      </c>
      <c r="I865">
        <v>0</v>
      </c>
      <c r="J865">
        <v>0</v>
      </c>
      <c r="K865">
        <v>0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21</v>
      </c>
      <c r="C866" t="s">
        <v>18</v>
      </c>
      <c r="D866">
        <v>40</v>
      </c>
      <c r="E866">
        <v>36</v>
      </c>
      <c r="F866">
        <v>15.18</v>
      </c>
      <c r="G866">
        <v>0</v>
      </c>
      <c r="H866">
        <v>0</v>
      </c>
      <c r="I866">
        <v>0</v>
      </c>
      <c r="J866">
        <v>0</v>
      </c>
      <c r="K866">
        <v>0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22</v>
      </c>
      <c r="C867" t="s">
        <v>23</v>
      </c>
      <c r="D867">
        <v>9</v>
      </c>
      <c r="E867">
        <v>9</v>
      </c>
      <c r="F867">
        <v>38.24</v>
      </c>
      <c r="G867">
        <v>0</v>
      </c>
      <c r="H867">
        <v>0</v>
      </c>
      <c r="I867">
        <v>0</v>
      </c>
      <c r="J867">
        <v>0</v>
      </c>
      <c r="K867">
        <v>0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24</v>
      </c>
      <c r="C868" t="s">
        <v>16</v>
      </c>
      <c r="D868">
        <v>27</v>
      </c>
      <c r="E868">
        <v>25</v>
      </c>
      <c r="F868">
        <v>23.35</v>
      </c>
      <c r="G868">
        <v>0</v>
      </c>
      <c r="H868">
        <v>0</v>
      </c>
      <c r="I868">
        <v>0</v>
      </c>
      <c r="J868">
        <v>0</v>
      </c>
      <c r="K868">
        <v>0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25</v>
      </c>
      <c r="C869" t="s">
        <v>16</v>
      </c>
      <c r="D869">
        <v>6</v>
      </c>
      <c r="E869">
        <v>6</v>
      </c>
      <c r="F869">
        <v>50.57</v>
      </c>
      <c r="G869">
        <v>0</v>
      </c>
      <c r="H869">
        <v>0</v>
      </c>
      <c r="I869">
        <v>0</v>
      </c>
      <c r="J869">
        <v>0</v>
      </c>
      <c r="K869">
        <v>0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26</v>
      </c>
      <c r="C870" t="s">
        <v>23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27</v>
      </c>
      <c r="C871" t="s">
        <v>20</v>
      </c>
      <c r="D871">
        <v>21</v>
      </c>
      <c r="E871">
        <v>21</v>
      </c>
      <c r="F871">
        <v>30.15</v>
      </c>
      <c r="G871">
        <v>0</v>
      </c>
      <c r="H871">
        <v>0</v>
      </c>
      <c r="I871">
        <v>0</v>
      </c>
      <c r="J871">
        <v>0</v>
      </c>
      <c r="K871">
        <v>0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28</v>
      </c>
      <c r="C872" t="s">
        <v>18</v>
      </c>
      <c r="D872">
        <v>44</v>
      </c>
      <c r="E872">
        <v>41</v>
      </c>
      <c r="F872">
        <v>13.2</v>
      </c>
      <c r="G872">
        <v>0</v>
      </c>
      <c r="H872">
        <v>0</v>
      </c>
      <c r="I872">
        <v>0</v>
      </c>
      <c r="J872">
        <v>0</v>
      </c>
      <c r="K872">
        <v>0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29</v>
      </c>
      <c r="C873" t="s">
        <v>16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30</v>
      </c>
      <c r="C874" t="s">
        <v>20</v>
      </c>
      <c r="D874">
        <v>23</v>
      </c>
      <c r="E874">
        <v>23</v>
      </c>
      <c r="F874">
        <v>23.51</v>
      </c>
      <c r="G874">
        <v>0</v>
      </c>
      <c r="H874">
        <v>0</v>
      </c>
      <c r="I874">
        <v>0</v>
      </c>
      <c r="J874">
        <v>0</v>
      </c>
      <c r="K874">
        <v>0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31</v>
      </c>
      <c r="C875" t="s">
        <v>18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32</v>
      </c>
      <c r="C876" t="s">
        <v>23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33</v>
      </c>
      <c r="C877" t="s">
        <v>16</v>
      </c>
      <c r="D877">
        <v>30</v>
      </c>
      <c r="E877">
        <v>27</v>
      </c>
      <c r="F877">
        <v>15.04</v>
      </c>
      <c r="G877">
        <v>0</v>
      </c>
      <c r="H877">
        <v>0</v>
      </c>
      <c r="I877">
        <v>0</v>
      </c>
      <c r="J877">
        <v>0</v>
      </c>
      <c r="K877">
        <v>0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34</v>
      </c>
      <c r="C878" t="s">
        <v>18</v>
      </c>
      <c r="D878">
        <v>22</v>
      </c>
      <c r="E878">
        <v>17</v>
      </c>
      <c r="F878">
        <v>13.56</v>
      </c>
      <c r="G878">
        <v>0</v>
      </c>
      <c r="H878">
        <v>0</v>
      </c>
      <c r="I878">
        <v>0</v>
      </c>
      <c r="J878">
        <v>0</v>
      </c>
      <c r="K878">
        <v>0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35</v>
      </c>
      <c r="C879" t="s">
        <v>16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>
        <v>0</v>
      </c>
      <c r="J879">
        <v>0</v>
      </c>
      <c r="K879">
        <v>0</v>
      </c>
      <c r="N879">
        <v>99.31</v>
      </c>
      <c r="O879">
        <v>30.96234309623431</v>
      </c>
    </row>
    <row r="880" spans="1:15" x14ac:dyDescent="0.25">
      <c r="A880" s="11">
        <v>46062</v>
      </c>
      <c r="B880" t="s">
        <v>36</v>
      </c>
      <c r="C880" t="s">
        <v>20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>E880+G880+H880</f>
        <v>13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17</v>
      </c>
      <c r="K880" s="3">
        <f>I880-J880</f>
        <v>-4</v>
      </c>
      <c r="L880" s="3" t="str">
        <f>IF(K880&lt;-5,"CRÍTICO",IF(K880&lt;0,"ATENÇÃO",IF(K880&lt;=5,"BOM","EXCELENTE")))</f>
        <v>ATENÇÃO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37</v>
      </c>
      <c r="C881" t="s">
        <v>16</v>
      </c>
      <c r="D881">
        <v>24</v>
      </c>
      <c r="E881">
        <v>21</v>
      </c>
      <c r="F881">
        <v>13.58</v>
      </c>
      <c r="G881">
        <v>0</v>
      </c>
      <c r="H881">
        <v>0</v>
      </c>
      <c r="I881">
        <v>0</v>
      </c>
      <c r="J881">
        <v>0</v>
      </c>
      <c r="K881">
        <v>0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38</v>
      </c>
      <c r="C882" t="s">
        <v>18</v>
      </c>
      <c r="D882">
        <v>53</v>
      </c>
      <c r="E882">
        <v>46</v>
      </c>
      <c r="F882">
        <v>12.3</v>
      </c>
      <c r="G882">
        <v>0</v>
      </c>
      <c r="H882">
        <v>0</v>
      </c>
      <c r="I882">
        <v>0</v>
      </c>
      <c r="J882">
        <v>0</v>
      </c>
      <c r="K882">
        <v>0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39</v>
      </c>
      <c r="C883" t="s">
        <v>18</v>
      </c>
      <c r="D883">
        <v>41</v>
      </c>
      <c r="E883">
        <v>41</v>
      </c>
      <c r="F883">
        <v>13.35</v>
      </c>
      <c r="G883">
        <v>0</v>
      </c>
      <c r="H883">
        <v>0</v>
      </c>
      <c r="I883">
        <v>0</v>
      </c>
      <c r="J883">
        <v>0</v>
      </c>
      <c r="K883">
        <v>0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40</v>
      </c>
      <c r="C884" t="s">
        <v>16</v>
      </c>
      <c r="D884">
        <v>38</v>
      </c>
      <c r="E884">
        <v>30</v>
      </c>
      <c r="F884">
        <v>13.52</v>
      </c>
      <c r="G884">
        <v>0</v>
      </c>
      <c r="H884">
        <v>0</v>
      </c>
      <c r="I884">
        <v>0</v>
      </c>
      <c r="J884">
        <v>0</v>
      </c>
      <c r="K884">
        <v>0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41</v>
      </c>
      <c r="C885" t="s">
        <v>18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42</v>
      </c>
      <c r="C886" t="s">
        <v>43</v>
      </c>
      <c r="D886">
        <v>3</v>
      </c>
      <c r="E886">
        <v>3</v>
      </c>
      <c r="F886">
        <v>57.08</v>
      </c>
      <c r="G886">
        <v>0</v>
      </c>
      <c r="H886">
        <v>0</v>
      </c>
      <c r="I886">
        <v>0</v>
      </c>
      <c r="J886">
        <v>0</v>
      </c>
      <c r="K886">
        <v>0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44</v>
      </c>
      <c r="C887" t="s">
        <v>18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45</v>
      </c>
      <c r="C888" t="s">
        <v>43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46</v>
      </c>
      <c r="C889" t="s">
        <v>18</v>
      </c>
      <c r="D889">
        <v>45</v>
      </c>
      <c r="E889">
        <v>41</v>
      </c>
      <c r="F889">
        <v>15.19</v>
      </c>
      <c r="G889">
        <v>0</v>
      </c>
      <c r="H889">
        <v>0</v>
      </c>
      <c r="I889">
        <v>0</v>
      </c>
      <c r="J889">
        <v>0</v>
      </c>
      <c r="K889">
        <v>0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47</v>
      </c>
      <c r="C890" t="s">
        <v>16</v>
      </c>
      <c r="D890">
        <v>31</v>
      </c>
      <c r="E890">
        <v>29</v>
      </c>
      <c r="F890">
        <v>16.57</v>
      </c>
      <c r="G890">
        <v>0</v>
      </c>
      <c r="H890">
        <v>0</v>
      </c>
      <c r="I890">
        <v>0</v>
      </c>
      <c r="J890">
        <v>0</v>
      </c>
      <c r="K890">
        <v>0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48</v>
      </c>
      <c r="C891" t="s">
        <v>16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49</v>
      </c>
      <c r="C892" t="s">
        <v>18</v>
      </c>
      <c r="D892">
        <v>21</v>
      </c>
      <c r="E892">
        <v>16</v>
      </c>
      <c r="F892">
        <v>15.06</v>
      </c>
      <c r="G892">
        <v>0</v>
      </c>
      <c r="H892">
        <v>0</v>
      </c>
      <c r="I892">
        <v>0</v>
      </c>
      <c r="J892">
        <v>0</v>
      </c>
      <c r="K892">
        <v>0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50</v>
      </c>
      <c r="C893" t="s">
        <v>20</v>
      </c>
      <c r="D893">
        <v>21</v>
      </c>
      <c r="E893">
        <v>21</v>
      </c>
      <c r="F893">
        <v>29.07</v>
      </c>
      <c r="G893">
        <v>0</v>
      </c>
      <c r="H893">
        <v>0</v>
      </c>
      <c r="I893">
        <v>0</v>
      </c>
      <c r="J893">
        <v>0</v>
      </c>
      <c r="K893">
        <v>0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51</v>
      </c>
      <c r="C894" t="s">
        <v>23</v>
      </c>
      <c r="D894">
        <v>11</v>
      </c>
      <c r="E894">
        <v>10</v>
      </c>
      <c r="F894">
        <v>37.26</v>
      </c>
      <c r="G894">
        <v>0</v>
      </c>
      <c r="H894">
        <v>0</v>
      </c>
      <c r="I894">
        <v>0</v>
      </c>
      <c r="J894">
        <v>0</v>
      </c>
      <c r="K894">
        <v>0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52</v>
      </c>
      <c r="C895" t="s">
        <v>18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53</v>
      </c>
      <c r="C896" t="s">
        <v>18</v>
      </c>
      <c r="D896">
        <v>49</v>
      </c>
      <c r="E896">
        <v>42</v>
      </c>
      <c r="F896">
        <v>10.4</v>
      </c>
      <c r="G896">
        <v>0</v>
      </c>
      <c r="H896">
        <v>0</v>
      </c>
      <c r="I896">
        <v>0</v>
      </c>
      <c r="J896">
        <v>0</v>
      </c>
      <c r="K896">
        <v>0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54</v>
      </c>
      <c r="C897" t="s">
        <v>23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55</v>
      </c>
      <c r="C898" t="s">
        <v>43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56</v>
      </c>
      <c r="C899" t="s">
        <v>16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57</v>
      </c>
      <c r="C900" t="s">
        <v>43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58</v>
      </c>
      <c r="C901" t="s">
        <v>43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59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60</v>
      </c>
      <c r="C903" t="s">
        <v>20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61</v>
      </c>
      <c r="C904" t="s">
        <v>18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62</v>
      </c>
      <c r="C905" t="s">
        <v>20</v>
      </c>
      <c r="D905">
        <v>15</v>
      </c>
      <c r="E905">
        <v>11</v>
      </c>
      <c r="F905">
        <v>27.36</v>
      </c>
      <c r="G905">
        <v>0</v>
      </c>
      <c r="H905">
        <v>0</v>
      </c>
      <c r="I905">
        <v>0</v>
      </c>
      <c r="J905">
        <v>0</v>
      </c>
      <c r="K905">
        <v>0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63</v>
      </c>
      <c r="C906" t="s">
        <v>18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>
        <v>0</v>
      </c>
      <c r="J906">
        <v>0</v>
      </c>
      <c r="K906">
        <v>0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15</v>
      </c>
      <c r="C907" t="s">
        <v>16</v>
      </c>
      <c r="D907">
        <v>26</v>
      </c>
      <c r="E907">
        <v>23</v>
      </c>
      <c r="F907">
        <v>20.57</v>
      </c>
      <c r="G907">
        <v>0</v>
      </c>
      <c r="H907">
        <v>0</v>
      </c>
      <c r="I907">
        <v>0</v>
      </c>
      <c r="J907">
        <v>0</v>
      </c>
      <c r="K907">
        <v>0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17</v>
      </c>
      <c r="C908" t="s">
        <v>18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19</v>
      </c>
      <c r="C909" t="s">
        <v>20</v>
      </c>
      <c r="D909">
        <v>30</v>
      </c>
      <c r="E909">
        <v>25</v>
      </c>
      <c r="F909">
        <v>15.14</v>
      </c>
      <c r="G909">
        <v>0</v>
      </c>
      <c r="H909">
        <v>0</v>
      </c>
      <c r="I909">
        <v>0</v>
      </c>
      <c r="J909">
        <v>0</v>
      </c>
      <c r="K909">
        <v>0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21</v>
      </c>
      <c r="C910" t="s">
        <v>18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>
        <v>0</v>
      </c>
      <c r="J910">
        <v>0</v>
      </c>
      <c r="K910">
        <v>0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22</v>
      </c>
      <c r="C911" t="s">
        <v>23</v>
      </c>
      <c r="D911">
        <v>15</v>
      </c>
      <c r="E911">
        <v>14</v>
      </c>
      <c r="F911">
        <v>32.35</v>
      </c>
      <c r="G911">
        <v>0</v>
      </c>
      <c r="H911">
        <v>0</v>
      </c>
      <c r="I911">
        <v>0</v>
      </c>
      <c r="J911">
        <v>0</v>
      </c>
      <c r="K911">
        <v>0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24</v>
      </c>
      <c r="C912" t="s">
        <v>16</v>
      </c>
      <c r="D912">
        <v>31</v>
      </c>
      <c r="E912">
        <v>28</v>
      </c>
      <c r="F912">
        <v>20.12</v>
      </c>
      <c r="G912">
        <v>0</v>
      </c>
      <c r="H912">
        <v>0</v>
      </c>
      <c r="I912">
        <v>0</v>
      </c>
      <c r="J912">
        <v>0</v>
      </c>
      <c r="K912">
        <v>0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25</v>
      </c>
      <c r="C913" t="s">
        <v>16</v>
      </c>
      <c r="D913">
        <v>28</v>
      </c>
      <c r="E913">
        <v>23</v>
      </c>
      <c r="F913">
        <v>19.14</v>
      </c>
      <c r="G913">
        <v>0</v>
      </c>
      <c r="H913">
        <v>0</v>
      </c>
      <c r="I913">
        <v>0</v>
      </c>
      <c r="J913">
        <v>0</v>
      </c>
      <c r="K913">
        <v>0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26</v>
      </c>
      <c r="C914" t="s">
        <v>23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27</v>
      </c>
      <c r="C915" t="s">
        <v>20</v>
      </c>
      <c r="D915">
        <v>17</v>
      </c>
      <c r="E915">
        <v>17</v>
      </c>
      <c r="F915">
        <v>30.57</v>
      </c>
      <c r="G915">
        <v>0</v>
      </c>
      <c r="H915">
        <v>0</v>
      </c>
      <c r="I915">
        <v>0</v>
      </c>
      <c r="J915">
        <v>0</v>
      </c>
      <c r="K915">
        <v>0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28</v>
      </c>
      <c r="C916" t="s">
        <v>18</v>
      </c>
      <c r="D916">
        <v>55</v>
      </c>
      <c r="E916">
        <v>45</v>
      </c>
      <c r="F916">
        <v>9.11</v>
      </c>
      <c r="G916">
        <v>0</v>
      </c>
      <c r="H916">
        <v>0</v>
      </c>
      <c r="I916">
        <v>0</v>
      </c>
      <c r="J916">
        <v>0</v>
      </c>
      <c r="K916">
        <v>0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29</v>
      </c>
      <c r="C917" t="s">
        <v>16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30</v>
      </c>
      <c r="C918" t="s">
        <v>20</v>
      </c>
      <c r="D918">
        <v>27</v>
      </c>
      <c r="E918">
        <v>27</v>
      </c>
      <c r="F918">
        <v>21.4</v>
      </c>
      <c r="G918">
        <v>0</v>
      </c>
      <c r="H918">
        <v>0</v>
      </c>
      <c r="I918">
        <v>0</v>
      </c>
      <c r="J918">
        <v>0</v>
      </c>
      <c r="K918">
        <v>0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31</v>
      </c>
      <c r="C919" t="s">
        <v>18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32</v>
      </c>
      <c r="C920" t="s">
        <v>23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33</v>
      </c>
      <c r="C921" t="s">
        <v>16</v>
      </c>
      <c r="D921">
        <v>34</v>
      </c>
      <c r="E921">
        <v>33</v>
      </c>
      <c r="F921">
        <v>16.43</v>
      </c>
      <c r="G921">
        <v>0</v>
      </c>
      <c r="H921">
        <v>0</v>
      </c>
      <c r="I921">
        <v>0</v>
      </c>
      <c r="J921">
        <v>0</v>
      </c>
      <c r="K921">
        <v>0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34</v>
      </c>
      <c r="C922" t="s">
        <v>18</v>
      </c>
      <c r="D922">
        <v>34</v>
      </c>
      <c r="E922">
        <v>31</v>
      </c>
      <c r="F922">
        <v>12.38</v>
      </c>
      <c r="G922">
        <v>0</v>
      </c>
      <c r="H922">
        <v>0</v>
      </c>
      <c r="I922">
        <v>0</v>
      </c>
      <c r="J922">
        <v>0</v>
      </c>
      <c r="K922">
        <v>0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35</v>
      </c>
      <c r="C923" t="s">
        <v>16</v>
      </c>
      <c r="D923">
        <v>33</v>
      </c>
      <c r="E923">
        <v>31</v>
      </c>
      <c r="F923">
        <v>25.16</v>
      </c>
      <c r="G923">
        <v>0</v>
      </c>
      <c r="H923">
        <v>0</v>
      </c>
      <c r="I923">
        <v>0</v>
      </c>
      <c r="J923">
        <v>0</v>
      </c>
      <c r="K923">
        <v>0</v>
      </c>
      <c r="N923">
        <v>99.31</v>
      </c>
      <c r="O923">
        <v>30.96234309623431</v>
      </c>
    </row>
    <row r="924" spans="1:15" x14ac:dyDescent="0.25">
      <c r="A924" s="11">
        <v>46063</v>
      </c>
      <c r="B924" t="s">
        <v>36</v>
      </c>
      <c r="C924" t="s">
        <v>20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>E924+G924+H924</f>
        <v>6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19</v>
      </c>
      <c r="K924" s="3">
        <f>I924-J924</f>
        <v>-13</v>
      </c>
      <c r="L924" s="3" t="str">
        <f>IF(K924&lt;-5,"CRÍTICO",IF(K924&lt;0,"ATENÇÃO",IF(K924&lt;=5,"BOM","EXCELENTE")))</f>
        <v>CRÍTICO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37</v>
      </c>
      <c r="C925" t="s">
        <v>16</v>
      </c>
      <c r="D925">
        <v>28</v>
      </c>
      <c r="E925">
        <v>25</v>
      </c>
      <c r="F925">
        <v>15.12</v>
      </c>
      <c r="G925">
        <v>0</v>
      </c>
      <c r="H925">
        <v>0</v>
      </c>
      <c r="I925">
        <v>0</v>
      </c>
      <c r="J925">
        <v>0</v>
      </c>
      <c r="K925">
        <v>0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38</v>
      </c>
      <c r="C926" t="s">
        <v>18</v>
      </c>
      <c r="D926">
        <v>59</v>
      </c>
      <c r="E926">
        <v>53</v>
      </c>
      <c r="F926">
        <v>10.35</v>
      </c>
      <c r="G926">
        <v>0</v>
      </c>
      <c r="H926">
        <v>0</v>
      </c>
      <c r="I926">
        <v>0</v>
      </c>
      <c r="J926">
        <v>0</v>
      </c>
      <c r="K926">
        <v>0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39</v>
      </c>
      <c r="C927" t="s">
        <v>18</v>
      </c>
      <c r="D927">
        <v>30</v>
      </c>
      <c r="E927">
        <v>27</v>
      </c>
      <c r="F927">
        <v>12.23</v>
      </c>
      <c r="G927">
        <v>0</v>
      </c>
      <c r="H927">
        <v>0</v>
      </c>
      <c r="I927">
        <v>0</v>
      </c>
      <c r="J927">
        <v>0</v>
      </c>
      <c r="K927">
        <v>0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40</v>
      </c>
      <c r="C928" t="s">
        <v>16</v>
      </c>
      <c r="D928">
        <v>33</v>
      </c>
      <c r="E928">
        <v>27</v>
      </c>
      <c r="F928">
        <v>11.54</v>
      </c>
      <c r="G928">
        <v>0</v>
      </c>
      <c r="H928">
        <v>0</v>
      </c>
      <c r="I928">
        <v>0</v>
      </c>
      <c r="J928">
        <v>0</v>
      </c>
      <c r="K928">
        <v>0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41</v>
      </c>
      <c r="C929" t="s">
        <v>18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42</v>
      </c>
      <c r="C930" t="s">
        <v>43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>
        <v>0</v>
      </c>
      <c r="J930">
        <v>0</v>
      </c>
      <c r="K930">
        <v>0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44</v>
      </c>
      <c r="C931" t="s">
        <v>18</v>
      </c>
      <c r="D931">
        <v>15</v>
      </c>
      <c r="E931">
        <v>15</v>
      </c>
      <c r="F931">
        <v>34.14</v>
      </c>
      <c r="G931">
        <v>0</v>
      </c>
      <c r="H931">
        <v>0</v>
      </c>
      <c r="I931">
        <v>0</v>
      </c>
      <c r="J931">
        <v>0</v>
      </c>
      <c r="K931">
        <v>0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45</v>
      </c>
      <c r="C932" t="s">
        <v>43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46</v>
      </c>
      <c r="C933" t="s">
        <v>18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>
        <v>0</v>
      </c>
      <c r="J933">
        <v>0</v>
      </c>
      <c r="K933">
        <v>0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47</v>
      </c>
      <c r="C934" t="s">
        <v>16</v>
      </c>
      <c r="D934">
        <v>29</v>
      </c>
      <c r="E934">
        <v>26</v>
      </c>
      <c r="F934">
        <v>20.34</v>
      </c>
      <c r="G934">
        <v>0</v>
      </c>
      <c r="H934">
        <v>0</v>
      </c>
      <c r="I934">
        <v>0</v>
      </c>
      <c r="J934">
        <v>0</v>
      </c>
      <c r="K934">
        <v>0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48</v>
      </c>
      <c r="C935" t="s">
        <v>16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49</v>
      </c>
      <c r="C936" t="s">
        <v>18</v>
      </c>
      <c r="D936">
        <v>48</v>
      </c>
      <c r="E936">
        <v>43</v>
      </c>
      <c r="F936">
        <v>17.34</v>
      </c>
      <c r="G936">
        <v>0</v>
      </c>
      <c r="H936">
        <v>0</v>
      </c>
      <c r="I936">
        <v>0</v>
      </c>
      <c r="J936">
        <v>0</v>
      </c>
      <c r="K936">
        <v>0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50</v>
      </c>
      <c r="C937" t="s">
        <v>20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>
        <v>0</v>
      </c>
      <c r="J937">
        <v>0</v>
      </c>
      <c r="K937">
        <v>0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51</v>
      </c>
      <c r="C938" t="s">
        <v>23</v>
      </c>
      <c r="D938">
        <v>18</v>
      </c>
      <c r="E938">
        <v>17</v>
      </c>
      <c r="F938">
        <v>37.01</v>
      </c>
      <c r="G938">
        <v>0</v>
      </c>
      <c r="H938">
        <v>0</v>
      </c>
      <c r="I938">
        <v>0</v>
      </c>
      <c r="J938">
        <v>0</v>
      </c>
      <c r="K938">
        <v>0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52</v>
      </c>
      <c r="C939" t="s">
        <v>18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53</v>
      </c>
      <c r="C940" t="s">
        <v>18</v>
      </c>
      <c r="D940">
        <v>32</v>
      </c>
      <c r="E940">
        <v>30</v>
      </c>
      <c r="F940">
        <v>20.05</v>
      </c>
      <c r="G940">
        <v>0</v>
      </c>
      <c r="H940">
        <v>0</v>
      </c>
      <c r="I940">
        <v>0</v>
      </c>
      <c r="J940">
        <v>0</v>
      </c>
      <c r="K940">
        <v>0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54</v>
      </c>
      <c r="C941" t="s">
        <v>23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55</v>
      </c>
      <c r="C942" t="s">
        <v>43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56</v>
      </c>
      <c r="C943" t="s">
        <v>16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57</v>
      </c>
      <c r="C944" t="s">
        <v>43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58</v>
      </c>
      <c r="C945" t="s">
        <v>43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59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60</v>
      </c>
      <c r="C947" t="s">
        <v>20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61</v>
      </c>
      <c r="C948" t="s">
        <v>18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62</v>
      </c>
      <c r="C949" t="s">
        <v>20</v>
      </c>
      <c r="D949">
        <v>18</v>
      </c>
      <c r="E949">
        <v>17</v>
      </c>
      <c r="F949">
        <v>30.15</v>
      </c>
      <c r="G949">
        <v>0</v>
      </c>
      <c r="H949">
        <v>0</v>
      </c>
      <c r="I949">
        <v>0</v>
      </c>
      <c r="J949">
        <v>0</v>
      </c>
      <c r="K949">
        <v>0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63</v>
      </c>
      <c r="C950" t="s">
        <v>18</v>
      </c>
      <c r="D950">
        <v>30</v>
      </c>
      <c r="E950">
        <v>26</v>
      </c>
      <c r="F950">
        <v>18.53</v>
      </c>
      <c r="G950">
        <v>0</v>
      </c>
      <c r="H950">
        <v>0</v>
      </c>
      <c r="I950">
        <v>0</v>
      </c>
      <c r="J950">
        <v>0</v>
      </c>
      <c r="K950">
        <v>0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15</v>
      </c>
      <c r="C951" t="s">
        <v>16</v>
      </c>
      <c r="D951">
        <v>33</v>
      </c>
      <c r="E951">
        <v>27</v>
      </c>
      <c r="F951">
        <v>9.06</v>
      </c>
      <c r="G951">
        <v>0</v>
      </c>
      <c r="H951">
        <v>0</v>
      </c>
      <c r="I951">
        <v>0</v>
      </c>
      <c r="J951">
        <v>0</v>
      </c>
      <c r="K951">
        <v>0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17</v>
      </c>
      <c r="C952" t="s">
        <v>18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19</v>
      </c>
      <c r="C953" t="s">
        <v>20</v>
      </c>
      <c r="D953">
        <v>21</v>
      </c>
      <c r="E953">
        <v>17</v>
      </c>
      <c r="F953">
        <v>22.09</v>
      </c>
      <c r="G953">
        <v>0</v>
      </c>
      <c r="H953">
        <v>0</v>
      </c>
      <c r="I953">
        <v>0</v>
      </c>
      <c r="J953">
        <v>0</v>
      </c>
      <c r="K953">
        <v>0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21</v>
      </c>
      <c r="C954" t="s">
        <v>18</v>
      </c>
      <c r="D954">
        <v>45</v>
      </c>
      <c r="E954">
        <v>41</v>
      </c>
      <c r="F954">
        <v>13.52</v>
      </c>
      <c r="G954">
        <v>0</v>
      </c>
      <c r="H954">
        <v>0</v>
      </c>
      <c r="I954">
        <v>0</v>
      </c>
      <c r="J954">
        <v>0</v>
      </c>
      <c r="K954">
        <v>0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22</v>
      </c>
      <c r="C955" t="s">
        <v>23</v>
      </c>
      <c r="D955">
        <v>9</v>
      </c>
      <c r="E955">
        <v>9</v>
      </c>
      <c r="F955">
        <v>38.53</v>
      </c>
      <c r="G955">
        <v>0</v>
      </c>
      <c r="H955">
        <v>0</v>
      </c>
      <c r="I955">
        <v>0</v>
      </c>
      <c r="J955">
        <v>0</v>
      </c>
      <c r="K955">
        <v>0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24</v>
      </c>
      <c r="C956" t="s">
        <v>16</v>
      </c>
      <c r="D956">
        <v>34</v>
      </c>
      <c r="E956">
        <v>31</v>
      </c>
      <c r="F956">
        <v>16.59</v>
      </c>
      <c r="G956">
        <v>0</v>
      </c>
      <c r="H956">
        <v>0</v>
      </c>
      <c r="I956">
        <v>0</v>
      </c>
      <c r="J956">
        <v>0</v>
      </c>
      <c r="K956">
        <v>0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25</v>
      </c>
      <c r="C957" t="s">
        <v>16</v>
      </c>
      <c r="D957">
        <v>16</v>
      </c>
      <c r="E957">
        <v>16</v>
      </c>
      <c r="F957">
        <v>24.05</v>
      </c>
      <c r="G957">
        <v>0</v>
      </c>
      <c r="H957">
        <v>0</v>
      </c>
      <c r="I957">
        <v>0</v>
      </c>
      <c r="J957">
        <v>0</v>
      </c>
      <c r="K957">
        <v>0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26</v>
      </c>
      <c r="C958" t="s">
        <v>23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27</v>
      </c>
      <c r="C959" t="s">
        <v>20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>
        <v>0</v>
      </c>
      <c r="J959">
        <v>0</v>
      </c>
      <c r="K959">
        <v>0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28</v>
      </c>
      <c r="C960" t="s">
        <v>18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>
        <v>0</v>
      </c>
      <c r="J960">
        <v>0</v>
      </c>
      <c r="K960">
        <v>0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29</v>
      </c>
      <c r="C961" t="s">
        <v>16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30</v>
      </c>
      <c r="C962" t="s">
        <v>20</v>
      </c>
      <c r="D962">
        <v>24</v>
      </c>
      <c r="E962">
        <v>24</v>
      </c>
      <c r="F962">
        <v>22.02</v>
      </c>
      <c r="G962">
        <v>0</v>
      </c>
      <c r="H962">
        <v>0</v>
      </c>
      <c r="I962">
        <v>0</v>
      </c>
      <c r="J962">
        <v>0</v>
      </c>
      <c r="K962">
        <v>0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31</v>
      </c>
      <c r="C963" t="s">
        <v>18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32</v>
      </c>
      <c r="C964" t="s">
        <v>23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33</v>
      </c>
      <c r="C965" t="s">
        <v>16</v>
      </c>
      <c r="D965">
        <v>28</v>
      </c>
      <c r="E965">
        <v>26</v>
      </c>
      <c r="F965">
        <v>14.1</v>
      </c>
      <c r="G965">
        <v>0</v>
      </c>
      <c r="H965">
        <v>0</v>
      </c>
      <c r="I965">
        <v>0</v>
      </c>
      <c r="J965">
        <v>0</v>
      </c>
      <c r="K965">
        <v>0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34</v>
      </c>
      <c r="C966" t="s">
        <v>18</v>
      </c>
      <c r="D966">
        <v>18</v>
      </c>
      <c r="E966">
        <v>15</v>
      </c>
      <c r="F966">
        <v>15</v>
      </c>
      <c r="G966">
        <v>0</v>
      </c>
      <c r="H966">
        <v>0</v>
      </c>
      <c r="I966">
        <v>0</v>
      </c>
      <c r="J966">
        <v>0</v>
      </c>
      <c r="K966">
        <v>0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35</v>
      </c>
      <c r="C967" t="s">
        <v>16</v>
      </c>
      <c r="D967">
        <v>38</v>
      </c>
      <c r="E967">
        <v>33</v>
      </c>
      <c r="F967">
        <v>15.26</v>
      </c>
      <c r="G967">
        <v>0</v>
      </c>
      <c r="H967">
        <v>0</v>
      </c>
      <c r="I967">
        <v>0</v>
      </c>
      <c r="J967">
        <v>0</v>
      </c>
      <c r="K967">
        <v>0</v>
      </c>
      <c r="N967">
        <v>99.31</v>
      </c>
      <c r="O967">
        <v>30.96234309623431</v>
      </c>
    </row>
    <row r="968" spans="1:15" x14ac:dyDescent="0.25">
      <c r="A968" s="11">
        <v>46064</v>
      </c>
      <c r="B968" t="s">
        <v>36</v>
      </c>
      <c r="C968" t="s">
        <v>20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>E968+G968+H968</f>
        <v>2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18</v>
      </c>
      <c r="K968" s="3">
        <f>I968-J968</f>
        <v>-16</v>
      </c>
      <c r="L968" s="3" t="str">
        <f>IF(K968&lt;-5,"CRÍTICO",IF(K968&lt;0,"ATENÇÃO",IF(K968&lt;=5,"BOM","EXCELENTE")))</f>
        <v>CRÍTICO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37</v>
      </c>
      <c r="C969" t="s">
        <v>16</v>
      </c>
      <c r="D969">
        <v>37</v>
      </c>
      <c r="E969">
        <v>36</v>
      </c>
      <c r="F969">
        <v>15.06</v>
      </c>
      <c r="G969">
        <v>0</v>
      </c>
      <c r="H969">
        <v>0</v>
      </c>
      <c r="I969">
        <v>0</v>
      </c>
      <c r="J969">
        <v>0</v>
      </c>
      <c r="K969">
        <v>0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38</v>
      </c>
      <c r="C970" t="s">
        <v>18</v>
      </c>
      <c r="D970">
        <v>51</v>
      </c>
      <c r="E970">
        <v>44</v>
      </c>
      <c r="F970">
        <v>11.53</v>
      </c>
      <c r="G970">
        <v>0</v>
      </c>
      <c r="H970">
        <v>0</v>
      </c>
      <c r="I970">
        <v>0</v>
      </c>
      <c r="J970">
        <v>0</v>
      </c>
      <c r="K970">
        <v>0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39</v>
      </c>
      <c r="C971" t="s">
        <v>18</v>
      </c>
      <c r="D971">
        <v>22</v>
      </c>
      <c r="E971">
        <v>21</v>
      </c>
      <c r="F971">
        <v>15.46</v>
      </c>
      <c r="G971">
        <v>0</v>
      </c>
      <c r="H971">
        <v>0</v>
      </c>
      <c r="I971">
        <v>0</v>
      </c>
      <c r="J971">
        <v>0</v>
      </c>
      <c r="K971">
        <v>0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40</v>
      </c>
      <c r="C972" t="s">
        <v>16</v>
      </c>
      <c r="D972">
        <v>24</v>
      </c>
      <c r="E972">
        <v>22</v>
      </c>
      <c r="F972">
        <v>23.45</v>
      </c>
      <c r="G972">
        <v>0</v>
      </c>
      <c r="H972">
        <v>0</v>
      </c>
      <c r="I972">
        <v>0</v>
      </c>
      <c r="J972">
        <v>0</v>
      </c>
      <c r="K972">
        <v>0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41</v>
      </c>
      <c r="C973" t="s">
        <v>18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42</v>
      </c>
      <c r="C974" t="s">
        <v>43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>
        <v>0</v>
      </c>
      <c r="J974">
        <v>0</v>
      </c>
      <c r="K974">
        <v>0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44</v>
      </c>
      <c r="C975" t="s">
        <v>18</v>
      </c>
      <c r="D975">
        <v>24</v>
      </c>
      <c r="E975">
        <v>22</v>
      </c>
      <c r="F975">
        <v>17.37</v>
      </c>
      <c r="G975">
        <v>0</v>
      </c>
      <c r="H975">
        <v>0</v>
      </c>
      <c r="I975">
        <v>0</v>
      </c>
      <c r="J975">
        <v>0</v>
      </c>
      <c r="K975">
        <v>0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45</v>
      </c>
      <c r="C976" t="s">
        <v>43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46</v>
      </c>
      <c r="C977" t="s">
        <v>18</v>
      </c>
      <c r="D977">
        <v>34</v>
      </c>
      <c r="E977">
        <v>29</v>
      </c>
      <c r="F977">
        <v>14.16</v>
      </c>
      <c r="G977">
        <v>0</v>
      </c>
      <c r="H977">
        <v>0</v>
      </c>
      <c r="I977">
        <v>0</v>
      </c>
      <c r="J977">
        <v>0</v>
      </c>
      <c r="K977">
        <v>0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47</v>
      </c>
      <c r="C978" t="s">
        <v>16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>
        <v>0</v>
      </c>
      <c r="J978">
        <v>0</v>
      </c>
      <c r="K978">
        <v>0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48</v>
      </c>
      <c r="C979" t="s">
        <v>16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49</v>
      </c>
      <c r="C980" t="s">
        <v>18</v>
      </c>
      <c r="D980">
        <v>46</v>
      </c>
      <c r="E980">
        <v>31</v>
      </c>
      <c r="F980">
        <v>8.48</v>
      </c>
      <c r="G980">
        <v>0</v>
      </c>
      <c r="H980">
        <v>0</v>
      </c>
      <c r="I980">
        <v>0</v>
      </c>
      <c r="J980">
        <v>0</v>
      </c>
      <c r="K980">
        <v>0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50</v>
      </c>
      <c r="C981" t="s">
        <v>20</v>
      </c>
      <c r="D981">
        <v>15</v>
      </c>
      <c r="E981">
        <v>14</v>
      </c>
      <c r="F981">
        <v>34</v>
      </c>
      <c r="G981">
        <v>0</v>
      </c>
      <c r="H981">
        <v>0</v>
      </c>
      <c r="I981">
        <v>0</v>
      </c>
      <c r="J981">
        <v>0</v>
      </c>
      <c r="K981">
        <v>0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51</v>
      </c>
      <c r="C982" t="s">
        <v>23</v>
      </c>
      <c r="D982">
        <v>12</v>
      </c>
      <c r="E982">
        <v>12</v>
      </c>
      <c r="F982">
        <v>51.49</v>
      </c>
      <c r="G982">
        <v>0</v>
      </c>
      <c r="H982">
        <v>0</v>
      </c>
      <c r="I982">
        <v>0</v>
      </c>
      <c r="J982">
        <v>0</v>
      </c>
      <c r="K982">
        <v>0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52</v>
      </c>
      <c r="C983" t="s">
        <v>18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53</v>
      </c>
      <c r="C984" t="s">
        <v>18</v>
      </c>
      <c r="D984">
        <v>35</v>
      </c>
      <c r="E984">
        <v>32</v>
      </c>
      <c r="F984">
        <v>16.46</v>
      </c>
      <c r="G984">
        <v>0</v>
      </c>
      <c r="H984">
        <v>0</v>
      </c>
      <c r="I984">
        <v>0</v>
      </c>
      <c r="J984">
        <v>0</v>
      </c>
      <c r="K984">
        <v>0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54</v>
      </c>
      <c r="C985" t="s">
        <v>23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55</v>
      </c>
      <c r="C986" t="s">
        <v>43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56</v>
      </c>
      <c r="C987" t="s">
        <v>16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57</v>
      </c>
      <c r="C988" t="s">
        <v>43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58</v>
      </c>
      <c r="C989" t="s">
        <v>43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59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60</v>
      </c>
      <c r="C991" t="s">
        <v>20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61</v>
      </c>
      <c r="C992" t="s">
        <v>18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62</v>
      </c>
      <c r="C993" t="s">
        <v>20</v>
      </c>
      <c r="D993">
        <v>10</v>
      </c>
      <c r="E993">
        <v>10</v>
      </c>
      <c r="F993">
        <v>42.21</v>
      </c>
      <c r="G993">
        <v>0</v>
      </c>
      <c r="H993">
        <v>0</v>
      </c>
      <c r="I993">
        <v>0</v>
      </c>
      <c r="J993">
        <v>0</v>
      </c>
      <c r="K993">
        <v>0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63</v>
      </c>
      <c r="C994" t="s">
        <v>18</v>
      </c>
      <c r="D994">
        <v>27</v>
      </c>
      <c r="E994">
        <v>26</v>
      </c>
      <c r="F994">
        <v>18.43</v>
      </c>
      <c r="G994">
        <v>0</v>
      </c>
      <c r="H994">
        <v>0</v>
      </c>
      <c r="I994">
        <v>0</v>
      </c>
      <c r="J994">
        <v>0</v>
      </c>
      <c r="K994">
        <v>0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15</v>
      </c>
      <c r="C995" t="s">
        <v>16</v>
      </c>
      <c r="D995">
        <v>22</v>
      </c>
      <c r="E995">
        <v>19</v>
      </c>
      <c r="F995">
        <v>22.01</v>
      </c>
      <c r="G995">
        <v>0</v>
      </c>
      <c r="H995">
        <v>0</v>
      </c>
      <c r="I995">
        <v>0</v>
      </c>
      <c r="J995">
        <v>0</v>
      </c>
      <c r="K995">
        <v>0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17</v>
      </c>
      <c r="C996" t="s">
        <v>18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19</v>
      </c>
      <c r="C997" t="s">
        <v>20</v>
      </c>
      <c r="D997">
        <v>27</v>
      </c>
      <c r="E997">
        <v>23</v>
      </c>
      <c r="F997">
        <v>15.41</v>
      </c>
      <c r="G997">
        <v>0</v>
      </c>
      <c r="H997">
        <v>0</v>
      </c>
      <c r="I997">
        <v>0</v>
      </c>
      <c r="J997">
        <v>0</v>
      </c>
      <c r="K997">
        <v>0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21</v>
      </c>
      <c r="C998" t="s">
        <v>18</v>
      </c>
      <c r="D998">
        <v>27</v>
      </c>
      <c r="E998">
        <v>24</v>
      </c>
      <c r="F998">
        <v>15.19</v>
      </c>
      <c r="G998">
        <v>0</v>
      </c>
      <c r="H998">
        <v>0</v>
      </c>
      <c r="I998">
        <v>0</v>
      </c>
      <c r="J998">
        <v>0</v>
      </c>
      <c r="K998">
        <v>0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22</v>
      </c>
      <c r="C999" t="s">
        <v>23</v>
      </c>
      <c r="D999">
        <v>12</v>
      </c>
      <c r="E999">
        <v>11</v>
      </c>
      <c r="F999">
        <v>30.49</v>
      </c>
      <c r="G999">
        <v>0</v>
      </c>
      <c r="H999">
        <v>0</v>
      </c>
      <c r="I999">
        <v>0</v>
      </c>
      <c r="J999">
        <v>0</v>
      </c>
      <c r="K999">
        <v>0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24</v>
      </c>
      <c r="C1000" t="s">
        <v>16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>
        <v>0</v>
      </c>
      <c r="J1000">
        <v>0</v>
      </c>
      <c r="K1000">
        <v>0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25</v>
      </c>
      <c r="C1001" t="s">
        <v>16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>
        <v>0</v>
      </c>
      <c r="J1001">
        <v>0</v>
      </c>
      <c r="K1001">
        <v>0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26</v>
      </c>
      <c r="C1002" t="s">
        <v>23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27</v>
      </c>
      <c r="C1003" t="s">
        <v>20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>
        <v>0</v>
      </c>
      <c r="J1003">
        <v>0</v>
      </c>
      <c r="K1003">
        <v>0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28</v>
      </c>
      <c r="C1004" t="s">
        <v>18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>
        <v>0</v>
      </c>
      <c r="J1004">
        <v>0</v>
      </c>
      <c r="K1004">
        <v>0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29</v>
      </c>
      <c r="C1005" t="s">
        <v>16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30</v>
      </c>
      <c r="C1006" t="s">
        <v>20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>
        <v>0</v>
      </c>
      <c r="J1006">
        <v>0</v>
      </c>
      <c r="K1006">
        <v>0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31</v>
      </c>
      <c r="C1007" t="s">
        <v>18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32</v>
      </c>
      <c r="C1008" t="s">
        <v>23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33</v>
      </c>
      <c r="C1009" t="s">
        <v>16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>
        <v>0</v>
      </c>
      <c r="J1009">
        <v>0</v>
      </c>
      <c r="K1009">
        <v>0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34</v>
      </c>
      <c r="C1010" t="s">
        <v>18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>
        <v>0</v>
      </c>
      <c r="J1010">
        <v>0</v>
      </c>
      <c r="K1010">
        <v>0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35</v>
      </c>
      <c r="C1011" t="s">
        <v>16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>
        <v>0</v>
      </c>
      <c r="J1011">
        <v>0</v>
      </c>
      <c r="K1011">
        <v>0</v>
      </c>
      <c r="N1011">
        <v>99.31</v>
      </c>
      <c r="O1011">
        <v>30.96234309623431</v>
      </c>
    </row>
    <row r="1012" spans="1:15" x14ac:dyDescent="0.25">
      <c r="A1012" s="11">
        <v>46065</v>
      </c>
      <c r="B1012" t="s">
        <v>36</v>
      </c>
      <c r="C1012" t="s">
        <v>20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>E1012+G1012+H1012</f>
        <v>5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-11</v>
      </c>
      <c r="L1012" s="3" t="str">
        <f>IF(K1012&lt;-5,"CRÍTICO",IF(K1012&lt;0,"ATENÇÃO",IF(K1012&lt;=5,"BOM","EXCELENTE")))</f>
        <v>CRÍTICO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37</v>
      </c>
      <c r="C1013" t="s">
        <v>16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>
        <v>0</v>
      </c>
      <c r="J1013">
        <v>0</v>
      </c>
      <c r="K1013">
        <v>0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38</v>
      </c>
      <c r="C1014" t="s">
        <v>18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>
        <v>0</v>
      </c>
      <c r="J1014">
        <v>0</v>
      </c>
      <c r="K1014">
        <v>0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39</v>
      </c>
      <c r="C1015" t="s">
        <v>18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>
        <v>0</v>
      </c>
      <c r="J1015">
        <v>0</v>
      </c>
      <c r="K1015">
        <v>0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40</v>
      </c>
      <c r="C1016" t="s">
        <v>16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>
        <v>0</v>
      </c>
      <c r="J1016">
        <v>0</v>
      </c>
      <c r="K1016">
        <v>0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41</v>
      </c>
      <c r="C1017" t="s">
        <v>18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42</v>
      </c>
      <c r="C1018" t="s">
        <v>43</v>
      </c>
      <c r="D1018">
        <v>8</v>
      </c>
      <c r="E1018">
        <v>8</v>
      </c>
      <c r="F1018">
        <v>26.49</v>
      </c>
      <c r="G1018">
        <v>0</v>
      </c>
      <c r="H1018">
        <v>0</v>
      </c>
      <c r="I1018">
        <v>0</v>
      </c>
      <c r="J1018">
        <v>0</v>
      </c>
      <c r="K1018">
        <v>0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44</v>
      </c>
      <c r="C1019" t="s">
        <v>18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>
        <v>0</v>
      </c>
      <c r="J1019">
        <v>0</v>
      </c>
      <c r="K1019">
        <v>0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45</v>
      </c>
      <c r="C1020" t="s">
        <v>43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46</v>
      </c>
      <c r="C1021" t="s">
        <v>18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>
        <v>0</v>
      </c>
      <c r="J1021">
        <v>0</v>
      </c>
      <c r="K1021">
        <v>0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47</v>
      </c>
      <c r="C1022" t="s">
        <v>16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>
        <v>0</v>
      </c>
      <c r="J1022">
        <v>0</v>
      </c>
      <c r="K1022">
        <v>0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48</v>
      </c>
      <c r="C1023" t="s">
        <v>16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49</v>
      </c>
      <c r="C1024" t="s">
        <v>18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>
        <v>0</v>
      </c>
      <c r="J1024">
        <v>0</v>
      </c>
      <c r="K1024">
        <v>0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50</v>
      </c>
      <c r="C1025" t="s">
        <v>20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>
        <v>0</v>
      </c>
      <c r="J1025">
        <v>0</v>
      </c>
      <c r="K1025">
        <v>0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51</v>
      </c>
      <c r="C1026" t="s">
        <v>23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>
        <v>0</v>
      </c>
      <c r="J1026">
        <v>0</v>
      </c>
      <c r="K1026">
        <v>0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52</v>
      </c>
      <c r="C1027" t="s">
        <v>18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53</v>
      </c>
      <c r="C1028" t="s">
        <v>18</v>
      </c>
      <c r="D1028">
        <v>37</v>
      </c>
      <c r="E1028">
        <v>29</v>
      </c>
      <c r="F1028">
        <v>8.36</v>
      </c>
      <c r="G1028">
        <v>0</v>
      </c>
      <c r="H1028">
        <v>0</v>
      </c>
      <c r="I1028">
        <v>0</v>
      </c>
      <c r="J1028">
        <v>0</v>
      </c>
      <c r="K1028">
        <v>0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54</v>
      </c>
      <c r="C1029" t="s">
        <v>23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55</v>
      </c>
      <c r="C1030" t="s">
        <v>43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56</v>
      </c>
      <c r="C1031" t="s">
        <v>16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>
        <v>0</v>
      </c>
      <c r="J1031">
        <v>0</v>
      </c>
      <c r="K1031">
        <v>0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57</v>
      </c>
      <c r="C1032" t="s">
        <v>43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58</v>
      </c>
      <c r="C1033" t="s">
        <v>43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59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60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61</v>
      </c>
      <c r="C1036" t="s">
        <v>18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62</v>
      </c>
      <c r="C1037" t="s">
        <v>20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>
        <v>0</v>
      </c>
      <c r="J1037">
        <v>0</v>
      </c>
      <c r="K1037">
        <v>0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63</v>
      </c>
      <c r="C1038" t="s">
        <v>18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>
        <v>0</v>
      </c>
      <c r="J1038">
        <v>0</v>
      </c>
      <c r="K1038">
        <v>0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15</v>
      </c>
      <c r="C1039" t="s">
        <v>16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>
        <v>0</v>
      </c>
      <c r="J1039">
        <v>0</v>
      </c>
      <c r="K1039">
        <v>0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17</v>
      </c>
      <c r="C1040" t="s">
        <v>18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19</v>
      </c>
      <c r="C1041" t="s">
        <v>20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>
        <v>0</v>
      </c>
      <c r="J1041">
        <v>0</v>
      </c>
      <c r="K1041">
        <v>0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21</v>
      </c>
      <c r="C1042" t="s">
        <v>18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>
        <v>0</v>
      </c>
      <c r="J1042">
        <v>0</v>
      </c>
      <c r="K1042">
        <v>0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22</v>
      </c>
      <c r="C1043" t="s">
        <v>23</v>
      </c>
      <c r="D1043">
        <v>7</v>
      </c>
      <c r="E1043">
        <v>7</v>
      </c>
      <c r="F1043">
        <v>41.4</v>
      </c>
      <c r="G1043">
        <v>0</v>
      </c>
      <c r="H1043">
        <v>0</v>
      </c>
      <c r="I1043">
        <v>0</v>
      </c>
      <c r="J1043">
        <v>0</v>
      </c>
      <c r="K1043">
        <v>0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24</v>
      </c>
      <c r="C1044" t="s">
        <v>16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>
        <v>0</v>
      </c>
      <c r="J1044">
        <v>0</v>
      </c>
      <c r="K1044">
        <v>0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25</v>
      </c>
      <c r="C1045" t="s">
        <v>16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>
        <v>0</v>
      </c>
      <c r="J1045">
        <v>0</v>
      </c>
      <c r="K1045">
        <v>0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26</v>
      </c>
      <c r="C1046" t="s">
        <v>23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27</v>
      </c>
      <c r="C1047" t="s">
        <v>20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>
        <v>0</v>
      </c>
      <c r="J1047">
        <v>0</v>
      </c>
      <c r="K1047">
        <v>0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28</v>
      </c>
      <c r="C1048" t="s">
        <v>18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>
        <v>0</v>
      </c>
      <c r="J1048">
        <v>0</v>
      </c>
      <c r="K1048">
        <v>0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29</v>
      </c>
      <c r="C1049" t="s">
        <v>16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30</v>
      </c>
      <c r="C1050" t="s">
        <v>20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>
        <v>0</v>
      </c>
      <c r="J1050">
        <v>0</v>
      </c>
      <c r="K1050">
        <v>0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31</v>
      </c>
      <c r="C1051" t="s">
        <v>18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32</v>
      </c>
      <c r="C1052" t="s">
        <v>23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33</v>
      </c>
      <c r="C1053" t="s">
        <v>16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>
        <v>0</v>
      </c>
      <c r="J1053">
        <v>0</v>
      </c>
      <c r="K1053">
        <v>0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34</v>
      </c>
      <c r="C1054" t="s">
        <v>18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>
        <v>0</v>
      </c>
      <c r="J1054">
        <v>0</v>
      </c>
      <c r="K1054">
        <v>0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35</v>
      </c>
      <c r="C1055" t="s">
        <v>16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>
        <v>0</v>
      </c>
      <c r="J1055">
        <v>0</v>
      </c>
      <c r="K1055">
        <v>0</v>
      </c>
      <c r="N1055">
        <v>99.31</v>
      </c>
      <c r="O1055">
        <v>30.96234309623431</v>
      </c>
    </row>
    <row r="1056" spans="1:15" x14ac:dyDescent="0.25">
      <c r="A1056" s="11">
        <v>46066</v>
      </c>
      <c r="B1056" t="s">
        <v>36</v>
      </c>
      <c r="C1056" t="s">
        <v>20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>E1056+G1056+H1056</f>
        <v>1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17</v>
      </c>
      <c r="K1056" s="3">
        <f>I1056-J1056</f>
        <v>-16</v>
      </c>
      <c r="L1056" s="3" t="str">
        <f>IF(K1056&lt;-5,"CRÍTICO",IF(K1056&lt;0,"ATENÇÃO",IF(K1056&lt;=5,"BOM","EXCELENTE")))</f>
        <v>CRÍTICO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37</v>
      </c>
      <c r="C1057" t="s">
        <v>16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>
        <v>0</v>
      </c>
      <c r="J1057">
        <v>0</v>
      </c>
      <c r="K1057">
        <v>0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38</v>
      </c>
      <c r="C1058" t="s">
        <v>18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>
        <v>0</v>
      </c>
      <c r="J1058">
        <v>0</v>
      </c>
      <c r="K1058">
        <v>0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39</v>
      </c>
      <c r="C1059" t="s">
        <v>18</v>
      </c>
      <c r="D1059">
        <v>1</v>
      </c>
      <c r="E1059">
        <v>1</v>
      </c>
      <c r="F1059">
        <v>31.49</v>
      </c>
      <c r="G1059">
        <v>0</v>
      </c>
      <c r="H1059">
        <v>0</v>
      </c>
      <c r="I1059">
        <v>0</v>
      </c>
      <c r="J1059">
        <v>0</v>
      </c>
      <c r="K1059">
        <v>0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40</v>
      </c>
      <c r="C1060" t="s">
        <v>16</v>
      </c>
      <c r="D1060">
        <v>34</v>
      </c>
      <c r="E1060">
        <v>24</v>
      </c>
      <c r="F1060">
        <v>16.5</v>
      </c>
      <c r="G1060">
        <v>0</v>
      </c>
      <c r="H1060">
        <v>0</v>
      </c>
      <c r="I1060">
        <v>0</v>
      </c>
      <c r="J1060">
        <v>0</v>
      </c>
      <c r="K1060">
        <v>0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41</v>
      </c>
      <c r="C1061" t="s">
        <v>18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42</v>
      </c>
      <c r="C1062" t="s">
        <v>43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>
        <v>0</v>
      </c>
      <c r="J1062">
        <v>0</v>
      </c>
      <c r="K1062">
        <v>0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44</v>
      </c>
      <c r="C1063" t="s">
        <v>18</v>
      </c>
      <c r="D1063">
        <v>1</v>
      </c>
      <c r="E1063">
        <v>1</v>
      </c>
      <c r="F1063">
        <v>15.48</v>
      </c>
      <c r="G1063">
        <v>0</v>
      </c>
      <c r="H1063">
        <v>0</v>
      </c>
      <c r="I1063">
        <v>0</v>
      </c>
      <c r="J1063">
        <v>0</v>
      </c>
      <c r="K1063">
        <v>0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45</v>
      </c>
      <c r="C1064" t="s">
        <v>43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46</v>
      </c>
      <c r="C1065" t="s">
        <v>18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>
        <v>0</v>
      </c>
      <c r="J1065">
        <v>0</v>
      </c>
      <c r="K1065">
        <v>0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47</v>
      </c>
      <c r="C1066" t="s">
        <v>16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>
        <v>0</v>
      </c>
      <c r="J1066">
        <v>0</v>
      </c>
      <c r="K1066">
        <v>0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48</v>
      </c>
      <c r="C1067" t="s">
        <v>16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49</v>
      </c>
      <c r="C1068" t="s">
        <v>18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>
        <v>0</v>
      </c>
      <c r="J1068">
        <v>0</v>
      </c>
      <c r="K1068">
        <v>0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50</v>
      </c>
      <c r="C1069" t="s">
        <v>20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>
        <v>0</v>
      </c>
      <c r="J1069">
        <v>0</v>
      </c>
      <c r="K1069">
        <v>0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51</v>
      </c>
      <c r="C1070" t="s">
        <v>23</v>
      </c>
      <c r="D1070">
        <v>4</v>
      </c>
      <c r="E1070">
        <v>4</v>
      </c>
      <c r="F1070">
        <v>96.56</v>
      </c>
      <c r="G1070">
        <v>0</v>
      </c>
      <c r="H1070">
        <v>0</v>
      </c>
      <c r="I1070">
        <v>0</v>
      </c>
      <c r="J1070">
        <v>0</v>
      </c>
      <c r="K1070">
        <v>0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52</v>
      </c>
      <c r="C1071" t="s">
        <v>18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53</v>
      </c>
      <c r="C1072" t="s">
        <v>18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>
        <v>0</v>
      </c>
      <c r="J1072">
        <v>0</v>
      </c>
      <c r="K1072">
        <v>0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54</v>
      </c>
      <c r="C1073" t="s">
        <v>23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55</v>
      </c>
      <c r="C1074" t="s">
        <v>43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56</v>
      </c>
      <c r="C1075" t="s">
        <v>16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57</v>
      </c>
      <c r="C1076" t="s">
        <v>43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58</v>
      </c>
      <c r="C1077" t="s">
        <v>43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59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60</v>
      </c>
      <c r="C1079" t="s">
        <v>20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61</v>
      </c>
      <c r="C1080" t="s">
        <v>18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62</v>
      </c>
      <c r="C1081" t="s">
        <v>20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>
        <v>0</v>
      </c>
      <c r="J1081">
        <v>0</v>
      </c>
      <c r="K1081">
        <v>0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63</v>
      </c>
      <c r="C1082" t="s">
        <v>18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>
        <v>0</v>
      </c>
      <c r="J1082">
        <v>0</v>
      </c>
      <c r="K1082">
        <v>0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15</v>
      </c>
      <c r="C1083" t="s">
        <v>16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>
        <v>0</v>
      </c>
      <c r="J1083">
        <v>0</v>
      </c>
      <c r="K1083">
        <v>0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17</v>
      </c>
      <c r="C1084" t="s">
        <v>18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19</v>
      </c>
      <c r="C1085" t="s">
        <v>20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>
        <v>0</v>
      </c>
      <c r="J1085">
        <v>0</v>
      </c>
      <c r="K1085">
        <v>0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21</v>
      </c>
      <c r="C1086" t="s">
        <v>18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>
        <v>0</v>
      </c>
      <c r="J1086">
        <v>0</v>
      </c>
      <c r="K1086">
        <v>0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22</v>
      </c>
      <c r="C1087" t="s">
        <v>23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24</v>
      </c>
      <c r="C1088" t="s">
        <v>16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>
        <v>0</v>
      </c>
      <c r="J1088">
        <v>0</v>
      </c>
      <c r="K1088">
        <v>0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25</v>
      </c>
      <c r="C1089" t="s">
        <v>16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>
        <v>0</v>
      </c>
      <c r="J1089">
        <v>0</v>
      </c>
      <c r="K1089">
        <v>0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26</v>
      </c>
      <c r="C1090" t="s">
        <v>23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27</v>
      </c>
      <c r="C1091" t="s">
        <v>20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>
        <v>0</v>
      </c>
      <c r="J1091">
        <v>0</v>
      </c>
      <c r="K1091">
        <v>0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28</v>
      </c>
      <c r="C1092" t="s">
        <v>18</v>
      </c>
      <c r="D1092">
        <v>36</v>
      </c>
      <c r="E1092">
        <v>35</v>
      </c>
      <c r="F1092">
        <v>15.3</v>
      </c>
      <c r="G1092">
        <v>0</v>
      </c>
      <c r="H1092">
        <v>0</v>
      </c>
      <c r="I1092">
        <v>0</v>
      </c>
      <c r="J1092">
        <v>0</v>
      </c>
      <c r="K1092">
        <v>0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29</v>
      </c>
      <c r="C1093" t="s">
        <v>16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30</v>
      </c>
      <c r="C1094" t="s">
        <v>20</v>
      </c>
      <c r="D1094">
        <v>25</v>
      </c>
      <c r="E1094">
        <v>25</v>
      </c>
      <c r="F1094">
        <v>21.5</v>
      </c>
      <c r="G1094">
        <v>0</v>
      </c>
      <c r="H1094">
        <v>0</v>
      </c>
      <c r="I1094">
        <v>0</v>
      </c>
      <c r="J1094">
        <v>0</v>
      </c>
      <c r="K1094">
        <v>0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31</v>
      </c>
      <c r="C1095" t="s">
        <v>18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32</v>
      </c>
      <c r="C1096" t="s">
        <v>23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33</v>
      </c>
      <c r="C1097" t="s">
        <v>16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>
        <v>0</v>
      </c>
      <c r="J1097">
        <v>0</v>
      </c>
      <c r="K1097">
        <v>0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34</v>
      </c>
      <c r="C1098" t="s">
        <v>18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>
        <v>0</v>
      </c>
      <c r="J1098">
        <v>0</v>
      </c>
      <c r="K1098">
        <v>0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35</v>
      </c>
      <c r="C1099" t="s">
        <v>16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>
        <v>0</v>
      </c>
      <c r="J1099">
        <v>0</v>
      </c>
      <c r="K1099">
        <v>0</v>
      </c>
      <c r="N1099">
        <v>99.31</v>
      </c>
      <c r="O1099">
        <v>30.96234309623431</v>
      </c>
    </row>
    <row r="1100" spans="1:15" x14ac:dyDescent="0.25">
      <c r="A1100" s="11">
        <v>46069</v>
      </c>
      <c r="B1100" t="s">
        <v>36</v>
      </c>
      <c r="C1100" t="s">
        <v>20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>E1100+G1100+H1100</f>
        <v>5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4</v>
      </c>
      <c r="K1100" s="3">
        <f>I1100-J1100</f>
        <v>1</v>
      </c>
      <c r="L1100" s="3" t="str">
        <f>IF(K1100&lt;-5,"CRÍTICO",IF(K1100&lt;0,"ATENÇÃO",IF(K1100&lt;=5,"BOM","EXCELENTE")))</f>
        <v>BOM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37</v>
      </c>
      <c r="C1101" t="s">
        <v>16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>
        <v>0</v>
      </c>
      <c r="J1101">
        <v>0</v>
      </c>
      <c r="K1101">
        <v>0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38</v>
      </c>
      <c r="C1102" t="s">
        <v>18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>
        <v>0</v>
      </c>
      <c r="J1102">
        <v>0</v>
      </c>
      <c r="K1102">
        <v>0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39</v>
      </c>
      <c r="C1103" t="s">
        <v>18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>
        <v>0</v>
      </c>
      <c r="J1103">
        <v>0</v>
      </c>
      <c r="K1103">
        <v>0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40</v>
      </c>
      <c r="C1104" t="s">
        <v>16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>
        <v>0</v>
      </c>
      <c r="J1104">
        <v>0</v>
      </c>
      <c r="K1104">
        <v>0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41</v>
      </c>
      <c r="C1105" t="s">
        <v>18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42</v>
      </c>
      <c r="C1106" t="s">
        <v>43</v>
      </c>
      <c r="D1106">
        <v>5</v>
      </c>
      <c r="E1106">
        <v>5</v>
      </c>
      <c r="F1106">
        <v>55.15</v>
      </c>
      <c r="G1106">
        <v>0</v>
      </c>
      <c r="H1106">
        <v>0</v>
      </c>
      <c r="I1106">
        <v>0</v>
      </c>
      <c r="J1106">
        <v>0</v>
      </c>
      <c r="K1106">
        <v>0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44</v>
      </c>
      <c r="C1107" t="s">
        <v>18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>
        <v>0</v>
      </c>
      <c r="J1107">
        <v>0</v>
      </c>
      <c r="K1107">
        <v>0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45</v>
      </c>
      <c r="C1108" t="s">
        <v>43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46</v>
      </c>
      <c r="C1109" t="s">
        <v>18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>
        <v>0</v>
      </c>
      <c r="J1109">
        <v>0</v>
      </c>
      <c r="K1109">
        <v>0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47</v>
      </c>
      <c r="C1110" t="s">
        <v>16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>
        <v>0</v>
      </c>
      <c r="J1110">
        <v>0</v>
      </c>
      <c r="K1110">
        <v>0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48</v>
      </c>
      <c r="C1111" t="s">
        <v>16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49</v>
      </c>
      <c r="C1112" t="s">
        <v>18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>
        <v>0</v>
      </c>
      <c r="J1112">
        <v>0</v>
      </c>
      <c r="K1112">
        <v>0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50</v>
      </c>
      <c r="C1113" t="s">
        <v>20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>
        <v>0</v>
      </c>
      <c r="J1113">
        <v>0</v>
      </c>
      <c r="K1113">
        <v>0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51</v>
      </c>
      <c r="C1114" t="s">
        <v>23</v>
      </c>
      <c r="D1114">
        <v>7</v>
      </c>
      <c r="E1114">
        <v>6</v>
      </c>
      <c r="F1114">
        <v>42.32</v>
      </c>
      <c r="G1114">
        <v>0</v>
      </c>
      <c r="H1114">
        <v>0</v>
      </c>
      <c r="I1114">
        <v>0</v>
      </c>
      <c r="J1114">
        <v>0</v>
      </c>
      <c r="K1114">
        <v>0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52</v>
      </c>
      <c r="C1115" t="s">
        <v>18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53</v>
      </c>
      <c r="C1116" t="s">
        <v>18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>
        <v>0</v>
      </c>
      <c r="J1116">
        <v>0</v>
      </c>
      <c r="K1116">
        <v>0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54</v>
      </c>
      <c r="C1117" t="s">
        <v>23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55</v>
      </c>
      <c r="C1118" t="s">
        <v>43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56</v>
      </c>
      <c r="C1119" t="s">
        <v>16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57</v>
      </c>
      <c r="C1120" t="s">
        <v>43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58</v>
      </c>
      <c r="C1121" t="s">
        <v>43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59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60</v>
      </c>
      <c r="C1123" t="s">
        <v>20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61</v>
      </c>
      <c r="C1124" t="s">
        <v>18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62</v>
      </c>
      <c r="C1125" t="s">
        <v>20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>
        <v>0</v>
      </c>
      <c r="J1125">
        <v>0</v>
      </c>
      <c r="K1125">
        <v>0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63</v>
      </c>
      <c r="C1126" t="s">
        <v>18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>
        <v>0</v>
      </c>
      <c r="J1126">
        <v>0</v>
      </c>
      <c r="K1126">
        <v>0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15</v>
      </c>
      <c r="C1127" t="s">
        <v>16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>
        <v>0</v>
      </c>
      <c r="J1127">
        <v>0</v>
      </c>
      <c r="K1127">
        <v>0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17</v>
      </c>
      <c r="C1128" t="s">
        <v>18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19</v>
      </c>
      <c r="C1129" t="s">
        <v>20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>
        <v>0</v>
      </c>
      <c r="J1129">
        <v>0</v>
      </c>
      <c r="K1129">
        <v>0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21</v>
      </c>
      <c r="C1130" t="s">
        <v>18</v>
      </c>
      <c r="D1130">
        <v>6</v>
      </c>
      <c r="E1130">
        <v>6</v>
      </c>
      <c r="F1130">
        <v>23.54</v>
      </c>
      <c r="G1130">
        <v>0</v>
      </c>
      <c r="H1130">
        <v>0</v>
      </c>
      <c r="I1130">
        <v>0</v>
      </c>
      <c r="J1130">
        <v>0</v>
      </c>
      <c r="K1130">
        <v>0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22</v>
      </c>
      <c r="C1131" t="s">
        <v>23</v>
      </c>
      <c r="D1131">
        <v>9</v>
      </c>
      <c r="E1131">
        <v>9</v>
      </c>
      <c r="F1131">
        <v>49.18</v>
      </c>
      <c r="G1131">
        <v>0</v>
      </c>
      <c r="H1131">
        <v>0</v>
      </c>
      <c r="I1131">
        <v>0</v>
      </c>
      <c r="J1131">
        <v>0</v>
      </c>
      <c r="K1131">
        <v>0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24</v>
      </c>
      <c r="C1132" t="s">
        <v>16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>
        <v>0</v>
      </c>
      <c r="J1132">
        <v>0</v>
      </c>
      <c r="K1132">
        <v>0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25</v>
      </c>
      <c r="C1133" t="s">
        <v>16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>
        <v>0</v>
      </c>
      <c r="J1133">
        <v>0</v>
      </c>
      <c r="K1133">
        <v>0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26</v>
      </c>
      <c r="C1134" t="s">
        <v>23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27</v>
      </c>
      <c r="C1135" t="s">
        <v>20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>
        <v>0</v>
      </c>
      <c r="J1135">
        <v>0</v>
      </c>
      <c r="K1135">
        <v>0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28</v>
      </c>
      <c r="C1136" t="s">
        <v>18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>
        <v>0</v>
      </c>
      <c r="J1136">
        <v>0</v>
      </c>
      <c r="K1136">
        <v>0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29</v>
      </c>
      <c r="C1137" t="s">
        <v>16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30</v>
      </c>
      <c r="C1138" t="s">
        <v>20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>
        <v>0</v>
      </c>
      <c r="J1138">
        <v>0</v>
      </c>
      <c r="K1138">
        <v>0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31</v>
      </c>
      <c r="C1139" t="s">
        <v>18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32</v>
      </c>
      <c r="C1140" t="s">
        <v>23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33</v>
      </c>
      <c r="C1141" t="s">
        <v>16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>
        <v>0</v>
      </c>
      <c r="J1141">
        <v>0</v>
      </c>
      <c r="K1141">
        <v>0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34</v>
      </c>
      <c r="C1142" t="s">
        <v>18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>
        <v>0</v>
      </c>
      <c r="J1142">
        <v>0</v>
      </c>
      <c r="K1142">
        <v>0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35</v>
      </c>
      <c r="C1143" t="s">
        <v>16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>
        <v>0</v>
      </c>
      <c r="J1143">
        <v>0</v>
      </c>
      <c r="K1143">
        <v>0</v>
      </c>
      <c r="N1143">
        <v>99.31</v>
      </c>
      <c r="O1143">
        <v>30.96234309623431</v>
      </c>
    </row>
    <row r="1144" spans="1:15" x14ac:dyDescent="0.25">
      <c r="A1144" s="11">
        <v>46070</v>
      </c>
      <c r="B1144" t="s">
        <v>36</v>
      </c>
      <c r="C1144" t="s">
        <v>20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f>E1144+G1144+H1144</f>
        <v>0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0</v>
      </c>
      <c r="K1144" s="3">
        <f>I1144-J1144</f>
        <v>0</v>
      </c>
      <c r="L1144" s="3" t="str">
        <f>IF(K1144&lt;-5,"CRÍTICO",IF(K1144&lt;0,"ATENÇÃO",IF(K1144&lt;=5,"BOM","EXCELENTE")))</f>
        <v>BOM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37</v>
      </c>
      <c r="C1145" t="s">
        <v>16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>
        <v>0</v>
      </c>
      <c r="J1145">
        <v>0</v>
      </c>
      <c r="K1145">
        <v>0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38</v>
      </c>
      <c r="C1146" t="s">
        <v>18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>
        <v>0</v>
      </c>
      <c r="J1146">
        <v>0</v>
      </c>
      <c r="K1146">
        <v>0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39</v>
      </c>
      <c r="C1147" t="s">
        <v>18</v>
      </c>
      <c r="D1147">
        <v>21</v>
      </c>
      <c r="E1147">
        <v>17</v>
      </c>
      <c r="F1147">
        <v>8.35</v>
      </c>
      <c r="G1147">
        <v>0</v>
      </c>
      <c r="H1147">
        <v>0</v>
      </c>
      <c r="I1147">
        <v>0</v>
      </c>
      <c r="J1147">
        <v>0</v>
      </c>
      <c r="K1147">
        <v>0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40</v>
      </c>
      <c r="C1148" t="s">
        <v>16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>
        <v>0</v>
      </c>
      <c r="J1148">
        <v>0</v>
      </c>
      <c r="K1148">
        <v>0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41</v>
      </c>
      <c r="C1149" t="s">
        <v>18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42</v>
      </c>
      <c r="C1150" t="s">
        <v>43</v>
      </c>
      <c r="D1150">
        <v>4</v>
      </c>
      <c r="E1150">
        <v>4</v>
      </c>
      <c r="F1150">
        <v>87.34</v>
      </c>
      <c r="G1150">
        <v>0</v>
      </c>
      <c r="H1150">
        <v>0</v>
      </c>
      <c r="I1150">
        <v>0</v>
      </c>
      <c r="J1150">
        <v>0</v>
      </c>
      <c r="K1150">
        <v>0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44</v>
      </c>
      <c r="C1151" t="s">
        <v>18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>
        <v>0</v>
      </c>
      <c r="J1151">
        <v>0</v>
      </c>
      <c r="K1151">
        <v>0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45</v>
      </c>
      <c r="C1152" t="s">
        <v>43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46</v>
      </c>
      <c r="C1153" t="s">
        <v>18</v>
      </c>
      <c r="D1153">
        <v>35</v>
      </c>
      <c r="E1153">
        <v>30</v>
      </c>
      <c r="F1153">
        <v>15.4</v>
      </c>
      <c r="G1153">
        <v>0</v>
      </c>
      <c r="H1153">
        <v>0</v>
      </c>
      <c r="I1153">
        <v>0</v>
      </c>
      <c r="J1153">
        <v>0</v>
      </c>
      <c r="K1153">
        <v>0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47</v>
      </c>
      <c r="C1154" t="s">
        <v>16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>
        <v>0</v>
      </c>
      <c r="J1154">
        <v>0</v>
      </c>
      <c r="K1154">
        <v>0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48</v>
      </c>
      <c r="C1155" t="s">
        <v>16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49</v>
      </c>
      <c r="C1156" t="s">
        <v>18</v>
      </c>
      <c r="D1156">
        <v>51</v>
      </c>
      <c r="E1156">
        <v>42</v>
      </c>
      <c r="F1156">
        <v>8.33</v>
      </c>
      <c r="G1156">
        <v>0</v>
      </c>
      <c r="H1156">
        <v>0</v>
      </c>
      <c r="I1156">
        <v>0</v>
      </c>
      <c r="J1156">
        <v>0</v>
      </c>
      <c r="K1156">
        <v>0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50</v>
      </c>
      <c r="C1157" t="s">
        <v>20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>
        <v>0</v>
      </c>
      <c r="J1157">
        <v>0</v>
      </c>
      <c r="K1157">
        <v>0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51</v>
      </c>
      <c r="C1158" t="s">
        <v>23</v>
      </c>
      <c r="D1158">
        <v>2</v>
      </c>
      <c r="E1158">
        <v>2</v>
      </c>
      <c r="F1158">
        <v>249.04</v>
      </c>
      <c r="G1158">
        <v>0</v>
      </c>
      <c r="H1158">
        <v>0</v>
      </c>
      <c r="I1158">
        <v>0</v>
      </c>
      <c r="J1158">
        <v>0</v>
      </c>
      <c r="K1158">
        <v>0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52</v>
      </c>
      <c r="C1159" t="s">
        <v>18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53</v>
      </c>
      <c r="C1160" t="s">
        <v>18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>
        <v>0</v>
      </c>
      <c r="J1160">
        <v>0</v>
      </c>
      <c r="K1160">
        <v>0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54</v>
      </c>
      <c r="C1161" t="s">
        <v>23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55</v>
      </c>
      <c r="C1162" t="s">
        <v>43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56</v>
      </c>
      <c r="C1163" t="s">
        <v>16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>
        <v>0</v>
      </c>
      <c r="J1163">
        <v>0</v>
      </c>
      <c r="K1163">
        <v>0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57</v>
      </c>
      <c r="C1164" t="s">
        <v>43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58</v>
      </c>
      <c r="C1165" t="s">
        <v>43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59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60</v>
      </c>
      <c r="C1167" t="s">
        <v>20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61</v>
      </c>
      <c r="C1168" t="s">
        <v>18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62</v>
      </c>
      <c r="C1169" t="s">
        <v>20</v>
      </c>
      <c r="D1169">
        <v>17</v>
      </c>
      <c r="E1169">
        <v>17</v>
      </c>
      <c r="F1169">
        <v>25.5</v>
      </c>
      <c r="G1169">
        <v>0</v>
      </c>
      <c r="H1169">
        <v>0</v>
      </c>
      <c r="I1169">
        <v>0</v>
      </c>
      <c r="J1169">
        <v>0</v>
      </c>
      <c r="K1169">
        <v>0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63</v>
      </c>
      <c r="C1170" t="s">
        <v>18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>
        <v>0</v>
      </c>
      <c r="J1170">
        <v>0</v>
      </c>
      <c r="K1170">
        <v>0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15</v>
      </c>
      <c r="C1171" t="s">
        <v>16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>
        <v>0</v>
      </c>
      <c r="J1171">
        <v>0</v>
      </c>
      <c r="K1171">
        <v>0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17</v>
      </c>
      <c r="C1172" t="s">
        <v>18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19</v>
      </c>
      <c r="C1173" t="s">
        <v>20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>
        <v>0</v>
      </c>
      <c r="J1173">
        <v>0</v>
      </c>
      <c r="K1173">
        <v>0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21</v>
      </c>
      <c r="C1174" t="s">
        <v>18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>
        <v>0</v>
      </c>
      <c r="J1174">
        <v>0</v>
      </c>
      <c r="K1174">
        <v>0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22</v>
      </c>
      <c r="C1175" t="s">
        <v>23</v>
      </c>
      <c r="D1175">
        <v>8</v>
      </c>
      <c r="E1175">
        <v>8</v>
      </c>
      <c r="F1175">
        <v>27.33</v>
      </c>
      <c r="G1175">
        <v>0</v>
      </c>
      <c r="H1175">
        <v>0</v>
      </c>
      <c r="I1175">
        <v>0</v>
      </c>
      <c r="J1175">
        <v>0</v>
      </c>
      <c r="K1175">
        <v>0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24</v>
      </c>
      <c r="C1176" t="s">
        <v>16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>
        <v>0</v>
      </c>
      <c r="J1176">
        <v>0</v>
      </c>
      <c r="K1176">
        <v>0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25</v>
      </c>
      <c r="C1177" t="s">
        <v>16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>
        <v>0</v>
      </c>
      <c r="J1177">
        <v>0</v>
      </c>
      <c r="K1177">
        <v>0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26</v>
      </c>
      <c r="C1178" t="s">
        <v>23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27</v>
      </c>
      <c r="C1179" t="s">
        <v>20</v>
      </c>
      <c r="D1179">
        <v>9</v>
      </c>
      <c r="E1179">
        <v>9</v>
      </c>
      <c r="F1179">
        <v>69.19</v>
      </c>
      <c r="G1179">
        <v>0</v>
      </c>
      <c r="H1179">
        <v>0</v>
      </c>
      <c r="I1179">
        <v>0</v>
      </c>
      <c r="J1179">
        <v>0</v>
      </c>
      <c r="K1179">
        <v>0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28</v>
      </c>
      <c r="C1180" t="s">
        <v>18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>
        <v>0</v>
      </c>
      <c r="J1180">
        <v>0</v>
      </c>
      <c r="K1180">
        <v>0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29</v>
      </c>
      <c r="C1181" t="s">
        <v>16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30</v>
      </c>
      <c r="C1182" t="s">
        <v>20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>
        <v>0</v>
      </c>
      <c r="J1182">
        <v>0</v>
      </c>
      <c r="K1182">
        <v>0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31</v>
      </c>
      <c r="C1183" t="s">
        <v>18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32</v>
      </c>
      <c r="C1184" t="s">
        <v>23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33</v>
      </c>
      <c r="C1185" t="s">
        <v>16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>
        <v>0</v>
      </c>
      <c r="J1185">
        <v>0</v>
      </c>
      <c r="K1185">
        <v>0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34</v>
      </c>
      <c r="C1186" t="s">
        <v>18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>
        <v>0</v>
      </c>
      <c r="J1186">
        <v>0</v>
      </c>
      <c r="K1186">
        <v>0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35</v>
      </c>
      <c r="C1187" t="s">
        <v>16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N1187">
        <v>99.31</v>
      </c>
      <c r="O1187">
        <v>30.96234309623431</v>
      </c>
    </row>
    <row r="1188" spans="1:15" x14ac:dyDescent="0.25">
      <c r="A1188" s="11">
        <v>46071</v>
      </c>
      <c r="B1188" t="s">
        <v>36</v>
      </c>
      <c r="C1188" t="s">
        <v>20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15</v>
      </c>
      <c r="K1188" s="3">
        <f>I1188-J1188</f>
        <v>3</v>
      </c>
      <c r="L1188" s="3" t="str">
        <f>IF(K1188&lt;-5,"CRÍTICO",IF(K1188&lt;0,"ATENÇÃO",IF(K1188&lt;=5,"BOM","EXCELENTE")))</f>
        <v>BOM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37</v>
      </c>
      <c r="C1189" t="s">
        <v>16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>
        <v>0</v>
      </c>
      <c r="J1189">
        <v>0</v>
      </c>
      <c r="K1189">
        <v>0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38</v>
      </c>
      <c r="C1190" t="s">
        <v>18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>
        <v>0</v>
      </c>
      <c r="J1190">
        <v>0</v>
      </c>
      <c r="K1190">
        <v>0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39</v>
      </c>
      <c r="C1191" t="s">
        <v>18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40</v>
      </c>
      <c r="C1192" t="s">
        <v>16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>
        <v>0</v>
      </c>
      <c r="J1192">
        <v>0</v>
      </c>
      <c r="K1192">
        <v>0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41</v>
      </c>
      <c r="C1193" t="s">
        <v>18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42</v>
      </c>
      <c r="C1194" t="s">
        <v>43</v>
      </c>
      <c r="D1194">
        <v>10</v>
      </c>
      <c r="E1194">
        <v>7</v>
      </c>
      <c r="F1194">
        <v>19</v>
      </c>
      <c r="G1194">
        <v>0</v>
      </c>
      <c r="H1194">
        <v>0</v>
      </c>
      <c r="I1194">
        <v>0</v>
      </c>
      <c r="J1194">
        <v>0</v>
      </c>
      <c r="K1194">
        <v>0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44</v>
      </c>
      <c r="C1195" t="s">
        <v>18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>
        <v>0</v>
      </c>
      <c r="J1195">
        <v>0</v>
      </c>
      <c r="K1195">
        <v>0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45</v>
      </c>
      <c r="C1196" t="s">
        <v>43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46</v>
      </c>
      <c r="C1197" t="s">
        <v>18</v>
      </c>
      <c r="D1197">
        <v>39</v>
      </c>
      <c r="E1197">
        <v>32</v>
      </c>
      <c r="F1197">
        <v>20.5</v>
      </c>
      <c r="G1197">
        <v>0</v>
      </c>
      <c r="H1197">
        <v>0</v>
      </c>
      <c r="I1197">
        <v>0</v>
      </c>
      <c r="J1197">
        <v>0</v>
      </c>
      <c r="K1197">
        <v>0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47</v>
      </c>
      <c r="C1198" t="s">
        <v>16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>
        <v>0</v>
      </c>
      <c r="J1198">
        <v>0</v>
      </c>
      <c r="K1198">
        <v>0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48</v>
      </c>
      <c r="C1199" t="s">
        <v>16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49</v>
      </c>
      <c r="C1200" t="s">
        <v>18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>
        <v>0</v>
      </c>
      <c r="J1200">
        <v>0</v>
      </c>
      <c r="K1200">
        <v>0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50</v>
      </c>
      <c r="C1201" t="s">
        <v>20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>
        <v>0</v>
      </c>
      <c r="J1201">
        <v>0</v>
      </c>
      <c r="K1201">
        <v>0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51</v>
      </c>
      <c r="C1202" t="s">
        <v>23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52</v>
      </c>
      <c r="C1203" t="s">
        <v>18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53</v>
      </c>
      <c r="C1204" t="s">
        <v>18</v>
      </c>
      <c r="D1204">
        <v>53</v>
      </c>
      <c r="E1204">
        <v>48</v>
      </c>
      <c r="F1204">
        <v>9.18</v>
      </c>
      <c r="G1204">
        <v>0</v>
      </c>
      <c r="H1204">
        <v>0</v>
      </c>
      <c r="I1204">
        <v>0</v>
      </c>
      <c r="J1204">
        <v>0</v>
      </c>
      <c r="K1204">
        <v>0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54</v>
      </c>
      <c r="C1205" t="s">
        <v>23</v>
      </c>
      <c r="D1205">
        <v>1</v>
      </c>
      <c r="E1205">
        <v>1</v>
      </c>
      <c r="F1205">
        <v>12.38</v>
      </c>
      <c r="G1205">
        <v>0</v>
      </c>
      <c r="H1205">
        <v>0</v>
      </c>
      <c r="I1205">
        <v>0</v>
      </c>
      <c r="J1205">
        <v>0</v>
      </c>
      <c r="K1205">
        <v>0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55</v>
      </c>
      <c r="C1206" t="s">
        <v>43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56</v>
      </c>
      <c r="C1207" t="s">
        <v>16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57</v>
      </c>
      <c r="C1208" t="s">
        <v>43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58</v>
      </c>
      <c r="C1209" t="s">
        <v>43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59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60</v>
      </c>
      <c r="C1211" t="s">
        <v>20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61</v>
      </c>
      <c r="C1212" t="s">
        <v>18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62</v>
      </c>
      <c r="C1213" t="s">
        <v>20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>
        <v>0</v>
      </c>
      <c r="J1213">
        <v>0</v>
      </c>
      <c r="K1213">
        <v>0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63</v>
      </c>
      <c r="C1214" t="s">
        <v>18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>
        <v>0</v>
      </c>
      <c r="J1214">
        <v>0</v>
      </c>
      <c r="K1214">
        <v>0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15</v>
      </c>
      <c r="C1215" t="s">
        <v>16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>
        <v>0</v>
      </c>
      <c r="J1215">
        <v>0</v>
      </c>
      <c r="K1215">
        <v>0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17</v>
      </c>
      <c r="C1216" t="s">
        <v>18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19</v>
      </c>
      <c r="C1217" t="s">
        <v>20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>
        <v>0</v>
      </c>
      <c r="J1217">
        <v>0</v>
      </c>
      <c r="K1217">
        <v>0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21</v>
      </c>
      <c r="C1218" t="s">
        <v>18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>
        <v>0</v>
      </c>
      <c r="J1218">
        <v>0</v>
      </c>
      <c r="K1218">
        <v>0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22</v>
      </c>
      <c r="C1219" t="s">
        <v>23</v>
      </c>
      <c r="D1219">
        <v>1</v>
      </c>
      <c r="E1219">
        <v>1</v>
      </c>
      <c r="F1219">
        <v>432.1</v>
      </c>
      <c r="G1219">
        <v>0</v>
      </c>
      <c r="H1219">
        <v>0</v>
      </c>
      <c r="I1219">
        <v>0</v>
      </c>
      <c r="J1219">
        <v>0</v>
      </c>
      <c r="K1219">
        <v>0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24</v>
      </c>
      <c r="C1220" t="s">
        <v>16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>
        <v>0</v>
      </c>
      <c r="J1220">
        <v>0</v>
      </c>
      <c r="K1220">
        <v>0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25</v>
      </c>
      <c r="C1221" t="s">
        <v>16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>
        <v>0</v>
      </c>
      <c r="J1221">
        <v>0</v>
      </c>
      <c r="K1221">
        <v>0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26</v>
      </c>
      <c r="C1222" t="s">
        <v>23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27</v>
      </c>
      <c r="C1223" t="s">
        <v>20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>
        <v>0</v>
      </c>
      <c r="J1223">
        <v>0</v>
      </c>
      <c r="K1223">
        <v>0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28</v>
      </c>
      <c r="C1224" t="s">
        <v>18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>
        <v>0</v>
      </c>
      <c r="J1224">
        <v>0</v>
      </c>
      <c r="K1224">
        <v>0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29</v>
      </c>
      <c r="C1225" t="s">
        <v>16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30</v>
      </c>
      <c r="C1226" t="s">
        <v>20</v>
      </c>
      <c r="D1226">
        <v>9</v>
      </c>
      <c r="E1226">
        <v>9</v>
      </c>
      <c r="F1226">
        <v>38.24</v>
      </c>
      <c r="G1226">
        <v>0</v>
      </c>
      <c r="H1226">
        <v>0</v>
      </c>
      <c r="I1226">
        <v>0</v>
      </c>
      <c r="J1226">
        <v>0</v>
      </c>
      <c r="K1226">
        <v>0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31</v>
      </c>
      <c r="C1227" t="s">
        <v>18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32</v>
      </c>
      <c r="C1228" t="s">
        <v>23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33</v>
      </c>
      <c r="C1229" t="s">
        <v>16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>
        <v>0</v>
      </c>
      <c r="J1229">
        <v>0</v>
      </c>
      <c r="K1229">
        <v>0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34</v>
      </c>
      <c r="C1230" t="s">
        <v>18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>
        <v>0</v>
      </c>
      <c r="J1230">
        <v>0</v>
      </c>
      <c r="K1230">
        <v>0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35</v>
      </c>
      <c r="C1231" t="s">
        <v>16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>
        <v>0</v>
      </c>
      <c r="J1231">
        <v>0</v>
      </c>
      <c r="K1231">
        <v>0</v>
      </c>
      <c r="N1231">
        <v>99.31</v>
      </c>
      <c r="O1231">
        <v>30.96234309623431</v>
      </c>
    </row>
    <row r="1232" spans="1:15" x14ac:dyDescent="0.25">
      <c r="A1232" s="11">
        <v>46072</v>
      </c>
      <c r="B1232" t="s">
        <v>36</v>
      </c>
      <c r="C1232" t="s">
        <v>20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>E1232+G1232+H1232</f>
        <v>20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14</v>
      </c>
      <c r="K1232" s="3">
        <f>I1232-J1232</f>
        <v>6</v>
      </c>
      <c r="L1232" s="3" t="str">
        <f>IF(K1232&lt;-5,"CRÍTICO",IF(K1232&lt;0,"ATENÇÃO",IF(K1232&lt;=5,"BOM","EXCELENTE")))</f>
        <v>EXCELENTE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37</v>
      </c>
      <c r="C1233" t="s">
        <v>16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>
        <v>0</v>
      </c>
      <c r="J1233">
        <v>0</v>
      </c>
      <c r="K1233">
        <v>0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38</v>
      </c>
      <c r="C1234" t="s">
        <v>18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>
        <v>0</v>
      </c>
      <c r="J1234">
        <v>0</v>
      </c>
      <c r="K1234">
        <v>0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39</v>
      </c>
      <c r="C1235" t="s">
        <v>18</v>
      </c>
      <c r="D1235">
        <v>21</v>
      </c>
      <c r="E1235">
        <v>19</v>
      </c>
      <c r="F1235">
        <v>11.5</v>
      </c>
      <c r="G1235">
        <v>0</v>
      </c>
      <c r="H1235">
        <v>0</v>
      </c>
      <c r="I1235">
        <v>0</v>
      </c>
      <c r="J1235">
        <v>0</v>
      </c>
      <c r="K1235">
        <v>0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40</v>
      </c>
      <c r="C1236" t="s">
        <v>16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>
        <v>0</v>
      </c>
      <c r="J1236">
        <v>0</v>
      </c>
      <c r="K1236">
        <v>0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41</v>
      </c>
      <c r="C1237" t="s">
        <v>18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42</v>
      </c>
      <c r="C1238" t="s">
        <v>43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>
        <v>0</v>
      </c>
      <c r="J1238">
        <v>0</v>
      </c>
      <c r="K1238">
        <v>0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44</v>
      </c>
      <c r="C1239" t="s">
        <v>18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>
        <v>0</v>
      </c>
      <c r="J1239">
        <v>0</v>
      </c>
      <c r="K1239">
        <v>0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45</v>
      </c>
      <c r="C1240" t="s">
        <v>43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46</v>
      </c>
      <c r="C1241" t="s">
        <v>18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>
        <v>0</v>
      </c>
      <c r="J1241">
        <v>0</v>
      </c>
      <c r="K1241">
        <v>0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47</v>
      </c>
      <c r="C1242" t="s">
        <v>16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>
        <v>0</v>
      </c>
      <c r="J1242">
        <v>0</v>
      </c>
      <c r="K1242">
        <v>0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48</v>
      </c>
      <c r="C1243" t="s">
        <v>16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49</v>
      </c>
      <c r="C1244" t="s">
        <v>18</v>
      </c>
      <c r="D1244">
        <v>44</v>
      </c>
      <c r="E1244">
        <v>29</v>
      </c>
      <c r="F1244">
        <v>7.23</v>
      </c>
      <c r="G1244">
        <v>0</v>
      </c>
      <c r="H1244">
        <v>0</v>
      </c>
      <c r="I1244">
        <v>0</v>
      </c>
      <c r="J1244">
        <v>0</v>
      </c>
      <c r="K1244">
        <v>0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50</v>
      </c>
      <c r="C1245" t="s">
        <v>20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>
        <v>0</v>
      </c>
      <c r="J1245">
        <v>0</v>
      </c>
      <c r="K1245">
        <v>0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51</v>
      </c>
      <c r="C1246" t="s">
        <v>23</v>
      </c>
      <c r="D1246">
        <v>4</v>
      </c>
      <c r="E1246">
        <v>4</v>
      </c>
      <c r="F1246">
        <v>52.18</v>
      </c>
      <c r="G1246">
        <v>0</v>
      </c>
      <c r="H1246">
        <v>0</v>
      </c>
      <c r="I1246">
        <v>0</v>
      </c>
      <c r="J1246">
        <v>0</v>
      </c>
      <c r="K1246">
        <v>0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52</v>
      </c>
      <c r="C1247" t="s">
        <v>18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53</v>
      </c>
      <c r="C1248" t="s">
        <v>18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>
        <v>0</v>
      </c>
      <c r="J1248">
        <v>0</v>
      </c>
      <c r="K1248">
        <v>0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54</v>
      </c>
      <c r="C1249" t="s">
        <v>23</v>
      </c>
      <c r="D1249">
        <v>1</v>
      </c>
      <c r="E1249">
        <v>1</v>
      </c>
      <c r="F1249">
        <v>28.33</v>
      </c>
      <c r="G1249">
        <v>0</v>
      </c>
      <c r="H1249">
        <v>0</v>
      </c>
      <c r="I1249">
        <v>0</v>
      </c>
      <c r="J1249">
        <v>0</v>
      </c>
      <c r="K1249">
        <v>0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55</v>
      </c>
      <c r="C1250" t="s">
        <v>43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56</v>
      </c>
      <c r="C1251" t="s">
        <v>16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57</v>
      </c>
      <c r="C1252" t="s">
        <v>43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58</v>
      </c>
      <c r="C1253" t="s">
        <v>43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59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60</v>
      </c>
      <c r="C1255" t="s">
        <v>20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61</v>
      </c>
      <c r="C1256" t="s">
        <v>18</v>
      </c>
      <c r="D1256">
        <v>31</v>
      </c>
      <c r="E1256">
        <v>27</v>
      </c>
      <c r="F1256">
        <v>17.2</v>
      </c>
      <c r="G1256">
        <v>0</v>
      </c>
      <c r="H1256">
        <v>0</v>
      </c>
      <c r="I1256">
        <v>0</v>
      </c>
      <c r="J1256">
        <v>0</v>
      </c>
      <c r="K1256">
        <v>0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62</v>
      </c>
      <c r="C1257" t="s">
        <v>20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>
        <v>0</v>
      </c>
      <c r="J1257">
        <v>0</v>
      </c>
      <c r="K1257">
        <v>0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63</v>
      </c>
      <c r="C1258" t="s">
        <v>18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>
        <v>0</v>
      </c>
      <c r="J1258">
        <v>0</v>
      </c>
      <c r="K1258">
        <v>0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15</v>
      </c>
      <c r="C1259" t="s">
        <v>16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>
        <v>0</v>
      </c>
      <c r="J1259">
        <v>0</v>
      </c>
      <c r="K1259">
        <v>0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17</v>
      </c>
      <c r="C1260" t="s">
        <v>18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19</v>
      </c>
      <c r="C1261" t="s">
        <v>20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>
        <v>0</v>
      </c>
      <c r="J1261">
        <v>0</v>
      </c>
      <c r="K1261">
        <v>0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21</v>
      </c>
      <c r="C1262" t="s">
        <v>18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>
        <v>0</v>
      </c>
      <c r="J1262">
        <v>0</v>
      </c>
      <c r="K1262">
        <v>0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22</v>
      </c>
      <c r="C1263" t="s">
        <v>23</v>
      </c>
      <c r="D1263">
        <v>7</v>
      </c>
      <c r="E1263">
        <v>7</v>
      </c>
      <c r="F1263">
        <v>46.46</v>
      </c>
      <c r="G1263">
        <v>0</v>
      </c>
      <c r="H1263">
        <v>0</v>
      </c>
      <c r="I1263">
        <v>0</v>
      </c>
      <c r="J1263">
        <v>0</v>
      </c>
      <c r="K1263">
        <v>0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24</v>
      </c>
      <c r="C1264" t="s">
        <v>16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>
        <v>0</v>
      </c>
      <c r="J1264">
        <v>0</v>
      </c>
      <c r="K1264">
        <v>0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25</v>
      </c>
      <c r="C1265" t="s">
        <v>16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>
        <v>0</v>
      </c>
      <c r="J1265">
        <v>0</v>
      </c>
      <c r="K1265">
        <v>0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26</v>
      </c>
      <c r="C1266" t="s">
        <v>23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27</v>
      </c>
      <c r="C1267" t="s">
        <v>20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>
        <v>0</v>
      </c>
      <c r="J1267">
        <v>0</v>
      </c>
      <c r="K1267">
        <v>0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28</v>
      </c>
      <c r="C1268" t="s">
        <v>18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>
        <v>0</v>
      </c>
      <c r="J1268">
        <v>0</v>
      </c>
      <c r="K1268">
        <v>0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29</v>
      </c>
      <c r="C1269" t="s">
        <v>16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30</v>
      </c>
      <c r="C1270" t="s">
        <v>20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>
        <v>0</v>
      </c>
      <c r="J1270">
        <v>0</v>
      </c>
      <c r="K1270">
        <v>0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31</v>
      </c>
      <c r="C1271" t="s">
        <v>18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32</v>
      </c>
      <c r="C1272" t="s">
        <v>23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33</v>
      </c>
      <c r="C1273" t="s">
        <v>16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>
        <v>0</v>
      </c>
      <c r="J1273">
        <v>0</v>
      </c>
      <c r="K1273">
        <v>0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34</v>
      </c>
      <c r="C1274" t="s">
        <v>18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>
        <v>0</v>
      </c>
      <c r="J1274">
        <v>0</v>
      </c>
      <c r="K1274">
        <v>0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35</v>
      </c>
      <c r="C1275" t="s">
        <v>16</v>
      </c>
      <c r="D1275">
        <v>20</v>
      </c>
      <c r="E1275">
        <v>18</v>
      </c>
      <c r="F1275">
        <v>30</v>
      </c>
      <c r="G1275">
        <v>0</v>
      </c>
      <c r="H1275">
        <v>0</v>
      </c>
      <c r="I1275">
        <v>0</v>
      </c>
      <c r="J1275">
        <v>0</v>
      </c>
      <c r="K1275">
        <v>0</v>
      </c>
      <c r="N1275">
        <v>99.31</v>
      </c>
      <c r="O1275">
        <v>30.96234309623431</v>
      </c>
    </row>
    <row r="1276" spans="1:15" x14ac:dyDescent="0.25">
      <c r="A1276" s="11">
        <v>46073</v>
      </c>
      <c r="B1276" t="s">
        <v>36</v>
      </c>
      <c r="C1276" t="s">
        <v>20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>E1276+G1276+H1276</f>
        <v>16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14</v>
      </c>
      <c r="K1276" s="3">
        <f>I1276-J1276</f>
        <v>2</v>
      </c>
      <c r="L1276" s="3" t="str">
        <f>IF(K1276&lt;-5,"CRÍTICO",IF(K1276&lt;0,"ATENÇÃO",IF(K1276&lt;=5,"BOM","EXCELENTE")))</f>
        <v>BOM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37</v>
      </c>
      <c r="C1277" t="s">
        <v>16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>
        <v>0</v>
      </c>
      <c r="J1277">
        <v>0</v>
      </c>
      <c r="K1277">
        <v>0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38</v>
      </c>
      <c r="C1278" t="s">
        <v>18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>
        <v>0</v>
      </c>
      <c r="J1278">
        <v>0</v>
      </c>
      <c r="K1278">
        <v>0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39</v>
      </c>
      <c r="C1279" t="s">
        <v>18</v>
      </c>
      <c r="D1279">
        <v>19</v>
      </c>
      <c r="E1279">
        <v>17</v>
      </c>
      <c r="F1279">
        <v>8.36</v>
      </c>
      <c r="G1279">
        <v>0</v>
      </c>
      <c r="H1279">
        <v>0</v>
      </c>
      <c r="I1279">
        <v>0</v>
      </c>
      <c r="J1279">
        <v>0</v>
      </c>
      <c r="K1279">
        <v>0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40</v>
      </c>
      <c r="C1280" t="s">
        <v>16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>
        <v>0</v>
      </c>
      <c r="J1280">
        <v>0</v>
      </c>
      <c r="K1280">
        <v>0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41</v>
      </c>
      <c r="C1281" t="s">
        <v>18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42</v>
      </c>
      <c r="C1282" t="s">
        <v>43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>
        <v>0</v>
      </c>
      <c r="J1282">
        <v>0</v>
      </c>
      <c r="K1282">
        <v>0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44</v>
      </c>
      <c r="C1283" t="s">
        <v>18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>
        <v>0</v>
      </c>
      <c r="J1283">
        <v>0</v>
      </c>
      <c r="K1283">
        <v>0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45</v>
      </c>
      <c r="C1284" t="s">
        <v>43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46</v>
      </c>
      <c r="C1285" t="s">
        <v>18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>
        <v>0</v>
      </c>
      <c r="J1285">
        <v>0</v>
      </c>
      <c r="K1285">
        <v>0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47</v>
      </c>
      <c r="C1286" t="s">
        <v>16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>
        <v>0</v>
      </c>
      <c r="J1286">
        <v>0</v>
      </c>
      <c r="K1286">
        <v>0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48</v>
      </c>
      <c r="C1287" t="s">
        <v>16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49</v>
      </c>
      <c r="C1288" t="s">
        <v>18</v>
      </c>
      <c r="D1288">
        <v>37</v>
      </c>
      <c r="E1288">
        <v>27</v>
      </c>
      <c r="F1288">
        <v>9</v>
      </c>
      <c r="G1288">
        <v>0</v>
      </c>
      <c r="H1288">
        <v>0</v>
      </c>
      <c r="I1288">
        <v>0</v>
      </c>
      <c r="J1288">
        <v>0</v>
      </c>
      <c r="K1288">
        <v>0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50</v>
      </c>
      <c r="C1289" t="s">
        <v>20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>
        <v>0</v>
      </c>
      <c r="J1289">
        <v>0</v>
      </c>
      <c r="K1289">
        <v>0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51</v>
      </c>
      <c r="C1290" t="s">
        <v>23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>
        <v>0</v>
      </c>
      <c r="J1290">
        <v>0</v>
      </c>
      <c r="K1290">
        <v>0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52</v>
      </c>
      <c r="C1291" t="s">
        <v>18</v>
      </c>
      <c r="D1291">
        <v>27</v>
      </c>
      <c r="E1291">
        <v>26</v>
      </c>
      <c r="F1291">
        <v>17</v>
      </c>
      <c r="G1291">
        <v>0</v>
      </c>
      <c r="H1291">
        <v>0</v>
      </c>
      <c r="I1291">
        <v>0</v>
      </c>
      <c r="J1291">
        <v>0</v>
      </c>
      <c r="K1291">
        <v>0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53</v>
      </c>
      <c r="C1292" t="s">
        <v>18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>
        <v>0</v>
      </c>
      <c r="J1292">
        <v>0</v>
      </c>
      <c r="K1292">
        <v>0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54</v>
      </c>
      <c r="C1293" t="s">
        <v>23</v>
      </c>
      <c r="D1293">
        <v>1</v>
      </c>
      <c r="E1293">
        <v>1</v>
      </c>
      <c r="F1293">
        <v>7.39</v>
      </c>
      <c r="G1293">
        <v>0</v>
      </c>
      <c r="H1293">
        <v>0</v>
      </c>
      <c r="I1293">
        <v>0</v>
      </c>
      <c r="J1293">
        <v>0</v>
      </c>
      <c r="K1293">
        <v>0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55</v>
      </c>
      <c r="C1294" t="s">
        <v>43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56</v>
      </c>
      <c r="C1295" t="s">
        <v>16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>
        <v>0</v>
      </c>
      <c r="J1295">
        <v>0</v>
      </c>
      <c r="K1295">
        <v>0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57</v>
      </c>
      <c r="C1296" t="s">
        <v>43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58</v>
      </c>
      <c r="C1297" t="s">
        <v>43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59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60</v>
      </c>
      <c r="C1299" t="s">
        <v>20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61</v>
      </c>
      <c r="C1300" t="s">
        <v>18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62</v>
      </c>
      <c r="C1301" t="s">
        <v>20</v>
      </c>
      <c r="D1301">
        <v>10</v>
      </c>
      <c r="E1301">
        <v>9</v>
      </c>
      <c r="F1301">
        <v>52.36</v>
      </c>
      <c r="G1301">
        <v>0</v>
      </c>
      <c r="H1301">
        <v>0</v>
      </c>
      <c r="I1301">
        <v>0</v>
      </c>
      <c r="J1301">
        <v>0</v>
      </c>
      <c r="K1301">
        <v>0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63</v>
      </c>
      <c r="C1302" t="s">
        <v>18</v>
      </c>
      <c r="D1302">
        <v>23</v>
      </c>
      <c r="E1302">
        <v>21</v>
      </c>
      <c r="F1302">
        <v>15</v>
      </c>
      <c r="G1302">
        <v>0</v>
      </c>
      <c r="H1302">
        <v>0</v>
      </c>
      <c r="I1302">
        <v>0</v>
      </c>
      <c r="J1302">
        <v>0</v>
      </c>
      <c r="K1302">
        <v>0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15</v>
      </c>
      <c r="C1303" t="s">
        <v>16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>
        <v>0</v>
      </c>
      <c r="J1303">
        <v>0</v>
      </c>
      <c r="K1303">
        <v>0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17</v>
      </c>
      <c r="C1304" t="s">
        <v>18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19</v>
      </c>
      <c r="C1305" t="s">
        <v>20</v>
      </c>
      <c r="D1305">
        <v>25</v>
      </c>
      <c r="E1305">
        <v>21</v>
      </c>
      <c r="F1305">
        <v>15.4</v>
      </c>
      <c r="G1305">
        <v>0</v>
      </c>
      <c r="H1305">
        <v>0</v>
      </c>
      <c r="I1305">
        <v>0</v>
      </c>
      <c r="J1305">
        <v>0</v>
      </c>
      <c r="K1305">
        <v>0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21</v>
      </c>
      <c r="C1306" t="s">
        <v>18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>
        <v>0</v>
      </c>
      <c r="J1306">
        <v>0</v>
      </c>
      <c r="K1306">
        <v>0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22</v>
      </c>
      <c r="C1307" t="s">
        <v>23</v>
      </c>
      <c r="D1307">
        <v>8</v>
      </c>
      <c r="E1307">
        <v>8</v>
      </c>
      <c r="F1307">
        <v>27.13</v>
      </c>
      <c r="G1307">
        <v>0</v>
      </c>
      <c r="H1307">
        <v>0</v>
      </c>
      <c r="I1307">
        <v>0</v>
      </c>
      <c r="J1307">
        <v>0</v>
      </c>
      <c r="K1307">
        <v>0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24</v>
      </c>
      <c r="C1308" t="s">
        <v>16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>
        <v>0</v>
      </c>
      <c r="J1308">
        <v>0</v>
      </c>
      <c r="K1308">
        <v>0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25</v>
      </c>
      <c r="C1309" t="s">
        <v>16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>
        <v>0</v>
      </c>
      <c r="J1309">
        <v>0</v>
      </c>
      <c r="K1309">
        <v>0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26</v>
      </c>
      <c r="C1310" t="s">
        <v>23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27</v>
      </c>
      <c r="C1311" t="s">
        <v>20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>
        <v>0</v>
      </c>
      <c r="J1311">
        <v>0</v>
      </c>
      <c r="K1311">
        <v>0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28</v>
      </c>
      <c r="C1312" t="s">
        <v>18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>
        <v>0</v>
      </c>
      <c r="J1312">
        <v>0</v>
      </c>
      <c r="K1312">
        <v>0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29</v>
      </c>
      <c r="C1313" t="s">
        <v>16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30</v>
      </c>
      <c r="C1314" t="s">
        <v>20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>
        <v>0</v>
      </c>
      <c r="J1314">
        <v>0</v>
      </c>
      <c r="K1314">
        <v>0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31</v>
      </c>
      <c r="C1315" t="s">
        <v>18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32</v>
      </c>
      <c r="C1316" t="s">
        <v>23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33</v>
      </c>
      <c r="C1317" t="s">
        <v>16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>
        <v>0</v>
      </c>
      <c r="J1317">
        <v>0</v>
      </c>
      <c r="K1317">
        <v>0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34</v>
      </c>
      <c r="C1318" t="s">
        <v>18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>
        <v>0</v>
      </c>
      <c r="J1318">
        <v>0</v>
      </c>
      <c r="K1318">
        <v>0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35</v>
      </c>
      <c r="C1319" t="s">
        <v>16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>
        <v>0</v>
      </c>
      <c r="J1319">
        <v>0</v>
      </c>
      <c r="K1319">
        <v>0</v>
      </c>
      <c r="N1319">
        <v>99.31</v>
      </c>
      <c r="O1319">
        <v>30.96234309623431</v>
      </c>
    </row>
    <row r="1320" spans="1:15" x14ac:dyDescent="0.25">
      <c r="A1320" s="11">
        <v>46076</v>
      </c>
      <c r="B1320" t="s">
        <v>36</v>
      </c>
      <c r="C1320" t="s">
        <v>20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>E1320+G1320+H1320</f>
        <v>16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14</v>
      </c>
      <c r="K1320" s="3">
        <f>I1320-J1320</f>
        <v>2</v>
      </c>
      <c r="L1320" s="3" t="str">
        <f>IF(K1320&lt;-5,"CRÍTICO",IF(K1320&lt;0,"ATENÇÃO",IF(K1320&lt;=5,"BOM","EXCELENTE")))</f>
        <v>BOM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37</v>
      </c>
      <c r="C1321" t="s">
        <v>16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>
        <v>0</v>
      </c>
      <c r="J1321">
        <v>0</v>
      </c>
      <c r="K1321">
        <v>0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38</v>
      </c>
      <c r="C1322" t="s">
        <v>18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>
        <v>0</v>
      </c>
      <c r="J1322">
        <v>0</v>
      </c>
      <c r="K1322">
        <v>0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39</v>
      </c>
      <c r="C1323" t="s">
        <v>18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>
        <v>0</v>
      </c>
      <c r="J1323">
        <v>0</v>
      </c>
      <c r="K1323">
        <v>0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40</v>
      </c>
      <c r="C1324" t="s">
        <v>16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>
        <v>0</v>
      </c>
      <c r="J1324">
        <v>0</v>
      </c>
      <c r="K1324">
        <v>0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41</v>
      </c>
      <c r="C1325" t="s">
        <v>18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42</v>
      </c>
      <c r="C1326" t="s">
        <v>43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>
        <v>0</v>
      </c>
      <c r="J1326">
        <v>0</v>
      </c>
      <c r="K1326">
        <v>0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44</v>
      </c>
      <c r="C1327" t="s">
        <v>18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>
        <v>0</v>
      </c>
      <c r="J1327">
        <v>0</v>
      </c>
      <c r="K1327">
        <v>0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45</v>
      </c>
      <c r="C1328" t="s">
        <v>43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46</v>
      </c>
      <c r="C1329" t="s">
        <v>18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>
        <v>0</v>
      </c>
      <c r="J1329">
        <v>0</v>
      </c>
      <c r="K1329">
        <v>0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47</v>
      </c>
      <c r="C1330" t="s">
        <v>16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>
        <v>0</v>
      </c>
      <c r="J1330">
        <v>0</v>
      </c>
      <c r="K1330">
        <v>0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48</v>
      </c>
      <c r="C1331" t="s">
        <v>16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49</v>
      </c>
      <c r="C1332" t="s">
        <v>18</v>
      </c>
      <c r="D1332">
        <v>16</v>
      </c>
      <c r="E1332">
        <v>10</v>
      </c>
      <c r="F1332">
        <v>5.29</v>
      </c>
      <c r="G1332">
        <v>0</v>
      </c>
      <c r="H1332">
        <v>0</v>
      </c>
      <c r="I1332">
        <v>0</v>
      </c>
      <c r="J1332">
        <v>0</v>
      </c>
      <c r="K1332">
        <v>0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50</v>
      </c>
      <c r="C1333" t="s">
        <v>20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>
        <v>0</v>
      </c>
      <c r="J1333">
        <v>0</v>
      </c>
      <c r="K1333">
        <v>0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51</v>
      </c>
      <c r="C1334" t="s">
        <v>23</v>
      </c>
      <c r="D1334">
        <v>4</v>
      </c>
      <c r="E1334">
        <v>4</v>
      </c>
      <c r="F1334">
        <v>190.33</v>
      </c>
      <c r="G1334">
        <v>0</v>
      </c>
      <c r="H1334">
        <v>0</v>
      </c>
      <c r="I1334">
        <v>0</v>
      </c>
      <c r="J1334">
        <v>0</v>
      </c>
      <c r="K1334">
        <v>0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52</v>
      </c>
      <c r="C1335" t="s">
        <v>18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>
        <v>0</v>
      </c>
      <c r="J1335">
        <v>0</v>
      </c>
      <c r="K1335">
        <v>0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53</v>
      </c>
      <c r="C1336" t="s">
        <v>18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>
        <v>0</v>
      </c>
      <c r="J1336">
        <v>0</v>
      </c>
      <c r="K1336">
        <v>0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54</v>
      </c>
      <c r="C1337" t="s">
        <v>23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55</v>
      </c>
      <c r="C1338" t="s">
        <v>43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56</v>
      </c>
      <c r="C1339" t="s">
        <v>16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>
        <v>0</v>
      </c>
      <c r="J1339">
        <v>0</v>
      </c>
      <c r="K1339">
        <v>0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57</v>
      </c>
      <c r="C1340" t="s">
        <v>43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58</v>
      </c>
      <c r="C1341" t="s">
        <v>43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59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60</v>
      </c>
      <c r="C1343" t="s">
        <v>20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61</v>
      </c>
      <c r="C1344" t="s">
        <v>18</v>
      </c>
      <c r="D1344">
        <v>28</v>
      </c>
      <c r="E1344">
        <v>25</v>
      </c>
      <c r="F1344">
        <v>12.1</v>
      </c>
      <c r="G1344">
        <v>0</v>
      </c>
      <c r="H1344">
        <v>0</v>
      </c>
      <c r="I1344">
        <v>0</v>
      </c>
      <c r="J1344">
        <v>0</v>
      </c>
      <c r="K1344">
        <v>0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62</v>
      </c>
      <c r="C1345" t="s">
        <v>20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>
        <v>0</v>
      </c>
      <c r="J1345">
        <v>0</v>
      </c>
      <c r="K1345">
        <v>0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63</v>
      </c>
      <c r="C1346" t="s">
        <v>18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>
        <v>0</v>
      </c>
      <c r="J1346">
        <v>0</v>
      </c>
      <c r="K1346">
        <v>0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15</v>
      </c>
      <c r="C1347" t="s">
        <v>16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>
        <v>0</v>
      </c>
      <c r="J1347">
        <v>0</v>
      </c>
      <c r="K1347">
        <v>0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17</v>
      </c>
      <c r="C1348" t="s">
        <v>18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19</v>
      </c>
      <c r="C1349" t="s">
        <v>20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>
        <v>0</v>
      </c>
      <c r="J1349">
        <v>0</v>
      </c>
      <c r="K1349">
        <v>0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21</v>
      </c>
      <c r="C1350" t="s">
        <v>18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>
        <v>0</v>
      </c>
      <c r="J1350">
        <v>0</v>
      </c>
      <c r="K1350">
        <v>0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22</v>
      </c>
      <c r="C1351" t="s">
        <v>23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>
        <v>0</v>
      </c>
      <c r="J1351">
        <v>0</v>
      </c>
      <c r="K1351">
        <v>0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24</v>
      </c>
      <c r="C1352" t="s">
        <v>16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>
        <v>0</v>
      </c>
      <c r="J1352">
        <v>0</v>
      </c>
      <c r="K1352">
        <v>0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25</v>
      </c>
      <c r="C1353" t="s">
        <v>16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>
        <v>0</v>
      </c>
      <c r="J1353">
        <v>0</v>
      </c>
      <c r="K1353">
        <v>0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26</v>
      </c>
      <c r="C1354" t="s">
        <v>23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27</v>
      </c>
      <c r="C1355" t="s">
        <v>20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>
        <v>0</v>
      </c>
      <c r="J1355">
        <v>0</v>
      </c>
      <c r="K1355">
        <v>0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28</v>
      </c>
      <c r="C1356" t="s">
        <v>18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>
        <v>0</v>
      </c>
      <c r="J1356">
        <v>0</v>
      </c>
      <c r="K1356">
        <v>0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29</v>
      </c>
      <c r="C1357" t="s">
        <v>16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30</v>
      </c>
      <c r="C1358" t="s">
        <v>20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>
        <v>0</v>
      </c>
      <c r="J1358">
        <v>0</v>
      </c>
      <c r="K1358">
        <v>0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31</v>
      </c>
      <c r="C1359" t="s">
        <v>18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32</v>
      </c>
      <c r="C1360" t="s">
        <v>23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33</v>
      </c>
      <c r="C1361" t="s">
        <v>16</v>
      </c>
      <c r="D1361">
        <v>30</v>
      </c>
      <c r="E1361">
        <v>30</v>
      </c>
      <c r="F1361">
        <v>12.2</v>
      </c>
      <c r="G1361">
        <v>0</v>
      </c>
      <c r="H1361">
        <v>0</v>
      </c>
      <c r="I1361">
        <v>0</v>
      </c>
      <c r="J1361">
        <v>0</v>
      </c>
      <c r="K1361">
        <v>0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34</v>
      </c>
      <c r="C1362" t="s">
        <v>18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>
        <v>0</v>
      </c>
      <c r="J1362">
        <v>0</v>
      </c>
      <c r="K1362">
        <v>0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35</v>
      </c>
      <c r="C1363" t="s">
        <v>16</v>
      </c>
      <c r="D1363">
        <v>10</v>
      </c>
      <c r="E1363">
        <v>8</v>
      </c>
      <c r="F1363">
        <v>27.24</v>
      </c>
      <c r="G1363">
        <v>0</v>
      </c>
      <c r="H1363">
        <v>0</v>
      </c>
      <c r="I1363">
        <v>0</v>
      </c>
      <c r="J1363">
        <v>0</v>
      </c>
      <c r="K1363">
        <v>0</v>
      </c>
      <c r="N1363">
        <v>99.31</v>
      </c>
      <c r="O1363">
        <v>30.96234309623431</v>
      </c>
    </row>
    <row r="1364" spans="1:15" x14ac:dyDescent="0.25">
      <c r="A1364" s="11">
        <v>46077</v>
      </c>
      <c r="B1364" t="s">
        <v>36</v>
      </c>
      <c r="C1364" t="s">
        <v>20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>E1364+G1364+H1364</f>
        <v>25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12</v>
      </c>
      <c r="K1364" s="3">
        <f>I1364-J1364</f>
        <v>13</v>
      </c>
      <c r="L1364" s="3" t="str">
        <f>IF(K1364&lt;-5,"CRÍTICO",IF(K1364&lt;0,"ATENÇÃO",IF(K1364&lt;=5,"BOM","EXCELENTE")))</f>
        <v>EXCELENTE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37</v>
      </c>
      <c r="C1365" t="s">
        <v>16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>
        <v>0</v>
      </c>
      <c r="J1365">
        <v>0</v>
      </c>
      <c r="K1365">
        <v>0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38</v>
      </c>
      <c r="C1366" t="s">
        <v>18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>
        <v>0</v>
      </c>
      <c r="J1366">
        <v>0</v>
      </c>
      <c r="K1366">
        <v>0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39</v>
      </c>
      <c r="C1367" t="s">
        <v>18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>
        <v>0</v>
      </c>
      <c r="J1367">
        <v>0</v>
      </c>
      <c r="K1367">
        <v>0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40</v>
      </c>
      <c r="C1368" t="s">
        <v>16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41</v>
      </c>
      <c r="C1369" t="s">
        <v>18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42</v>
      </c>
      <c r="C1370" t="s">
        <v>43</v>
      </c>
      <c r="D1370">
        <v>6</v>
      </c>
      <c r="E1370">
        <v>6</v>
      </c>
      <c r="F1370">
        <v>39.06</v>
      </c>
      <c r="G1370">
        <v>0</v>
      </c>
      <c r="H1370">
        <v>0</v>
      </c>
      <c r="I1370">
        <v>0</v>
      </c>
      <c r="J1370">
        <v>0</v>
      </c>
      <c r="K1370">
        <v>0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44</v>
      </c>
      <c r="C1371" t="s">
        <v>18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>
        <v>0</v>
      </c>
      <c r="J1371">
        <v>0</v>
      </c>
      <c r="K1371">
        <v>0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45</v>
      </c>
      <c r="C1372" t="s">
        <v>43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46</v>
      </c>
      <c r="C1373" t="s">
        <v>18</v>
      </c>
      <c r="D1373">
        <v>24</v>
      </c>
      <c r="E1373">
        <v>19</v>
      </c>
      <c r="F1373">
        <v>15.4</v>
      </c>
      <c r="G1373">
        <v>0</v>
      </c>
      <c r="H1373">
        <v>0</v>
      </c>
      <c r="I1373">
        <v>0</v>
      </c>
      <c r="J1373">
        <v>0</v>
      </c>
      <c r="K1373">
        <v>0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47</v>
      </c>
      <c r="C1374" t="s">
        <v>16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>
        <v>0</v>
      </c>
      <c r="J1374">
        <v>0</v>
      </c>
      <c r="K1374">
        <v>0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48</v>
      </c>
      <c r="C1375" t="s">
        <v>16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49</v>
      </c>
      <c r="C1376" t="s">
        <v>18</v>
      </c>
      <c r="D1376">
        <v>35</v>
      </c>
      <c r="E1376">
        <v>19</v>
      </c>
      <c r="F1376">
        <v>8.25</v>
      </c>
      <c r="G1376">
        <v>0</v>
      </c>
      <c r="H1376">
        <v>0</v>
      </c>
      <c r="I1376">
        <v>0</v>
      </c>
      <c r="J1376">
        <v>0</v>
      </c>
      <c r="K1376">
        <v>0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50</v>
      </c>
      <c r="C1377" t="s">
        <v>20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>
        <v>0</v>
      </c>
      <c r="J1377">
        <v>0</v>
      </c>
      <c r="K1377">
        <v>0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51</v>
      </c>
      <c r="C1378" t="s">
        <v>23</v>
      </c>
      <c r="D1378">
        <v>8</v>
      </c>
      <c r="E1378">
        <v>8</v>
      </c>
      <c r="F1378">
        <v>30.44</v>
      </c>
      <c r="G1378">
        <v>0</v>
      </c>
      <c r="H1378">
        <v>0</v>
      </c>
      <c r="I1378">
        <v>0</v>
      </c>
      <c r="J1378">
        <v>0</v>
      </c>
      <c r="K1378">
        <v>0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52</v>
      </c>
      <c r="C1379" t="s">
        <v>18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>
        <v>0</v>
      </c>
      <c r="J1379">
        <v>0</v>
      </c>
      <c r="K1379">
        <v>0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53</v>
      </c>
      <c r="C1380" t="s">
        <v>18</v>
      </c>
      <c r="D1380">
        <v>32</v>
      </c>
      <c r="E1380">
        <v>27</v>
      </c>
      <c r="F1380">
        <v>9.14</v>
      </c>
      <c r="G1380">
        <v>0</v>
      </c>
      <c r="H1380">
        <v>0</v>
      </c>
      <c r="I1380">
        <v>0</v>
      </c>
      <c r="J1380">
        <v>0</v>
      </c>
      <c r="K1380">
        <v>0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54</v>
      </c>
      <c r="C1381" t="s">
        <v>23</v>
      </c>
      <c r="D1381">
        <v>6</v>
      </c>
      <c r="E1381">
        <v>5</v>
      </c>
      <c r="F1381">
        <v>27.01</v>
      </c>
      <c r="G1381">
        <v>0</v>
      </c>
      <c r="H1381">
        <v>0</v>
      </c>
      <c r="I1381">
        <v>0</v>
      </c>
      <c r="J1381">
        <v>0</v>
      </c>
      <c r="K1381">
        <v>0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55</v>
      </c>
      <c r="C1382" t="s">
        <v>43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56</v>
      </c>
      <c r="C1383" t="s">
        <v>16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>
        <v>0</v>
      </c>
      <c r="J1383">
        <v>0</v>
      </c>
      <c r="K1383">
        <v>0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57</v>
      </c>
      <c r="C1384" t="s">
        <v>43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58</v>
      </c>
      <c r="C1385" t="s">
        <v>43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59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60</v>
      </c>
      <c r="C1387" t="s">
        <v>20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61</v>
      </c>
      <c r="C1388" t="s">
        <v>18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>
        <v>0</v>
      </c>
      <c r="J1388">
        <v>0</v>
      </c>
      <c r="K1388">
        <v>0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62</v>
      </c>
      <c r="C1389" t="s">
        <v>20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>
        <v>0</v>
      </c>
      <c r="J1389">
        <v>0</v>
      </c>
      <c r="K1389">
        <v>0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63</v>
      </c>
      <c r="C1390" t="s">
        <v>18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>
        <v>0</v>
      </c>
      <c r="J1390">
        <v>0</v>
      </c>
      <c r="K1390">
        <v>0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15</v>
      </c>
      <c r="C1391" t="s">
        <v>16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>
        <v>0</v>
      </c>
      <c r="J1391">
        <v>0</v>
      </c>
      <c r="K1391">
        <v>0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17</v>
      </c>
      <c r="C1392" t="s">
        <v>18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19</v>
      </c>
      <c r="C1393" t="s">
        <v>20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>
        <v>0</v>
      </c>
      <c r="J1393">
        <v>0</v>
      </c>
      <c r="K1393">
        <v>0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21</v>
      </c>
      <c r="C1394" t="s">
        <v>18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>
        <v>0</v>
      </c>
      <c r="J1394">
        <v>0</v>
      </c>
      <c r="K1394">
        <v>0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22</v>
      </c>
      <c r="C1395" t="s">
        <v>23</v>
      </c>
      <c r="D1395">
        <v>9</v>
      </c>
      <c r="E1395">
        <v>9</v>
      </c>
      <c r="F1395">
        <v>26.48</v>
      </c>
      <c r="G1395">
        <v>0</v>
      </c>
      <c r="H1395">
        <v>0</v>
      </c>
      <c r="I1395">
        <v>0</v>
      </c>
      <c r="J1395">
        <v>0</v>
      </c>
      <c r="K1395">
        <v>0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24</v>
      </c>
      <c r="C1396" t="s">
        <v>16</v>
      </c>
      <c r="D1396">
        <v>32</v>
      </c>
      <c r="E1396">
        <v>26</v>
      </c>
      <c r="F1396">
        <v>11.5</v>
      </c>
      <c r="G1396">
        <v>0</v>
      </c>
      <c r="H1396">
        <v>0</v>
      </c>
      <c r="I1396">
        <v>0</v>
      </c>
      <c r="J1396">
        <v>0</v>
      </c>
      <c r="K1396">
        <v>0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25</v>
      </c>
      <c r="C1397" t="s">
        <v>16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>
        <v>0</v>
      </c>
      <c r="J1397">
        <v>0</v>
      </c>
      <c r="K1397">
        <v>0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26</v>
      </c>
      <c r="C1398" t="s">
        <v>23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27</v>
      </c>
      <c r="C1399" t="s">
        <v>20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>
        <v>0</v>
      </c>
      <c r="J1399">
        <v>0</v>
      </c>
      <c r="K1399">
        <v>0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28</v>
      </c>
      <c r="C1400" t="s">
        <v>18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>
        <v>0</v>
      </c>
      <c r="J1400">
        <v>0</v>
      </c>
      <c r="K1400">
        <v>0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29</v>
      </c>
      <c r="C1401" t="s">
        <v>16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30</v>
      </c>
      <c r="C1402" t="s">
        <v>20</v>
      </c>
      <c r="D1402">
        <v>5</v>
      </c>
      <c r="E1402">
        <v>5</v>
      </c>
      <c r="F1402">
        <v>32.39</v>
      </c>
      <c r="G1402">
        <v>0</v>
      </c>
      <c r="H1402">
        <v>0</v>
      </c>
      <c r="I1402">
        <v>0</v>
      </c>
      <c r="J1402">
        <v>0</v>
      </c>
      <c r="K1402">
        <v>0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31</v>
      </c>
      <c r="C1403" t="s">
        <v>18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32</v>
      </c>
      <c r="C1404" t="s">
        <v>23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33</v>
      </c>
      <c r="C1405" t="s">
        <v>16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>
        <v>0</v>
      </c>
      <c r="J1405">
        <v>0</v>
      </c>
      <c r="K1405">
        <v>0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34</v>
      </c>
      <c r="C1406" t="s">
        <v>18</v>
      </c>
      <c r="D1406">
        <v>19</v>
      </c>
      <c r="E1406">
        <v>17</v>
      </c>
      <c r="F1406">
        <v>13.4</v>
      </c>
      <c r="G1406">
        <v>0</v>
      </c>
      <c r="H1406">
        <v>0</v>
      </c>
      <c r="I1406">
        <v>0</v>
      </c>
      <c r="J1406">
        <v>0</v>
      </c>
      <c r="K1406">
        <v>0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35</v>
      </c>
      <c r="C1407" t="s">
        <v>16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>
        <v>0</v>
      </c>
      <c r="J1407">
        <v>0</v>
      </c>
      <c r="K1407">
        <v>0</v>
      </c>
      <c r="N1407">
        <v>99.31</v>
      </c>
      <c r="O1407">
        <v>30.96234309623431</v>
      </c>
    </row>
    <row r="1408" spans="1:15" x14ac:dyDescent="0.25">
      <c r="A1408" s="11">
        <v>46078</v>
      </c>
      <c r="B1408" t="s">
        <v>36</v>
      </c>
      <c r="C1408" t="s">
        <v>20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>E1408+G1408+H1408</f>
        <v>15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12</v>
      </c>
      <c r="K1408" s="3">
        <f>I1408-J1408</f>
        <v>3</v>
      </c>
      <c r="L1408" s="3" t="str">
        <f>IF(K1408&lt;-5,"CRÍTICO",IF(K1408&lt;0,"ATENÇÃO",IF(K1408&lt;=5,"BOM","EXCELENTE")))</f>
        <v>BOM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37</v>
      </c>
      <c r="C1409" t="s">
        <v>16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>
        <v>0</v>
      </c>
      <c r="J1409">
        <v>0</v>
      </c>
      <c r="K1409">
        <v>0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38</v>
      </c>
      <c r="C1410" t="s">
        <v>18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>
        <v>0</v>
      </c>
      <c r="J1410">
        <v>0</v>
      </c>
      <c r="K1410">
        <v>0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39</v>
      </c>
      <c r="C1411" t="s">
        <v>18</v>
      </c>
      <c r="D1411">
        <v>10</v>
      </c>
      <c r="E1411">
        <v>8</v>
      </c>
      <c r="F1411">
        <v>13.39</v>
      </c>
      <c r="G1411">
        <v>0</v>
      </c>
      <c r="H1411">
        <v>0</v>
      </c>
      <c r="I1411">
        <v>0</v>
      </c>
      <c r="J1411">
        <v>0</v>
      </c>
      <c r="K1411">
        <v>0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40</v>
      </c>
      <c r="C1412" t="s">
        <v>16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>
        <v>0</v>
      </c>
      <c r="J1412">
        <v>0</v>
      </c>
      <c r="K1412">
        <v>0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41</v>
      </c>
      <c r="C1413" t="s">
        <v>18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42</v>
      </c>
      <c r="C1414" t="s">
        <v>43</v>
      </c>
      <c r="D1414">
        <v>5</v>
      </c>
      <c r="E1414">
        <v>4</v>
      </c>
      <c r="F1414">
        <v>46.55</v>
      </c>
      <c r="G1414">
        <v>0</v>
      </c>
      <c r="H1414">
        <v>0</v>
      </c>
      <c r="I1414">
        <v>0</v>
      </c>
      <c r="J1414">
        <v>0</v>
      </c>
      <c r="K1414">
        <v>0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44</v>
      </c>
      <c r="C1415" t="s">
        <v>18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>
        <v>0</v>
      </c>
      <c r="J1415">
        <v>0</v>
      </c>
      <c r="K1415">
        <v>0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45</v>
      </c>
      <c r="C1416" t="s">
        <v>43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46</v>
      </c>
      <c r="C1417" t="s">
        <v>18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>
        <v>0</v>
      </c>
      <c r="J1417">
        <v>0</v>
      </c>
      <c r="K1417">
        <v>0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47</v>
      </c>
      <c r="C1418" t="s">
        <v>16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>
        <v>0</v>
      </c>
      <c r="J1418">
        <v>0</v>
      </c>
      <c r="K1418">
        <v>0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48</v>
      </c>
      <c r="C1419" t="s">
        <v>16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49</v>
      </c>
      <c r="C1420" t="s">
        <v>18</v>
      </c>
      <c r="D1420">
        <v>47</v>
      </c>
      <c r="E1420">
        <v>29</v>
      </c>
      <c r="F1420">
        <v>5.45</v>
      </c>
      <c r="G1420">
        <v>0</v>
      </c>
      <c r="H1420">
        <v>0</v>
      </c>
      <c r="I1420">
        <v>0</v>
      </c>
      <c r="J1420">
        <v>0</v>
      </c>
      <c r="K1420">
        <v>0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50</v>
      </c>
      <c r="C1421" t="s">
        <v>20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>
        <v>0</v>
      </c>
      <c r="J1421">
        <v>0</v>
      </c>
      <c r="K1421">
        <v>0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51</v>
      </c>
      <c r="C1422" t="s">
        <v>23</v>
      </c>
      <c r="D1422">
        <v>8</v>
      </c>
      <c r="E1422">
        <v>8</v>
      </c>
      <c r="F1422">
        <v>42.33</v>
      </c>
      <c r="G1422">
        <v>0</v>
      </c>
      <c r="H1422">
        <v>0</v>
      </c>
      <c r="I1422">
        <v>0</v>
      </c>
      <c r="J1422">
        <v>0</v>
      </c>
      <c r="K1422">
        <v>0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52</v>
      </c>
      <c r="C1423" t="s">
        <v>18</v>
      </c>
      <c r="D1423">
        <v>24</v>
      </c>
      <c r="E1423">
        <v>22</v>
      </c>
      <c r="F1423">
        <v>13.4</v>
      </c>
      <c r="G1423">
        <v>0</v>
      </c>
      <c r="H1423">
        <v>0</v>
      </c>
      <c r="I1423">
        <v>0</v>
      </c>
      <c r="J1423">
        <v>0</v>
      </c>
      <c r="K1423">
        <v>0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53</v>
      </c>
      <c r="C1424" t="s">
        <v>18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>
        <v>0</v>
      </c>
      <c r="J1424">
        <v>0</v>
      </c>
      <c r="K1424">
        <v>0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54</v>
      </c>
      <c r="C1425" t="s">
        <v>23</v>
      </c>
      <c r="D1425">
        <v>9</v>
      </c>
      <c r="E1425">
        <v>9</v>
      </c>
      <c r="F1425">
        <v>22.37</v>
      </c>
      <c r="G1425">
        <v>0</v>
      </c>
      <c r="H1425">
        <v>0</v>
      </c>
      <c r="I1425">
        <v>0</v>
      </c>
      <c r="J1425">
        <v>0</v>
      </c>
      <c r="K1425">
        <v>0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55</v>
      </c>
      <c r="C1426" t="s">
        <v>43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56</v>
      </c>
      <c r="C1427" t="s">
        <v>16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>
        <v>0</v>
      </c>
      <c r="J1427">
        <v>0</v>
      </c>
      <c r="K1427">
        <v>0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57</v>
      </c>
      <c r="C1428" t="s">
        <v>43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58</v>
      </c>
      <c r="C1429" t="s">
        <v>43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59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60</v>
      </c>
      <c r="C1431" t="s">
        <v>20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61</v>
      </c>
      <c r="C1432" t="s">
        <v>18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>
        <v>0</v>
      </c>
      <c r="J1432">
        <v>0</v>
      </c>
      <c r="K1432">
        <v>0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62</v>
      </c>
      <c r="C1433" t="s">
        <v>20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>
        <v>0</v>
      </c>
      <c r="J1433">
        <v>0</v>
      </c>
      <c r="K1433">
        <v>0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63</v>
      </c>
      <c r="C1434" t="s">
        <v>18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>
        <v>0</v>
      </c>
      <c r="J1434">
        <v>0</v>
      </c>
      <c r="K1434">
        <v>0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15</v>
      </c>
      <c r="C1435" t="s">
        <v>16</v>
      </c>
      <c r="D1435">
        <v>25</v>
      </c>
      <c r="E1435">
        <v>22</v>
      </c>
      <c r="F1435">
        <v>13.3</v>
      </c>
      <c r="G1435">
        <v>0</v>
      </c>
      <c r="H1435">
        <v>0</v>
      </c>
      <c r="I1435">
        <v>0</v>
      </c>
      <c r="J1435">
        <v>0</v>
      </c>
      <c r="K1435">
        <v>0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17</v>
      </c>
      <c r="C1436" t="s">
        <v>18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19</v>
      </c>
      <c r="C1437" t="s">
        <v>20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>
        <v>0</v>
      </c>
      <c r="J1437">
        <v>0</v>
      </c>
      <c r="K1437">
        <v>0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21</v>
      </c>
      <c r="C1438" t="s">
        <v>18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>
        <v>0</v>
      </c>
      <c r="J1438">
        <v>0</v>
      </c>
      <c r="K1438">
        <v>0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22</v>
      </c>
      <c r="C1439" t="s">
        <v>23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>
        <v>0</v>
      </c>
      <c r="J1439">
        <v>0</v>
      </c>
      <c r="K1439">
        <v>0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24</v>
      </c>
      <c r="C1440" t="s">
        <v>16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>
        <v>0</v>
      </c>
      <c r="J1440">
        <v>0</v>
      </c>
      <c r="K1440">
        <v>0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25</v>
      </c>
      <c r="C1441" t="s">
        <v>16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>
        <v>0</v>
      </c>
      <c r="J1441">
        <v>0</v>
      </c>
      <c r="K1441">
        <v>0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26</v>
      </c>
      <c r="C1442" t="s">
        <v>23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27</v>
      </c>
      <c r="C1443" t="s">
        <v>20</v>
      </c>
      <c r="D1443">
        <v>16</v>
      </c>
      <c r="E1443">
        <v>15</v>
      </c>
      <c r="F1443">
        <v>19</v>
      </c>
      <c r="G1443">
        <v>0</v>
      </c>
      <c r="H1443">
        <v>0</v>
      </c>
      <c r="I1443">
        <v>0</v>
      </c>
      <c r="J1443">
        <v>0</v>
      </c>
      <c r="K1443">
        <v>0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28</v>
      </c>
      <c r="C1444" t="s">
        <v>18</v>
      </c>
      <c r="D1444">
        <v>28</v>
      </c>
      <c r="E1444">
        <v>27</v>
      </c>
      <c r="F1444">
        <v>15.1</v>
      </c>
      <c r="G1444">
        <v>0</v>
      </c>
      <c r="H1444">
        <v>0</v>
      </c>
      <c r="I1444">
        <v>0</v>
      </c>
      <c r="J1444">
        <v>0</v>
      </c>
      <c r="K1444">
        <v>0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29</v>
      </c>
      <c r="C1445" t="s">
        <v>16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30</v>
      </c>
      <c r="C1446" t="s">
        <v>20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>
        <v>0</v>
      </c>
      <c r="J1446">
        <v>0</v>
      </c>
      <c r="K1446">
        <v>0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31</v>
      </c>
      <c r="C1447" t="s">
        <v>18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32</v>
      </c>
      <c r="C1448" t="s">
        <v>23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33</v>
      </c>
      <c r="C1449" t="s">
        <v>16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>
        <v>0</v>
      </c>
      <c r="J1449">
        <v>0</v>
      </c>
      <c r="K1449">
        <v>0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34</v>
      </c>
      <c r="C1450" t="s">
        <v>18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>
        <v>0</v>
      </c>
      <c r="J1450">
        <v>0</v>
      </c>
      <c r="K1450">
        <v>0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35</v>
      </c>
      <c r="C1451" t="s">
        <v>16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>
        <v>0</v>
      </c>
      <c r="J1451">
        <v>0</v>
      </c>
      <c r="K1451">
        <v>0</v>
      </c>
      <c r="N1451">
        <v>99.31</v>
      </c>
      <c r="O1451">
        <v>30.96234309623431</v>
      </c>
    </row>
    <row r="1452" spans="1:15" x14ac:dyDescent="0.25">
      <c r="A1452" s="11">
        <v>46079</v>
      </c>
      <c r="B1452" t="s">
        <v>36</v>
      </c>
      <c r="C1452" t="s">
        <v>20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>E1452+G1452+H1452</f>
        <v>13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13</v>
      </c>
      <c r="K1452" s="3">
        <f>I1452-J1452</f>
        <v>0</v>
      </c>
      <c r="L1452" s="3" t="str">
        <f>IF(K1452&lt;-5,"CRÍTICO",IF(K1452&lt;0,"ATENÇÃO",IF(K1452&lt;=5,"BOM","EXCELENTE")))</f>
        <v>BOM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37</v>
      </c>
      <c r="C1453" t="s">
        <v>16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>
        <v>0</v>
      </c>
      <c r="J1453">
        <v>0</v>
      </c>
      <c r="K1453">
        <v>0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38</v>
      </c>
      <c r="C1454" t="s">
        <v>18</v>
      </c>
      <c r="D1454">
        <v>36</v>
      </c>
      <c r="E1454">
        <v>34</v>
      </c>
      <c r="F1454">
        <v>18.5</v>
      </c>
      <c r="G1454">
        <v>0</v>
      </c>
      <c r="H1454">
        <v>0</v>
      </c>
      <c r="I1454">
        <v>0</v>
      </c>
      <c r="J1454">
        <v>0</v>
      </c>
      <c r="K1454">
        <v>0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39</v>
      </c>
      <c r="C1455" t="s">
        <v>18</v>
      </c>
      <c r="D1455">
        <v>9</v>
      </c>
      <c r="E1455">
        <v>6</v>
      </c>
      <c r="F1455">
        <v>10.51</v>
      </c>
      <c r="G1455">
        <v>0</v>
      </c>
      <c r="H1455">
        <v>0</v>
      </c>
      <c r="I1455">
        <v>0</v>
      </c>
      <c r="J1455">
        <v>0</v>
      </c>
      <c r="K1455">
        <v>0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40</v>
      </c>
      <c r="C1456" t="s">
        <v>16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>
        <v>0</v>
      </c>
      <c r="J1456">
        <v>0</v>
      </c>
      <c r="K1456">
        <v>0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41</v>
      </c>
      <c r="C1457" t="s">
        <v>18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42</v>
      </c>
      <c r="C1458" t="s">
        <v>43</v>
      </c>
      <c r="D1458">
        <v>5</v>
      </c>
      <c r="E1458">
        <v>5</v>
      </c>
      <c r="F1458">
        <v>45.31</v>
      </c>
      <c r="G1458">
        <v>0</v>
      </c>
      <c r="H1458">
        <v>0</v>
      </c>
      <c r="I1458">
        <v>0</v>
      </c>
      <c r="J1458">
        <v>0</v>
      </c>
      <c r="K1458">
        <v>0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44</v>
      </c>
      <c r="C1459" t="s">
        <v>18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>
        <v>0</v>
      </c>
      <c r="J1459">
        <v>0</v>
      </c>
      <c r="K1459">
        <v>0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45</v>
      </c>
      <c r="C1460" t="s">
        <v>43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46</v>
      </c>
      <c r="C1461" t="s">
        <v>18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>
        <v>0</v>
      </c>
      <c r="J1461">
        <v>0</v>
      </c>
      <c r="K1461">
        <v>0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47</v>
      </c>
      <c r="C1462" t="s">
        <v>16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>
        <v>0</v>
      </c>
      <c r="J1462">
        <v>0</v>
      </c>
      <c r="K1462">
        <v>0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48</v>
      </c>
      <c r="C1463" t="s">
        <v>16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49</v>
      </c>
      <c r="C1464" t="s">
        <v>18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>
        <v>0</v>
      </c>
      <c r="J1464">
        <v>0</v>
      </c>
      <c r="K1464">
        <v>0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50</v>
      </c>
      <c r="C1465" t="s">
        <v>20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>
        <v>0</v>
      </c>
      <c r="J1465">
        <v>0</v>
      </c>
      <c r="K1465">
        <v>0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51</v>
      </c>
      <c r="C1466" t="s">
        <v>23</v>
      </c>
      <c r="D1466">
        <v>9</v>
      </c>
      <c r="E1466">
        <v>9</v>
      </c>
      <c r="F1466">
        <v>25.29</v>
      </c>
      <c r="G1466">
        <v>0</v>
      </c>
      <c r="H1466">
        <v>0</v>
      </c>
      <c r="I1466">
        <v>0</v>
      </c>
      <c r="J1466">
        <v>0</v>
      </c>
      <c r="K1466">
        <v>0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52</v>
      </c>
      <c r="C1467" t="s">
        <v>18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>
        <v>0</v>
      </c>
      <c r="J1467">
        <v>0</v>
      </c>
      <c r="K1467">
        <v>0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53</v>
      </c>
      <c r="C1468" t="s">
        <v>18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>
        <v>0</v>
      </c>
      <c r="J1468">
        <v>0</v>
      </c>
      <c r="K1468">
        <v>0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54</v>
      </c>
      <c r="C1469" t="s">
        <v>23</v>
      </c>
      <c r="D1469">
        <v>8</v>
      </c>
      <c r="E1469">
        <v>8</v>
      </c>
      <c r="F1469">
        <v>32.1</v>
      </c>
      <c r="G1469">
        <v>0</v>
      </c>
      <c r="H1469">
        <v>0</v>
      </c>
      <c r="I1469">
        <v>0</v>
      </c>
      <c r="J1469">
        <v>0</v>
      </c>
      <c r="K1469">
        <v>0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55</v>
      </c>
      <c r="C1470" t="s">
        <v>43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56</v>
      </c>
      <c r="C1471" t="s">
        <v>16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>
        <v>0</v>
      </c>
      <c r="J1471">
        <v>0</v>
      </c>
      <c r="K1471">
        <v>0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57</v>
      </c>
      <c r="C1472" t="s">
        <v>43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58</v>
      </c>
      <c r="C1473" t="s">
        <v>43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59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60</v>
      </c>
      <c r="C1475" t="s">
        <v>20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61</v>
      </c>
      <c r="C1476" t="s">
        <v>18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>
        <v>0</v>
      </c>
      <c r="J1476">
        <v>0</v>
      </c>
      <c r="K1476">
        <v>0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62</v>
      </c>
      <c r="C1477" t="s">
        <v>20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>
        <v>0</v>
      </c>
      <c r="J1477">
        <v>0</v>
      </c>
      <c r="K1477">
        <v>0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63</v>
      </c>
      <c r="C1478" t="s">
        <v>18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>
        <v>0</v>
      </c>
      <c r="J1478">
        <v>0</v>
      </c>
      <c r="K1478">
        <v>0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15</v>
      </c>
      <c r="C1479" t="s">
        <v>16</v>
      </c>
      <c r="D1479">
        <v>26</v>
      </c>
      <c r="E1479">
        <v>25</v>
      </c>
      <c r="F1479">
        <v>17.2</v>
      </c>
      <c r="G1479">
        <v>0</v>
      </c>
      <c r="H1479">
        <v>0</v>
      </c>
      <c r="I1479">
        <v>0</v>
      </c>
      <c r="J1479">
        <v>0</v>
      </c>
      <c r="K1479">
        <v>0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17</v>
      </c>
      <c r="C1480" t="s">
        <v>18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19</v>
      </c>
      <c r="C1481" t="s">
        <v>20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>
        <v>0</v>
      </c>
      <c r="J1481">
        <v>0</v>
      </c>
      <c r="K1481">
        <v>0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21</v>
      </c>
      <c r="C1482" t="s">
        <v>18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>
        <v>0</v>
      </c>
      <c r="J1482">
        <v>0</v>
      </c>
      <c r="K1482">
        <v>0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22</v>
      </c>
      <c r="C1483" t="s">
        <v>23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>
        <v>0</v>
      </c>
      <c r="J1483">
        <v>0</v>
      </c>
      <c r="K1483">
        <v>0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24</v>
      </c>
      <c r="C1484" t="s">
        <v>16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>
        <v>0</v>
      </c>
      <c r="J1484">
        <v>0</v>
      </c>
      <c r="K1484">
        <v>0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25</v>
      </c>
      <c r="C1485" t="s">
        <v>16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>
        <v>0</v>
      </c>
      <c r="J1485">
        <v>0</v>
      </c>
      <c r="K1485">
        <v>0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26</v>
      </c>
      <c r="C1486" t="s">
        <v>23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27</v>
      </c>
      <c r="C1487" t="s">
        <v>20</v>
      </c>
      <c r="D1487">
        <v>21</v>
      </c>
      <c r="E1487">
        <v>20</v>
      </c>
      <c r="F1487">
        <v>25.2</v>
      </c>
      <c r="G1487">
        <v>0</v>
      </c>
      <c r="H1487">
        <v>0</v>
      </c>
      <c r="I1487">
        <v>0</v>
      </c>
      <c r="J1487">
        <v>0</v>
      </c>
      <c r="K1487">
        <v>0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28</v>
      </c>
      <c r="C1488" t="s">
        <v>18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>
        <v>0</v>
      </c>
      <c r="J1488">
        <v>0</v>
      </c>
      <c r="K1488">
        <v>0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29</v>
      </c>
      <c r="C1489" t="s">
        <v>16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30</v>
      </c>
      <c r="C1490" t="s">
        <v>20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>
        <v>0</v>
      </c>
      <c r="J1490">
        <v>0</v>
      </c>
      <c r="K1490">
        <v>0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31</v>
      </c>
      <c r="C1491" t="s">
        <v>18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32</v>
      </c>
      <c r="C1492" t="s">
        <v>23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33</v>
      </c>
      <c r="C1493" t="s">
        <v>16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>
        <v>0</v>
      </c>
      <c r="J1493">
        <v>0</v>
      </c>
      <c r="K1493">
        <v>0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34</v>
      </c>
      <c r="C1494" t="s">
        <v>18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>
        <v>0</v>
      </c>
      <c r="J1494">
        <v>0</v>
      </c>
      <c r="K1494">
        <v>0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35</v>
      </c>
      <c r="C1495" t="s">
        <v>16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>
        <v>0</v>
      </c>
      <c r="J1495">
        <v>0</v>
      </c>
      <c r="K1495">
        <v>0</v>
      </c>
      <c r="N1495">
        <v>99.31</v>
      </c>
      <c r="O1495">
        <v>30.96234309623431</v>
      </c>
    </row>
    <row r="1496" spans="1:15" x14ac:dyDescent="0.25">
      <c r="A1496" s="11">
        <v>46080</v>
      </c>
      <c r="B1496" t="s">
        <v>36</v>
      </c>
      <c r="C1496" t="s">
        <v>20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>E1496+G1496+H1496</f>
        <v>13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12</v>
      </c>
      <c r="K1496" s="3">
        <f>I1496-J1496</f>
        <v>1</v>
      </c>
      <c r="L1496" s="3" t="str">
        <f>IF(K1496&lt;-5,"CRÍTICO",IF(K1496&lt;0,"ATENÇÃO",IF(K1496&lt;=5,"BOM","EXCELENTE")))</f>
        <v>BOM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37</v>
      </c>
      <c r="C1497" t="s">
        <v>16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>
        <v>0</v>
      </c>
      <c r="J1497">
        <v>0</v>
      </c>
      <c r="K1497">
        <v>0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38</v>
      </c>
      <c r="C1498" t="s">
        <v>18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>
        <v>0</v>
      </c>
      <c r="J1498">
        <v>0</v>
      </c>
      <c r="K1498">
        <v>0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39</v>
      </c>
      <c r="C1499" t="s">
        <v>18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>
        <v>0</v>
      </c>
      <c r="J1499">
        <v>0</v>
      </c>
      <c r="K1499">
        <v>0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40</v>
      </c>
      <c r="C1500" t="s">
        <v>16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>
        <v>0</v>
      </c>
      <c r="J1500">
        <v>0</v>
      </c>
      <c r="K1500">
        <v>0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41</v>
      </c>
      <c r="C1501" t="s">
        <v>18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42</v>
      </c>
      <c r="C1502" t="s">
        <v>43</v>
      </c>
      <c r="D1502">
        <v>8</v>
      </c>
      <c r="E1502">
        <v>8</v>
      </c>
      <c r="F1502">
        <v>29.18</v>
      </c>
      <c r="G1502">
        <v>0</v>
      </c>
      <c r="H1502">
        <v>0</v>
      </c>
      <c r="I1502">
        <v>0</v>
      </c>
      <c r="J1502">
        <v>0</v>
      </c>
      <c r="K1502">
        <v>0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44</v>
      </c>
      <c r="C1503" t="s">
        <v>18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>
        <v>0</v>
      </c>
      <c r="J1503">
        <v>0</v>
      </c>
      <c r="K1503">
        <v>0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45</v>
      </c>
      <c r="C1504" t="s">
        <v>43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46</v>
      </c>
      <c r="C1505" t="s">
        <v>18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>
        <v>0</v>
      </c>
      <c r="J1505">
        <v>0</v>
      </c>
      <c r="K1505">
        <v>0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47</v>
      </c>
      <c r="C1506" t="s">
        <v>16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>
        <v>0</v>
      </c>
      <c r="J1506">
        <v>0</v>
      </c>
      <c r="K1506">
        <v>0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48</v>
      </c>
      <c r="C1507" t="s">
        <v>16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49</v>
      </c>
      <c r="C1508" t="s">
        <v>18</v>
      </c>
      <c r="D1508">
        <v>46</v>
      </c>
      <c r="E1508">
        <v>31</v>
      </c>
      <c r="F1508">
        <v>13.3</v>
      </c>
      <c r="G1508">
        <v>0</v>
      </c>
      <c r="H1508">
        <v>0</v>
      </c>
      <c r="I1508">
        <v>0</v>
      </c>
      <c r="J1508">
        <v>0</v>
      </c>
      <c r="K1508">
        <v>0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50</v>
      </c>
      <c r="C1509" t="s">
        <v>20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>
        <v>0</v>
      </c>
      <c r="J1509">
        <v>0</v>
      </c>
      <c r="K1509">
        <v>0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51</v>
      </c>
      <c r="C1510" t="s">
        <v>23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52</v>
      </c>
      <c r="C1511" t="s">
        <v>18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53</v>
      </c>
      <c r="C1512" t="s">
        <v>18</v>
      </c>
      <c r="D1512">
        <v>46</v>
      </c>
      <c r="E1512">
        <v>33</v>
      </c>
      <c r="F1512">
        <v>9.14</v>
      </c>
      <c r="G1512">
        <v>0</v>
      </c>
      <c r="H1512">
        <v>0</v>
      </c>
      <c r="I1512">
        <v>0</v>
      </c>
      <c r="J1512">
        <v>0</v>
      </c>
      <c r="K1512">
        <v>0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54</v>
      </c>
      <c r="C1513" t="s">
        <v>23</v>
      </c>
      <c r="D1513">
        <v>3</v>
      </c>
      <c r="E1513">
        <v>3</v>
      </c>
      <c r="F1513">
        <v>79.17</v>
      </c>
      <c r="G1513">
        <v>0</v>
      </c>
      <c r="H1513">
        <v>0</v>
      </c>
      <c r="I1513">
        <v>0</v>
      </c>
      <c r="J1513">
        <v>0</v>
      </c>
      <c r="K1513">
        <v>0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55</v>
      </c>
      <c r="C1514" t="s">
        <v>43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56</v>
      </c>
      <c r="C1515" t="s">
        <v>16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>
        <v>0</v>
      </c>
      <c r="J1515">
        <v>0</v>
      </c>
      <c r="K1515">
        <v>0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57</v>
      </c>
      <c r="C1516" t="s">
        <v>43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58</v>
      </c>
      <c r="C1517" t="s">
        <v>43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59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60</v>
      </c>
      <c r="C1519" t="s">
        <v>20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61</v>
      </c>
      <c r="C1520" t="s">
        <v>18</v>
      </c>
      <c r="D1520">
        <v>35</v>
      </c>
      <c r="E1520">
        <v>33</v>
      </c>
      <c r="F1520">
        <v>12.1</v>
      </c>
      <c r="G1520">
        <v>0</v>
      </c>
      <c r="H1520">
        <v>0</v>
      </c>
      <c r="I1520">
        <v>0</v>
      </c>
      <c r="J1520">
        <v>0</v>
      </c>
      <c r="K1520">
        <v>0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62</v>
      </c>
      <c r="C1521" t="s">
        <v>20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>
        <v>0</v>
      </c>
      <c r="J1521">
        <v>0</v>
      </c>
      <c r="K1521">
        <v>0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63</v>
      </c>
      <c r="C1522" t="s">
        <v>18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>
        <v>0</v>
      </c>
      <c r="J1522">
        <v>0</v>
      </c>
      <c r="K1522">
        <v>0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15</v>
      </c>
      <c r="C1523" t="s">
        <v>16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>
        <v>0</v>
      </c>
      <c r="J1523">
        <v>0</v>
      </c>
      <c r="K1523">
        <v>0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17</v>
      </c>
      <c r="C1524" t="s">
        <v>18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19</v>
      </c>
      <c r="C1525" t="s">
        <v>20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>
        <v>0</v>
      </c>
      <c r="J1525">
        <v>0</v>
      </c>
      <c r="K1525">
        <v>0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21</v>
      </c>
      <c r="C1526" t="s">
        <v>18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>
        <v>0</v>
      </c>
      <c r="J1526">
        <v>0</v>
      </c>
      <c r="K1526">
        <v>0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22</v>
      </c>
      <c r="C1527" t="s">
        <v>23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>
        <v>0</v>
      </c>
      <c r="J1527">
        <v>0</v>
      </c>
      <c r="K1527">
        <v>0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24</v>
      </c>
      <c r="C1528" t="s">
        <v>16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>
        <v>0</v>
      </c>
      <c r="J1528">
        <v>0</v>
      </c>
      <c r="K1528">
        <v>0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25</v>
      </c>
      <c r="C1529" t="s">
        <v>16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>
        <v>0</v>
      </c>
      <c r="J1529">
        <v>0</v>
      </c>
      <c r="K1529">
        <v>0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26</v>
      </c>
      <c r="C1530" t="s">
        <v>23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27</v>
      </c>
      <c r="C1531" t="s">
        <v>20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>
        <v>0</v>
      </c>
      <c r="J1531">
        <v>0</v>
      </c>
      <c r="K1531">
        <v>0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28</v>
      </c>
      <c r="C1532" t="s">
        <v>18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>
        <v>0</v>
      </c>
      <c r="J1532">
        <v>0</v>
      </c>
      <c r="K1532">
        <v>0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29</v>
      </c>
      <c r="C1533" t="s">
        <v>16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30</v>
      </c>
      <c r="C1534" t="s">
        <v>20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>
        <v>0</v>
      </c>
      <c r="J1534">
        <v>0</v>
      </c>
      <c r="K1534">
        <v>0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31</v>
      </c>
      <c r="C1535" t="s">
        <v>18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32</v>
      </c>
      <c r="C1536" t="s">
        <v>23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33</v>
      </c>
      <c r="C1537" t="s">
        <v>16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>
        <v>0</v>
      </c>
      <c r="J1537">
        <v>0</v>
      </c>
      <c r="K1537">
        <v>0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34</v>
      </c>
      <c r="C1538" t="s">
        <v>18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>
        <v>0</v>
      </c>
      <c r="J1538">
        <v>0</v>
      </c>
      <c r="K1538">
        <v>0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35</v>
      </c>
      <c r="C1539" t="s">
        <v>16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>
        <v>0</v>
      </c>
      <c r="J1539">
        <v>0</v>
      </c>
      <c r="K1539">
        <v>0</v>
      </c>
      <c r="N1539">
        <v>99.31</v>
      </c>
      <c r="O1539">
        <v>30.96234309623431</v>
      </c>
    </row>
    <row r="1540" spans="1:15" x14ac:dyDescent="0.25">
      <c r="A1540" s="11">
        <v>46083</v>
      </c>
      <c r="B1540" t="s">
        <v>36</v>
      </c>
      <c r="C1540" t="s">
        <v>20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>E1540+G1540+H1540</f>
        <v>21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16</v>
      </c>
      <c r="K1540" s="3">
        <f>I1540-J1540</f>
        <v>5</v>
      </c>
      <c r="L1540" s="3" t="str">
        <f>IF(K1540&lt;-5,"CRÍTICO",IF(K1540&lt;0,"ATENÇÃO",IF(K1540&lt;=5,"BOM","EXCELENTE")))</f>
        <v>BOM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37</v>
      </c>
      <c r="C1541" t="s">
        <v>16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>
        <v>0</v>
      </c>
      <c r="J1541">
        <v>0</v>
      </c>
      <c r="K1541">
        <v>0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38</v>
      </c>
      <c r="C1542" t="s">
        <v>18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>
        <v>0</v>
      </c>
      <c r="J1542">
        <v>0</v>
      </c>
      <c r="K1542">
        <v>0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39</v>
      </c>
      <c r="C1543" t="s">
        <v>18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>
        <v>0</v>
      </c>
      <c r="J1543">
        <v>0</v>
      </c>
      <c r="K1543">
        <v>0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40</v>
      </c>
      <c r="C1544" t="s">
        <v>16</v>
      </c>
      <c r="D1544">
        <v>32</v>
      </c>
      <c r="E1544">
        <v>23</v>
      </c>
      <c r="F1544">
        <v>15.2</v>
      </c>
      <c r="G1544">
        <v>0</v>
      </c>
      <c r="H1544">
        <v>0</v>
      </c>
      <c r="I1544">
        <v>0</v>
      </c>
      <c r="J1544">
        <v>0</v>
      </c>
      <c r="K1544">
        <v>0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41</v>
      </c>
      <c r="C1545" t="s">
        <v>18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42</v>
      </c>
      <c r="C1546" t="s">
        <v>43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>
        <v>0</v>
      </c>
      <c r="J1546">
        <v>0</v>
      </c>
      <c r="K1546">
        <v>0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44</v>
      </c>
      <c r="C1547" t="s">
        <v>18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>
        <v>0</v>
      </c>
      <c r="J1547">
        <v>0</v>
      </c>
      <c r="K1547">
        <v>0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45</v>
      </c>
      <c r="C1548" t="s">
        <v>43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46</v>
      </c>
      <c r="C1549" t="s">
        <v>18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>
        <v>0</v>
      </c>
      <c r="J1549">
        <v>0</v>
      </c>
      <c r="K1549">
        <v>0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47</v>
      </c>
      <c r="C1550" t="s">
        <v>16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>
        <v>0</v>
      </c>
      <c r="J1550">
        <v>0</v>
      </c>
      <c r="K1550">
        <v>0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48</v>
      </c>
      <c r="C1551" t="s">
        <v>16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49</v>
      </c>
      <c r="C1552" t="s">
        <v>18</v>
      </c>
      <c r="D1552">
        <v>169</v>
      </c>
      <c r="E1552">
        <v>32</v>
      </c>
      <c r="F1552">
        <v>2</v>
      </c>
      <c r="G1552">
        <v>0</v>
      </c>
      <c r="H1552">
        <v>0</v>
      </c>
      <c r="I1552">
        <v>0</v>
      </c>
      <c r="J1552">
        <v>0</v>
      </c>
      <c r="K1552">
        <v>0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50</v>
      </c>
      <c r="C1553" t="s">
        <v>20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>
        <v>0</v>
      </c>
      <c r="J1553">
        <v>0</v>
      </c>
      <c r="K1553">
        <v>0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51</v>
      </c>
      <c r="C1554" t="s">
        <v>23</v>
      </c>
      <c r="D1554">
        <v>7</v>
      </c>
      <c r="E1554">
        <v>5</v>
      </c>
      <c r="F1554">
        <v>40.53</v>
      </c>
      <c r="G1554">
        <v>0</v>
      </c>
      <c r="H1554">
        <v>0</v>
      </c>
      <c r="I1554">
        <v>0</v>
      </c>
      <c r="J1554">
        <v>0</v>
      </c>
      <c r="K1554">
        <v>0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52</v>
      </c>
      <c r="C1555" t="s">
        <v>18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53</v>
      </c>
      <c r="C1556" t="s">
        <v>18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>
        <v>0</v>
      </c>
      <c r="J1556">
        <v>0</v>
      </c>
      <c r="K1556">
        <v>0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54</v>
      </c>
      <c r="C1557" t="s">
        <v>23</v>
      </c>
      <c r="D1557">
        <v>6</v>
      </c>
      <c r="E1557">
        <v>6</v>
      </c>
      <c r="F1557">
        <v>45.33</v>
      </c>
      <c r="G1557">
        <v>0</v>
      </c>
      <c r="H1557">
        <v>0</v>
      </c>
      <c r="I1557">
        <v>0</v>
      </c>
      <c r="J1557">
        <v>0</v>
      </c>
      <c r="K1557">
        <v>0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55</v>
      </c>
      <c r="C1558" t="s">
        <v>43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56</v>
      </c>
      <c r="C1559" t="s">
        <v>16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>
        <v>0</v>
      </c>
      <c r="J1559">
        <v>0</v>
      </c>
      <c r="K1559">
        <v>0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57</v>
      </c>
      <c r="C1560" t="s">
        <v>43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58</v>
      </c>
      <c r="C1561" t="s">
        <v>43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59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60</v>
      </c>
      <c r="C1563" t="s">
        <v>20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61</v>
      </c>
      <c r="C1564" t="s">
        <v>18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>
        <v>0</v>
      </c>
      <c r="J1564">
        <v>0</v>
      </c>
      <c r="K1564">
        <v>0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62</v>
      </c>
      <c r="C1565" t="s">
        <v>20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>
        <v>0</v>
      </c>
      <c r="J1565">
        <v>0</v>
      </c>
      <c r="K1565">
        <v>0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63</v>
      </c>
      <c r="C1566" t="s">
        <v>18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>
        <v>0</v>
      </c>
      <c r="J1566">
        <v>0</v>
      </c>
      <c r="K1566">
        <v>0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15</v>
      </c>
      <c r="C1567" t="s">
        <v>16</v>
      </c>
      <c r="D1567">
        <v>45</v>
      </c>
      <c r="E1567">
        <v>40</v>
      </c>
      <c r="F1567">
        <v>12.1</v>
      </c>
      <c r="G1567">
        <v>0</v>
      </c>
      <c r="H1567">
        <v>0</v>
      </c>
      <c r="I1567">
        <v>0</v>
      </c>
      <c r="J1567">
        <v>0</v>
      </c>
      <c r="K1567">
        <v>0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17</v>
      </c>
      <c r="C1568" t="s">
        <v>18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19</v>
      </c>
      <c r="C1569" t="s">
        <v>20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>
        <v>0</v>
      </c>
      <c r="J1569">
        <v>0</v>
      </c>
      <c r="K1569">
        <v>0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21</v>
      </c>
      <c r="C1570" t="s">
        <v>18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>
        <v>0</v>
      </c>
      <c r="J1570">
        <v>0</v>
      </c>
      <c r="K1570">
        <v>0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22</v>
      </c>
      <c r="C1571" t="s">
        <v>23</v>
      </c>
      <c r="D1571">
        <v>13</v>
      </c>
      <c r="E1571">
        <v>13</v>
      </c>
      <c r="F1571">
        <v>20.5</v>
      </c>
      <c r="G1571">
        <v>0</v>
      </c>
      <c r="H1571">
        <v>0</v>
      </c>
      <c r="I1571">
        <v>0</v>
      </c>
      <c r="J1571">
        <v>0</v>
      </c>
      <c r="K1571">
        <v>0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24</v>
      </c>
      <c r="C1572" t="s">
        <v>16</v>
      </c>
      <c r="D1572">
        <v>46</v>
      </c>
      <c r="E1572">
        <v>35</v>
      </c>
      <c r="F1572">
        <v>13.3</v>
      </c>
      <c r="G1572">
        <v>0</v>
      </c>
      <c r="H1572">
        <v>0</v>
      </c>
      <c r="I1572">
        <v>0</v>
      </c>
      <c r="J1572">
        <v>0</v>
      </c>
      <c r="K1572">
        <v>0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25</v>
      </c>
      <c r="C1573" t="s">
        <v>16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>
        <v>0</v>
      </c>
      <c r="J1573">
        <v>0</v>
      </c>
      <c r="K1573">
        <v>0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26</v>
      </c>
      <c r="C1574" t="s">
        <v>23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27</v>
      </c>
      <c r="C1575" t="s">
        <v>20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>
        <v>0</v>
      </c>
      <c r="J1575">
        <v>0</v>
      </c>
      <c r="K1575">
        <v>0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28</v>
      </c>
      <c r="C1576" t="s">
        <v>18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>
        <v>0</v>
      </c>
      <c r="J1576">
        <v>0</v>
      </c>
      <c r="K1576">
        <v>0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29</v>
      </c>
      <c r="C1577" t="s">
        <v>16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30</v>
      </c>
      <c r="C1578" t="s">
        <v>20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>
        <v>0</v>
      </c>
      <c r="J1578">
        <v>0</v>
      </c>
      <c r="K1578">
        <v>0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31</v>
      </c>
      <c r="C1579" t="s">
        <v>18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32</v>
      </c>
      <c r="C1580" t="s">
        <v>23</v>
      </c>
      <c r="D1580">
        <v>2</v>
      </c>
      <c r="E1580">
        <v>2</v>
      </c>
      <c r="F1580">
        <v>55.02</v>
      </c>
      <c r="G1580">
        <v>0</v>
      </c>
      <c r="H1580">
        <v>0</v>
      </c>
      <c r="I1580">
        <v>0</v>
      </c>
      <c r="J1580">
        <v>0</v>
      </c>
      <c r="K1580">
        <v>0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33</v>
      </c>
      <c r="C1581" t="s">
        <v>16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>
        <v>0</v>
      </c>
      <c r="J1581">
        <v>0</v>
      </c>
      <c r="K1581">
        <v>0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34</v>
      </c>
      <c r="C1582" t="s">
        <v>18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>
        <v>0</v>
      </c>
      <c r="J1582">
        <v>0</v>
      </c>
      <c r="K1582">
        <v>0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35</v>
      </c>
      <c r="C1583" t="s">
        <v>16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>
        <v>0</v>
      </c>
      <c r="J1583">
        <v>0</v>
      </c>
      <c r="K1583">
        <v>0</v>
      </c>
      <c r="N1583">
        <v>99.31</v>
      </c>
      <c r="O1583">
        <v>30.96234309623431</v>
      </c>
    </row>
    <row r="1584" spans="1:15" x14ac:dyDescent="0.25">
      <c r="A1584" s="11">
        <v>46084</v>
      </c>
      <c r="B1584" t="s">
        <v>36</v>
      </c>
      <c r="C1584" t="s">
        <v>20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>E1584+G1584+H1584</f>
        <v>21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16</v>
      </c>
      <c r="K1584" s="3">
        <f>I1584-J1584</f>
        <v>5</v>
      </c>
      <c r="L1584" s="3" t="str">
        <f>IF(K1584&lt;-5,"CRÍTICO",IF(K1584&lt;0,"ATENÇÃO",IF(K1584&lt;=5,"BOM","EXCELENTE")))</f>
        <v>BOM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37</v>
      </c>
      <c r="C1585" t="s">
        <v>16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>
        <v>0</v>
      </c>
      <c r="J1585">
        <v>0</v>
      </c>
      <c r="K1585">
        <v>0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38</v>
      </c>
      <c r="C1586" t="s">
        <v>18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>
        <v>0</v>
      </c>
      <c r="J1586">
        <v>0</v>
      </c>
      <c r="K1586">
        <v>0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39</v>
      </c>
      <c r="C1587" t="s">
        <v>18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>
        <v>0</v>
      </c>
      <c r="J1587">
        <v>0</v>
      </c>
      <c r="K1587">
        <v>0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40</v>
      </c>
      <c r="C1588" t="s">
        <v>16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>
        <v>0</v>
      </c>
      <c r="J1588">
        <v>0</v>
      </c>
      <c r="K1588">
        <v>0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41</v>
      </c>
      <c r="C1589" t="s">
        <v>18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42</v>
      </c>
      <c r="C1590" t="s">
        <v>43</v>
      </c>
      <c r="D1590">
        <v>9</v>
      </c>
      <c r="E1590">
        <v>9</v>
      </c>
      <c r="F1590">
        <v>23.36</v>
      </c>
      <c r="G1590">
        <v>0</v>
      </c>
      <c r="H1590">
        <v>0</v>
      </c>
      <c r="I1590">
        <v>0</v>
      </c>
      <c r="J1590">
        <v>0</v>
      </c>
      <c r="K1590">
        <v>0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44</v>
      </c>
      <c r="C1591" t="s">
        <v>18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>
        <v>0</v>
      </c>
      <c r="J1591">
        <v>0</v>
      </c>
      <c r="K1591">
        <v>0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45</v>
      </c>
      <c r="C1592" t="s">
        <v>43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46</v>
      </c>
      <c r="C1593" t="s">
        <v>18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>
        <v>0</v>
      </c>
      <c r="J1593">
        <v>0</v>
      </c>
      <c r="K1593">
        <v>0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47</v>
      </c>
      <c r="C1594" t="s">
        <v>16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>
        <v>0</v>
      </c>
      <c r="J1594">
        <v>0</v>
      </c>
      <c r="K1594">
        <v>0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48</v>
      </c>
      <c r="C1595" t="s">
        <v>16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49</v>
      </c>
      <c r="C1596" t="s">
        <v>18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>
        <v>0</v>
      </c>
      <c r="J1596">
        <v>0</v>
      </c>
      <c r="K1596">
        <v>0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50</v>
      </c>
      <c r="C1597" t="s">
        <v>20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>
        <v>0</v>
      </c>
      <c r="J1597">
        <v>0</v>
      </c>
      <c r="K1597">
        <v>0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51</v>
      </c>
      <c r="C1598" t="s">
        <v>23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52</v>
      </c>
      <c r="C1599" t="s">
        <v>18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53</v>
      </c>
      <c r="C1600" t="s">
        <v>18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>
        <v>0</v>
      </c>
      <c r="J1600">
        <v>0</v>
      </c>
      <c r="K1600">
        <v>0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54</v>
      </c>
      <c r="C1601" t="s">
        <v>23</v>
      </c>
      <c r="D1601">
        <v>8</v>
      </c>
      <c r="E1601">
        <v>7</v>
      </c>
      <c r="F1601">
        <v>37.04</v>
      </c>
      <c r="G1601">
        <v>0</v>
      </c>
      <c r="H1601">
        <v>0</v>
      </c>
      <c r="I1601">
        <v>0</v>
      </c>
      <c r="J1601">
        <v>0</v>
      </c>
      <c r="K1601">
        <v>0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55</v>
      </c>
      <c r="C1602" t="s">
        <v>43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56</v>
      </c>
      <c r="C1603" t="s">
        <v>16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>
        <v>0</v>
      </c>
      <c r="J1603">
        <v>0</v>
      </c>
      <c r="K1603">
        <v>0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57</v>
      </c>
      <c r="C1604" t="s">
        <v>43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58</v>
      </c>
      <c r="C1605" t="s">
        <v>43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59</v>
      </c>
      <c r="C1606" t="s">
        <v>23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60</v>
      </c>
      <c r="C1607" t="s">
        <v>20</v>
      </c>
      <c r="D1607">
        <v>2</v>
      </c>
      <c r="E1607">
        <v>2</v>
      </c>
      <c r="F1607">
        <v>13.56</v>
      </c>
      <c r="G1607">
        <v>0</v>
      </c>
      <c r="H1607">
        <v>0</v>
      </c>
      <c r="I1607">
        <v>0</v>
      </c>
      <c r="J1607">
        <v>0</v>
      </c>
      <c r="K1607">
        <v>0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61</v>
      </c>
      <c r="C1608" t="s">
        <v>18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>
        <v>0</v>
      </c>
      <c r="J1608">
        <v>0</v>
      </c>
      <c r="K1608">
        <v>0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62</v>
      </c>
      <c r="C1609" t="s">
        <v>20</v>
      </c>
      <c r="D1609">
        <v>13</v>
      </c>
      <c r="E1609">
        <v>13</v>
      </c>
      <c r="F1609">
        <v>40.5</v>
      </c>
      <c r="G1609">
        <v>0</v>
      </c>
      <c r="H1609">
        <v>0</v>
      </c>
      <c r="I1609">
        <v>0</v>
      </c>
      <c r="J1609">
        <v>0</v>
      </c>
      <c r="K1609">
        <v>0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63</v>
      </c>
      <c r="C1610" t="s">
        <v>18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>
        <v>0</v>
      </c>
      <c r="J1610">
        <v>0</v>
      </c>
      <c r="K1610">
        <v>0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15</v>
      </c>
      <c r="C1611" t="s">
        <v>16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>
        <v>0</v>
      </c>
      <c r="J1611">
        <v>0</v>
      </c>
      <c r="K1611">
        <v>0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17</v>
      </c>
      <c r="C1612" t="s">
        <v>18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19</v>
      </c>
      <c r="C1613" t="s">
        <v>20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>
        <v>0</v>
      </c>
      <c r="J1613">
        <v>0</v>
      </c>
      <c r="K1613">
        <v>0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21</v>
      </c>
      <c r="C1614" t="s">
        <v>18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>
        <v>0</v>
      </c>
      <c r="J1614">
        <v>0</v>
      </c>
      <c r="K1614">
        <v>0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22</v>
      </c>
      <c r="C1615" t="s">
        <v>23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>
        <v>0</v>
      </c>
      <c r="J1615">
        <v>0</v>
      </c>
      <c r="K1615">
        <v>0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24</v>
      </c>
      <c r="C1616" t="s">
        <v>16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>
        <v>0</v>
      </c>
      <c r="J1616">
        <v>0</v>
      </c>
      <c r="K1616">
        <v>0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25</v>
      </c>
      <c r="C1617" t="s">
        <v>16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>
        <v>0</v>
      </c>
      <c r="J1617">
        <v>0</v>
      </c>
      <c r="K1617">
        <v>0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26</v>
      </c>
      <c r="C1618" t="s">
        <v>23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27</v>
      </c>
      <c r="C1619" t="s">
        <v>20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>
        <v>0</v>
      </c>
      <c r="J1619">
        <v>0</v>
      </c>
      <c r="K1619">
        <v>0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28</v>
      </c>
      <c r="C1620" t="s">
        <v>18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>
        <v>0</v>
      </c>
      <c r="J1620">
        <v>0</v>
      </c>
      <c r="K1620">
        <v>0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29</v>
      </c>
      <c r="C1621" t="s">
        <v>16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30</v>
      </c>
      <c r="C1622" t="s">
        <v>20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>
        <v>0</v>
      </c>
      <c r="J1622">
        <v>0</v>
      </c>
      <c r="K1622">
        <v>0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31</v>
      </c>
      <c r="C1623" t="s">
        <v>18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32</v>
      </c>
      <c r="C1624" t="s">
        <v>23</v>
      </c>
      <c r="D1624">
        <v>5</v>
      </c>
      <c r="E1624">
        <v>4</v>
      </c>
      <c r="F1624">
        <v>32.18</v>
      </c>
      <c r="G1624">
        <v>0</v>
      </c>
      <c r="H1624">
        <v>0</v>
      </c>
      <c r="I1624">
        <v>0</v>
      </c>
      <c r="J1624">
        <v>0</v>
      </c>
      <c r="K1624">
        <v>0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33</v>
      </c>
      <c r="C1625" t="s">
        <v>16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>
        <v>0</v>
      </c>
      <c r="J1625">
        <v>0</v>
      </c>
      <c r="K1625">
        <v>0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34</v>
      </c>
      <c r="C1626" t="s">
        <v>18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>
        <v>0</v>
      </c>
      <c r="J1626">
        <v>0</v>
      </c>
      <c r="K1626">
        <v>0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35</v>
      </c>
      <c r="C1627" t="s">
        <v>16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>
        <v>0</v>
      </c>
      <c r="J1627">
        <v>0</v>
      </c>
      <c r="K1627">
        <v>0</v>
      </c>
      <c r="N1627">
        <v>99.31</v>
      </c>
      <c r="O1627">
        <v>30.96234309623431</v>
      </c>
    </row>
    <row r="1628" spans="1:15" x14ac:dyDescent="0.25">
      <c r="A1628" s="11">
        <v>46085</v>
      </c>
      <c r="B1628" t="s">
        <v>36</v>
      </c>
      <c r="C1628" t="s">
        <v>20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>E1628+G1628+H1628</f>
        <v>21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16</v>
      </c>
      <c r="K1628" s="3">
        <f>I1628-J1628</f>
        <v>5</v>
      </c>
      <c r="L1628" s="3" t="str">
        <f>IF(K1628&lt;-5,"CRÍTICO",IF(K1628&lt;0,"ATENÇÃO",IF(K1628&lt;=5,"BOM","EXCELENTE")))</f>
        <v>BOM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37</v>
      </c>
      <c r="C1629" t="s">
        <v>16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>
        <v>0</v>
      </c>
      <c r="J1629">
        <v>0</v>
      </c>
      <c r="K1629">
        <v>0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38</v>
      </c>
      <c r="C1630" t="s">
        <v>18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>
        <v>0</v>
      </c>
      <c r="J1630">
        <v>0</v>
      </c>
      <c r="K1630">
        <v>0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39</v>
      </c>
      <c r="C1631" t="s">
        <v>18</v>
      </c>
      <c r="D1631">
        <v>44</v>
      </c>
      <c r="E1631">
        <v>18</v>
      </c>
      <c r="F1631">
        <v>4.09</v>
      </c>
      <c r="G1631">
        <v>0</v>
      </c>
      <c r="H1631">
        <v>0</v>
      </c>
      <c r="I1631">
        <v>0</v>
      </c>
      <c r="J1631">
        <v>0</v>
      </c>
      <c r="K1631">
        <v>0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40</v>
      </c>
      <c r="C1632" t="s">
        <v>16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>
        <v>0</v>
      </c>
      <c r="J1632">
        <v>0</v>
      </c>
      <c r="K1632">
        <v>0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41</v>
      </c>
      <c r="C1633" t="s">
        <v>18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42</v>
      </c>
      <c r="C1634" t="s">
        <v>43</v>
      </c>
      <c r="D1634">
        <v>10</v>
      </c>
      <c r="E1634">
        <v>8</v>
      </c>
      <c r="F1634">
        <v>24.14</v>
      </c>
      <c r="G1634">
        <v>0</v>
      </c>
      <c r="H1634">
        <v>0</v>
      </c>
      <c r="I1634">
        <v>0</v>
      </c>
      <c r="J1634">
        <v>0</v>
      </c>
      <c r="K1634">
        <v>0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44</v>
      </c>
      <c r="C1635" t="s">
        <v>18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>
        <v>0</v>
      </c>
      <c r="J1635">
        <v>0</v>
      </c>
      <c r="K1635">
        <v>0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45</v>
      </c>
      <c r="C1636" t="s">
        <v>43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46</v>
      </c>
      <c r="C1637" t="s">
        <v>18</v>
      </c>
      <c r="D1637">
        <v>32</v>
      </c>
      <c r="E1637">
        <v>29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47</v>
      </c>
      <c r="C1638" t="s">
        <v>16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>
        <v>0</v>
      </c>
      <c r="J1638">
        <v>0</v>
      </c>
      <c r="K1638">
        <v>0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48</v>
      </c>
      <c r="C1639" t="s">
        <v>16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49</v>
      </c>
      <c r="C1640" t="s">
        <v>18</v>
      </c>
      <c r="D1640">
        <v>96</v>
      </c>
      <c r="E1640">
        <v>35</v>
      </c>
      <c r="F1640">
        <v>5.04</v>
      </c>
      <c r="G1640">
        <v>0</v>
      </c>
      <c r="H1640">
        <v>0</v>
      </c>
      <c r="I1640">
        <v>0</v>
      </c>
      <c r="J1640">
        <v>0</v>
      </c>
      <c r="K1640">
        <v>0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50</v>
      </c>
      <c r="C1641" t="s">
        <v>20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>
        <v>0</v>
      </c>
      <c r="J1641">
        <v>0</v>
      </c>
      <c r="K1641">
        <v>0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51</v>
      </c>
      <c r="C1642" t="s">
        <v>23</v>
      </c>
      <c r="D1642">
        <v>8</v>
      </c>
      <c r="E1642">
        <v>8</v>
      </c>
      <c r="F1642">
        <v>25.39</v>
      </c>
      <c r="G1642">
        <v>0</v>
      </c>
      <c r="H1642">
        <v>0</v>
      </c>
      <c r="I1642">
        <v>0</v>
      </c>
      <c r="J1642">
        <v>0</v>
      </c>
      <c r="K1642">
        <v>0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52</v>
      </c>
      <c r="C1643" t="s">
        <v>18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53</v>
      </c>
      <c r="C1644" t="s">
        <v>18</v>
      </c>
      <c r="D1644">
        <v>50</v>
      </c>
      <c r="E1644">
        <v>31</v>
      </c>
      <c r="F1644">
        <v>7.17</v>
      </c>
      <c r="G1644">
        <v>0</v>
      </c>
      <c r="H1644">
        <v>0</v>
      </c>
      <c r="I1644">
        <v>0</v>
      </c>
      <c r="J1644">
        <v>0</v>
      </c>
      <c r="K1644">
        <v>0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54</v>
      </c>
      <c r="C1645" t="s">
        <v>23</v>
      </c>
      <c r="D1645">
        <v>9</v>
      </c>
      <c r="E1645">
        <v>9</v>
      </c>
      <c r="F1645">
        <v>32.01</v>
      </c>
      <c r="G1645">
        <v>0</v>
      </c>
      <c r="H1645">
        <v>0</v>
      </c>
      <c r="I1645">
        <v>0</v>
      </c>
      <c r="J1645">
        <v>0</v>
      </c>
      <c r="K1645">
        <v>0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55</v>
      </c>
      <c r="C1646" t="s">
        <v>43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56</v>
      </c>
      <c r="C1647" t="s">
        <v>16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>
        <v>0</v>
      </c>
      <c r="J1647">
        <v>0</v>
      </c>
      <c r="K1647">
        <v>0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57</v>
      </c>
      <c r="C1648" t="s">
        <v>43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58</v>
      </c>
      <c r="C1649" t="s">
        <v>43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59</v>
      </c>
      <c r="C1650" t="s">
        <v>23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60</v>
      </c>
      <c r="C1651" t="s">
        <v>20</v>
      </c>
      <c r="D1651">
        <v>8</v>
      </c>
      <c r="E1651">
        <v>5</v>
      </c>
      <c r="F1651">
        <v>43.53</v>
      </c>
      <c r="G1651">
        <v>0</v>
      </c>
      <c r="H1651">
        <v>0</v>
      </c>
      <c r="I1651">
        <v>0</v>
      </c>
      <c r="J1651">
        <v>0</v>
      </c>
      <c r="K1651">
        <v>0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61</v>
      </c>
      <c r="C1652" t="s">
        <v>18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>
        <v>0</v>
      </c>
      <c r="J1652">
        <v>0</v>
      </c>
      <c r="K1652">
        <v>0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62</v>
      </c>
      <c r="C1653" t="s">
        <v>20</v>
      </c>
      <c r="D1653">
        <v>13</v>
      </c>
      <c r="E1653">
        <v>10</v>
      </c>
      <c r="F1653">
        <v>55</v>
      </c>
      <c r="G1653">
        <v>0</v>
      </c>
      <c r="H1653">
        <v>0</v>
      </c>
      <c r="I1653">
        <v>0</v>
      </c>
      <c r="J1653">
        <v>0</v>
      </c>
      <c r="K1653">
        <v>0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63</v>
      </c>
      <c r="C1654" t="s">
        <v>18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>
        <v>0</v>
      </c>
      <c r="J1654">
        <v>0</v>
      </c>
      <c r="K1654">
        <v>0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15</v>
      </c>
      <c r="C1655" t="s">
        <v>16</v>
      </c>
      <c r="D1655">
        <v>39</v>
      </c>
      <c r="E1655">
        <v>32</v>
      </c>
      <c r="F1655">
        <v>14</v>
      </c>
      <c r="G1655">
        <v>0</v>
      </c>
      <c r="H1655">
        <v>0</v>
      </c>
      <c r="I1655">
        <v>0</v>
      </c>
      <c r="J1655">
        <v>0</v>
      </c>
      <c r="K1655">
        <v>0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17</v>
      </c>
      <c r="C1656" t="s">
        <v>18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19</v>
      </c>
      <c r="C1657" t="s">
        <v>20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>
        <v>0</v>
      </c>
      <c r="J1657">
        <v>0</v>
      </c>
      <c r="K1657">
        <v>0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21</v>
      </c>
      <c r="C1658" t="s">
        <v>18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>
        <v>0</v>
      </c>
      <c r="J1658">
        <v>0</v>
      </c>
      <c r="K1658">
        <v>0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22</v>
      </c>
      <c r="C1659" t="s">
        <v>23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24</v>
      </c>
      <c r="C1660" t="s">
        <v>16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>
        <v>0</v>
      </c>
      <c r="J1660">
        <v>0</v>
      </c>
      <c r="K1660">
        <v>0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25</v>
      </c>
      <c r="C1661" t="s">
        <v>16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>
        <v>0</v>
      </c>
      <c r="J1661">
        <v>0</v>
      </c>
      <c r="K1661">
        <v>0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26</v>
      </c>
      <c r="C1662" t="s">
        <v>23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27</v>
      </c>
      <c r="C1663" t="s">
        <v>20</v>
      </c>
      <c r="D1663">
        <v>25</v>
      </c>
      <c r="E1663">
        <v>23</v>
      </c>
      <c r="F1663">
        <v>24.1</v>
      </c>
      <c r="G1663">
        <v>0</v>
      </c>
      <c r="H1663">
        <v>0</v>
      </c>
      <c r="I1663">
        <v>0</v>
      </c>
      <c r="J1663">
        <v>0</v>
      </c>
      <c r="K1663">
        <v>0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28</v>
      </c>
      <c r="C1664" t="s">
        <v>18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>
        <v>0</v>
      </c>
      <c r="J1664">
        <v>0</v>
      </c>
      <c r="K1664">
        <v>0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29</v>
      </c>
      <c r="C1665" t="s">
        <v>16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30</v>
      </c>
      <c r="C1666" t="s">
        <v>20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>
        <v>0</v>
      </c>
      <c r="J1666">
        <v>0</v>
      </c>
      <c r="K1666">
        <v>0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31</v>
      </c>
      <c r="C1667" t="s">
        <v>18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32</v>
      </c>
      <c r="C1668" t="s">
        <v>23</v>
      </c>
      <c r="D1668">
        <v>3</v>
      </c>
      <c r="E1668">
        <v>3</v>
      </c>
      <c r="F1668">
        <v>65.23</v>
      </c>
      <c r="G1668">
        <v>0</v>
      </c>
      <c r="H1668">
        <v>0</v>
      </c>
      <c r="I1668">
        <v>0</v>
      </c>
      <c r="J1668">
        <v>0</v>
      </c>
      <c r="K1668">
        <v>0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33</v>
      </c>
      <c r="C1669" t="s">
        <v>16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>
        <v>0</v>
      </c>
      <c r="J1669">
        <v>0</v>
      </c>
      <c r="K1669">
        <v>0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34</v>
      </c>
      <c r="C1670" t="s">
        <v>18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>
        <v>0</v>
      </c>
      <c r="J1670">
        <v>0</v>
      </c>
      <c r="K1670">
        <v>0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35</v>
      </c>
      <c r="C1671" t="s">
        <v>16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>
        <v>0</v>
      </c>
      <c r="J1671">
        <v>0</v>
      </c>
      <c r="K1671">
        <v>0</v>
      </c>
      <c r="N1671">
        <v>99.31</v>
      </c>
      <c r="O1671">
        <v>30.96234309623431</v>
      </c>
    </row>
    <row r="1672" spans="1:15" x14ac:dyDescent="0.25">
      <c r="A1672" s="11">
        <v>46086</v>
      </c>
      <c r="B1672" t="s">
        <v>36</v>
      </c>
      <c r="C1672" t="s">
        <v>20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>E1672+G1672+H1672</f>
        <v>16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17</v>
      </c>
      <c r="K1672" s="3">
        <f>I1672-J1672</f>
        <v>-1</v>
      </c>
      <c r="L1672" s="3" t="str">
        <f>IF(K1672&lt;-5,"CRÍTICO",IF(K1672&lt;0,"ATENÇÃO",IF(K1672&lt;=5,"BOM","EXCELENTE")))</f>
        <v>ATENÇÃO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37</v>
      </c>
      <c r="C1673" t="s">
        <v>16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>
        <v>0</v>
      </c>
      <c r="J1673">
        <v>0</v>
      </c>
      <c r="K1673">
        <v>0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38</v>
      </c>
      <c r="C1674" t="s">
        <v>18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>
        <v>0</v>
      </c>
      <c r="J1674">
        <v>0</v>
      </c>
      <c r="K1674">
        <v>0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39</v>
      </c>
      <c r="C1675" t="s">
        <v>18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>
        <v>0</v>
      </c>
      <c r="J1675">
        <v>0</v>
      </c>
      <c r="K1675">
        <v>0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40</v>
      </c>
      <c r="C1676" t="s">
        <v>16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>
        <v>0</v>
      </c>
      <c r="J1676">
        <v>0</v>
      </c>
      <c r="K1676">
        <v>0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41</v>
      </c>
      <c r="C1677" t="s">
        <v>18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42</v>
      </c>
      <c r="C1678" t="s">
        <v>43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>
        <v>0</v>
      </c>
      <c r="J1678">
        <v>0</v>
      </c>
      <c r="K1678">
        <v>0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44</v>
      </c>
      <c r="C1679" t="s">
        <v>18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>
        <v>0</v>
      </c>
      <c r="J1679">
        <v>0</v>
      </c>
      <c r="K1679">
        <v>0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45</v>
      </c>
      <c r="C1680" t="s">
        <v>43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46</v>
      </c>
      <c r="C1681" t="s">
        <v>18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>
        <v>0</v>
      </c>
      <c r="J1681">
        <v>0</v>
      </c>
      <c r="K1681">
        <v>0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47</v>
      </c>
      <c r="C1682" t="s">
        <v>16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>
        <v>0</v>
      </c>
      <c r="J1682">
        <v>0</v>
      </c>
      <c r="K1682">
        <v>0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48</v>
      </c>
      <c r="C1683" t="s">
        <v>16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49</v>
      </c>
      <c r="C1684" t="s">
        <v>18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>
        <v>0</v>
      </c>
      <c r="J1684">
        <v>0</v>
      </c>
      <c r="K1684">
        <v>0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50</v>
      </c>
      <c r="C1685" t="s">
        <v>20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>
        <v>0</v>
      </c>
      <c r="J1685">
        <v>0</v>
      </c>
      <c r="K1685">
        <v>0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51</v>
      </c>
      <c r="C1686" t="s">
        <v>23</v>
      </c>
      <c r="D1686">
        <v>9</v>
      </c>
      <c r="E1686">
        <v>8</v>
      </c>
      <c r="F1686">
        <v>43.5</v>
      </c>
      <c r="G1686">
        <v>0</v>
      </c>
      <c r="H1686">
        <v>0</v>
      </c>
      <c r="I1686">
        <v>0</v>
      </c>
      <c r="J1686">
        <v>0</v>
      </c>
      <c r="K1686">
        <v>0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52</v>
      </c>
      <c r="C1687" t="s">
        <v>18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53</v>
      </c>
      <c r="C1688" t="s">
        <v>18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>
        <v>0</v>
      </c>
      <c r="J1688">
        <v>0</v>
      </c>
      <c r="K1688">
        <v>0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54</v>
      </c>
      <c r="C1689" t="s">
        <v>23</v>
      </c>
      <c r="D1689">
        <v>3</v>
      </c>
      <c r="E1689">
        <v>3</v>
      </c>
      <c r="F1689">
        <v>176.58</v>
      </c>
      <c r="G1689">
        <v>0</v>
      </c>
      <c r="H1689">
        <v>0</v>
      </c>
      <c r="I1689">
        <v>0</v>
      </c>
      <c r="J1689">
        <v>0</v>
      </c>
      <c r="K1689">
        <v>0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55</v>
      </c>
      <c r="C1690" t="s">
        <v>43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56</v>
      </c>
      <c r="C1691" t="s">
        <v>16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>
        <v>0</v>
      </c>
      <c r="J1691">
        <v>0</v>
      </c>
      <c r="K1691">
        <v>0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57</v>
      </c>
      <c r="C1692" t="s">
        <v>43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58</v>
      </c>
      <c r="C1693" t="s">
        <v>43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59</v>
      </c>
      <c r="C1694" t="s">
        <v>23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60</v>
      </c>
      <c r="C1695" t="s">
        <v>20</v>
      </c>
      <c r="D1695">
        <v>8</v>
      </c>
      <c r="E1695">
        <v>8</v>
      </c>
      <c r="F1695">
        <v>59.11</v>
      </c>
      <c r="G1695">
        <v>0</v>
      </c>
      <c r="H1695">
        <v>0</v>
      </c>
      <c r="I1695">
        <v>0</v>
      </c>
      <c r="J1695">
        <v>0</v>
      </c>
      <c r="K1695">
        <v>0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61</v>
      </c>
      <c r="C1696" t="s">
        <v>18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>
        <v>0</v>
      </c>
      <c r="J1696">
        <v>0</v>
      </c>
      <c r="K1696">
        <v>0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62</v>
      </c>
      <c r="C1697" t="s">
        <v>20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>
        <v>0</v>
      </c>
      <c r="J1697">
        <v>0</v>
      </c>
      <c r="K1697">
        <v>0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63</v>
      </c>
      <c r="C1698" t="s">
        <v>18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>
        <v>0</v>
      </c>
      <c r="J1698">
        <v>0</v>
      </c>
      <c r="K1698">
        <v>0</v>
      </c>
      <c r="N1698">
        <v>98.41</v>
      </c>
      <c r="O1698">
        <v>29.22465208747515</v>
      </c>
    </row>
    <row r="1699" spans="1:15" x14ac:dyDescent="0.25">
      <c r="A1699" s="11">
        <v>46055</v>
      </c>
      <c r="B1699" t="s">
        <v>15</v>
      </c>
      <c r="C1699" t="s">
        <v>16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 t="shared" ref="I1699:I1762" si="30">E1699+G1699+H1699</f>
        <v>43</v>
      </c>
      <c r="J1699" s="3">
        <f t="shared" ref="J1699:J1762" si="31"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21</v>
      </c>
      <c r="K1699" s="3">
        <f t="shared" ref="K1699:K1762" si="32">I1699-J1699</f>
        <v>22</v>
      </c>
      <c r="L1699" s="3" t="str">
        <f t="shared" ref="L1699:L1762" si="33">IF(K1699&lt;-5,"CRÍTICO",IF(K1699&lt;0,"ATENÇÃO",IF(K1699&lt;=5,"BOM","EXCELENTE")))</f>
        <v>EXCELENTE</v>
      </c>
      <c r="N1699">
        <v>98.32</v>
      </c>
      <c r="O1699">
        <v>30.303030303030301</v>
      </c>
    </row>
    <row r="1700" spans="1:15" x14ac:dyDescent="0.25">
      <c r="A1700" s="11">
        <v>46055</v>
      </c>
      <c r="B1700" t="s">
        <v>17</v>
      </c>
      <c r="C1700" t="s">
        <v>18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f t="shared" si="30"/>
        <v>0</v>
      </c>
      <c r="J1700" s="3">
        <f t="shared" si="31"/>
        <v>26</v>
      </c>
      <c r="K1700" s="3">
        <f t="shared" si="32"/>
        <v>-26</v>
      </c>
      <c r="L1700" s="3" t="str">
        <f t="shared" si="33"/>
        <v>CRÍTICO</v>
      </c>
      <c r="N1700">
        <v>98.68</v>
      </c>
      <c r="O1700">
        <v>26.219512195121951</v>
      </c>
    </row>
    <row r="1701" spans="1:15" x14ac:dyDescent="0.25">
      <c r="A1701" s="11">
        <v>46055</v>
      </c>
      <c r="B1701" t="s">
        <v>19</v>
      </c>
      <c r="C1701" t="s">
        <v>20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 t="shared" si="30"/>
        <v>27</v>
      </c>
      <c r="J1701" s="3">
        <f t="shared" si="31"/>
        <v>17</v>
      </c>
      <c r="K1701" s="3">
        <f t="shared" si="32"/>
        <v>10</v>
      </c>
      <c r="L1701" s="3" t="str">
        <f t="shared" si="33"/>
        <v>EXCELENTE</v>
      </c>
      <c r="N1701">
        <v>100</v>
      </c>
      <c r="O1701">
        <v>31.74224343675418</v>
      </c>
    </row>
    <row r="1702" spans="1:15" x14ac:dyDescent="0.25">
      <c r="A1702" s="11">
        <v>46055</v>
      </c>
      <c r="B1702" t="s">
        <v>21</v>
      </c>
      <c r="C1702" t="s">
        <v>18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 t="shared" si="30"/>
        <v>24</v>
      </c>
      <c r="J1702" s="3">
        <f t="shared" si="31"/>
        <v>26</v>
      </c>
      <c r="K1702" s="3">
        <f t="shared" si="32"/>
        <v>-2</v>
      </c>
      <c r="L1702" s="3" t="str">
        <f t="shared" si="33"/>
        <v>ATENÇÃO</v>
      </c>
      <c r="N1702">
        <v>98.25</v>
      </c>
      <c r="O1702">
        <v>25.83518930957684</v>
      </c>
    </row>
    <row r="1703" spans="1:15" x14ac:dyDescent="0.25">
      <c r="A1703" s="11">
        <v>46055</v>
      </c>
      <c r="B1703" t="s">
        <v>22</v>
      </c>
      <c r="C1703" t="s">
        <v>23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f t="shared" si="30"/>
        <v>0</v>
      </c>
      <c r="J1703" s="3">
        <f t="shared" si="31"/>
        <v>7</v>
      </c>
      <c r="K1703" s="3">
        <f t="shared" si="32"/>
        <v>-7</v>
      </c>
      <c r="L1703" s="3" t="str">
        <f t="shared" si="33"/>
        <v>CRÍTICO</v>
      </c>
      <c r="N1703">
        <v>97.5</v>
      </c>
      <c r="O1703">
        <v>30.075187969924809</v>
      </c>
    </row>
    <row r="1704" spans="1:15" x14ac:dyDescent="0.25">
      <c r="A1704" s="11">
        <v>46055</v>
      </c>
      <c r="B1704" t="s">
        <v>24</v>
      </c>
      <c r="C1704" t="s">
        <v>16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 t="shared" si="30"/>
        <v>30</v>
      </c>
      <c r="J1704" s="3">
        <f t="shared" si="31"/>
        <v>21</v>
      </c>
      <c r="K1704" s="3">
        <f t="shared" si="32"/>
        <v>9</v>
      </c>
      <c r="L1704" s="3" t="str">
        <f t="shared" si="33"/>
        <v>EXCELENTE</v>
      </c>
      <c r="N1704">
        <v>100</v>
      </c>
      <c r="O1704">
        <v>29.71311475409836</v>
      </c>
    </row>
    <row r="1705" spans="1:15" x14ac:dyDescent="0.25">
      <c r="A1705" s="11">
        <v>46055</v>
      </c>
      <c r="B1705" t="s">
        <v>25</v>
      </c>
      <c r="C1705" t="s">
        <v>16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 t="shared" si="30"/>
        <v>19</v>
      </c>
      <c r="J1705" s="3">
        <f t="shared" si="31"/>
        <v>21</v>
      </c>
      <c r="K1705" s="3">
        <f t="shared" si="32"/>
        <v>-2</v>
      </c>
      <c r="L1705" s="3" t="str">
        <f t="shared" si="33"/>
        <v>ATENÇÃO</v>
      </c>
      <c r="N1705">
        <v>99.22</v>
      </c>
      <c r="O1705">
        <v>35.256410256410263</v>
      </c>
    </row>
    <row r="1706" spans="1:15" x14ac:dyDescent="0.25">
      <c r="A1706" s="11">
        <v>46055</v>
      </c>
      <c r="B1706" t="s">
        <v>26</v>
      </c>
      <c r="C1706" t="s">
        <v>23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f t="shared" si="30"/>
        <v>0</v>
      </c>
      <c r="J1706" s="3">
        <f t="shared" si="31"/>
        <v>7</v>
      </c>
      <c r="K1706" s="3">
        <f t="shared" si="32"/>
        <v>-7</v>
      </c>
      <c r="L1706" s="3" t="str">
        <f t="shared" si="33"/>
        <v>CRÍTICO</v>
      </c>
      <c r="N1706">
        <v>0</v>
      </c>
      <c r="O1706">
        <v>0</v>
      </c>
    </row>
    <row r="1707" spans="1:15" x14ac:dyDescent="0.25">
      <c r="A1707" s="11">
        <v>46055</v>
      </c>
      <c r="B1707" t="s">
        <v>27</v>
      </c>
      <c r="C1707" t="s">
        <v>20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 t="shared" si="30"/>
        <v>1</v>
      </c>
      <c r="J1707" s="3">
        <f t="shared" si="31"/>
        <v>17</v>
      </c>
      <c r="K1707" s="3">
        <f t="shared" si="32"/>
        <v>-16</v>
      </c>
      <c r="L1707" s="3" t="str">
        <f t="shared" si="33"/>
        <v>CRÍTICO</v>
      </c>
      <c r="N1707">
        <v>98.75</v>
      </c>
      <c r="O1707">
        <v>24.32432432432433</v>
      </c>
    </row>
    <row r="1708" spans="1:15" x14ac:dyDescent="0.25">
      <c r="A1708" s="11">
        <v>46055</v>
      </c>
      <c r="B1708" t="s">
        <v>28</v>
      </c>
      <c r="C1708" t="s">
        <v>18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 t="shared" si="30"/>
        <v>42</v>
      </c>
      <c r="J1708" s="3">
        <f t="shared" si="31"/>
        <v>26</v>
      </c>
      <c r="K1708" s="3">
        <f t="shared" si="32"/>
        <v>16</v>
      </c>
      <c r="L1708" s="3" t="str">
        <f t="shared" si="33"/>
        <v>EXCELENTE</v>
      </c>
      <c r="N1708">
        <v>93.48</v>
      </c>
      <c r="O1708">
        <v>31.334622823984521</v>
      </c>
    </row>
    <row r="1709" spans="1:15" x14ac:dyDescent="0.25">
      <c r="A1709" s="11">
        <v>46055</v>
      </c>
      <c r="B1709" t="s">
        <v>29</v>
      </c>
      <c r="C1709" t="s">
        <v>16</v>
      </c>
      <c r="D1709">
        <v>0</v>
      </c>
      <c r="E1709">
        <v>0</v>
      </c>
      <c r="F1709">
        <v>0</v>
      </c>
      <c r="G1709">
        <v>0</v>
      </c>
      <c r="H1709">
        <v>0</v>
      </c>
      <c r="I1709" s="3">
        <f t="shared" si="30"/>
        <v>0</v>
      </c>
      <c r="J1709" s="3">
        <f t="shared" si="31"/>
        <v>21</v>
      </c>
      <c r="K1709" s="3">
        <f t="shared" si="32"/>
        <v>-21</v>
      </c>
      <c r="L1709" s="3" t="str">
        <f t="shared" si="33"/>
        <v>CRÍTICO</v>
      </c>
      <c r="N1709">
        <v>99.16</v>
      </c>
      <c r="O1709">
        <v>26.13908872901678</v>
      </c>
    </row>
    <row r="1710" spans="1:15" x14ac:dyDescent="0.25">
      <c r="A1710" s="11">
        <v>46055</v>
      </c>
      <c r="B1710" t="s">
        <v>30</v>
      </c>
      <c r="C1710" t="s">
        <v>20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 t="shared" si="30"/>
        <v>9</v>
      </c>
      <c r="J1710" s="3">
        <f t="shared" si="31"/>
        <v>17</v>
      </c>
      <c r="K1710" s="3">
        <f t="shared" si="32"/>
        <v>-8</v>
      </c>
      <c r="L1710" s="3" t="str">
        <f t="shared" si="33"/>
        <v>CRÍTICO</v>
      </c>
      <c r="N1710">
        <v>100</v>
      </c>
      <c r="O1710">
        <v>31.089743589743591</v>
      </c>
    </row>
    <row r="1711" spans="1:15" x14ac:dyDescent="0.25">
      <c r="A1711" s="11">
        <v>46055</v>
      </c>
      <c r="B1711" t="s">
        <v>31</v>
      </c>
      <c r="C1711" t="s">
        <v>18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f t="shared" si="30"/>
        <v>0</v>
      </c>
      <c r="J1711" s="3">
        <f t="shared" si="31"/>
        <v>26</v>
      </c>
      <c r="K1711" s="3">
        <f t="shared" si="32"/>
        <v>-26</v>
      </c>
      <c r="L1711" s="3" t="str">
        <f t="shared" si="33"/>
        <v>CRÍTICO</v>
      </c>
      <c r="N1711">
        <v>98.11</v>
      </c>
      <c r="O1711">
        <v>33.033707865168537</v>
      </c>
    </row>
    <row r="1712" spans="1:15" x14ac:dyDescent="0.25">
      <c r="A1712" s="11">
        <v>46055</v>
      </c>
      <c r="B1712" t="s">
        <v>32</v>
      </c>
      <c r="C1712" t="s">
        <v>23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f t="shared" si="30"/>
        <v>0</v>
      </c>
      <c r="J1712" s="3">
        <f t="shared" si="31"/>
        <v>7</v>
      </c>
      <c r="K1712" s="3">
        <f t="shared" si="32"/>
        <v>-7</v>
      </c>
      <c r="L1712" s="3" t="str">
        <f t="shared" si="33"/>
        <v>CRÍTICO</v>
      </c>
      <c r="N1712">
        <v>78.95</v>
      </c>
      <c r="O1712">
        <v>38.983050847457633</v>
      </c>
    </row>
    <row r="1713" spans="1:15" x14ac:dyDescent="0.25">
      <c r="A1713" s="11">
        <v>46055</v>
      </c>
      <c r="B1713" t="s">
        <v>33</v>
      </c>
      <c r="C1713" t="s">
        <v>16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 t="shared" si="30"/>
        <v>27</v>
      </c>
      <c r="J1713" s="3">
        <f t="shared" si="31"/>
        <v>21</v>
      </c>
      <c r="K1713" s="3">
        <f t="shared" si="32"/>
        <v>6</v>
      </c>
      <c r="L1713" s="3" t="str">
        <f t="shared" si="33"/>
        <v>EXCELENTE</v>
      </c>
      <c r="N1713">
        <v>98.45</v>
      </c>
      <c r="O1713">
        <v>29.281767955801101</v>
      </c>
    </row>
    <row r="1714" spans="1:15" x14ac:dyDescent="0.25">
      <c r="A1714" s="11">
        <v>46055</v>
      </c>
      <c r="B1714" t="s">
        <v>34</v>
      </c>
      <c r="C1714" t="s">
        <v>18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 t="shared" si="30"/>
        <v>22</v>
      </c>
      <c r="J1714" s="3">
        <f t="shared" si="31"/>
        <v>26</v>
      </c>
      <c r="K1714" s="3">
        <f t="shared" si="32"/>
        <v>-4</v>
      </c>
      <c r="L1714" s="3" t="str">
        <f t="shared" si="33"/>
        <v>ATENÇÃO</v>
      </c>
      <c r="N1714">
        <v>97.84</v>
      </c>
      <c r="O1714">
        <v>26.282051282051281</v>
      </c>
    </row>
    <row r="1715" spans="1:15" x14ac:dyDescent="0.25">
      <c r="A1715" s="11">
        <v>46055</v>
      </c>
      <c r="B1715" t="s">
        <v>35</v>
      </c>
      <c r="C1715" t="s">
        <v>16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 t="shared" si="30"/>
        <v>29</v>
      </c>
      <c r="J1715" s="3">
        <f t="shared" si="31"/>
        <v>21</v>
      </c>
      <c r="K1715" s="3">
        <f t="shared" si="32"/>
        <v>8</v>
      </c>
      <c r="L1715" s="3" t="str">
        <f t="shared" si="33"/>
        <v>EXCELENTE</v>
      </c>
      <c r="N1715">
        <v>98.5</v>
      </c>
      <c r="O1715">
        <v>23.97769516728625</v>
      </c>
    </row>
    <row r="1716" spans="1:15" x14ac:dyDescent="0.25">
      <c r="A1716" s="11">
        <v>46087</v>
      </c>
      <c r="B1716" t="s">
        <v>36</v>
      </c>
      <c r="C1716" t="s">
        <v>20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f t="shared" si="30"/>
        <v>0</v>
      </c>
      <c r="J1716" s="3">
        <f t="shared" si="31"/>
        <v>17</v>
      </c>
      <c r="K1716" s="3">
        <f t="shared" si="32"/>
        <v>-17</v>
      </c>
      <c r="L1716" s="3" t="str">
        <f t="shared" si="33"/>
        <v>CRÍTICO</v>
      </c>
      <c r="N1716">
        <v>99.05</v>
      </c>
      <c r="O1716">
        <v>26.621923937360179</v>
      </c>
    </row>
    <row r="1717" spans="1:15" x14ac:dyDescent="0.25">
      <c r="A1717" s="11">
        <v>46055</v>
      </c>
      <c r="B1717" t="s">
        <v>37</v>
      </c>
      <c r="C1717" t="s">
        <v>16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 t="shared" si="30"/>
        <v>35</v>
      </c>
      <c r="J1717" s="3">
        <f t="shared" si="31"/>
        <v>21</v>
      </c>
      <c r="K1717" s="3">
        <f t="shared" si="32"/>
        <v>14</v>
      </c>
      <c r="L1717" s="3" t="str">
        <f t="shared" si="33"/>
        <v>EXCELENTE</v>
      </c>
      <c r="N1717">
        <v>98.53</v>
      </c>
      <c r="O1717">
        <v>31.578947368421051</v>
      </c>
    </row>
    <row r="1718" spans="1:15" x14ac:dyDescent="0.25">
      <c r="A1718" s="11">
        <v>46055</v>
      </c>
      <c r="B1718" t="s">
        <v>38</v>
      </c>
      <c r="C1718" t="s">
        <v>18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 t="shared" si="30"/>
        <v>51</v>
      </c>
      <c r="J1718" s="3">
        <f t="shared" si="31"/>
        <v>26</v>
      </c>
      <c r="K1718" s="3">
        <f t="shared" si="32"/>
        <v>25</v>
      </c>
      <c r="L1718" s="3" t="str">
        <f t="shared" si="33"/>
        <v>EXCELENTE</v>
      </c>
      <c r="N1718">
        <v>100</v>
      </c>
      <c r="O1718">
        <v>25.72214580467676</v>
      </c>
    </row>
    <row r="1719" spans="1:15" x14ac:dyDescent="0.25">
      <c r="A1719" s="11">
        <v>46055</v>
      </c>
      <c r="B1719" t="s">
        <v>39</v>
      </c>
      <c r="C1719" t="s">
        <v>18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 t="shared" si="30"/>
        <v>16</v>
      </c>
      <c r="J1719" s="3">
        <f t="shared" si="31"/>
        <v>26</v>
      </c>
      <c r="K1719" s="3">
        <f t="shared" si="32"/>
        <v>-10</v>
      </c>
      <c r="L1719" s="3" t="str">
        <f t="shared" si="33"/>
        <v>CRÍTICO</v>
      </c>
      <c r="N1719">
        <v>94.64</v>
      </c>
      <c r="O1719">
        <v>27.52941176470588</v>
      </c>
    </row>
    <row r="1720" spans="1:15" x14ac:dyDescent="0.25">
      <c r="A1720" s="11">
        <v>46055</v>
      </c>
      <c r="B1720" t="s">
        <v>40</v>
      </c>
      <c r="C1720" t="s">
        <v>16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 t="shared" si="30"/>
        <v>36</v>
      </c>
      <c r="J1720" s="3">
        <f t="shared" si="31"/>
        <v>21</v>
      </c>
      <c r="K1720" s="3">
        <f t="shared" si="32"/>
        <v>15</v>
      </c>
      <c r="L1720" s="3" t="str">
        <f t="shared" si="33"/>
        <v>EXCELENTE</v>
      </c>
      <c r="N1720">
        <v>99.07</v>
      </c>
      <c r="O1720">
        <v>26.376811594202898</v>
      </c>
    </row>
    <row r="1721" spans="1:15" x14ac:dyDescent="0.25">
      <c r="A1721" s="11">
        <v>46055</v>
      </c>
      <c r="B1721" t="s">
        <v>41</v>
      </c>
      <c r="C1721" t="s">
        <v>18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f t="shared" si="30"/>
        <v>0</v>
      </c>
      <c r="J1721" s="3">
        <f t="shared" si="31"/>
        <v>26</v>
      </c>
      <c r="K1721" s="3">
        <f t="shared" si="32"/>
        <v>-26</v>
      </c>
      <c r="L1721" s="3" t="str">
        <f t="shared" si="33"/>
        <v>CRÍTICO</v>
      </c>
      <c r="N1721">
        <v>100</v>
      </c>
      <c r="O1721">
        <v>0</v>
      </c>
    </row>
    <row r="1722" spans="1:15" x14ac:dyDescent="0.25">
      <c r="A1722" s="11">
        <v>46055</v>
      </c>
      <c r="B1722" t="s">
        <v>42</v>
      </c>
      <c r="C1722" t="s">
        <v>43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 t="shared" si="30"/>
        <v>15</v>
      </c>
      <c r="J1722" s="3">
        <f t="shared" si="31"/>
        <v>15</v>
      </c>
      <c r="K1722" s="3">
        <f t="shared" si="32"/>
        <v>0</v>
      </c>
      <c r="L1722" s="3" t="str">
        <f t="shared" si="33"/>
        <v>BOM</v>
      </c>
      <c r="N1722">
        <v>98.48</v>
      </c>
      <c r="O1722">
        <v>27.853881278538811</v>
      </c>
    </row>
    <row r="1723" spans="1:15" x14ac:dyDescent="0.25">
      <c r="A1723" s="11">
        <v>46055</v>
      </c>
      <c r="B1723" t="s">
        <v>44</v>
      </c>
      <c r="C1723" t="s">
        <v>18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 t="shared" si="30"/>
        <v>30</v>
      </c>
      <c r="J1723" s="3">
        <f t="shared" si="31"/>
        <v>26</v>
      </c>
      <c r="K1723" s="3">
        <f t="shared" si="32"/>
        <v>4</v>
      </c>
      <c r="L1723" s="3" t="str">
        <f t="shared" si="33"/>
        <v>BOM</v>
      </c>
      <c r="N1723">
        <v>95.15</v>
      </c>
      <c r="O1723">
        <v>34.131736526946113</v>
      </c>
    </row>
    <row r="1724" spans="1:15" x14ac:dyDescent="0.25">
      <c r="A1724" s="11">
        <v>46055</v>
      </c>
      <c r="B1724" t="s">
        <v>45</v>
      </c>
      <c r="C1724" t="s">
        <v>43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f t="shared" si="30"/>
        <v>0</v>
      </c>
      <c r="J1724" s="3">
        <f t="shared" si="31"/>
        <v>15</v>
      </c>
      <c r="K1724" s="3">
        <f t="shared" si="32"/>
        <v>-15</v>
      </c>
      <c r="L1724" s="3" t="str">
        <f t="shared" si="33"/>
        <v>CRÍTICO</v>
      </c>
      <c r="N1724">
        <v>0</v>
      </c>
      <c r="O1724">
        <v>0</v>
      </c>
    </row>
    <row r="1725" spans="1:15" x14ac:dyDescent="0.25">
      <c r="A1725" s="11">
        <v>46055</v>
      </c>
      <c r="B1725" t="s">
        <v>46</v>
      </c>
      <c r="C1725" t="s">
        <v>18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 t="shared" si="30"/>
        <v>32</v>
      </c>
      <c r="J1725" s="3">
        <f t="shared" si="31"/>
        <v>26</v>
      </c>
      <c r="K1725" s="3">
        <f t="shared" si="32"/>
        <v>6</v>
      </c>
      <c r="L1725" s="3" t="str">
        <f t="shared" si="33"/>
        <v>EXCELENTE</v>
      </c>
      <c r="N1725">
        <v>99.26</v>
      </c>
      <c r="O1725">
        <v>30.84832904884319</v>
      </c>
    </row>
    <row r="1726" spans="1:15" x14ac:dyDescent="0.25">
      <c r="A1726" s="11">
        <v>46055</v>
      </c>
      <c r="B1726" t="s">
        <v>47</v>
      </c>
      <c r="C1726" t="s">
        <v>16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 t="shared" si="30"/>
        <v>27</v>
      </c>
      <c r="J1726" s="3">
        <f t="shared" si="31"/>
        <v>21</v>
      </c>
      <c r="K1726" s="3">
        <f t="shared" si="32"/>
        <v>6</v>
      </c>
      <c r="L1726" s="3" t="str">
        <f t="shared" si="33"/>
        <v>EXCELENTE</v>
      </c>
      <c r="N1726">
        <v>97.48</v>
      </c>
      <c r="O1726">
        <v>27.764705882352938</v>
      </c>
    </row>
    <row r="1727" spans="1:15" x14ac:dyDescent="0.25">
      <c r="A1727" s="11">
        <v>46055</v>
      </c>
      <c r="B1727" t="s">
        <v>48</v>
      </c>
      <c r="C1727" t="s">
        <v>16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f t="shared" si="30"/>
        <v>0</v>
      </c>
      <c r="J1727" s="3">
        <f t="shared" si="31"/>
        <v>21</v>
      </c>
      <c r="K1727" s="3">
        <f t="shared" si="32"/>
        <v>-21</v>
      </c>
      <c r="L1727" s="3" t="str">
        <f t="shared" si="33"/>
        <v>CRÍTICO</v>
      </c>
      <c r="N1727">
        <v>99.34</v>
      </c>
      <c r="O1727">
        <v>30.04291845493562</v>
      </c>
    </row>
    <row r="1728" spans="1:15" x14ac:dyDescent="0.25">
      <c r="A1728" s="11">
        <v>46055</v>
      </c>
      <c r="B1728" t="s">
        <v>49</v>
      </c>
      <c r="C1728" t="s">
        <v>18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f t="shared" si="30"/>
        <v>0</v>
      </c>
      <c r="J1728" s="3">
        <f t="shared" si="31"/>
        <v>26</v>
      </c>
      <c r="K1728" s="3">
        <f t="shared" si="32"/>
        <v>-26</v>
      </c>
      <c r="L1728" s="3" t="str">
        <f t="shared" si="33"/>
        <v>CRÍTICO</v>
      </c>
      <c r="N1728">
        <v>96.3</v>
      </c>
      <c r="O1728">
        <v>24.29378531073446</v>
      </c>
    </row>
    <row r="1729" spans="1:15" x14ac:dyDescent="0.25">
      <c r="A1729" s="11">
        <v>46055</v>
      </c>
      <c r="B1729" t="s">
        <v>50</v>
      </c>
      <c r="C1729" t="s">
        <v>20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 t="shared" si="30"/>
        <v>23</v>
      </c>
      <c r="J1729" s="3">
        <f t="shared" si="31"/>
        <v>17</v>
      </c>
      <c r="K1729" s="3">
        <f t="shared" si="32"/>
        <v>6</v>
      </c>
      <c r="L1729" s="3" t="str">
        <f t="shared" si="33"/>
        <v>EXCELENTE</v>
      </c>
      <c r="N1729">
        <v>100</v>
      </c>
      <c r="O1729">
        <v>26.543209876543209</v>
      </c>
    </row>
    <row r="1730" spans="1:15" x14ac:dyDescent="0.25">
      <c r="A1730" s="11">
        <v>46055</v>
      </c>
      <c r="B1730" t="s">
        <v>51</v>
      </c>
      <c r="C1730" t="s">
        <v>23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 t="shared" si="30"/>
        <v>8</v>
      </c>
      <c r="J1730" s="3">
        <f t="shared" si="31"/>
        <v>7</v>
      </c>
      <c r="K1730" s="3">
        <f t="shared" si="32"/>
        <v>1</v>
      </c>
      <c r="L1730" s="3" t="str">
        <f t="shared" si="33"/>
        <v>BOM</v>
      </c>
      <c r="N1730">
        <v>100</v>
      </c>
      <c r="O1730">
        <v>35.483870967741943</v>
      </c>
    </row>
    <row r="1731" spans="1:15" x14ac:dyDescent="0.25">
      <c r="A1731" s="11">
        <v>46055</v>
      </c>
      <c r="B1731" t="s">
        <v>52</v>
      </c>
      <c r="C1731" t="s">
        <v>18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 t="shared" si="30"/>
        <v>35</v>
      </c>
      <c r="J1731" s="3">
        <f t="shared" si="31"/>
        <v>26</v>
      </c>
      <c r="K1731" s="3">
        <f t="shared" si="32"/>
        <v>9</v>
      </c>
      <c r="L1731" s="3" t="str">
        <f t="shared" si="33"/>
        <v>EXCELENTE</v>
      </c>
      <c r="N1731">
        <v>99.27</v>
      </c>
      <c r="O1731">
        <v>31.163708086785011</v>
      </c>
    </row>
    <row r="1732" spans="1:15" x14ac:dyDescent="0.25">
      <c r="A1732" s="11">
        <v>46055</v>
      </c>
      <c r="B1732" t="s">
        <v>53</v>
      </c>
      <c r="C1732" t="s">
        <v>18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 t="shared" si="30"/>
        <v>37</v>
      </c>
      <c r="J1732" s="3">
        <f t="shared" si="31"/>
        <v>26</v>
      </c>
      <c r="K1732" s="3">
        <f t="shared" si="32"/>
        <v>11</v>
      </c>
      <c r="L1732" s="3" t="str">
        <f t="shared" si="33"/>
        <v>EXCELENTE</v>
      </c>
      <c r="N1732">
        <v>94.16</v>
      </c>
      <c r="O1732">
        <v>27.038626609442058</v>
      </c>
    </row>
    <row r="1733" spans="1:15" x14ac:dyDescent="0.25">
      <c r="A1733" s="11">
        <v>46055</v>
      </c>
      <c r="B1733" t="s">
        <v>54</v>
      </c>
      <c r="C1733" t="s">
        <v>23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 t="shared" si="30"/>
        <v>9</v>
      </c>
      <c r="J1733" s="3">
        <f t="shared" si="31"/>
        <v>7</v>
      </c>
      <c r="K1733" s="3">
        <f t="shared" si="32"/>
        <v>2</v>
      </c>
      <c r="L1733" s="3" t="str">
        <f t="shared" si="33"/>
        <v>BOM</v>
      </c>
      <c r="N1733">
        <v>93.75</v>
      </c>
      <c r="O1733">
        <v>19.31818181818182</v>
      </c>
    </row>
    <row r="1734" spans="1:15" x14ac:dyDescent="0.25">
      <c r="A1734" s="11">
        <v>46055</v>
      </c>
      <c r="B1734" t="s">
        <v>55</v>
      </c>
      <c r="C1734" t="s">
        <v>43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f t="shared" si="30"/>
        <v>0</v>
      </c>
      <c r="J1734" s="3">
        <f t="shared" si="31"/>
        <v>15</v>
      </c>
      <c r="K1734" s="3">
        <f t="shared" si="32"/>
        <v>-15</v>
      </c>
      <c r="L1734" s="3" t="str">
        <f t="shared" si="33"/>
        <v>CRÍTICO</v>
      </c>
      <c r="N1734">
        <v>0</v>
      </c>
      <c r="O1734">
        <v>0</v>
      </c>
    </row>
    <row r="1735" spans="1:15" x14ac:dyDescent="0.25">
      <c r="A1735" s="11">
        <v>46055</v>
      </c>
      <c r="B1735" t="s">
        <v>56</v>
      </c>
      <c r="C1735" t="s">
        <v>16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 t="shared" si="30"/>
        <v>31</v>
      </c>
      <c r="J1735" s="3">
        <f t="shared" si="31"/>
        <v>21</v>
      </c>
      <c r="K1735" s="3">
        <f t="shared" si="32"/>
        <v>10</v>
      </c>
      <c r="L1735" s="3" t="str">
        <f t="shared" si="33"/>
        <v>EXCELENTE</v>
      </c>
      <c r="N1735">
        <v>97.92</v>
      </c>
      <c r="O1735">
        <v>32.87671232876712</v>
      </c>
    </row>
    <row r="1736" spans="1:15" x14ac:dyDescent="0.25">
      <c r="A1736" s="11">
        <v>46055</v>
      </c>
      <c r="B1736" t="s">
        <v>57</v>
      </c>
      <c r="C1736" t="s">
        <v>43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f t="shared" si="30"/>
        <v>0</v>
      </c>
      <c r="J1736" s="3">
        <f t="shared" si="31"/>
        <v>15</v>
      </c>
      <c r="K1736" s="3">
        <f t="shared" si="32"/>
        <v>-15</v>
      </c>
      <c r="L1736" s="3" t="str">
        <f t="shared" si="33"/>
        <v>CRÍTICO</v>
      </c>
      <c r="N1736">
        <v>0</v>
      </c>
      <c r="O1736">
        <v>0</v>
      </c>
    </row>
    <row r="1737" spans="1:15" x14ac:dyDescent="0.25">
      <c r="A1737" s="11">
        <v>46055</v>
      </c>
      <c r="B1737" t="s">
        <v>58</v>
      </c>
      <c r="C1737" t="s">
        <v>43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f t="shared" si="30"/>
        <v>0</v>
      </c>
      <c r="J1737" s="3">
        <f t="shared" si="31"/>
        <v>15</v>
      </c>
      <c r="K1737" s="3">
        <f t="shared" si="32"/>
        <v>-15</v>
      </c>
      <c r="L1737" s="3" t="str">
        <f t="shared" si="33"/>
        <v>CRÍTICO</v>
      </c>
      <c r="N1737">
        <v>0</v>
      </c>
      <c r="O1737">
        <v>0</v>
      </c>
    </row>
    <row r="1738" spans="1:15" x14ac:dyDescent="0.25">
      <c r="A1738" s="11">
        <v>46055</v>
      </c>
      <c r="B1738" t="s">
        <v>59</v>
      </c>
      <c r="C1738" t="s">
        <v>23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f t="shared" si="30"/>
        <v>0</v>
      </c>
      <c r="J1738" s="3">
        <f t="shared" si="31"/>
        <v>7</v>
      </c>
      <c r="K1738" s="3">
        <f t="shared" si="32"/>
        <v>-7</v>
      </c>
      <c r="L1738" s="3" t="str">
        <f t="shared" si="33"/>
        <v>CRÍTICO</v>
      </c>
      <c r="N1738">
        <v>0</v>
      </c>
      <c r="O1738">
        <v>0</v>
      </c>
    </row>
    <row r="1739" spans="1:15" x14ac:dyDescent="0.25">
      <c r="A1739" s="11">
        <v>46055</v>
      </c>
      <c r="B1739" t="s">
        <v>60</v>
      </c>
      <c r="C1739" t="s">
        <v>20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 t="shared" si="30"/>
        <v>11</v>
      </c>
      <c r="J1739" s="3">
        <f t="shared" si="31"/>
        <v>17</v>
      </c>
      <c r="K1739" s="3">
        <f t="shared" si="32"/>
        <v>-6</v>
      </c>
      <c r="L1739" s="3" t="str">
        <f t="shared" si="33"/>
        <v>CRÍTICO</v>
      </c>
      <c r="N1739">
        <v>98.51</v>
      </c>
      <c r="O1739">
        <v>29.710144927536231</v>
      </c>
    </row>
    <row r="1740" spans="1:15" x14ac:dyDescent="0.25">
      <c r="A1740" s="11">
        <v>46055</v>
      </c>
      <c r="B1740" t="s">
        <v>61</v>
      </c>
      <c r="C1740" t="s">
        <v>18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 t="shared" si="30"/>
        <v>40</v>
      </c>
      <c r="J1740" s="3">
        <f t="shared" si="31"/>
        <v>26</v>
      </c>
      <c r="K1740" s="3">
        <f t="shared" si="32"/>
        <v>14</v>
      </c>
      <c r="L1740" s="3" t="str">
        <f t="shared" si="33"/>
        <v>EXCELENTE</v>
      </c>
      <c r="N1740">
        <v>98.81</v>
      </c>
      <c r="O1740">
        <v>30.712979890310791</v>
      </c>
    </row>
    <row r="1741" spans="1:15" x14ac:dyDescent="0.25">
      <c r="A1741" s="11">
        <v>46055</v>
      </c>
      <c r="B1741" t="s">
        <v>62</v>
      </c>
      <c r="C1741" t="s">
        <v>20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 t="shared" si="30"/>
        <v>16</v>
      </c>
      <c r="J1741" s="3">
        <f t="shared" si="31"/>
        <v>17</v>
      </c>
      <c r="K1741" s="3">
        <f t="shared" si="32"/>
        <v>-1</v>
      </c>
      <c r="L1741" s="3" t="str">
        <f t="shared" si="33"/>
        <v>ATENÇÃO</v>
      </c>
      <c r="N1741">
        <v>98.48</v>
      </c>
      <c r="O1741">
        <v>29.35323383084577</v>
      </c>
    </row>
    <row r="1742" spans="1:15" x14ac:dyDescent="0.25">
      <c r="A1742" s="11">
        <v>46055</v>
      </c>
      <c r="B1742" t="s">
        <v>63</v>
      </c>
      <c r="C1742" t="s">
        <v>18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 t="shared" si="30"/>
        <v>32</v>
      </c>
      <c r="J1742" s="3">
        <f t="shared" si="31"/>
        <v>26</v>
      </c>
      <c r="K1742" s="3">
        <f t="shared" si="32"/>
        <v>6</v>
      </c>
      <c r="L1742" s="3" t="str">
        <f t="shared" si="33"/>
        <v>EXCELENTE</v>
      </c>
      <c r="N1742">
        <v>98.56</v>
      </c>
      <c r="O1742">
        <v>29.373650107991359</v>
      </c>
    </row>
    <row r="1743" spans="1:15" x14ac:dyDescent="0.25">
      <c r="A1743" s="11">
        <v>46056</v>
      </c>
      <c r="B1743" t="s">
        <v>15</v>
      </c>
      <c r="C1743" t="s">
        <v>16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 t="shared" si="30"/>
        <v>35</v>
      </c>
      <c r="J1743" s="3">
        <f t="shared" si="31"/>
        <v>24</v>
      </c>
      <c r="K1743" s="3">
        <f t="shared" si="32"/>
        <v>11</v>
      </c>
      <c r="L1743" s="3" t="str">
        <f t="shared" si="33"/>
        <v>EXCELENTE</v>
      </c>
      <c r="N1743">
        <v>98.32</v>
      </c>
      <c r="O1743">
        <v>30.303030303030301</v>
      </c>
    </row>
    <row r="1744" spans="1:15" x14ac:dyDescent="0.25">
      <c r="A1744" s="11">
        <v>46056</v>
      </c>
      <c r="B1744" t="s">
        <v>17</v>
      </c>
      <c r="C1744" t="s">
        <v>18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f t="shared" si="30"/>
        <v>0</v>
      </c>
      <c r="J1744" s="3">
        <f t="shared" si="31"/>
        <v>29</v>
      </c>
      <c r="K1744" s="3">
        <f t="shared" si="32"/>
        <v>-29</v>
      </c>
      <c r="L1744" s="3" t="str">
        <f t="shared" si="33"/>
        <v>CRÍTICO</v>
      </c>
      <c r="N1744">
        <v>98.68</v>
      </c>
      <c r="O1744">
        <v>26.219512195121951</v>
      </c>
    </row>
    <row r="1745" spans="1:15" x14ac:dyDescent="0.25">
      <c r="A1745" s="11">
        <v>46056</v>
      </c>
      <c r="B1745" t="s">
        <v>19</v>
      </c>
      <c r="C1745" t="s">
        <v>20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 t="shared" si="30"/>
        <v>27</v>
      </c>
      <c r="J1745" s="3">
        <f t="shared" si="31"/>
        <v>19</v>
      </c>
      <c r="K1745" s="3">
        <f t="shared" si="32"/>
        <v>8</v>
      </c>
      <c r="L1745" s="3" t="str">
        <f t="shared" si="33"/>
        <v>EXCELENTE</v>
      </c>
      <c r="N1745">
        <v>100</v>
      </c>
      <c r="O1745">
        <v>31.74224343675418</v>
      </c>
    </row>
    <row r="1746" spans="1:15" x14ac:dyDescent="0.25">
      <c r="A1746" s="11">
        <v>46056</v>
      </c>
      <c r="B1746" t="s">
        <v>21</v>
      </c>
      <c r="C1746" t="s">
        <v>18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 t="shared" si="30"/>
        <v>39</v>
      </c>
      <c r="J1746" s="3">
        <f t="shared" si="31"/>
        <v>29</v>
      </c>
      <c r="K1746" s="3">
        <f t="shared" si="32"/>
        <v>10</v>
      </c>
      <c r="L1746" s="3" t="str">
        <f t="shared" si="33"/>
        <v>EXCELENTE</v>
      </c>
      <c r="N1746">
        <v>98.25</v>
      </c>
      <c r="O1746">
        <v>25.83518930957684</v>
      </c>
    </row>
    <row r="1747" spans="1:15" x14ac:dyDescent="0.25">
      <c r="A1747" s="11">
        <v>46056</v>
      </c>
      <c r="B1747" t="s">
        <v>22</v>
      </c>
      <c r="C1747" t="s">
        <v>23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 t="shared" si="30"/>
        <v>6</v>
      </c>
      <c r="J1747" s="3">
        <f t="shared" si="31"/>
        <v>8</v>
      </c>
      <c r="K1747" s="3">
        <f t="shared" si="32"/>
        <v>-2</v>
      </c>
      <c r="L1747" s="3" t="str">
        <f t="shared" si="33"/>
        <v>ATENÇÃO</v>
      </c>
      <c r="N1747">
        <v>97.5</v>
      </c>
      <c r="O1747">
        <v>30.075187969924809</v>
      </c>
    </row>
    <row r="1748" spans="1:15" x14ac:dyDescent="0.25">
      <c r="A1748" s="11">
        <v>46056</v>
      </c>
      <c r="B1748" t="s">
        <v>24</v>
      </c>
      <c r="C1748" t="s">
        <v>16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 t="shared" si="30"/>
        <v>38</v>
      </c>
      <c r="J1748" s="3">
        <f t="shared" si="31"/>
        <v>24</v>
      </c>
      <c r="K1748" s="3">
        <f t="shared" si="32"/>
        <v>14</v>
      </c>
      <c r="L1748" s="3" t="str">
        <f t="shared" si="33"/>
        <v>EXCELENTE</v>
      </c>
      <c r="N1748">
        <v>100</v>
      </c>
      <c r="O1748">
        <v>29.71311475409836</v>
      </c>
    </row>
    <row r="1749" spans="1:15" x14ac:dyDescent="0.25">
      <c r="A1749" s="11">
        <v>46056</v>
      </c>
      <c r="B1749" t="s">
        <v>25</v>
      </c>
      <c r="C1749" t="s">
        <v>16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 t="shared" si="30"/>
        <v>25</v>
      </c>
      <c r="J1749" s="3">
        <f t="shared" si="31"/>
        <v>24</v>
      </c>
      <c r="K1749" s="3">
        <f t="shared" si="32"/>
        <v>1</v>
      </c>
      <c r="L1749" s="3" t="str">
        <f t="shared" si="33"/>
        <v>BOM</v>
      </c>
      <c r="N1749">
        <v>99.22</v>
      </c>
      <c r="O1749">
        <v>35.256410256410263</v>
      </c>
    </row>
    <row r="1750" spans="1:15" x14ac:dyDescent="0.25">
      <c r="A1750" s="11">
        <v>46056</v>
      </c>
      <c r="B1750" t="s">
        <v>26</v>
      </c>
      <c r="C1750" t="s">
        <v>23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f t="shared" si="30"/>
        <v>0</v>
      </c>
      <c r="J1750" s="3">
        <f t="shared" si="31"/>
        <v>8</v>
      </c>
      <c r="K1750" s="3">
        <f t="shared" si="32"/>
        <v>-8</v>
      </c>
      <c r="L1750" s="3" t="str">
        <f t="shared" si="33"/>
        <v>CRÍTICO</v>
      </c>
      <c r="N1750">
        <v>0</v>
      </c>
      <c r="O1750">
        <v>0</v>
      </c>
    </row>
    <row r="1751" spans="1:15" x14ac:dyDescent="0.25">
      <c r="A1751" s="11">
        <v>46056</v>
      </c>
      <c r="B1751" t="s">
        <v>27</v>
      </c>
      <c r="C1751" t="s">
        <v>20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 t="shared" si="30"/>
        <v>21</v>
      </c>
      <c r="J1751" s="3">
        <f t="shared" si="31"/>
        <v>19</v>
      </c>
      <c r="K1751" s="3">
        <f t="shared" si="32"/>
        <v>2</v>
      </c>
      <c r="L1751" s="3" t="str">
        <f t="shared" si="33"/>
        <v>BOM</v>
      </c>
      <c r="N1751">
        <v>98.75</v>
      </c>
      <c r="O1751">
        <v>24.32432432432433</v>
      </c>
    </row>
    <row r="1752" spans="1:15" x14ac:dyDescent="0.25">
      <c r="A1752" s="11">
        <v>46056</v>
      </c>
      <c r="B1752" t="s">
        <v>28</v>
      </c>
      <c r="C1752" t="s">
        <v>18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 t="shared" si="30"/>
        <v>33</v>
      </c>
      <c r="J1752" s="3">
        <f t="shared" si="31"/>
        <v>29</v>
      </c>
      <c r="K1752" s="3">
        <f t="shared" si="32"/>
        <v>4</v>
      </c>
      <c r="L1752" s="3" t="str">
        <f t="shared" si="33"/>
        <v>BOM</v>
      </c>
      <c r="N1752">
        <v>93.48</v>
      </c>
      <c r="O1752">
        <v>31.334622823984521</v>
      </c>
    </row>
    <row r="1753" spans="1:15" x14ac:dyDescent="0.25">
      <c r="A1753" s="11">
        <v>46056</v>
      </c>
      <c r="B1753" t="s">
        <v>29</v>
      </c>
      <c r="C1753" t="s">
        <v>16</v>
      </c>
      <c r="D1753">
        <v>0</v>
      </c>
      <c r="E1753">
        <v>0</v>
      </c>
      <c r="F1753">
        <v>0</v>
      </c>
      <c r="G1753">
        <v>0</v>
      </c>
      <c r="H1753">
        <v>0</v>
      </c>
      <c r="I1753" s="3">
        <f t="shared" si="30"/>
        <v>0</v>
      </c>
      <c r="J1753" s="3">
        <f t="shared" si="31"/>
        <v>24</v>
      </c>
      <c r="K1753" s="3">
        <f t="shared" si="32"/>
        <v>-24</v>
      </c>
      <c r="L1753" s="3" t="str">
        <f t="shared" si="33"/>
        <v>CRÍTICO</v>
      </c>
      <c r="N1753">
        <v>99.16</v>
      </c>
      <c r="O1753">
        <v>26.13908872901678</v>
      </c>
    </row>
    <row r="1754" spans="1:15" x14ac:dyDescent="0.25">
      <c r="A1754" s="11">
        <v>46056</v>
      </c>
      <c r="B1754" t="s">
        <v>30</v>
      </c>
      <c r="C1754" t="s">
        <v>20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 t="shared" si="30"/>
        <v>30</v>
      </c>
      <c r="J1754" s="3">
        <f t="shared" si="31"/>
        <v>19</v>
      </c>
      <c r="K1754" s="3">
        <f t="shared" si="32"/>
        <v>11</v>
      </c>
      <c r="L1754" s="3" t="str">
        <f t="shared" si="33"/>
        <v>EXCELENTE</v>
      </c>
      <c r="N1754">
        <v>100</v>
      </c>
      <c r="O1754">
        <v>31.089743589743591</v>
      </c>
    </row>
    <row r="1755" spans="1:15" x14ac:dyDescent="0.25">
      <c r="A1755" s="11">
        <v>46056</v>
      </c>
      <c r="B1755" t="s">
        <v>31</v>
      </c>
      <c r="C1755" t="s">
        <v>18</v>
      </c>
      <c r="D1755">
        <v>0</v>
      </c>
      <c r="E1755">
        <v>0</v>
      </c>
      <c r="F1755">
        <v>0</v>
      </c>
      <c r="G1755">
        <v>0</v>
      </c>
      <c r="H1755">
        <v>0</v>
      </c>
      <c r="I1755" s="3">
        <f t="shared" si="30"/>
        <v>0</v>
      </c>
      <c r="J1755" s="3">
        <f t="shared" si="31"/>
        <v>29</v>
      </c>
      <c r="K1755" s="3">
        <f t="shared" si="32"/>
        <v>-29</v>
      </c>
      <c r="L1755" s="3" t="str">
        <f t="shared" si="33"/>
        <v>CRÍTICO</v>
      </c>
      <c r="N1755">
        <v>98.11</v>
      </c>
      <c r="O1755">
        <v>33.033707865168537</v>
      </c>
    </row>
    <row r="1756" spans="1:15" x14ac:dyDescent="0.25">
      <c r="A1756" s="11">
        <v>46056</v>
      </c>
      <c r="B1756" t="s">
        <v>32</v>
      </c>
      <c r="C1756" t="s">
        <v>23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 t="shared" si="30"/>
        <v>5</v>
      </c>
      <c r="J1756" s="3">
        <f t="shared" si="31"/>
        <v>8</v>
      </c>
      <c r="K1756" s="3">
        <f t="shared" si="32"/>
        <v>-3</v>
      </c>
      <c r="L1756" s="3" t="str">
        <f t="shared" si="33"/>
        <v>ATENÇÃO</v>
      </c>
      <c r="N1756">
        <v>78.95</v>
      </c>
      <c r="O1756">
        <v>38.983050847457633</v>
      </c>
    </row>
    <row r="1757" spans="1:15" x14ac:dyDescent="0.25">
      <c r="A1757" s="11">
        <v>46056</v>
      </c>
      <c r="B1757" t="s">
        <v>33</v>
      </c>
      <c r="C1757" t="s">
        <v>16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 t="shared" si="30"/>
        <v>32</v>
      </c>
      <c r="J1757" s="3">
        <f t="shared" si="31"/>
        <v>24</v>
      </c>
      <c r="K1757" s="3">
        <f t="shared" si="32"/>
        <v>8</v>
      </c>
      <c r="L1757" s="3" t="str">
        <f t="shared" si="33"/>
        <v>EXCELENTE</v>
      </c>
      <c r="N1757">
        <v>98.45</v>
      </c>
      <c r="O1757">
        <v>29.281767955801101</v>
      </c>
    </row>
    <row r="1758" spans="1:15" x14ac:dyDescent="0.25">
      <c r="A1758" s="11">
        <v>46056</v>
      </c>
      <c r="B1758" t="s">
        <v>34</v>
      </c>
      <c r="C1758" t="s">
        <v>18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 t="shared" si="30"/>
        <v>29</v>
      </c>
      <c r="J1758" s="3">
        <f t="shared" si="31"/>
        <v>29</v>
      </c>
      <c r="K1758" s="3">
        <f t="shared" si="32"/>
        <v>0</v>
      </c>
      <c r="L1758" s="3" t="str">
        <f t="shared" si="33"/>
        <v>BOM</v>
      </c>
      <c r="N1758">
        <v>97.84</v>
      </c>
      <c r="O1758">
        <v>26.282051282051281</v>
      </c>
    </row>
    <row r="1759" spans="1:15" x14ac:dyDescent="0.25">
      <c r="A1759" s="11">
        <v>46056</v>
      </c>
      <c r="B1759" t="s">
        <v>35</v>
      </c>
      <c r="C1759" t="s">
        <v>16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 t="shared" si="30"/>
        <v>52</v>
      </c>
      <c r="J1759" s="3">
        <f t="shared" si="31"/>
        <v>24</v>
      </c>
      <c r="K1759" s="3">
        <f t="shared" si="32"/>
        <v>28</v>
      </c>
      <c r="L1759" s="3" t="str">
        <f t="shared" si="33"/>
        <v>EXCELENTE</v>
      </c>
      <c r="N1759">
        <v>98.5</v>
      </c>
      <c r="O1759">
        <v>23.97769516728625</v>
      </c>
    </row>
    <row r="1760" spans="1:15" x14ac:dyDescent="0.25">
      <c r="A1760" s="11">
        <v>46090</v>
      </c>
      <c r="B1760" t="s">
        <v>36</v>
      </c>
      <c r="C1760" t="s">
        <v>20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 t="shared" si="30"/>
        <v>29</v>
      </c>
      <c r="J1760" s="3">
        <f t="shared" si="31"/>
        <v>13</v>
      </c>
      <c r="K1760" s="3">
        <f t="shared" si="32"/>
        <v>16</v>
      </c>
      <c r="L1760" s="3" t="str">
        <f t="shared" si="33"/>
        <v>EXCELENTE</v>
      </c>
      <c r="N1760">
        <v>99.05</v>
      </c>
      <c r="O1760">
        <v>26.621923937360179</v>
      </c>
    </row>
    <row r="1761" spans="1:15" x14ac:dyDescent="0.25">
      <c r="A1761" s="11">
        <v>46056</v>
      </c>
      <c r="B1761" t="s">
        <v>37</v>
      </c>
      <c r="C1761" t="s">
        <v>16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 t="shared" si="30"/>
        <v>30</v>
      </c>
      <c r="J1761" s="3">
        <f t="shared" si="31"/>
        <v>24</v>
      </c>
      <c r="K1761" s="3">
        <f t="shared" si="32"/>
        <v>6</v>
      </c>
      <c r="L1761" s="3" t="str">
        <f t="shared" si="33"/>
        <v>EXCELENTE</v>
      </c>
      <c r="N1761">
        <v>98.53</v>
      </c>
      <c r="O1761">
        <v>31.578947368421051</v>
      </c>
    </row>
    <row r="1762" spans="1:15" x14ac:dyDescent="0.25">
      <c r="A1762" s="11">
        <v>46056</v>
      </c>
      <c r="B1762" t="s">
        <v>38</v>
      </c>
      <c r="C1762" t="s">
        <v>18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 t="shared" si="30"/>
        <v>45</v>
      </c>
      <c r="J1762" s="3">
        <f t="shared" si="31"/>
        <v>29</v>
      </c>
      <c r="K1762" s="3">
        <f t="shared" si="32"/>
        <v>16</v>
      </c>
      <c r="L1762" s="3" t="str">
        <f t="shared" si="33"/>
        <v>EXCELENTE</v>
      </c>
      <c r="N1762">
        <v>100</v>
      </c>
      <c r="O1762">
        <v>25.72214580467676</v>
      </c>
    </row>
    <row r="1763" spans="1:15" x14ac:dyDescent="0.25">
      <c r="A1763" s="11">
        <v>46056</v>
      </c>
      <c r="B1763" t="s">
        <v>39</v>
      </c>
      <c r="C1763" t="s">
        <v>18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 t="shared" ref="I1763:I1826" si="34">E1763+G1763+H1763</f>
        <v>43</v>
      </c>
      <c r="J1763" s="3">
        <f t="shared" ref="J1763:J1826" si="35"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29</v>
      </c>
      <c r="K1763" s="3">
        <f t="shared" ref="K1763:K1826" si="36">I1763-J1763</f>
        <v>14</v>
      </c>
      <c r="L1763" s="3" t="str">
        <f t="shared" ref="L1763:L1826" si="37">IF(K1763&lt;-5,"CRÍTICO",IF(K1763&lt;0,"ATENÇÃO",IF(K1763&lt;=5,"BOM","EXCELENTE")))</f>
        <v>EXCELENTE</v>
      </c>
      <c r="N1763">
        <v>94.64</v>
      </c>
      <c r="O1763">
        <v>27.52941176470588</v>
      </c>
    </row>
    <row r="1764" spans="1:15" x14ac:dyDescent="0.25">
      <c r="A1764" s="11">
        <v>46056</v>
      </c>
      <c r="B1764" t="s">
        <v>40</v>
      </c>
      <c r="C1764" t="s">
        <v>16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 t="shared" si="34"/>
        <v>30</v>
      </c>
      <c r="J1764" s="3">
        <f t="shared" si="35"/>
        <v>24</v>
      </c>
      <c r="K1764" s="3">
        <f t="shared" si="36"/>
        <v>6</v>
      </c>
      <c r="L1764" s="3" t="str">
        <f t="shared" si="37"/>
        <v>EXCELENTE</v>
      </c>
      <c r="N1764">
        <v>99.07</v>
      </c>
      <c r="O1764">
        <v>26.376811594202898</v>
      </c>
    </row>
    <row r="1765" spans="1:15" x14ac:dyDescent="0.25">
      <c r="A1765" s="11">
        <v>46056</v>
      </c>
      <c r="B1765" t="s">
        <v>41</v>
      </c>
      <c r="C1765" t="s">
        <v>18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f t="shared" si="34"/>
        <v>0</v>
      </c>
      <c r="J1765" s="3">
        <f t="shared" si="35"/>
        <v>29</v>
      </c>
      <c r="K1765" s="3">
        <f t="shared" si="36"/>
        <v>-29</v>
      </c>
      <c r="L1765" s="3" t="str">
        <f t="shared" si="37"/>
        <v>CRÍTICO</v>
      </c>
      <c r="N1765">
        <v>100</v>
      </c>
      <c r="O1765">
        <v>0</v>
      </c>
    </row>
    <row r="1766" spans="1:15" x14ac:dyDescent="0.25">
      <c r="A1766" s="11">
        <v>46056</v>
      </c>
      <c r="B1766" t="s">
        <v>42</v>
      </c>
      <c r="C1766" t="s">
        <v>43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 t="shared" si="34"/>
        <v>13</v>
      </c>
      <c r="J1766" s="3">
        <f t="shared" si="35"/>
        <v>17</v>
      </c>
      <c r="K1766" s="3">
        <f t="shared" si="36"/>
        <v>-4</v>
      </c>
      <c r="L1766" s="3" t="str">
        <f t="shared" si="37"/>
        <v>ATENÇÃO</v>
      </c>
      <c r="N1766">
        <v>98.48</v>
      </c>
      <c r="O1766">
        <v>27.853881278538811</v>
      </c>
    </row>
    <row r="1767" spans="1:15" x14ac:dyDescent="0.25">
      <c r="A1767" s="11">
        <v>46056</v>
      </c>
      <c r="B1767" t="s">
        <v>44</v>
      </c>
      <c r="C1767" t="s">
        <v>18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 t="shared" si="34"/>
        <v>12</v>
      </c>
      <c r="J1767" s="3">
        <f t="shared" si="35"/>
        <v>29</v>
      </c>
      <c r="K1767" s="3">
        <f t="shared" si="36"/>
        <v>-17</v>
      </c>
      <c r="L1767" s="3" t="str">
        <f t="shared" si="37"/>
        <v>CRÍTICO</v>
      </c>
      <c r="N1767">
        <v>95.15</v>
      </c>
      <c r="O1767">
        <v>34.131736526946113</v>
      </c>
    </row>
    <row r="1768" spans="1:15" x14ac:dyDescent="0.25">
      <c r="A1768" s="11">
        <v>46056</v>
      </c>
      <c r="B1768" t="s">
        <v>45</v>
      </c>
      <c r="C1768" t="s">
        <v>43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f t="shared" si="34"/>
        <v>0</v>
      </c>
      <c r="J1768" s="3">
        <f t="shared" si="35"/>
        <v>17</v>
      </c>
      <c r="K1768" s="3">
        <f t="shared" si="36"/>
        <v>-17</v>
      </c>
      <c r="L1768" s="3" t="str">
        <f t="shared" si="37"/>
        <v>CRÍTICO</v>
      </c>
      <c r="N1768">
        <v>0</v>
      </c>
      <c r="O1768">
        <v>0</v>
      </c>
    </row>
    <row r="1769" spans="1:15" x14ac:dyDescent="0.25">
      <c r="A1769" s="11">
        <v>46056</v>
      </c>
      <c r="B1769" t="s">
        <v>46</v>
      </c>
      <c r="C1769" t="s">
        <v>18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 t="shared" si="34"/>
        <v>25</v>
      </c>
      <c r="J1769" s="3">
        <f t="shared" si="35"/>
        <v>29</v>
      </c>
      <c r="K1769" s="3">
        <f t="shared" si="36"/>
        <v>-4</v>
      </c>
      <c r="L1769" s="3" t="str">
        <f t="shared" si="37"/>
        <v>ATENÇÃO</v>
      </c>
      <c r="N1769">
        <v>99.26</v>
      </c>
      <c r="O1769">
        <v>30.84832904884319</v>
      </c>
    </row>
    <row r="1770" spans="1:15" x14ac:dyDescent="0.25">
      <c r="A1770" s="11">
        <v>46056</v>
      </c>
      <c r="B1770" t="s">
        <v>47</v>
      </c>
      <c r="C1770" t="s">
        <v>16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 t="shared" si="34"/>
        <v>37</v>
      </c>
      <c r="J1770" s="3">
        <f t="shared" si="35"/>
        <v>24</v>
      </c>
      <c r="K1770" s="3">
        <f t="shared" si="36"/>
        <v>13</v>
      </c>
      <c r="L1770" s="3" t="str">
        <f t="shared" si="37"/>
        <v>EXCELENTE</v>
      </c>
      <c r="N1770">
        <v>97.48</v>
      </c>
      <c r="O1770">
        <v>27.764705882352938</v>
      </c>
    </row>
    <row r="1771" spans="1:15" x14ac:dyDescent="0.25">
      <c r="A1771" s="11">
        <v>46056</v>
      </c>
      <c r="B1771" t="s">
        <v>48</v>
      </c>
      <c r="C1771" t="s">
        <v>16</v>
      </c>
      <c r="D1771">
        <v>0</v>
      </c>
      <c r="E1771">
        <v>0</v>
      </c>
      <c r="F1771">
        <v>0</v>
      </c>
      <c r="G1771">
        <v>0</v>
      </c>
      <c r="H1771">
        <v>0</v>
      </c>
      <c r="I1771" s="3">
        <f t="shared" si="34"/>
        <v>0</v>
      </c>
      <c r="J1771" s="3">
        <f t="shared" si="35"/>
        <v>24</v>
      </c>
      <c r="K1771" s="3">
        <f t="shared" si="36"/>
        <v>-24</v>
      </c>
      <c r="L1771" s="3" t="str">
        <f t="shared" si="37"/>
        <v>CRÍTICO</v>
      </c>
      <c r="N1771">
        <v>99.34</v>
      </c>
      <c r="O1771">
        <v>30.04291845493562</v>
      </c>
    </row>
    <row r="1772" spans="1:15" x14ac:dyDescent="0.25">
      <c r="A1772" s="11">
        <v>46056</v>
      </c>
      <c r="B1772" t="s">
        <v>49</v>
      </c>
      <c r="C1772" t="s">
        <v>18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 t="shared" si="34"/>
        <v>8</v>
      </c>
      <c r="J1772" s="3">
        <f t="shared" si="35"/>
        <v>29</v>
      </c>
      <c r="K1772" s="3">
        <f t="shared" si="36"/>
        <v>-21</v>
      </c>
      <c r="L1772" s="3" t="str">
        <f t="shared" si="37"/>
        <v>CRÍTICO</v>
      </c>
      <c r="N1772">
        <v>96.3</v>
      </c>
      <c r="O1772">
        <v>24.29378531073446</v>
      </c>
    </row>
    <row r="1773" spans="1:15" x14ac:dyDescent="0.25">
      <c r="A1773" s="11">
        <v>46056</v>
      </c>
      <c r="B1773" t="s">
        <v>50</v>
      </c>
      <c r="C1773" t="s">
        <v>20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 t="shared" si="34"/>
        <v>24</v>
      </c>
      <c r="J1773" s="3">
        <f t="shared" si="35"/>
        <v>19</v>
      </c>
      <c r="K1773" s="3">
        <f t="shared" si="36"/>
        <v>5</v>
      </c>
      <c r="L1773" s="3" t="str">
        <f t="shared" si="37"/>
        <v>BOM</v>
      </c>
      <c r="N1773">
        <v>100</v>
      </c>
      <c r="O1773">
        <v>26.543209876543209</v>
      </c>
    </row>
    <row r="1774" spans="1:15" x14ac:dyDescent="0.25">
      <c r="A1774" s="11">
        <v>46056</v>
      </c>
      <c r="B1774" t="s">
        <v>51</v>
      </c>
      <c r="C1774" t="s">
        <v>23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 t="shared" si="34"/>
        <v>4</v>
      </c>
      <c r="J1774" s="3">
        <f t="shared" si="35"/>
        <v>8</v>
      </c>
      <c r="K1774" s="3">
        <f t="shared" si="36"/>
        <v>-4</v>
      </c>
      <c r="L1774" s="3" t="str">
        <f t="shared" si="37"/>
        <v>ATENÇÃO</v>
      </c>
      <c r="N1774">
        <v>100</v>
      </c>
      <c r="O1774">
        <v>35.483870967741943</v>
      </c>
    </row>
    <row r="1775" spans="1:15" x14ac:dyDescent="0.25">
      <c r="A1775" s="11">
        <v>46056</v>
      </c>
      <c r="B1775" t="s">
        <v>52</v>
      </c>
      <c r="C1775" t="s">
        <v>18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 t="shared" si="34"/>
        <v>27</v>
      </c>
      <c r="J1775" s="3">
        <f t="shared" si="35"/>
        <v>29</v>
      </c>
      <c r="K1775" s="3">
        <f t="shared" si="36"/>
        <v>-2</v>
      </c>
      <c r="L1775" s="3" t="str">
        <f t="shared" si="37"/>
        <v>ATENÇÃO</v>
      </c>
      <c r="N1775">
        <v>99.27</v>
      </c>
      <c r="O1775">
        <v>31.163708086785011</v>
      </c>
    </row>
    <row r="1776" spans="1:15" x14ac:dyDescent="0.25">
      <c r="A1776" s="11">
        <v>46056</v>
      </c>
      <c r="B1776" t="s">
        <v>53</v>
      </c>
      <c r="C1776" t="s">
        <v>18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 t="shared" si="34"/>
        <v>44</v>
      </c>
      <c r="J1776" s="3">
        <f t="shared" si="35"/>
        <v>29</v>
      </c>
      <c r="K1776" s="3">
        <f t="shared" si="36"/>
        <v>15</v>
      </c>
      <c r="L1776" s="3" t="str">
        <f t="shared" si="37"/>
        <v>EXCELENTE</v>
      </c>
      <c r="N1776">
        <v>94.16</v>
      </c>
      <c r="O1776">
        <v>27.038626609442058</v>
      </c>
    </row>
    <row r="1777" spans="1:15" x14ac:dyDescent="0.25">
      <c r="A1777" s="11">
        <v>46056</v>
      </c>
      <c r="B1777" t="s">
        <v>54</v>
      </c>
      <c r="C1777" t="s">
        <v>23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 t="shared" si="34"/>
        <v>11</v>
      </c>
      <c r="J1777" s="3">
        <f t="shared" si="35"/>
        <v>8</v>
      </c>
      <c r="K1777" s="3">
        <f t="shared" si="36"/>
        <v>3</v>
      </c>
      <c r="L1777" s="3" t="str">
        <f t="shared" si="37"/>
        <v>BOM</v>
      </c>
      <c r="N1777">
        <v>93.75</v>
      </c>
      <c r="O1777">
        <v>19.31818181818182</v>
      </c>
    </row>
    <row r="1778" spans="1:15" x14ac:dyDescent="0.25">
      <c r="A1778" s="11">
        <v>46056</v>
      </c>
      <c r="B1778" t="s">
        <v>55</v>
      </c>
      <c r="C1778" t="s">
        <v>43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f t="shared" si="34"/>
        <v>0</v>
      </c>
      <c r="J1778" s="3">
        <f t="shared" si="35"/>
        <v>17</v>
      </c>
      <c r="K1778" s="3">
        <f t="shared" si="36"/>
        <v>-17</v>
      </c>
      <c r="L1778" s="3" t="str">
        <f t="shared" si="37"/>
        <v>CRÍTICO</v>
      </c>
      <c r="N1778">
        <v>0</v>
      </c>
      <c r="O1778">
        <v>0</v>
      </c>
    </row>
    <row r="1779" spans="1:15" x14ac:dyDescent="0.25">
      <c r="A1779" s="11">
        <v>46056</v>
      </c>
      <c r="B1779" t="s">
        <v>56</v>
      </c>
      <c r="C1779" t="s">
        <v>16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 t="shared" si="34"/>
        <v>32</v>
      </c>
      <c r="J1779" s="3">
        <f t="shared" si="35"/>
        <v>24</v>
      </c>
      <c r="K1779" s="3">
        <f t="shared" si="36"/>
        <v>8</v>
      </c>
      <c r="L1779" s="3" t="str">
        <f t="shared" si="37"/>
        <v>EXCELENTE</v>
      </c>
      <c r="N1779">
        <v>97.92</v>
      </c>
      <c r="O1779">
        <v>32.87671232876712</v>
      </c>
    </row>
    <row r="1780" spans="1:15" x14ac:dyDescent="0.25">
      <c r="A1780" s="11">
        <v>46056</v>
      </c>
      <c r="B1780" t="s">
        <v>57</v>
      </c>
      <c r="C1780" t="s">
        <v>43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f t="shared" si="34"/>
        <v>0</v>
      </c>
      <c r="J1780" s="3">
        <f t="shared" si="35"/>
        <v>17</v>
      </c>
      <c r="K1780" s="3">
        <f t="shared" si="36"/>
        <v>-17</v>
      </c>
      <c r="L1780" s="3" t="str">
        <f t="shared" si="37"/>
        <v>CRÍTICO</v>
      </c>
      <c r="N1780">
        <v>0</v>
      </c>
      <c r="O1780">
        <v>0</v>
      </c>
    </row>
    <row r="1781" spans="1:15" x14ac:dyDescent="0.25">
      <c r="A1781" s="11">
        <v>46056</v>
      </c>
      <c r="B1781" t="s">
        <v>58</v>
      </c>
      <c r="C1781" t="s">
        <v>43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f t="shared" si="34"/>
        <v>0</v>
      </c>
      <c r="J1781" s="3">
        <f t="shared" si="35"/>
        <v>17</v>
      </c>
      <c r="K1781" s="3">
        <f t="shared" si="36"/>
        <v>-17</v>
      </c>
      <c r="L1781" s="3" t="str">
        <f t="shared" si="37"/>
        <v>CRÍTICO</v>
      </c>
      <c r="N1781">
        <v>0</v>
      </c>
      <c r="O1781">
        <v>0</v>
      </c>
    </row>
    <row r="1782" spans="1:15" x14ac:dyDescent="0.25">
      <c r="A1782" s="11">
        <v>46056</v>
      </c>
      <c r="B1782" t="s">
        <v>59</v>
      </c>
      <c r="C1782" t="s">
        <v>23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f t="shared" si="34"/>
        <v>0</v>
      </c>
      <c r="J1782" s="3">
        <f t="shared" si="35"/>
        <v>8</v>
      </c>
      <c r="K1782" s="3">
        <f t="shared" si="36"/>
        <v>-8</v>
      </c>
      <c r="L1782" s="3" t="str">
        <f t="shared" si="37"/>
        <v>CRÍTICO</v>
      </c>
      <c r="N1782">
        <v>0</v>
      </c>
      <c r="O1782">
        <v>0</v>
      </c>
    </row>
    <row r="1783" spans="1:15" x14ac:dyDescent="0.25">
      <c r="A1783" s="11">
        <v>46056</v>
      </c>
      <c r="B1783" t="s">
        <v>60</v>
      </c>
      <c r="C1783" t="s">
        <v>20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 t="shared" si="34"/>
        <v>17</v>
      </c>
      <c r="J1783" s="3">
        <f t="shared" si="35"/>
        <v>19</v>
      </c>
      <c r="K1783" s="3">
        <f t="shared" si="36"/>
        <v>-2</v>
      </c>
      <c r="L1783" s="3" t="str">
        <f t="shared" si="37"/>
        <v>ATENÇÃO</v>
      </c>
      <c r="N1783">
        <v>98.51</v>
      </c>
      <c r="O1783">
        <v>29.710144927536231</v>
      </c>
    </row>
    <row r="1784" spans="1:15" x14ac:dyDescent="0.25">
      <c r="A1784" s="11">
        <v>46056</v>
      </c>
      <c r="B1784" t="s">
        <v>61</v>
      </c>
      <c r="C1784" t="s">
        <v>18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 t="shared" si="34"/>
        <v>33</v>
      </c>
      <c r="J1784" s="3">
        <f t="shared" si="35"/>
        <v>29</v>
      </c>
      <c r="K1784" s="3">
        <f t="shared" si="36"/>
        <v>4</v>
      </c>
      <c r="L1784" s="3" t="str">
        <f t="shared" si="37"/>
        <v>BOM</v>
      </c>
      <c r="N1784">
        <v>98.81</v>
      </c>
      <c r="O1784">
        <v>30.712979890310791</v>
      </c>
    </row>
    <row r="1785" spans="1:15" x14ac:dyDescent="0.25">
      <c r="A1785" s="11">
        <v>46056</v>
      </c>
      <c r="B1785" t="s">
        <v>62</v>
      </c>
      <c r="C1785" t="s">
        <v>20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 t="shared" si="34"/>
        <v>12</v>
      </c>
      <c r="J1785" s="3">
        <f t="shared" si="35"/>
        <v>19</v>
      </c>
      <c r="K1785" s="3">
        <f t="shared" si="36"/>
        <v>-7</v>
      </c>
      <c r="L1785" s="3" t="str">
        <f t="shared" si="37"/>
        <v>CRÍTICO</v>
      </c>
      <c r="N1785">
        <v>98.48</v>
      </c>
      <c r="O1785">
        <v>29.35323383084577</v>
      </c>
    </row>
    <row r="1786" spans="1:15" x14ac:dyDescent="0.25">
      <c r="A1786" s="11">
        <v>46056</v>
      </c>
      <c r="B1786" t="s">
        <v>63</v>
      </c>
      <c r="C1786" t="s">
        <v>18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 t="shared" si="34"/>
        <v>34</v>
      </c>
      <c r="J1786" s="3">
        <f t="shared" si="35"/>
        <v>29</v>
      </c>
      <c r="K1786" s="3">
        <f t="shared" si="36"/>
        <v>5</v>
      </c>
      <c r="L1786" s="3" t="str">
        <f t="shared" si="37"/>
        <v>BOM</v>
      </c>
      <c r="N1786">
        <v>98.56</v>
      </c>
      <c r="O1786">
        <v>29.373650107991359</v>
      </c>
    </row>
    <row r="1787" spans="1:15" x14ac:dyDescent="0.25">
      <c r="A1787" s="11">
        <v>46057</v>
      </c>
      <c r="B1787" t="s">
        <v>15</v>
      </c>
      <c r="C1787" t="s">
        <v>16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 t="shared" si="34"/>
        <v>26</v>
      </c>
      <c r="J1787" s="3">
        <f t="shared" si="35"/>
        <v>23</v>
      </c>
      <c r="K1787" s="3">
        <f t="shared" si="36"/>
        <v>3</v>
      </c>
      <c r="L1787" s="3" t="str">
        <f t="shared" si="37"/>
        <v>BOM</v>
      </c>
      <c r="N1787">
        <v>98.32</v>
      </c>
      <c r="O1787">
        <v>30.303030303030301</v>
      </c>
    </row>
    <row r="1788" spans="1:15" x14ac:dyDescent="0.25">
      <c r="A1788" s="11">
        <v>46057</v>
      </c>
      <c r="B1788" t="s">
        <v>17</v>
      </c>
      <c r="C1788" t="s">
        <v>18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f t="shared" si="34"/>
        <v>0</v>
      </c>
      <c r="J1788" s="3">
        <f t="shared" si="35"/>
        <v>29</v>
      </c>
      <c r="K1788" s="3">
        <f t="shared" si="36"/>
        <v>-29</v>
      </c>
      <c r="L1788" s="3" t="str">
        <f t="shared" si="37"/>
        <v>CRÍTICO</v>
      </c>
      <c r="N1788">
        <v>98.68</v>
      </c>
      <c r="O1788">
        <v>26.219512195121951</v>
      </c>
    </row>
    <row r="1789" spans="1:15" x14ac:dyDescent="0.25">
      <c r="A1789" s="11">
        <v>46057</v>
      </c>
      <c r="B1789" t="s">
        <v>19</v>
      </c>
      <c r="C1789" t="s">
        <v>20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 t="shared" si="34"/>
        <v>24</v>
      </c>
      <c r="J1789" s="3">
        <f t="shared" si="35"/>
        <v>19</v>
      </c>
      <c r="K1789" s="3">
        <f t="shared" si="36"/>
        <v>5</v>
      </c>
      <c r="L1789" s="3" t="str">
        <f t="shared" si="37"/>
        <v>BOM</v>
      </c>
      <c r="N1789">
        <v>100</v>
      </c>
      <c r="O1789">
        <v>31.74224343675418</v>
      </c>
    </row>
    <row r="1790" spans="1:15" x14ac:dyDescent="0.25">
      <c r="A1790" s="11">
        <v>46057</v>
      </c>
      <c r="B1790" t="s">
        <v>21</v>
      </c>
      <c r="C1790" t="s">
        <v>18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 t="shared" si="34"/>
        <v>38</v>
      </c>
      <c r="J1790" s="3">
        <f t="shared" si="35"/>
        <v>29</v>
      </c>
      <c r="K1790" s="3">
        <f t="shared" si="36"/>
        <v>9</v>
      </c>
      <c r="L1790" s="3" t="str">
        <f t="shared" si="37"/>
        <v>EXCELENTE</v>
      </c>
      <c r="N1790">
        <v>98.25</v>
      </c>
      <c r="O1790">
        <v>25.83518930957684</v>
      </c>
    </row>
    <row r="1791" spans="1:15" x14ac:dyDescent="0.25">
      <c r="A1791" s="11">
        <v>46057</v>
      </c>
      <c r="B1791" t="s">
        <v>22</v>
      </c>
      <c r="C1791" t="s">
        <v>23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 t="shared" si="34"/>
        <v>8</v>
      </c>
      <c r="J1791" s="3">
        <f t="shared" si="35"/>
        <v>8</v>
      </c>
      <c r="K1791" s="3">
        <f t="shared" si="36"/>
        <v>0</v>
      </c>
      <c r="L1791" s="3" t="str">
        <f t="shared" si="37"/>
        <v>BOM</v>
      </c>
      <c r="N1791">
        <v>97.5</v>
      </c>
      <c r="O1791">
        <v>30.075187969924809</v>
      </c>
    </row>
    <row r="1792" spans="1:15" x14ac:dyDescent="0.25">
      <c r="A1792" s="11">
        <v>46057</v>
      </c>
      <c r="B1792" t="s">
        <v>24</v>
      </c>
      <c r="C1792" t="s">
        <v>16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 t="shared" si="34"/>
        <v>34</v>
      </c>
      <c r="J1792" s="3">
        <f t="shared" si="35"/>
        <v>23</v>
      </c>
      <c r="K1792" s="3">
        <f t="shared" si="36"/>
        <v>11</v>
      </c>
      <c r="L1792" s="3" t="str">
        <f t="shared" si="37"/>
        <v>EXCELENTE</v>
      </c>
      <c r="N1792">
        <v>100</v>
      </c>
      <c r="O1792">
        <v>29.71311475409836</v>
      </c>
    </row>
    <row r="1793" spans="1:15" x14ac:dyDescent="0.25">
      <c r="A1793" s="11">
        <v>46057</v>
      </c>
      <c r="B1793" t="s">
        <v>25</v>
      </c>
      <c r="C1793" t="s">
        <v>16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 t="shared" si="34"/>
        <v>31</v>
      </c>
      <c r="J1793" s="3">
        <f t="shared" si="35"/>
        <v>23</v>
      </c>
      <c r="K1793" s="3">
        <f t="shared" si="36"/>
        <v>8</v>
      </c>
      <c r="L1793" s="3" t="str">
        <f t="shared" si="37"/>
        <v>EXCELENTE</v>
      </c>
      <c r="N1793">
        <v>99.22</v>
      </c>
      <c r="O1793">
        <v>35.256410256410263</v>
      </c>
    </row>
    <row r="1794" spans="1:15" x14ac:dyDescent="0.25">
      <c r="A1794" s="11">
        <v>46057</v>
      </c>
      <c r="B1794" t="s">
        <v>26</v>
      </c>
      <c r="C1794" t="s">
        <v>23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f t="shared" si="34"/>
        <v>0</v>
      </c>
      <c r="J1794" s="3">
        <f t="shared" si="35"/>
        <v>8</v>
      </c>
      <c r="K1794" s="3">
        <f t="shared" si="36"/>
        <v>-8</v>
      </c>
      <c r="L1794" s="3" t="str">
        <f t="shared" si="37"/>
        <v>CRÍTICO</v>
      </c>
      <c r="N1794">
        <v>0</v>
      </c>
      <c r="O1794">
        <v>0</v>
      </c>
    </row>
    <row r="1795" spans="1:15" x14ac:dyDescent="0.25">
      <c r="A1795" s="11">
        <v>46057</v>
      </c>
      <c r="B1795" t="s">
        <v>27</v>
      </c>
      <c r="C1795" t="s">
        <v>20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 t="shared" si="34"/>
        <v>16</v>
      </c>
      <c r="J1795" s="3">
        <f t="shared" si="35"/>
        <v>19</v>
      </c>
      <c r="K1795" s="3">
        <f t="shared" si="36"/>
        <v>-3</v>
      </c>
      <c r="L1795" s="3" t="str">
        <f t="shared" si="37"/>
        <v>ATENÇÃO</v>
      </c>
      <c r="N1795">
        <v>98.75</v>
      </c>
      <c r="O1795">
        <v>24.32432432432433</v>
      </c>
    </row>
    <row r="1796" spans="1:15" x14ac:dyDescent="0.25">
      <c r="A1796" s="11">
        <v>46057</v>
      </c>
      <c r="B1796" t="s">
        <v>28</v>
      </c>
      <c r="C1796" t="s">
        <v>18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 t="shared" si="34"/>
        <v>48</v>
      </c>
      <c r="J1796" s="3">
        <f t="shared" si="35"/>
        <v>29</v>
      </c>
      <c r="K1796" s="3">
        <f t="shared" si="36"/>
        <v>19</v>
      </c>
      <c r="L1796" s="3" t="str">
        <f t="shared" si="37"/>
        <v>EXCELENTE</v>
      </c>
      <c r="N1796">
        <v>93.48</v>
      </c>
      <c r="O1796">
        <v>31.334622823984521</v>
      </c>
    </row>
    <row r="1797" spans="1:15" x14ac:dyDescent="0.25">
      <c r="A1797" s="11">
        <v>46057</v>
      </c>
      <c r="B1797" t="s">
        <v>29</v>
      </c>
      <c r="C1797" t="s">
        <v>16</v>
      </c>
      <c r="D1797">
        <v>0</v>
      </c>
      <c r="E1797">
        <v>0</v>
      </c>
      <c r="F1797">
        <v>0</v>
      </c>
      <c r="G1797">
        <v>0</v>
      </c>
      <c r="H1797">
        <v>0</v>
      </c>
      <c r="I1797" s="3">
        <f t="shared" si="34"/>
        <v>0</v>
      </c>
      <c r="J1797" s="3">
        <f t="shared" si="35"/>
        <v>23</v>
      </c>
      <c r="K1797" s="3">
        <f t="shared" si="36"/>
        <v>-23</v>
      </c>
      <c r="L1797" s="3" t="str">
        <f t="shared" si="37"/>
        <v>CRÍTICO</v>
      </c>
      <c r="N1797">
        <v>99.16</v>
      </c>
      <c r="O1797">
        <v>26.13908872901678</v>
      </c>
    </row>
    <row r="1798" spans="1:15" x14ac:dyDescent="0.25">
      <c r="A1798" s="11">
        <v>46057</v>
      </c>
      <c r="B1798" t="s">
        <v>30</v>
      </c>
      <c r="C1798" t="s">
        <v>20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 t="shared" si="34"/>
        <v>12</v>
      </c>
      <c r="J1798" s="3">
        <f t="shared" si="35"/>
        <v>19</v>
      </c>
      <c r="K1798" s="3">
        <f t="shared" si="36"/>
        <v>-7</v>
      </c>
      <c r="L1798" s="3" t="str">
        <f t="shared" si="37"/>
        <v>CRÍTICO</v>
      </c>
      <c r="N1798">
        <v>100</v>
      </c>
      <c r="O1798">
        <v>31.089743589743591</v>
      </c>
    </row>
    <row r="1799" spans="1:15" x14ac:dyDescent="0.25">
      <c r="A1799" s="11">
        <v>46057</v>
      </c>
      <c r="B1799" t="s">
        <v>31</v>
      </c>
      <c r="C1799" t="s">
        <v>18</v>
      </c>
      <c r="D1799">
        <v>0</v>
      </c>
      <c r="E1799">
        <v>0</v>
      </c>
      <c r="F1799">
        <v>0</v>
      </c>
      <c r="G1799">
        <v>0</v>
      </c>
      <c r="H1799">
        <v>0</v>
      </c>
      <c r="I1799" s="3">
        <f t="shared" si="34"/>
        <v>0</v>
      </c>
      <c r="J1799" s="3">
        <f t="shared" si="35"/>
        <v>29</v>
      </c>
      <c r="K1799" s="3">
        <f t="shared" si="36"/>
        <v>-29</v>
      </c>
      <c r="L1799" s="3" t="str">
        <f t="shared" si="37"/>
        <v>CRÍTICO</v>
      </c>
      <c r="N1799">
        <v>98.11</v>
      </c>
      <c r="O1799">
        <v>33.033707865168537</v>
      </c>
    </row>
    <row r="1800" spans="1:15" x14ac:dyDescent="0.25">
      <c r="A1800" s="11">
        <v>46057</v>
      </c>
      <c r="B1800" t="s">
        <v>32</v>
      </c>
      <c r="C1800" t="s">
        <v>23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 t="shared" si="34"/>
        <v>5</v>
      </c>
      <c r="J1800" s="3">
        <f t="shared" si="35"/>
        <v>8</v>
      </c>
      <c r="K1800" s="3">
        <f t="shared" si="36"/>
        <v>-3</v>
      </c>
      <c r="L1800" s="3" t="str">
        <f t="shared" si="37"/>
        <v>ATENÇÃO</v>
      </c>
      <c r="N1800">
        <v>78.95</v>
      </c>
      <c r="O1800">
        <v>38.983050847457633</v>
      </c>
    </row>
    <row r="1801" spans="1:15" x14ac:dyDescent="0.25">
      <c r="A1801" s="11">
        <v>46057</v>
      </c>
      <c r="B1801" t="s">
        <v>33</v>
      </c>
      <c r="C1801" t="s">
        <v>16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 t="shared" si="34"/>
        <v>23</v>
      </c>
      <c r="J1801" s="3">
        <f t="shared" si="35"/>
        <v>23</v>
      </c>
      <c r="K1801" s="3">
        <f t="shared" si="36"/>
        <v>0</v>
      </c>
      <c r="L1801" s="3" t="str">
        <f t="shared" si="37"/>
        <v>BOM</v>
      </c>
      <c r="N1801">
        <v>98.45</v>
      </c>
      <c r="O1801">
        <v>29.281767955801101</v>
      </c>
    </row>
    <row r="1802" spans="1:15" x14ac:dyDescent="0.25">
      <c r="A1802" s="11">
        <v>46057</v>
      </c>
      <c r="B1802" t="s">
        <v>34</v>
      </c>
      <c r="C1802" t="s">
        <v>18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 t="shared" si="34"/>
        <v>27</v>
      </c>
      <c r="J1802" s="3">
        <f t="shared" si="35"/>
        <v>29</v>
      </c>
      <c r="K1802" s="3">
        <f t="shared" si="36"/>
        <v>-2</v>
      </c>
      <c r="L1802" s="3" t="str">
        <f t="shared" si="37"/>
        <v>ATENÇÃO</v>
      </c>
      <c r="N1802">
        <v>97.84</v>
      </c>
      <c r="O1802">
        <v>26.282051282051281</v>
      </c>
    </row>
    <row r="1803" spans="1:15" x14ac:dyDescent="0.25">
      <c r="A1803" s="11">
        <v>46057</v>
      </c>
      <c r="B1803" t="s">
        <v>35</v>
      </c>
      <c r="C1803" t="s">
        <v>16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 t="shared" si="34"/>
        <v>48</v>
      </c>
      <c r="J1803" s="3">
        <f t="shared" si="35"/>
        <v>23</v>
      </c>
      <c r="K1803" s="3">
        <f t="shared" si="36"/>
        <v>25</v>
      </c>
      <c r="L1803" s="3" t="str">
        <f t="shared" si="37"/>
        <v>EXCELENTE</v>
      </c>
      <c r="N1803">
        <v>98.5</v>
      </c>
      <c r="O1803">
        <v>23.97769516728625</v>
      </c>
    </row>
    <row r="1804" spans="1:15" x14ac:dyDescent="0.25">
      <c r="A1804" s="11">
        <v>46091</v>
      </c>
      <c r="B1804" t="s">
        <v>36</v>
      </c>
      <c r="C1804" t="s">
        <v>20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 t="shared" si="34"/>
        <v>11</v>
      </c>
      <c r="J1804" s="3">
        <f t="shared" si="35"/>
        <v>13</v>
      </c>
      <c r="K1804" s="3">
        <f t="shared" si="36"/>
        <v>-2</v>
      </c>
      <c r="L1804" s="3" t="str">
        <f t="shared" si="37"/>
        <v>ATENÇÃO</v>
      </c>
      <c r="N1804">
        <v>99.05</v>
      </c>
      <c r="O1804">
        <v>26.621923937360179</v>
      </c>
    </row>
    <row r="1805" spans="1:15" x14ac:dyDescent="0.25">
      <c r="A1805" s="11">
        <v>46057</v>
      </c>
      <c r="B1805" t="s">
        <v>37</v>
      </c>
      <c r="C1805" t="s">
        <v>16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 t="shared" si="34"/>
        <v>32</v>
      </c>
      <c r="J1805" s="3">
        <f t="shared" si="35"/>
        <v>23</v>
      </c>
      <c r="K1805" s="3">
        <f t="shared" si="36"/>
        <v>9</v>
      </c>
      <c r="L1805" s="3" t="str">
        <f t="shared" si="37"/>
        <v>EXCELENTE</v>
      </c>
      <c r="N1805">
        <v>98.53</v>
      </c>
      <c r="O1805">
        <v>31.578947368421051</v>
      </c>
    </row>
    <row r="1806" spans="1:15" x14ac:dyDescent="0.25">
      <c r="A1806" s="11">
        <v>46057</v>
      </c>
      <c r="B1806" t="s">
        <v>38</v>
      </c>
      <c r="C1806" t="s">
        <v>18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 t="shared" si="34"/>
        <v>53</v>
      </c>
      <c r="J1806" s="3">
        <f t="shared" si="35"/>
        <v>29</v>
      </c>
      <c r="K1806" s="3">
        <f t="shared" si="36"/>
        <v>24</v>
      </c>
      <c r="L1806" s="3" t="str">
        <f t="shared" si="37"/>
        <v>EXCELENTE</v>
      </c>
      <c r="N1806">
        <v>100</v>
      </c>
      <c r="O1806">
        <v>25.72214580467676</v>
      </c>
    </row>
    <row r="1807" spans="1:15" x14ac:dyDescent="0.25">
      <c r="A1807" s="11">
        <v>46057</v>
      </c>
      <c r="B1807" t="s">
        <v>39</v>
      </c>
      <c r="C1807" t="s">
        <v>18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 t="shared" si="34"/>
        <v>46</v>
      </c>
      <c r="J1807" s="3">
        <f t="shared" si="35"/>
        <v>29</v>
      </c>
      <c r="K1807" s="3">
        <f t="shared" si="36"/>
        <v>17</v>
      </c>
      <c r="L1807" s="3" t="str">
        <f t="shared" si="37"/>
        <v>EXCELENTE</v>
      </c>
      <c r="N1807">
        <v>94.64</v>
      </c>
      <c r="O1807">
        <v>27.52941176470588</v>
      </c>
    </row>
    <row r="1808" spans="1:15" x14ac:dyDescent="0.25">
      <c r="A1808" s="11">
        <v>46057</v>
      </c>
      <c r="B1808" t="s">
        <v>40</v>
      </c>
      <c r="C1808" t="s">
        <v>16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 t="shared" si="34"/>
        <v>33</v>
      </c>
      <c r="J1808" s="3">
        <f t="shared" si="35"/>
        <v>23</v>
      </c>
      <c r="K1808" s="3">
        <f t="shared" si="36"/>
        <v>10</v>
      </c>
      <c r="L1808" s="3" t="str">
        <f t="shared" si="37"/>
        <v>EXCELENTE</v>
      </c>
      <c r="N1808">
        <v>99.07</v>
      </c>
      <c r="O1808">
        <v>26.376811594202898</v>
      </c>
    </row>
    <row r="1809" spans="1:15" x14ac:dyDescent="0.25">
      <c r="A1809" s="11">
        <v>46057</v>
      </c>
      <c r="B1809" t="s">
        <v>41</v>
      </c>
      <c r="C1809" t="s">
        <v>18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f t="shared" si="34"/>
        <v>0</v>
      </c>
      <c r="J1809" s="3">
        <f t="shared" si="35"/>
        <v>29</v>
      </c>
      <c r="K1809" s="3">
        <f t="shared" si="36"/>
        <v>-29</v>
      </c>
      <c r="L1809" s="3" t="str">
        <f t="shared" si="37"/>
        <v>CRÍTICO</v>
      </c>
      <c r="N1809">
        <v>100</v>
      </c>
      <c r="O1809">
        <v>0</v>
      </c>
    </row>
    <row r="1810" spans="1:15" x14ac:dyDescent="0.25">
      <c r="A1810" s="11">
        <v>46057</v>
      </c>
      <c r="B1810" t="s">
        <v>42</v>
      </c>
      <c r="C1810" t="s">
        <v>43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 t="shared" si="34"/>
        <v>17</v>
      </c>
      <c r="J1810" s="3">
        <f t="shared" si="35"/>
        <v>17</v>
      </c>
      <c r="K1810" s="3">
        <f t="shared" si="36"/>
        <v>0</v>
      </c>
      <c r="L1810" s="3" t="str">
        <f t="shared" si="37"/>
        <v>BOM</v>
      </c>
      <c r="N1810">
        <v>98.48</v>
      </c>
      <c r="O1810">
        <v>27.853881278538811</v>
      </c>
    </row>
    <row r="1811" spans="1:15" x14ac:dyDescent="0.25">
      <c r="A1811" s="11">
        <v>46057</v>
      </c>
      <c r="B1811" t="s">
        <v>44</v>
      </c>
      <c r="C1811" t="s">
        <v>18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 t="shared" si="34"/>
        <v>31</v>
      </c>
      <c r="J1811" s="3">
        <f t="shared" si="35"/>
        <v>29</v>
      </c>
      <c r="K1811" s="3">
        <f t="shared" si="36"/>
        <v>2</v>
      </c>
      <c r="L1811" s="3" t="str">
        <f t="shared" si="37"/>
        <v>BOM</v>
      </c>
      <c r="N1811">
        <v>95.15</v>
      </c>
      <c r="O1811">
        <v>34.131736526946113</v>
      </c>
    </row>
    <row r="1812" spans="1:15" x14ac:dyDescent="0.25">
      <c r="A1812" s="11">
        <v>46057</v>
      </c>
      <c r="B1812" t="s">
        <v>45</v>
      </c>
      <c r="C1812" t="s">
        <v>43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f t="shared" si="34"/>
        <v>0</v>
      </c>
      <c r="J1812" s="3">
        <f t="shared" si="35"/>
        <v>17</v>
      </c>
      <c r="K1812" s="3">
        <f t="shared" si="36"/>
        <v>-17</v>
      </c>
      <c r="L1812" s="3" t="str">
        <f t="shared" si="37"/>
        <v>CRÍTICO</v>
      </c>
      <c r="N1812">
        <v>0</v>
      </c>
      <c r="O1812">
        <v>0</v>
      </c>
    </row>
    <row r="1813" spans="1:15" x14ac:dyDescent="0.25">
      <c r="A1813" s="11">
        <v>46057</v>
      </c>
      <c r="B1813" t="s">
        <v>46</v>
      </c>
      <c r="C1813" t="s">
        <v>18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 t="shared" si="34"/>
        <v>26</v>
      </c>
      <c r="J1813" s="3">
        <f t="shared" si="35"/>
        <v>29</v>
      </c>
      <c r="K1813" s="3">
        <f t="shared" si="36"/>
        <v>-3</v>
      </c>
      <c r="L1813" s="3" t="str">
        <f t="shared" si="37"/>
        <v>ATENÇÃO</v>
      </c>
      <c r="N1813">
        <v>99.26</v>
      </c>
      <c r="O1813">
        <v>30.84832904884319</v>
      </c>
    </row>
    <row r="1814" spans="1:15" x14ac:dyDescent="0.25">
      <c r="A1814" s="11">
        <v>46057</v>
      </c>
      <c r="B1814" t="s">
        <v>47</v>
      </c>
      <c r="C1814" t="s">
        <v>16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 t="shared" si="34"/>
        <v>26</v>
      </c>
      <c r="J1814" s="3">
        <f t="shared" si="35"/>
        <v>23</v>
      </c>
      <c r="K1814" s="3">
        <f t="shared" si="36"/>
        <v>3</v>
      </c>
      <c r="L1814" s="3" t="str">
        <f t="shared" si="37"/>
        <v>BOM</v>
      </c>
      <c r="N1814">
        <v>97.48</v>
      </c>
      <c r="O1814">
        <v>27.764705882352938</v>
      </c>
    </row>
    <row r="1815" spans="1:15" x14ac:dyDescent="0.25">
      <c r="A1815" s="11">
        <v>46057</v>
      </c>
      <c r="B1815" t="s">
        <v>48</v>
      </c>
      <c r="C1815" t="s">
        <v>16</v>
      </c>
      <c r="D1815">
        <v>0</v>
      </c>
      <c r="E1815">
        <v>0</v>
      </c>
      <c r="F1815">
        <v>0</v>
      </c>
      <c r="G1815">
        <v>0</v>
      </c>
      <c r="H1815">
        <v>0</v>
      </c>
      <c r="I1815" s="3">
        <f t="shared" si="34"/>
        <v>0</v>
      </c>
      <c r="J1815" s="3">
        <f t="shared" si="35"/>
        <v>23</v>
      </c>
      <c r="K1815" s="3">
        <f t="shared" si="36"/>
        <v>-23</v>
      </c>
      <c r="L1815" s="3" t="str">
        <f t="shared" si="37"/>
        <v>CRÍTICO</v>
      </c>
      <c r="N1815">
        <v>99.34</v>
      </c>
      <c r="O1815">
        <v>30.04291845493562</v>
      </c>
    </row>
    <row r="1816" spans="1:15" x14ac:dyDescent="0.25">
      <c r="A1816" s="11">
        <v>46057</v>
      </c>
      <c r="B1816" t="s">
        <v>49</v>
      </c>
      <c r="C1816" t="s">
        <v>18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 t="shared" si="34"/>
        <v>34</v>
      </c>
      <c r="J1816" s="3">
        <f t="shared" si="35"/>
        <v>29</v>
      </c>
      <c r="K1816" s="3">
        <f t="shared" si="36"/>
        <v>5</v>
      </c>
      <c r="L1816" s="3" t="str">
        <f t="shared" si="37"/>
        <v>BOM</v>
      </c>
      <c r="N1816">
        <v>96.3</v>
      </c>
      <c r="O1816">
        <v>24.29378531073446</v>
      </c>
    </row>
    <row r="1817" spans="1:15" x14ac:dyDescent="0.25">
      <c r="A1817" s="11">
        <v>46057</v>
      </c>
      <c r="B1817" t="s">
        <v>50</v>
      </c>
      <c r="C1817" t="s">
        <v>20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 t="shared" si="34"/>
        <v>23</v>
      </c>
      <c r="J1817" s="3">
        <f t="shared" si="35"/>
        <v>19</v>
      </c>
      <c r="K1817" s="3">
        <f t="shared" si="36"/>
        <v>4</v>
      </c>
      <c r="L1817" s="3" t="str">
        <f t="shared" si="37"/>
        <v>BOM</v>
      </c>
      <c r="N1817">
        <v>100</v>
      </c>
      <c r="O1817">
        <v>26.543209876543209</v>
      </c>
    </row>
    <row r="1818" spans="1:15" x14ac:dyDescent="0.25">
      <c r="A1818" s="11">
        <v>46057</v>
      </c>
      <c r="B1818" t="s">
        <v>51</v>
      </c>
      <c r="C1818" t="s">
        <v>23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 t="shared" si="34"/>
        <v>8</v>
      </c>
      <c r="J1818" s="3">
        <f t="shared" si="35"/>
        <v>8</v>
      </c>
      <c r="K1818" s="3">
        <f t="shared" si="36"/>
        <v>0</v>
      </c>
      <c r="L1818" s="3" t="str">
        <f t="shared" si="37"/>
        <v>BOM</v>
      </c>
      <c r="N1818">
        <v>100</v>
      </c>
      <c r="O1818">
        <v>35.483870967741943</v>
      </c>
    </row>
    <row r="1819" spans="1:15" x14ac:dyDescent="0.25">
      <c r="A1819" s="11">
        <v>46057</v>
      </c>
      <c r="B1819" t="s">
        <v>52</v>
      </c>
      <c r="C1819" t="s">
        <v>18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 t="shared" si="34"/>
        <v>38</v>
      </c>
      <c r="J1819" s="3">
        <f t="shared" si="35"/>
        <v>29</v>
      </c>
      <c r="K1819" s="3">
        <f t="shared" si="36"/>
        <v>9</v>
      </c>
      <c r="L1819" s="3" t="str">
        <f t="shared" si="37"/>
        <v>EXCELENTE</v>
      </c>
      <c r="N1819">
        <v>99.27</v>
      </c>
      <c r="O1819">
        <v>31.163708086785011</v>
      </c>
    </row>
    <row r="1820" spans="1:15" x14ac:dyDescent="0.25">
      <c r="A1820" s="11">
        <v>46057</v>
      </c>
      <c r="B1820" t="s">
        <v>53</v>
      </c>
      <c r="C1820" t="s">
        <v>18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 t="shared" si="34"/>
        <v>31</v>
      </c>
      <c r="J1820" s="3">
        <f t="shared" si="35"/>
        <v>29</v>
      </c>
      <c r="K1820" s="3">
        <f t="shared" si="36"/>
        <v>2</v>
      </c>
      <c r="L1820" s="3" t="str">
        <f t="shared" si="37"/>
        <v>BOM</v>
      </c>
      <c r="N1820">
        <v>94.16</v>
      </c>
      <c r="O1820">
        <v>27.038626609442058</v>
      </c>
    </row>
    <row r="1821" spans="1:15" x14ac:dyDescent="0.25">
      <c r="A1821" s="11">
        <v>46057</v>
      </c>
      <c r="B1821" t="s">
        <v>54</v>
      </c>
      <c r="C1821" t="s">
        <v>23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 t="shared" si="34"/>
        <v>15</v>
      </c>
      <c r="J1821" s="3">
        <f t="shared" si="35"/>
        <v>8</v>
      </c>
      <c r="K1821" s="3">
        <f t="shared" si="36"/>
        <v>7</v>
      </c>
      <c r="L1821" s="3" t="str">
        <f t="shared" si="37"/>
        <v>EXCELENTE</v>
      </c>
      <c r="N1821">
        <v>93.75</v>
      </c>
      <c r="O1821">
        <v>19.31818181818182</v>
      </c>
    </row>
    <row r="1822" spans="1:15" x14ac:dyDescent="0.25">
      <c r="A1822" s="11">
        <v>46057</v>
      </c>
      <c r="B1822" t="s">
        <v>55</v>
      </c>
      <c r="C1822" t="s">
        <v>43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f t="shared" si="34"/>
        <v>0</v>
      </c>
      <c r="J1822" s="3">
        <f t="shared" si="35"/>
        <v>17</v>
      </c>
      <c r="K1822" s="3">
        <f t="shared" si="36"/>
        <v>-17</v>
      </c>
      <c r="L1822" s="3" t="str">
        <f t="shared" si="37"/>
        <v>CRÍTICO</v>
      </c>
      <c r="N1822">
        <v>0</v>
      </c>
      <c r="O1822">
        <v>0</v>
      </c>
    </row>
    <row r="1823" spans="1:15" x14ac:dyDescent="0.25">
      <c r="A1823" s="11">
        <v>46057</v>
      </c>
      <c r="B1823" t="s">
        <v>56</v>
      </c>
      <c r="C1823" t="s">
        <v>16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f t="shared" si="34"/>
        <v>0</v>
      </c>
      <c r="J1823" s="3">
        <f t="shared" si="35"/>
        <v>23</v>
      </c>
      <c r="K1823" s="3">
        <f t="shared" si="36"/>
        <v>-23</v>
      </c>
      <c r="L1823" s="3" t="str">
        <f t="shared" si="37"/>
        <v>CRÍTICO</v>
      </c>
      <c r="N1823">
        <v>97.92</v>
      </c>
      <c r="O1823">
        <v>32.87671232876712</v>
      </c>
    </row>
    <row r="1824" spans="1:15" x14ac:dyDescent="0.25">
      <c r="A1824" s="11">
        <v>46057</v>
      </c>
      <c r="B1824" t="s">
        <v>57</v>
      </c>
      <c r="C1824" t="s">
        <v>43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f t="shared" si="34"/>
        <v>0</v>
      </c>
      <c r="J1824" s="3">
        <f t="shared" si="35"/>
        <v>17</v>
      </c>
      <c r="K1824" s="3">
        <f t="shared" si="36"/>
        <v>-17</v>
      </c>
      <c r="L1824" s="3" t="str">
        <f t="shared" si="37"/>
        <v>CRÍTICO</v>
      </c>
      <c r="N1824">
        <v>0</v>
      </c>
      <c r="O1824">
        <v>0</v>
      </c>
    </row>
    <row r="1825" spans="1:15" x14ac:dyDescent="0.25">
      <c r="A1825" s="11">
        <v>46057</v>
      </c>
      <c r="B1825" t="s">
        <v>58</v>
      </c>
      <c r="C1825" t="s">
        <v>43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f t="shared" si="34"/>
        <v>0</v>
      </c>
      <c r="J1825" s="3">
        <f t="shared" si="35"/>
        <v>17</v>
      </c>
      <c r="K1825" s="3">
        <f t="shared" si="36"/>
        <v>-17</v>
      </c>
      <c r="L1825" s="3" t="str">
        <f t="shared" si="37"/>
        <v>CRÍTICO</v>
      </c>
      <c r="N1825">
        <v>0</v>
      </c>
      <c r="O1825">
        <v>0</v>
      </c>
    </row>
    <row r="1826" spans="1:15" x14ac:dyDescent="0.25">
      <c r="A1826" s="11">
        <v>46057</v>
      </c>
      <c r="B1826" t="s">
        <v>59</v>
      </c>
      <c r="C1826" t="s">
        <v>23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f t="shared" si="34"/>
        <v>0</v>
      </c>
      <c r="J1826" s="3">
        <f t="shared" si="35"/>
        <v>8</v>
      </c>
      <c r="K1826" s="3">
        <f t="shared" si="36"/>
        <v>-8</v>
      </c>
      <c r="L1826" s="3" t="str">
        <f t="shared" si="37"/>
        <v>CRÍTICO</v>
      </c>
      <c r="N1826">
        <v>0</v>
      </c>
      <c r="O1826">
        <v>0</v>
      </c>
    </row>
    <row r="1827" spans="1:15" x14ac:dyDescent="0.25">
      <c r="A1827" s="11">
        <v>46057</v>
      </c>
      <c r="B1827" t="s">
        <v>60</v>
      </c>
      <c r="C1827" t="s">
        <v>20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 t="shared" ref="I1827:I1890" si="38">E1827+G1827+H1827</f>
        <v>16</v>
      </c>
      <c r="J1827" s="3">
        <f t="shared" ref="J1827:J1890" si="39"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19</v>
      </c>
      <c r="K1827" s="3">
        <f t="shared" ref="K1827:K1890" si="40">I1827-J1827</f>
        <v>-3</v>
      </c>
      <c r="L1827" s="3" t="str">
        <f t="shared" ref="L1827:L1890" si="41">IF(K1827&lt;-5,"CRÍTICO",IF(K1827&lt;0,"ATENÇÃO",IF(K1827&lt;=5,"BOM","EXCELENTE")))</f>
        <v>ATENÇÃO</v>
      </c>
      <c r="N1827">
        <v>98.51</v>
      </c>
      <c r="O1827">
        <v>29.710144927536231</v>
      </c>
    </row>
    <row r="1828" spans="1:15" x14ac:dyDescent="0.25">
      <c r="A1828" s="11">
        <v>46057</v>
      </c>
      <c r="B1828" t="s">
        <v>61</v>
      </c>
      <c r="C1828" t="s">
        <v>18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 t="shared" si="38"/>
        <v>43</v>
      </c>
      <c r="J1828" s="3">
        <f t="shared" si="39"/>
        <v>29</v>
      </c>
      <c r="K1828" s="3">
        <f t="shared" si="40"/>
        <v>14</v>
      </c>
      <c r="L1828" s="3" t="str">
        <f t="shared" si="41"/>
        <v>EXCELENTE</v>
      </c>
      <c r="N1828">
        <v>98.81</v>
      </c>
      <c r="O1828">
        <v>30.712979890310791</v>
      </c>
    </row>
    <row r="1829" spans="1:15" x14ac:dyDescent="0.25">
      <c r="A1829" s="11">
        <v>46057</v>
      </c>
      <c r="B1829" t="s">
        <v>62</v>
      </c>
      <c r="C1829" t="s">
        <v>20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 t="shared" si="38"/>
        <v>17</v>
      </c>
      <c r="J1829" s="3">
        <f t="shared" si="39"/>
        <v>19</v>
      </c>
      <c r="K1829" s="3">
        <f t="shared" si="40"/>
        <v>-2</v>
      </c>
      <c r="L1829" s="3" t="str">
        <f t="shared" si="41"/>
        <v>ATENÇÃO</v>
      </c>
      <c r="N1829">
        <v>98.48</v>
      </c>
      <c r="O1829">
        <v>29.35323383084577</v>
      </c>
    </row>
    <row r="1830" spans="1:15" x14ac:dyDescent="0.25">
      <c r="A1830" s="11">
        <v>46057</v>
      </c>
      <c r="B1830" t="s">
        <v>63</v>
      </c>
      <c r="C1830" t="s">
        <v>18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 t="shared" si="38"/>
        <v>37</v>
      </c>
      <c r="J1830" s="3">
        <f t="shared" si="39"/>
        <v>29</v>
      </c>
      <c r="K1830" s="3">
        <f t="shared" si="40"/>
        <v>8</v>
      </c>
      <c r="L1830" s="3" t="str">
        <f t="shared" si="41"/>
        <v>EXCELENTE</v>
      </c>
      <c r="N1830">
        <v>98.56</v>
      </c>
      <c r="O1830">
        <v>29.373650107991359</v>
      </c>
    </row>
    <row r="1831" spans="1:15" x14ac:dyDescent="0.25">
      <c r="A1831" s="11">
        <v>46058</v>
      </c>
      <c r="B1831" t="s">
        <v>15</v>
      </c>
      <c r="C1831" t="s">
        <v>16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 t="shared" si="38"/>
        <v>34</v>
      </c>
      <c r="J1831" s="3">
        <f t="shared" si="39"/>
        <v>27</v>
      </c>
      <c r="K1831" s="3">
        <f t="shared" si="40"/>
        <v>7</v>
      </c>
      <c r="L1831" s="3" t="str">
        <f t="shared" si="41"/>
        <v>EXCELENTE</v>
      </c>
      <c r="N1831">
        <v>98.32</v>
      </c>
      <c r="O1831">
        <v>30.303030303030301</v>
      </c>
    </row>
    <row r="1832" spans="1:15" x14ac:dyDescent="0.25">
      <c r="A1832" s="11">
        <v>46058</v>
      </c>
      <c r="B1832" t="s">
        <v>17</v>
      </c>
      <c r="C1832" t="s">
        <v>18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f t="shared" si="38"/>
        <v>0</v>
      </c>
      <c r="J1832" s="3">
        <f t="shared" si="39"/>
        <v>34</v>
      </c>
      <c r="K1832" s="3">
        <f t="shared" si="40"/>
        <v>-34</v>
      </c>
      <c r="L1832" s="3" t="str">
        <f t="shared" si="41"/>
        <v>CRÍTICO</v>
      </c>
      <c r="N1832">
        <v>98.68</v>
      </c>
      <c r="O1832">
        <v>26.219512195121951</v>
      </c>
    </row>
    <row r="1833" spans="1:15" x14ac:dyDescent="0.25">
      <c r="A1833" s="11">
        <v>46058</v>
      </c>
      <c r="B1833" t="s">
        <v>19</v>
      </c>
      <c r="C1833" t="s">
        <v>20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 t="shared" si="38"/>
        <v>40</v>
      </c>
      <c r="J1833" s="3">
        <f t="shared" si="39"/>
        <v>22</v>
      </c>
      <c r="K1833" s="3">
        <f t="shared" si="40"/>
        <v>18</v>
      </c>
      <c r="L1833" s="3" t="str">
        <f t="shared" si="41"/>
        <v>EXCELENTE</v>
      </c>
      <c r="N1833">
        <v>100</v>
      </c>
      <c r="O1833">
        <v>31.74224343675418</v>
      </c>
    </row>
    <row r="1834" spans="1:15" x14ac:dyDescent="0.25">
      <c r="A1834" s="11">
        <v>46058</v>
      </c>
      <c r="B1834" t="s">
        <v>21</v>
      </c>
      <c r="C1834" t="s">
        <v>18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 t="shared" si="38"/>
        <v>40</v>
      </c>
      <c r="J1834" s="3">
        <f t="shared" si="39"/>
        <v>34</v>
      </c>
      <c r="K1834" s="3">
        <f t="shared" si="40"/>
        <v>6</v>
      </c>
      <c r="L1834" s="3" t="str">
        <f t="shared" si="41"/>
        <v>EXCELENTE</v>
      </c>
      <c r="N1834">
        <v>98.25</v>
      </c>
      <c r="O1834">
        <v>25.83518930957684</v>
      </c>
    </row>
    <row r="1835" spans="1:15" x14ac:dyDescent="0.25">
      <c r="A1835" s="11">
        <v>46058</v>
      </c>
      <c r="B1835" t="s">
        <v>22</v>
      </c>
      <c r="C1835" t="s">
        <v>23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f t="shared" si="38"/>
        <v>0</v>
      </c>
      <c r="J1835" s="3">
        <f t="shared" si="39"/>
        <v>10</v>
      </c>
      <c r="K1835" s="3">
        <f t="shared" si="40"/>
        <v>-10</v>
      </c>
      <c r="L1835" s="3" t="str">
        <f t="shared" si="41"/>
        <v>CRÍTICO</v>
      </c>
      <c r="N1835">
        <v>97.5</v>
      </c>
      <c r="O1835">
        <v>30.075187969924809</v>
      </c>
    </row>
    <row r="1836" spans="1:15" x14ac:dyDescent="0.25">
      <c r="A1836" s="11">
        <v>46058</v>
      </c>
      <c r="B1836" t="s">
        <v>24</v>
      </c>
      <c r="C1836" t="s">
        <v>16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 t="shared" si="38"/>
        <v>30</v>
      </c>
      <c r="J1836" s="3">
        <f t="shared" si="39"/>
        <v>27</v>
      </c>
      <c r="K1836" s="3">
        <f t="shared" si="40"/>
        <v>3</v>
      </c>
      <c r="L1836" s="3" t="str">
        <f t="shared" si="41"/>
        <v>BOM</v>
      </c>
      <c r="N1836">
        <v>100</v>
      </c>
      <c r="O1836">
        <v>29.71311475409836</v>
      </c>
    </row>
    <row r="1837" spans="1:15" x14ac:dyDescent="0.25">
      <c r="A1837" s="11">
        <v>46058</v>
      </c>
      <c r="B1837" t="s">
        <v>25</v>
      </c>
      <c r="C1837" t="s">
        <v>16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 t="shared" si="38"/>
        <v>16</v>
      </c>
      <c r="J1837" s="3">
        <f t="shared" si="39"/>
        <v>27</v>
      </c>
      <c r="K1837" s="3">
        <f t="shared" si="40"/>
        <v>-11</v>
      </c>
      <c r="L1837" s="3" t="str">
        <f t="shared" si="41"/>
        <v>CRÍTICO</v>
      </c>
      <c r="N1837">
        <v>99.22</v>
      </c>
      <c r="O1837">
        <v>35.256410256410263</v>
      </c>
    </row>
    <row r="1838" spans="1:15" x14ac:dyDescent="0.25">
      <c r="A1838" s="11">
        <v>46058</v>
      </c>
      <c r="B1838" t="s">
        <v>26</v>
      </c>
      <c r="C1838" t="s">
        <v>23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f t="shared" si="38"/>
        <v>0</v>
      </c>
      <c r="J1838" s="3">
        <f t="shared" si="39"/>
        <v>10</v>
      </c>
      <c r="K1838" s="3">
        <f t="shared" si="40"/>
        <v>-10</v>
      </c>
      <c r="L1838" s="3" t="str">
        <f t="shared" si="41"/>
        <v>CRÍTICO</v>
      </c>
      <c r="N1838">
        <v>0</v>
      </c>
      <c r="O1838">
        <v>0</v>
      </c>
    </row>
    <row r="1839" spans="1:15" x14ac:dyDescent="0.25">
      <c r="A1839" s="11">
        <v>46058</v>
      </c>
      <c r="B1839" t="s">
        <v>27</v>
      </c>
      <c r="C1839" t="s">
        <v>20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 t="shared" si="38"/>
        <v>14</v>
      </c>
      <c r="J1839" s="3">
        <f t="shared" si="39"/>
        <v>22</v>
      </c>
      <c r="K1839" s="3">
        <f t="shared" si="40"/>
        <v>-8</v>
      </c>
      <c r="L1839" s="3" t="str">
        <f t="shared" si="41"/>
        <v>CRÍTICO</v>
      </c>
      <c r="N1839">
        <v>98.75</v>
      </c>
      <c r="O1839">
        <v>24.32432432432433</v>
      </c>
    </row>
    <row r="1840" spans="1:15" x14ac:dyDescent="0.25">
      <c r="A1840" s="11">
        <v>46058</v>
      </c>
      <c r="B1840" t="s">
        <v>28</v>
      </c>
      <c r="C1840" t="s">
        <v>18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 t="shared" si="38"/>
        <v>28</v>
      </c>
      <c r="J1840" s="3">
        <f t="shared" si="39"/>
        <v>34</v>
      </c>
      <c r="K1840" s="3">
        <f t="shared" si="40"/>
        <v>-6</v>
      </c>
      <c r="L1840" s="3" t="str">
        <f t="shared" si="41"/>
        <v>CRÍTICO</v>
      </c>
      <c r="N1840">
        <v>93.48</v>
      </c>
      <c r="O1840">
        <v>31.334622823984521</v>
      </c>
    </row>
    <row r="1841" spans="1:15" x14ac:dyDescent="0.25">
      <c r="A1841" s="11">
        <v>46058</v>
      </c>
      <c r="B1841" t="s">
        <v>29</v>
      </c>
      <c r="C1841" t="s">
        <v>16</v>
      </c>
      <c r="D1841">
        <v>0</v>
      </c>
      <c r="E1841">
        <v>0</v>
      </c>
      <c r="F1841">
        <v>0</v>
      </c>
      <c r="G1841">
        <v>0</v>
      </c>
      <c r="H1841">
        <v>0</v>
      </c>
      <c r="I1841" s="3">
        <f t="shared" si="38"/>
        <v>0</v>
      </c>
      <c r="J1841" s="3">
        <f t="shared" si="39"/>
        <v>27</v>
      </c>
      <c r="K1841" s="3">
        <f t="shared" si="40"/>
        <v>-27</v>
      </c>
      <c r="L1841" s="3" t="str">
        <f t="shared" si="41"/>
        <v>CRÍTICO</v>
      </c>
      <c r="N1841">
        <v>99.16</v>
      </c>
      <c r="O1841">
        <v>26.13908872901678</v>
      </c>
    </row>
    <row r="1842" spans="1:15" x14ac:dyDescent="0.25">
      <c r="A1842" s="11">
        <v>46058</v>
      </c>
      <c r="B1842" t="s">
        <v>30</v>
      </c>
      <c r="C1842" t="s">
        <v>20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 t="shared" si="38"/>
        <v>20</v>
      </c>
      <c r="J1842" s="3">
        <f t="shared" si="39"/>
        <v>22</v>
      </c>
      <c r="K1842" s="3">
        <f t="shared" si="40"/>
        <v>-2</v>
      </c>
      <c r="L1842" s="3" t="str">
        <f t="shared" si="41"/>
        <v>ATENÇÃO</v>
      </c>
      <c r="N1842">
        <v>100</v>
      </c>
      <c r="O1842">
        <v>31.089743589743591</v>
      </c>
    </row>
    <row r="1843" spans="1:15" x14ac:dyDescent="0.25">
      <c r="A1843" s="11">
        <v>46058</v>
      </c>
      <c r="B1843" t="s">
        <v>31</v>
      </c>
      <c r="C1843" t="s">
        <v>18</v>
      </c>
      <c r="D1843">
        <v>0</v>
      </c>
      <c r="E1843">
        <v>0</v>
      </c>
      <c r="F1843">
        <v>0</v>
      </c>
      <c r="G1843">
        <v>0</v>
      </c>
      <c r="H1843">
        <v>0</v>
      </c>
      <c r="I1843" s="3">
        <f t="shared" si="38"/>
        <v>0</v>
      </c>
      <c r="J1843" s="3">
        <f t="shared" si="39"/>
        <v>34</v>
      </c>
      <c r="K1843" s="3">
        <f t="shared" si="40"/>
        <v>-34</v>
      </c>
      <c r="L1843" s="3" t="str">
        <f t="shared" si="41"/>
        <v>CRÍTICO</v>
      </c>
      <c r="N1843">
        <v>98.11</v>
      </c>
      <c r="O1843">
        <v>33.033707865168537</v>
      </c>
    </row>
    <row r="1844" spans="1:15" x14ac:dyDescent="0.25">
      <c r="A1844" s="11">
        <v>46058</v>
      </c>
      <c r="B1844" t="s">
        <v>32</v>
      </c>
      <c r="C1844" t="s">
        <v>23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 t="shared" si="38"/>
        <v>28</v>
      </c>
      <c r="J1844" s="3">
        <f t="shared" si="39"/>
        <v>10</v>
      </c>
      <c r="K1844" s="3">
        <f t="shared" si="40"/>
        <v>18</v>
      </c>
      <c r="L1844" s="3" t="str">
        <f t="shared" si="41"/>
        <v>EXCELENTE</v>
      </c>
      <c r="N1844">
        <v>78.95</v>
      </c>
      <c r="O1844">
        <v>38.983050847457633</v>
      </c>
    </row>
    <row r="1845" spans="1:15" x14ac:dyDescent="0.25">
      <c r="A1845" s="11">
        <v>46058</v>
      </c>
      <c r="B1845" t="s">
        <v>33</v>
      </c>
      <c r="C1845" t="s">
        <v>16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 t="shared" si="38"/>
        <v>35</v>
      </c>
      <c r="J1845" s="3">
        <f t="shared" si="39"/>
        <v>27</v>
      </c>
      <c r="K1845" s="3">
        <f t="shared" si="40"/>
        <v>8</v>
      </c>
      <c r="L1845" s="3" t="str">
        <f t="shared" si="41"/>
        <v>EXCELENTE</v>
      </c>
      <c r="N1845">
        <v>98.45</v>
      </c>
      <c r="O1845">
        <v>29.281767955801101</v>
      </c>
    </row>
    <row r="1846" spans="1:15" x14ac:dyDescent="0.25">
      <c r="A1846" s="11">
        <v>46058</v>
      </c>
      <c r="B1846" t="s">
        <v>34</v>
      </c>
      <c r="C1846" t="s">
        <v>18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 t="shared" si="38"/>
        <v>35</v>
      </c>
      <c r="J1846" s="3">
        <f t="shared" si="39"/>
        <v>34</v>
      </c>
      <c r="K1846" s="3">
        <f t="shared" si="40"/>
        <v>1</v>
      </c>
      <c r="L1846" s="3" t="str">
        <f t="shared" si="41"/>
        <v>BOM</v>
      </c>
      <c r="N1846">
        <v>97.84</v>
      </c>
      <c r="O1846">
        <v>26.282051282051281</v>
      </c>
    </row>
    <row r="1847" spans="1:15" x14ac:dyDescent="0.25">
      <c r="A1847" s="11">
        <v>46058</v>
      </c>
      <c r="B1847" t="s">
        <v>35</v>
      </c>
      <c r="C1847" t="s">
        <v>16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 t="shared" si="38"/>
        <v>44</v>
      </c>
      <c r="J1847" s="3">
        <f t="shared" si="39"/>
        <v>27</v>
      </c>
      <c r="K1847" s="3">
        <f t="shared" si="40"/>
        <v>17</v>
      </c>
      <c r="L1847" s="3" t="str">
        <f t="shared" si="41"/>
        <v>EXCELENTE</v>
      </c>
      <c r="N1847">
        <v>98.5</v>
      </c>
      <c r="O1847">
        <v>23.97769516728625</v>
      </c>
    </row>
    <row r="1848" spans="1:15" x14ac:dyDescent="0.25">
      <c r="A1848" s="11">
        <v>46092</v>
      </c>
      <c r="B1848" t="s">
        <v>36</v>
      </c>
      <c r="C1848" t="s">
        <v>20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 t="shared" si="38"/>
        <v>3</v>
      </c>
      <c r="J1848" s="3">
        <f t="shared" si="39"/>
        <v>15</v>
      </c>
      <c r="K1848" s="3">
        <f t="shared" si="40"/>
        <v>-12</v>
      </c>
      <c r="L1848" s="3" t="str">
        <f t="shared" si="41"/>
        <v>CRÍTICO</v>
      </c>
      <c r="N1848">
        <v>99.05</v>
      </c>
      <c r="O1848">
        <v>26.621923937360179</v>
      </c>
    </row>
    <row r="1849" spans="1:15" x14ac:dyDescent="0.25">
      <c r="A1849" s="11">
        <v>46058</v>
      </c>
      <c r="B1849" t="s">
        <v>37</v>
      </c>
      <c r="C1849" t="s">
        <v>16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 t="shared" si="38"/>
        <v>37</v>
      </c>
      <c r="J1849" s="3">
        <f t="shared" si="39"/>
        <v>27</v>
      </c>
      <c r="K1849" s="3">
        <f t="shared" si="40"/>
        <v>10</v>
      </c>
      <c r="L1849" s="3" t="str">
        <f t="shared" si="41"/>
        <v>EXCELENTE</v>
      </c>
      <c r="N1849">
        <v>98.53</v>
      </c>
      <c r="O1849">
        <v>31.578947368421051</v>
      </c>
    </row>
    <row r="1850" spans="1:15" x14ac:dyDescent="0.25">
      <c r="A1850" s="11">
        <v>46058</v>
      </c>
      <c r="B1850" t="s">
        <v>38</v>
      </c>
      <c r="C1850" t="s">
        <v>18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 t="shared" si="38"/>
        <v>43</v>
      </c>
      <c r="J1850" s="3">
        <f t="shared" si="39"/>
        <v>34</v>
      </c>
      <c r="K1850" s="3">
        <f t="shared" si="40"/>
        <v>9</v>
      </c>
      <c r="L1850" s="3" t="str">
        <f t="shared" si="41"/>
        <v>EXCELENTE</v>
      </c>
      <c r="N1850">
        <v>100</v>
      </c>
      <c r="O1850">
        <v>25.72214580467676</v>
      </c>
    </row>
    <row r="1851" spans="1:15" x14ac:dyDescent="0.25">
      <c r="A1851" s="11">
        <v>46058</v>
      </c>
      <c r="B1851" t="s">
        <v>39</v>
      </c>
      <c r="C1851" t="s">
        <v>18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 t="shared" si="38"/>
        <v>44</v>
      </c>
      <c r="J1851" s="3">
        <f t="shared" si="39"/>
        <v>34</v>
      </c>
      <c r="K1851" s="3">
        <f t="shared" si="40"/>
        <v>10</v>
      </c>
      <c r="L1851" s="3" t="str">
        <f t="shared" si="41"/>
        <v>EXCELENTE</v>
      </c>
      <c r="N1851">
        <v>94.64</v>
      </c>
      <c r="O1851">
        <v>27.52941176470588</v>
      </c>
    </row>
    <row r="1852" spans="1:15" x14ac:dyDescent="0.25">
      <c r="A1852" s="11">
        <v>46058</v>
      </c>
      <c r="B1852" t="s">
        <v>40</v>
      </c>
      <c r="C1852" t="s">
        <v>16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 t="shared" si="38"/>
        <v>38</v>
      </c>
      <c r="J1852" s="3">
        <f t="shared" si="39"/>
        <v>27</v>
      </c>
      <c r="K1852" s="3">
        <f t="shared" si="40"/>
        <v>11</v>
      </c>
      <c r="L1852" s="3" t="str">
        <f t="shared" si="41"/>
        <v>EXCELENTE</v>
      </c>
      <c r="N1852">
        <v>99.07</v>
      </c>
      <c r="O1852">
        <v>26.376811594202898</v>
      </c>
    </row>
    <row r="1853" spans="1:15" x14ac:dyDescent="0.25">
      <c r="A1853" s="11">
        <v>46058</v>
      </c>
      <c r="B1853" t="s">
        <v>41</v>
      </c>
      <c r="C1853" t="s">
        <v>18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f t="shared" si="38"/>
        <v>0</v>
      </c>
      <c r="J1853" s="3">
        <f t="shared" si="39"/>
        <v>34</v>
      </c>
      <c r="K1853" s="3">
        <f t="shared" si="40"/>
        <v>-34</v>
      </c>
      <c r="L1853" s="3" t="str">
        <f t="shared" si="41"/>
        <v>CRÍTICO</v>
      </c>
      <c r="N1853">
        <v>100</v>
      </c>
      <c r="O1853">
        <v>0</v>
      </c>
    </row>
    <row r="1854" spans="1:15" x14ac:dyDescent="0.25">
      <c r="A1854" s="11">
        <v>46058</v>
      </c>
      <c r="B1854" t="s">
        <v>42</v>
      </c>
      <c r="C1854" t="s">
        <v>43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 t="shared" si="38"/>
        <v>19</v>
      </c>
      <c r="J1854" s="3">
        <f t="shared" si="39"/>
        <v>19</v>
      </c>
      <c r="K1854" s="3">
        <f t="shared" si="40"/>
        <v>0</v>
      </c>
      <c r="L1854" s="3" t="str">
        <f t="shared" si="41"/>
        <v>BOM</v>
      </c>
      <c r="N1854">
        <v>98.48</v>
      </c>
      <c r="O1854">
        <v>27.853881278538811</v>
      </c>
    </row>
    <row r="1855" spans="1:15" x14ac:dyDescent="0.25">
      <c r="A1855" s="11">
        <v>46058</v>
      </c>
      <c r="B1855" t="s">
        <v>44</v>
      </c>
      <c r="C1855" t="s">
        <v>18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 t="shared" si="38"/>
        <v>7</v>
      </c>
      <c r="J1855" s="3">
        <f t="shared" si="39"/>
        <v>34</v>
      </c>
      <c r="K1855" s="3">
        <f t="shared" si="40"/>
        <v>-27</v>
      </c>
      <c r="L1855" s="3" t="str">
        <f t="shared" si="41"/>
        <v>CRÍTICO</v>
      </c>
      <c r="N1855">
        <v>95.15</v>
      </c>
      <c r="O1855">
        <v>34.131736526946113</v>
      </c>
    </row>
    <row r="1856" spans="1:15" x14ac:dyDescent="0.25">
      <c r="A1856" s="11">
        <v>46058</v>
      </c>
      <c r="B1856" t="s">
        <v>45</v>
      </c>
      <c r="C1856" t="s">
        <v>43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f t="shared" si="38"/>
        <v>0</v>
      </c>
      <c r="J1856" s="3">
        <f t="shared" si="39"/>
        <v>19</v>
      </c>
      <c r="K1856" s="3">
        <f t="shared" si="40"/>
        <v>-19</v>
      </c>
      <c r="L1856" s="3" t="str">
        <f t="shared" si="41"/>
        <v>CRÍTICO</v>
      </c>
      <c r="N1856">
        <v>0</v>
      </c>
      <c r="O1856">
        <v>0</v>
      </c>
    </row>
    <row r="1857" spans="1:15" x14ac:dyDescent="0.25">
      <c r="A1857" s="11">
        <v>46058</v>
      </c>
      <c r="B1857" t="s">
        <v>46</v>
      </c>
      <c r="C1857" t="s">
        <v>18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 t="shared" si="38"/>
        <v>22</v>
      </c>
      <c r="J1857" s="3">
        <f t="shared" si="39"/>
        <v>34</v>
      </c>
      <c r="K1857" s="3">
        <f t="shared" si="40"/>
        <v>-12</v>
      </c>
      <c r="L1857" s="3" t="str">
        <f t="shared" si="41"/>
        <v>CRÍTICO</v>
      </c>
      <c r="N1857">
        <v>99.26</v>
      </c>
      <c r="O1857">
        <v>30.84832904884319</v>
      </c>
    </row>
    <row r="1858" spans="1:15" x14ac:dyDescent="0.25">
      <c r="A1858" s="11">
        <v>46058</v>
      </c>
      <c r="B1858" t="s">
        <v>47</v>
      </c>
      <c r="C1858" t="s">
        <v>16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 t="shared" si="38"/>
        <v>34</v>
      </c>
      <c r="J1858" s="3">
        <f t="shared" si="39"/>
        <v>27</v>
      </c>
      <c r="K1858" s="3">
        <f t="shared" si="40"/>
        <v>7</v>
      </c>
      <c r="L1858" s="3" t="str">
        <f t="shared" si="41"/>
        <v>EXCELENTE</v>
      </c>
      <c r="N1858">
        <v>97.48</v>
      </c>
      <c r="O1858">
        <v>27.764705882352938</v>
      </c>
    </row>
    <row r="1859" spans="1:15" x14ac:dyDescent="0.25">
      <c r="A1859" s="11">
        <v>46058</v>
      </c>
      <c r="B1859" t="s">
        <v>48</v>
      </c>
      <c r="C1859" t="s">
        <v>16</v>
      </c>
      <c r="D1859">
        <v>0</v>
      </c>
      <c r="E1859">
        <v>0</v>
      </c>
      <c r="F1859">
        <v>0</v>
      </c>
      <c r="G1859">
        <v>0</v>
      </c>
      <c r="H1859">
        <v>0</v>
      </c>
      <c r="I1859" s="3">
        <f t="shared" si="38"/>
        <v>0</v>
      </c>
      <c r="J1859" s="3">
        <f t="shared" si="39"/>
        <v>27</v>
      </c>
      <c r="K1859" s="3">
        <f t="shared" si="40"/>
        <v>-27</v>
      </c>
      <c r="L1859" s="3" t="str">
        <f t="shared" si="41"/>
        <v>CRÍTICO</v>
      </c>
      <c r="N1859">
        <v>99.34</v>
      </c>
      <c r="O1859">
        <v>30.04291845493562</v>
      </c>
    </row>
    <row r="1860" spans="1:15" x14ac:dyDescent="0.25">
      <c r="A1860" s="11">
        <v>46058</v>
      </c>
      <c r="B1860" t="s">
        <v>49</v>
      </c>
      <c r="C1860" t="s">
        <v>18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 t="shared" si="38"/>
        <v>36</v>
      </c>
      <c r="J1860" s="3">
        <f t="shared" si="39"/>
        <v>34</v>
      </c>
      <c r="K1860" s="3">
        <f t="shared" si="40"/>
        <v>2</v>
      </c>
      <c r="L1860" s="3" t="str">
        <f t="shared" si="41"/>
        <v>BOM</v>
      </c>
      <c r="N1860">
        <v>96.3</v>
      </c>
      <c r="O1860">
        <v>24.29378531073446</v>
      </c>
    </row>
    <row r="1861" spans="1:15" x14ac:dyDescent="0.25">
      <c r="A1861" s="11">
        <v>46058</v>
      </c>
      <c r="B1861" t="s">
        <v>50</v>
      </c>
      <c r="C1861" t="s">
        <v>20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 t="shared" si="38"/>
        <v>24</v>
      </c>
      <c r="J1861" s="3">
        <f t="shared" si="39"/>
        <v>22</v>
      </c>
      <c r="K1861" s="3">
        <f t="shared" si="40"/>
        <v>2</v>
      </c>
      <c r="L1861" s="3" t="str">
        <f t="shared" si="41"/>
        <v>BOM</v>
      </c>
      <c r="N1861">
        <v>100</v>
      </c>
      <c r="O1861">
        <v>26.543209876543209</v>
      </c>
    </row>
    <row r="1862" spans="1:15" x14ac:dyDescent="0.25">
      <c r="A1862" s="11">
        <v>46058</v>
      </c>
      <c r="B1862" t="s">
        <v>51</v>
      </c>
      <c r="C1862" t="s">
        <v>23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 t="shared" si="38"/>
        <v>39</v>
      </c>
      <c r="J1862" s="3">
        <f t="shared" si="39"/>
        <v>10</v>
      </c>
      <c r="K1862" s="3">
        <f t="shared" si="40"/>
        <v>29</v>
      </c>
      <c r="L1862" s="3" t="str">
        <f t="shared" si="41"/>
        <v>EXCELENTE</v>
      </c>
      <c r="N1862">
        <v>100</v>
      </c>
      <c r="O1862">
        <v>35.483870967741943</v>
      </c>
    </row>
    <row r="1863" spans="1:15" x14ac:dyDescent="0.25">
      <c r="A1863" s="11">
        <v>46058</v>
      </c>
      <c r="B1863" t="s">
        <v>52</v>
      </c>
      <c r="C1863" t="s">
        <v>18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 t="shared" si="38"/>
        <v>40</v>
      </c>
      <c r="J1863" s="3">
        <f t="shared" si="39"/>
        <v>34</v>
      </c>
      <c r="K1863" s="3">
        <f t="shared" si="40"/>
        <v>6</v>
      </c>
      <c r="L1863" s="3" t="str">
        <f t="shared" si="41"/>
        <v>EXCELENTE</v>
      </c>
      <c r="N1863">
        <v>99.27</v>
      </c>
      <c r="O1863">
        <v>31.163708086785011</v>
      </c>
    </row>
    <row r="1864" spans="1:15" x14ac:dyDescent="0.25">
      <c r="A1864" s="11">
        <v>46058</v>
      </c>
      <c r="B1864" t="s">
        <v>53</v>
      </c>
      <c r="C1864" t="s">
        <v>18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 t="shared" si="38"/>
        <v>32</v>
      </c>
      <c r="J1864" s="3">
        <f t="shared" si="39"/>
        <v>34</v>
      </c>
      <c r="K1864" s="3">
        <f t="shared" si="40"/>
        <v>-2</v>
      </c>
      <c r="L1864" s="3" t="str">
        <f t="shared" si="41"/>
        <v>ATENÇÃO</v>
      </c>
      <c r="N1864">
        <v>94.16</v>
      </c>
      <c r="O1864">
        <v>27.038626609442058</v>
      </c>
    </row>
    <row r="1865" spans="1:15" x14ac:dyDescent="0.25">
      <c r="A1865" s="11">
        <v>46058</v>
      </c>
      <c r="B1865" t="s">
        <v>54</v>
      </c>
      <c r="C1865" t="s">
        <v>23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 t="shared" si="38"/>
        <v>16</v>
      </c>
      <c r="J1865" s="3">
        <f t="shared" si="39"/>
        <v>10</v>
      </c>
      <c r="K1865" s="3">
        <f t="shared" si="40"/>
        <v>6</v>
      </c>
      <c r="L1865" s="3" t="str">
        <f t="shared" si="41"/>
        <v>EXCELENTE</v>
      </c>
      <c r="N1865">
        <v>93.75</v>
      </c>
      <c r="O1865">
        <v>19.31818181818182</v>
      </c>
    </row>
    <row r="1866" spans="1:15" x14ac:dyDescent="0.25">
      <c r="A1866" s="11">
        <v>46058</v>
      </c>
      <c r="B1866" t="s">
        <v>55</v>
      </c>
      <c r="C1866" t="s">
        <v>43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f t="shared" si="38"/>
        <v>0</v>
      </c>
      <c r="J1866" s="3">
        <f t="shared" si="39"/>
        <v>19</v>
      </c>
      <c r="K1866" s="3">
        <f t="shared" si="40"/>
        <v>-19</v>
      </c>
      <c r="L1866" s="3" t="str">
        <f t="shared" si="41"/>
        <v>CRÍTICO</v>
      </c>
      <c r="N1866">
        <v>0</v>
      </c>
      <c r="O1866">
        <v>0</v>
      </c>
    </row>
    <row r="1867" spans="1:15" x14ac:dyDescent="0.25">
      <c r="A1867" s="11">
        <v>46058</v>
      </c>
      <c r="B1867" t="s">
        <v>56</v>
      </c>
      <c r="C1867" t="s">
        <v>16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 t="shared" si="38"/>
        <v>27</v>
      </c>
      <c r="J1867" s="3">
        <f t="shared" si="39"/>
        <v>27</v>
      </c>
      <c r="K1867" s="3">
        <f t="shared" si="40"/>
        <v>0</v>
      </c>
      <c r="L1867" s="3" t="str">
        <f t="shared" si="41"/>
        <v>BOM</v>
      </c>
      <c r="N1867">
        <v>97.92</v>
      </c>
      <c r="O1867">
        <v>32.87671232876712</v>
      </c>
    </row>
    <row r="1868" spans="1:15" x14ac:dyDescent="0.25">
      <c r="A1868" s="11">
        <v>46058</v>
      </c>
      <c r="B1868" t="s">
        <v>57</v>
      </c>
      <c r="C1868" t="s">
        <v>43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f t="shared" si="38"/>
        <v>0</v>
      </c>
      <c r="J1868" s="3">
        <f t="shared" si="39"/>
        <v>19</v>
      </c>
      <c r="K1868" s="3">
        <f t="shared" si="40"/>
        <v>-19</v>
      </c>
      <c r="L1868" s="3" t="str">
        <f t="shared" si="41"/>
        <v>CRÍTICO</v>
      </c>
      <c r="N1868">
        <v>0</v>
      </c>
      <c r="O1868">
        <v>0</v>
      </c>
    </row>
    <row r="1869" spans="1:15" x14ac:dyDescent="0.25">
      <c r="A1869" s="11">
        <v>46058</v>
      </c>
      <c r="B1869" t="s">
        <v>58</v>
      </c>
      <c r="C1869" t="s">
        <v>43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f t="shared" si="38"/>
        <v>0</v>
      </c>
      <c r="J1869" s="3">
        <f t="shared" si="39"/>
        <v>19</v>
      </c>
      <c r="K1869" s="3">
        <f t="shared" si="40"/>
        <v>-19</v>
      </c>
      <c r="L1869" s="3" t="str">
        <f t="shared" si="41"/>
        <v>CRÍTICO</v>
      </c>
      <c r="N1869">
        <v>0</v>
      </c>
      <c r="O1869">
        <v>0</v>
      </c>
    </row>
    <row r="1870" spans="1:15" x14ac:dyDescent="0.25">
      <c r="A1870" s="11">
        <v>46058</v>
      </c>
      <c r="B1870" t="s">
        <v>59</v>
      </c>
      <c r="C1870" t="s">
        <v>23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f t="shared" si="38"/>
        <v>0</v>
      </c>
      <c r="J1870" s="3">
        <f t="shared" si="39"/>
        <v>10</v>
      </c>
      <c r="K1870" s="3">
        <f t="shared" si="40"/>
        <v>-10</v>
      </c>
      <c r="L1870" s="3" t="str">
        <f t="shared" si="41"/>
        <v>CRÍTICO</v>
      </c>
      <c r="N1870">
        <v>0</v>
      </c>
      <c r="O1870">
        <v>0</v>
      </c>
    </row>
    <row r="1871" spans="1:15" x14ac:dyDescent="0.25">
      <c r="A1871" s="11">
        <v>46058</v>
      </c>
      <c r="B1871" t="s">
        <v>60</v>
      </c>
      <c r="C1871" t="s">
        <v>20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 t="shared" si="38"/>
        <v>23</v>
      </c>
      <c r="J1871" s="3">
        <f t="shared" si="39"/>
        <v>22</v>
      </c>
      <c r="K1871" s="3">
        <f t="shared" si="40"/>
        <v>1</v>
      </c>
      <c r="L1871" s="3" t="str">
        <f t="shared" si="41"/>
        <v>BOM</v>
      </c>
      <c r="N1871">
        <v>98.51</v>
      </c>
      <c r="O1871">
        <v>29.710144927536231</v>
      </c>
    </row>
    <row r="1872" spans="1:15" x14ac:dyDescent="0.25">
      <c r="A1872" s="11">
        <v>46058</v>
      </c>
      <c r="B1872" t="s">
        <v>61</v>
      </c>
      <c r="C1872" t="s">
        <v>18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 t="shared" si="38"/>
        <v>27</v>
      </c>
      <c r="J1872" s="3">
        <f t="shared" si="39"/>
        <v>34</v>
      </c>
      <c r="K1872" s="3">
        <f t="shared" si="40"/>
        <v>-7</v>
      </c>
      <c r="L1872" s="3" t="str">
        <f t="shared" si="41"/>
        <v>CRÍTICO</v>
      </c>
      <c r="N1872">
        <v>98.81</v>
      </c>
      <c r="O1872">
        <v>30.712979890310791</v>
      </c>
    </row>
    <row r="1873" spans="1:15" x14ac:dyDescent="0.25">
      <c r="A1873" s="11">
        <v>46058</v>
      </c>
      <c r="B1873" t="s">
        <v>62</v>
      </c>
      <c r="C1873" t="s">
        <v>20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 t="shared" si="38"/>
        <v>18</v>
      </c>
      <c r="J1873" s="3">
        <f t="shared" si="39"/>
        <v>22</v>
      </c>
      <c r="K1873" s="3">
        <f t="shared" si="40"/>
        <v>-4</v>
      </c>
      <c r="L1873" s="3" t="str">
        <f t="shared" si="41"/>
        <v>ATENÇÃO</v>
      </c>
      <c r="N1873">
        <v>98.48</v>
      </c>
      <c r="O1873">
        <v>29.35323383084577</v>
      </c>
    </row>
    <row r="1874" spans="1:15" x14ac:dyDescent="0.25">
      <c r="A1874" s="11">
        <v>46058</v>
      </c>
      <c r="B1874" t="s">
        <v>63</v>
      </c>
      <c r="C1874" t="s">
        <v>18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 t="shared" si="38"/>
        <v>38</v>
      </c>
      <c r="J1874" s="3">
        <f t="shared" si="39"/>
        <v>34</v>
      </c>
      <c r="K1874" s="3">
        <f t="shared" si="40"/>
        <v>4</v>
      </c>
      <c r="L1874" s="3" t="str">
        <f t="shared" si="41"/>
        <v>BOM</v>
      </c>
      <c r="N1874">
        <v>98.56</v>
      </c>
      <c r="O1874">
        <v>29.373650107991359</v>
      </c>
    </row>
    <row r="1875" spans="1:15" x14ac:dyDescent="0.25">
      <c r="A1875" s="11">
        <v>46059</v>
      </c>
      <c r="B1875" t="s">
        <v>15</v>
      </c>
      <c r="C1875" t="s">
        <v>16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 t="shared" si="38"/>
        <v>18</v>
      </c>
      <c r="J1875" s="3">
        <f t="shared" si="39"/>
        <v>25</v>
      </c>
      <c r="K1875" s="3">
        <f t="shared" si="40"/>
        <v>-7</v>
      </c>
      <c r="L1875" s="3" t="str">
        <f t="shared" si="41"/>
        <v>CRÍTICO</v>
      </c>
      <c r="N1875">
        <v>98.32</v>
      </c>
      <c r="O1875">
        <v>30.303030303030301</v>
      </c>
    </row>
    <row r="1876" spans="1:15" x14ac:dyDescent="0.25">
      <c r="A1876" s="11">
        <v>46059</v>
      </c>
      <c r="B1876" t="s">
        <v>17</v>
      </c>
      <c r="C1876" t="s">
        <v>18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f t="shared" si="38"/>
        <v>0</v>
      </c>
      <c r="J1876" s="3">
        <f t="shared" si="39"/>
        <v>31</v>
      </c>
      <c r="K1876" s="3">
        <f t="shared" si="40"/>
        <v>-31</v>
      </c>
      <c r="L1876" s="3" t="str">
        <f t="shared" si="41"/>
        <v>CRÍTICO</v>
      </c>
      <c r="N1876">
        <v>98.68</v>
      </c>
      <c r="O1876">
        <v>26.219512195121951</v>
      </c>
    </row>
    <row r="1877" spans="1:15" x14ac:dyDescent="0.25">
      <c r="A1877" s="11">
        <v>46059</v>
      </c>
      <c r="B1877" t="s">
        <v>19</v>
      </c>
      <c r="C1877" t="s">
        <v>20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 t="shared" si="38"/>
        <v>26</v>
      </c>
      <c r="J1877" s="3">
        <f t="shared" si="39"/>
        <v>20</v>
      </c>
      <c r="K1877" s="3">
        <f t="shared" si="40"/>
        <v>6</v>
      </c>
      <c r="L1877" s="3" t="str">
        <f t="shared" si="41"/>
        <v>EXCELENTE</v>
      </c>
      <c r="N1877">
        <v>100</v>
      </c>
      <c r="O1877">
        <v>31.74224343675418</v>
      </c>
    </row>
    <row r="1878" spans="1:15" x14ac:dyDescent="0.25">
      <c r="A1878" s="11">
        <v>46059</v>
      </c>
      <c r="B1878" t="s">
        <v>21</v>
      </c>
      <c r="C1878" t="s">
        <v>18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 t="shared" si="38"/>
        <v>30</v>
      </c>
      <c r="J1878" s="3">
        <f t="shared" si="39"/>
        <v>31</v>
      </c>
      <c r="K1878" s="3">
        <f t="shared" si="40"/>
        <v>-1</v>
      </c>
      <c r="L1878" s="3" t="str">
        <f t="shared" si="41"/>
        <v>ATENÇÃO</v>
      </c>
      <c r="N1878">
        <v>98.25</v>
      </c>
      <c r="O1878">
        <v>25.83518930957684</v>
      </c>
    </row>
    <row r="1879" spans="1:15" x14ac:dyDescent="0.25">
      <c r="A1879" s="11">
        <v>46059</v>
      </c>
      <c r="B1879" t="s">
        <v>22</v>
      </c>
      <c r="C1879" t="s">
        <v>23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 t="shared" si="38"/>
        <v>11</v>
      </c>
      <c r="J1879" s="3">
        <f t="shared" si="39"/>
        <v>9</v>
      </c>
      <c r="K1879" s="3">
        <f t="shared" si="40"/>
        <v>2</v>
      </c>
      <c r="L1879" s="3" t="str">
        <f t="shared" si="41"/>
        <v>BOM</v>
      </c>
      <c r="N1879">
        <v>97.5</v>
      </c>
      <c r="O1879">
        <v>30.075187969924809</v>
      </c>
    </row>
    <row r="1880" spans="1:15" x14ac:dyDescent="0.25">
      <c r="A1880" s="11">
        <v>46059</v>
      </c>
      <c r="B1880" t="s">
        <v>24</v>
      </c>
      <c r="C1880" t="s">
        <v>16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 t="shared" si="38"/>
        <v>35</v>
      </c>
      <c r="J1880" s="3">
        <f t="shared" si="39"/>
        <v>25</v>
      </c>
      <c r="K1880" s="3">
        <f t="shared" si="40"/>
        <v>10</v>
      </c>
      <c r="L1880" s="3" t="str">
        <f t="shared" si="41"/>
        <v>EXCELENTE</v>
      </c>
      <c r="N1880">
        <v>100</v>
      </c>
      <c r="O1880">
        <v>29.71311475409836</v>
      </c>
    </row>
    <row r="1881" spans="1:15" x14ac:dyDescent="0.25">
      <c r="A1881" s="11">
        <v>46059</v>
      </c>
      <c r="B1881" t="s">
        <v>25</v>
      </c>
      <c r="C1881" t="s">
        <v>16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 t="shared" si="38"/>
        <v>22</v>
      </c>
      <c r="J1881" s="3">
        <f t="shared" si="39"/>
        <v>25</v>
      </c>
      <c r="K1881" s="3">
        <f t="shared" si="40"/>
        <v>-3</v>
      </c>
      <c r="L1881" s="3" t="str">
        <f t="shared" si="41"/>
        <v>ATENÇÃO</v>
      </c>
      <c r="N1881">
        <v>99.22</v>
      </c>
      <c r="O1881">
        <v>35.256410256410263</v>
      </c>
    </row>
    <row r="1882" spans="1:15" x14ac:dyDescent="0.25">
      <c r="A1882" s="11">
        <v>46059</v>
      </c>
      <c r="B1882" t="s">
        <v>26</v>
      </c>
      <c r="C1882" t="s">
        <v>23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f t="shared" si="38"/>
        <v>0</v>
      </c>
      <c r="J1882" s="3">
        <f t="shared" si="39"/>
        <v>9</v>
      </c>
      <c r="K1882" s="3">
        <f t="shared" si="40"/>
        <v>-9</v>
      </c>
      <c r="L1882" s="3" t="str">
        <f t="shared" si="41"/>
        <v>CRÍTICO</v>
      </c>
      <c r="N1882">
        <v>0</v>
      </c>
      <c r="O1882">
        <v>0</v>
      </c>
    </row>
    <row r="1883" spans="1:15" x14ac:dyDescent="0.25">
      <c r="A1883" s="11">
        <v>46059</v>
      </c>
      <c r="B1883" t="s">
        <v>27</v>
      </c>
      <c r="C1883" t="s">
        <v>20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 t="shared" si="38"/>
        <v>5</v>
      </c>
      <c r="J1883" s="3">
        <f t="shared" si="39"/>
        <v>20</v>
      </c>
      <c r="K1883" s="3">
        <f t="shared" si="40"/>
        <v>-15</v>
      </c>
      <c r="L1883" s="3" t="str">
        <f t="shared" si="41"/>
        <v>CRÍTICO</v>
      </c>
      <c r="N1883">
        <v>98.75</v>
      </c>
      <c r="O1883">
        <v>24.32432432432433</v>
      </c>
    </row>
    <row r="1884" spans="1:15" x14ac:dyDescent="0.25">
      <c r="A1884" s="11">
        <v>46059</v>
      </c>
      <c r="B1884" t="s">
        <v>28</v>
      </c>
      <c r="C1884" t="s">
        <v>18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 t="shared" si="38"/>
        <v>42</v>
      </c>
      <c r="J1884" s="3">
        <f t="shared" si="39"/>
        <v>31</v>
      </c>
      <c r="K1884" s="3">
        <f t="shared" si="40"/>
        <v>11</v>
      </c>
      <c r="L1884" s="3" t="str">
        <f t="shared" si="41"/>
        <v>EXCELENTE</v>
      </c>
      <c r="N1884">
        <v>93.48</v>
      </c>
      <c r="O1884">
        <v>31.334622823984521</v>
      </c>
    </row>
    <row r="1885" spans="1:15" x14ac:dyDescent="0.25">
      <c r="A1885" s="11">
        <v>46059</v>
      </c>
      <c r="B1885" t="s">
        <v>29</v>
      </c>
      <c r="C1885" t="s">
        <v>16</v>
      </c>
      <c r="D1885">
        <v>0</v>
      </c>
      <c r="E1885">
        <v>0</v>
      </c>
      <c r="F1885">
        <v>0</v>
      </c>
      <c r="G1885">
        <v>0</v>
      </c>
      <c r="H1885">
        <v>0</v>
      </c>
      <c r="I1885" s="3">
        <f t="shared" si="38"/>
        <v>0</v>
      </c>
      <c r="J1885" s="3">
        <f t="shared" si="39"/>
        <v>25</v>
      </c>
      <c r="K1885" s="3">
        <f t="shared" si="40"/>
        <v>-25</v>
      </c>
      <c r="L1885" s="3" t="str">
        <f t="shared" si="41"/>
        <v>CRÍTICO</v>
      </c>
      <c r="N1885">
        <v>99.16</v>
      </c>
      <c r="O1885">
        <v>26.13908872901678</v>
      </c>
    </row>
    <row r="1886" spans="1:15" x14ac:dyDescent="0.25">
      <c r="A1886" s="11">
        <v>46059</v>
      </c>
      <c r="B1886" t="s">
        <v>30</v>
      </c>
      <c r="C1886" t="s">
        <v>20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 t="shared" si="38"/>
        <v>21</v>
      </c>
      <c r="J1886" s="3">
        <f t="shared" si="39"/>
        <v>20</v>
      </c>
      <c r="K1886" s="3">
        <f t="shared" si="40"/>
        <v>1</v>
      </c>
      <c r="L1886" s="3" t="str">
        <f t="shared" si="41"/>
        <v>BOM</v>
      </c>
      <c r="N1886">
        <v>100</v>
      </c>
      <c r="O1886">
        <v>31.089743589743591</v>
      </c>
    </row>
    <row r="1887" spans="1:15" x14ac:dyDescent="0.25">
      <c r="A1887" s="11">
        <v>46059</v>
      </c>
      <c r="B1887" t="s">
        <v>31</v>
      </c>
      <c r="C1887" t="s">
        <v>18</v>
      </c>
      <c r="D1887">
        <v>0</v>
      </c>
      <c r="E1887">
        <v>0</v>
      </c>
      <c r="F1887">
        <v>0</v>
      </c>
      <c r="G1887">
        <v>0</v>
      </c>
      <c r="H1887">
        <v>0</v>
      </c>
      <c r="I1887" s="3">
        <f t="shared" si="38"/>
        <v>0</v>
      </c>
      <c r="J1887" s="3">
        <f t="shared" si="39"/>
        <v>31</v>
      </c>
      <c r="K1887" s="3">
        <f t="shared" si="40"/>
        <v>-31</v>
      </c>
      <c r="L1887" s="3" t="str">
        <f t="shared" si="41"/>
        <v>CRÍTICO</v>
      </c>
      <c r="N1887">
        <v>98.11</v>
      </c>
      <c r="O1887">
        <v>33.033707865168537</v>
      </c>
    </row>
    <row r="1888" spans="1:15" x14ac:dyDescent="0.25">
      <c r="A1888" s="11">
        <v>46059</v>
      </c>
      <c r="B1888" t="s">
        <v>32</v>
      </c>
      <c r="C1888" t="s">
        <v>23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 t="shared" si="38"/>
        <v>43</v>
      </c>
      <c r="J1888" s="3">
        <f t="shared" si="39"/>
        <v>9</v>
      </c>
      <c r="K1888" s="3">
        <f t="shared" si="40"/>
        <v>34</v>
      </c>
      <c r="L1888" s="3" t="str">
        <f t="shared" si="41"/>
        <v>EXCELENTE</v>
      </c>
      <c r="N1888">
        <v>78.95</v>
      </c>
      <c r="O1888">
        <v>38.983050847457633</v>
      </c>
    </row>
    <row r="1889" spans="1:15" x14ac:dyDescent="0.25">
      <c r="A1889" s="11">
        <v>46059</v>
      </c>
      <c r="B1889" t="s">
        <v>33</v>
      </c>
      <c r="C1889" t="s">
        <v>16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 t="shared" si="38"/>
        <v>31</v>
      </c>
      <c r="J1889" s="3">
        <f t="shared" si="39"/>
        <v>25</v>
      </c>
      <c r="K1889" s="3">
        <f t="shared" si="40"/>
        <v>6</v>
      </c>
      <c r="L1889" s="3" t="str">
        <f t="shared" si="41"/>
        <v>EXCELENTE</v>
      </c>
      <c r="N1889">
        <v>98.45</v>
      </c>
      <c r="O1889">
        <v>29.281767955801101</v>
      </c>
    </row>
    <row r="1890" spans="1:15" x14ac:dyDescent="0.25">
      <c r="A1890" s="11">
        <v>46059</v>
      </c>
      <c r="B1890" t="s">
        <v>34</v>
      </c>
      <c r="C1890" t="s">
        <v>18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 t="shared" si="38"/>
        <v>33</v>
      </c>
      <c r="J1890" s="3">
        <f t="shared" si="39"/>
        <v>31</v>
      </c>
      <c r="K1890" s="3">
        <f t="shared" si="40"/>
        <v>2</v>
      </c>
      <c r="L1890" s="3" t="str">
        <f t="shared" si="41"/>
        <v>BOM</v>
      </c>
      <c r="N1890">
        <v>97.84</v>
      </c>
      <c r="O1890">
        <v>26.282051282051281</v>
      </c>
    </row>
    <row r="1891" spans="1:15" x14ac:dyDescent="0.25">
      <c r="A1891" s="11">
        <v>46059</v>
      </c>
      <c r="B1891" t="s">
        <v>35</v>
      </c>
      <c r="C1891" t="s">
        <v>16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 t="shared" ref="I1891:I1954" si="42">E1891+G1891+H1891</f>
        <v>29</v>
      </c>
      <c r="J1891" s="3">
        <f t="shared" ref="J1891:J1954" si="43"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25</v>
      </c>
      <c r="K1891" s="3">
        <f t="shared" ref="K1891:K1954" si="44">I1891-J1891</f>
        <v>4</v>
      </c>
      <c r="L1891" s="3" t="str">
        <f t="shared" ref="L1891:L1954" si="45">IF(K1891&lt;-5,"CRÍTICO",IF(K1891&lt;0,"ATENÇÃO",IF(K1891&lt;=5,"BOM","EXCELENTE")))</f>
        <v>BOM</v>
      </c>
      <c r="N1891">
        <v>98.5</v>
      </c>
      <c r="O1891">
        <v>23.97769516728625</v>
      </c>
    </row>
    <row r="1892" spans="1:15" x14ac:dyDescent="0.25">
      <c r="A1892" s="11">
        <v>46093</v>
      </c>
      <c r="B1892" t="s">
        <v>36</v>
      </c>
      <c r="C1892" t="s">
        <v>20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f t="shared" si="42"/>
        <v>0</v>
      </c>
      <c r="J1892" s="3">
        <f t="shared" si="43"/>
        <v>13</v>
      </c>
      <c r="K1892" s="3">
        <f t="shared" si="44"/>
        <v>-13</v>
      </c>
      <c r="L1892" s="3" t="str">
        <f t="shared" si="45"/>
        <v>CRÍTICO</v>
      </c>
      <c r="N1892">
        <v>99.05</v>
      </c>
      <c r="O1892">
        <v>26.621923937360179</v>
      </c>
    </row>
    <row r="1893" spans="1:15" x14ac:dyDescent="0.25">
      <c r="A1893" s="11">
        <v>46059</v>
      </c>
      <c r="B1893" t="s">
        <v>37</v>
      </c>
      <c r="C1893" t="s">
        <v>16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 t="shared" si="42"/>
        <v>26</v>
      </c>
      <c r="J1893" s="3">
        <f t="shared" si="43"/>
        <v>25</v>
      </c>
      <c r="K1893" s="3">
        <f t="shared" si="44"/>
        <v>1</v>
      </c>
      <c r="L1893" s="3" t="str">
        <f t="shared" si="45"/>
        <v>BOM</v>
      </c>
      <c r="N1893">
        <v>98.53</v>
      </c>
      <c r="O1893">
        <v>31.578947368421051</v>
      </c>
    </row>
    <row r="1894" spans="1:15" x14ac:dyDescent="0.25">
      <c r="A1894" s="11">
        <v>46059</v>
      </c>
      <c r="B1894" t="s">
        <v>38</v>
      </c>
      <c r="C1894" t="s">
        <v>18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 t="shared" si="42"/>
        <v>56</v>
      </c>
      <c r="J1894" s="3">
        <f t="shared" si="43"/>
        <v>31</v>
      </c>
      <c r="K1894" s="3">
        <f t="shared" si="44"/>
        <v>25</v>
      </c>
      <c r="L1894" s="3" t="str">
        <f t="shared" si="45"/>
        <v>EXCELENTE</v>
      </c>
      <c r="N1894">
        <v>100</v>
      </c>
      <c r="O1894">
        <v>25.72214580467676</v>
      </c>
    </row>
    <row r="1895" spans="1:15" x14ac:dyDescent="0.25">
      <c r="A1895" s="11">
        <v>46059</v>
      </c>
      <c r="B1895" t="s">
        <v>39</v>
      </c>
      <c r="C1895" t="s">
        <v>18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 t="shared" si="42"/>
        <v>29</v>
      </c>
      <c r="J1895" s="3">
        <f t="shared" si="43"/>
        <v>31</v>
      </c>
      <c r="K1895" s="3">
        <f t="shared" si="44"/>
        <v>-2</v>
      </c>
      <c r="L1895" s="3" t="str">
        <f t="shared" si="45"/>
        <v>ATENÇÃO</v>
      </c>
      <c r="N1895">
        <v>94.64</v>
      </c>
      <c r="O1895">
        <v>27.52941176470588</v>
      </c>
    </row>
    <row r="1896" spans="1:15" x14ac:dyDescent="0.25">
      <c r="A1896" s="11">
        <v>46059</v>
      </c>
      <c r="B1896" t="s">
        <v>40</v>
      </c>
      <c r="C1896" t="s">
        <v>16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 t="shared" si="42"/>
        <v>23</v>
      </c>
      <c r="J1896" s="3">
        <f t="shared" si="43"/>
        <v>25</v>
      </c>
      <c r="K1896" s="3">
        <f t="shared" si="44"/>
        <v>-2</v>
      </c>
      <c r="L1896" s="3" t="str">
        <f t="shared" si="45"/>
        <v>ATENÇÃO</v>
      </c>
      <c r="N1896">
        <v>99.07</v>
      </c>
      <c r="O1896">
        <v>26.376811594202898</v>
      </c>
    </row>
    <row r="1897" spans="1:15" x14ac:dyDescent="0.25">
      <c r="A1897" s="11">
        <v>46059</v>
      </c>
      <c r="B1897" t="s">
        <v>41</v>
      </c>
      <c r="C1897" t="s">
        <v>18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f t="shared" si="42"/>
        <v>0</v>
      </c>
      <c r="J1897" s="3">
        <f t="shared" si="43"/>
        <v>31</v>
      </c>
      <c r="K1897" s="3">
        <f t="shared" si="44"/>
        <v>-31</v>
      </c>
      <c r="L1897" s="3" t="str">
        <f t="shared" si="45"/>
        <v>CRÍTICO</v>
      </c>
      <c r="N1897">
        <v>100</v>
      </c>
      <c r="O1897">
        <v>0</v>
      </c>
    </row>
    <row r="1898" spans="1:15" x14ac:dyDescent="0.25">
      <c r="A1898" s="11">
        <v>46059</v>
      </c>
      <c r="B1898" t="s">
        <v>42</v>
      </c>
      <c r="C1898" t="s">
        <v>43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 t="shared" si="42"/>
        <v>15</v>
      </c>
      <c r="J1898" s="3">
        <f t="shared" si="43"/>
        <v>18</v>
      </c>
      <c r="K1898" s="3">
        <f t="shared" si="44"/>
        <v>-3</v>
      </c>
      <c r="L1898" s="3" t="str">
        <f t="shared" si="45"/>
        <v>ATENÇÃO</v>
      </c>
      <c r="N1898">
        <v>98.48</v>
      </c>
      <c r="O1898">
        <v>27.853881278538811</v>
      </c>
    </row>
    <row r="1899" spans="1:15" x14ac:dyDescent="0.25">
      <c r="A1899" s="11">
        <v>46059</v>
      </c>
      <c r="B1899" t="s">
        <v>44</v>
      </c>
      <c r="C1899" t="s">
        <v>18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 t="shared" si="42"/>
        <v>3</v>
      </c>
      <c r="J1899" s="3">
        <f t="shared" si="43"/>
        <v>31</v>
      </c>
      <c r="K1899" s="3">
        <f t="shared" si="44"/>
        <v>-28</v>
      </c>
      <c r="L1899" s="3" t="str">
        <f t="shared" si="45"/>
        <v>CRÍTICO</v>
      </c>
      <c r="N1899">
        <v>95.15</v>
      </c>
      <c r="O1899">
        <v>34.131736526946113</v>
      </c>
    </row>
    <row r="1900" spans="1:15" x14ac:dyDescent="0.25">
      <c r="A1900" s="11">
        <v>46059</v>
      </c>
      <c r="B1900" t="s">
        <v>45</v>
      </c>
      <c r="C1900" t="s">
        <v>43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f t="shared" si="42"/>
        <v>0</v>
      </c>
      <c r="J1900" s="3">
        <f t="shared" si="43"/>
        <v>18</v>
      </c>
      <c r="K1900" s="3">
        <f t="shared" si="44"/>
        <v>-18</v>
      </c>
      <c r="L1900" s="3" t="str">
        <f t="shared" si="45"/>
        <v>CRÍTICO</v>
      </c>
      <c r="N1900">
        <v>0</v>
      </c>
      <c r="O1900">
        <v>0</v>
      </c>
    </row>
    <row r="1901" spans="1:15" x14ac:dyDescent="0.25">
      <c r="A1901" s="11">
        <v>46059</v>
      </c>
      <c r="B1901" t="s">
        <v>46</v>
      </c>
      <c r="C1901" t="s">
        <v>18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 t="shared" si="42"/>
        <v>24</v>
      </c>
      <c r="J1901" s="3">
        <f t="shared" si="43"/>
        <v>31</v>
      </c>
      <c r="K1901" s="3">
        <f t="shared" si="44"/>
        <v>-7</v>
      </c>
      <c r="L1901" s="3" t="str">
        <f t="shared" si="45"/>
        <v>CRÍTICO</v>
      </c>
      <c r="N1901">
        <v>99.26</v>
      </c>
      <c r="O1901">
        <v>30.84832904884319</v>
      </c>
    </row>
    <row r="1902" spans="1:15" x14ac:dyDescent="0.25">
      <c r="A1902" s="11">
        <v>46059</v>
      </c>
      <c r="B1902" t="s">
        <v>47</v>
      </c>
      <c r="C1902" t="s">
        <v>16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 t="shared" si="42"/>
        <v>29</v>
      </c>
      <c r="J1902" s="3">
        <f t="shared" si="43"/>
        <v>25</v>
      </c>
      <c r="K1902" s="3">
        <f t="shared" si="44"/>
        <v>4</v>
      </c>
      <c r="L1902" s="3" t="str">
        <f t="shared" si="45"/>
        <v>BOM</v>
      </c>
      <c r="N1902">
        <v>97.48</v>
      </c>
      <c r="O1902">
        <v>27.764705882352938</v>
      </c>
    </row>
    <row r="1903" spans="1:15" x14ac:dyDescent="0.25">
      <c r="A1903" s="11">
        <v>46059</v>
      </c>
      <c r="B1903" t="s">
        <v>48</v>
      </c>
      <c r="C1903" t="s">
        <v>16</v>
      </c>
      <c r="D1903">
        <v>0</v>
      </c>
      <c r="E1903">
        <v>0</v>
      </c>
      <c r="F1903">
        <v>0</v>
      </c>
      <c r="G1903">
        <v>0</v>
      </c>
      <c r="H1903">
        <v>0</v>
      </c>
      <c r="I1903" s="3">
        <f t="shared" si="42"/>
        <v>0</v>
      </c>
      <c r="J1903" s="3">
        <f t="shared" si="43"/>
        <v>25</v>
      </c>
      <c r="K1903" s="3">
        <f t="shared" si="44"/>
        <v>-25</v>
      </c>
      <c r="L1903" s="3" t="str">
        <f t="shared" si="45"/>
        <v>CRÍTICO</v>
      </c>
      <c r="N1903">
        <v>99.34</v>
      </c>
      <c r="O1903">
        <v>30.04291845493562</v>
      </c>
    </row>
    <row r="1904" spans="1:15" x14ac:dyDescent="0.25">
      <c r="A1904" s="11">
        <v>46059</v>
      </c>
      <c r="B1904" t="s">
        <v>49</v>
      </c>
      <c r="C1904" t="s">
        <v>18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 t="shared" si="42"/>
        <v>27</v>
      </c>
      <c r="J1904" s="3">
        <f t="shared" si="43"/>
        <v>31</v>
      </c>
      <c r="K1904" s="3">
        <f t="shared" si="44"/>
        <v>-4</v>
      </c>
      <c r="L1904" s="3" t="str">
        <f t="shared" si="45"/>
        <v>ATENÇÃO</v>
      </c>
      <c r="N1904">
        <v>96.3</v>
      </c>
      <c r="O1904">
        <v>24.29378531073446</v>
      </c>
    </row>
    <row r="1905" spans="1:15" x14ac:dyDescent="0.25">
      <c r="A1905" s="11">
        <v>46059</v>
      </c>
      <c r="B1905" t="s">
        <v>50</v>
      </c>
      <c r="C1905" t="s">
        <v>20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 t="shared" si="42"/>
        <v>32</v>
      </c>
      <c r="J1905" s="3">
        <f t="shared" si="43"/>
        <v>20</v>
      </c>
      <c r="K1905" s="3">
        <f t="shared" si="44"/>
        <v>12</v>
      </c>
      <c r="L1905" s="3" t="str">
        <f t="shared" si="45"/>
        <v>EXCELENTE</v>
      </c>
      <c r="N1905">
        <v>100</v>
      </c>
      <c r="O1905">
        <v>26.543209876543209</v>
      </c>
    </row>
    <row r="1906" spans="1:15" x14ac:dyDescent="0.25">
      <c r="A1906" s="11">
        <v>46059</v>
      </c>
      <c r="B1906" t="s">
        <v>51</v>
      </c>
      <c r="C1906" t="s">
        <v>23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 t="shared" si="42"/>
        <v>33</v>
      </c>
      <c r="J1906" s="3">
        <f t="shared" si="43"/>
        <v>9</v>
      </c>
      <c r="K1906" s="3">
        <f t="shared" si="44"/>
        <v>24</v>
      </c>
      <c r="L1906" s="3" t="str">
        <f t="shared" si="45"/>
        <v>EXCELENTE</v>
      </c>
      <c r="N1906">
        <v>100</v>
      </c>
      <c r="O1906">
        <v>35.483870967741943</v>
      </c>
    </row>
    <row r="1907" spans="1:15" x14ac:dyDescent="0.25">
      <c r="A1907" s="11">
        <v>46059</v>
      </c>
      <c r="B1907" t="s">
        <v>52</v>
      </c>
      <c r="C1907" t="s">
        <v>18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 t="shared" si="42"/>
        <v>40</v>
      </c>
      <c r="J1907" s="3">
        <f t="shared" si="43"/>
        <v>31</v>
      </c>
      <c r="K1907" s="3">
        <f t="shared" si="44"/>
        <v>9</v>
      </c>
      <c r="L1907" s="3" t="str">
        <f t="shared" si="45"/>
        <v>EXCELENTE</v>
      </c>
      <c r="N1907">
        <v>99.27</v>
      </c>
      <c r="O1907">
        <v>31.163708086785011</v>
      </c>
    </row>
    <row r="1908" spans="1:15" x14ac:dyDescent="0.25">
      <c r="A1908" s="11">
        <v>46059</v>
      </c>
      <c r="B1908" t="s">
        <v>53</v>
      </c>
      <c r="C1908" t="s">
        <v>18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 t="shared" si="42"/>
        <v>25</v>
      </c>
      <c r="J1908" s="3">
        <f t="shared" si="43"/>
        <v>31</v>
      </c>
      <c r="K1908" s="3">
        <f t="shared" si="44"/>
        <v>-6</v>
      </c>
      <c r="L1908" s="3" t="str">
        <f t="shared" si="45"/>
        <v>CRÍTICO</v>
      </c>
      <c r="N1908">
        <v>94.16</v>
      </c>
      <c r="O1908">
        <v>27.038626609442058</v>
      </c>
    </row>
    <row r="1909" spans="1:15" x14ac:dyDescent="0.25">
      <c r="A1909" s="11">
        <v>46059</v>
      </c>
      <c r="B1909" t="s">
        <v>54</v>
      </c>
      <c r="C1909" t="s">
        <v>23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 t="shared" si="42"/>
        <v>11</v>
      </c>
      <c r="J1909" s="3">
        <f t="shared" si="43"/>
        <v>9</v>
      </c>
      <c r="K1909" s="3">
        <f t="shared" si="44"/>
        <v>2</v>
      </c>
      <c r="L1909" s="3" t="str">
        <f t="shared" si="45"/>
        <v>BOM</v>
      </c>
      <c r="N1909">
        <v>93.75</v>
      </c>
      <c r="O1909">
        <v>19.31818181818182</v>
      </c>
    </row>
    <row r="1910" spans="1:15" x14ac:dyDescent="0.25">
      <c r="A1910" s="11">
        <v>46059</v>
      </c>
      <c r="B1910" t="s">
        <v>55</v>
      </c>
      <c r="C1910" t="s">
        <v>43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f t="shared" si="42"/>
        <v>0</v>
      </c>
      <c r="J1910" s="3">
        <f t="shared" si="43"/>
        <v>18</v>
      </c>
      <c r="K1910" s="3">
        <f t="shared" si="44"/>
        <v>-18</v>
      </c>
      <c r="L1910" s="3" t="str">
        <f t="shared" si="45"/>
        <v>CRÍTICO</v>
      </c>
      <c r="N1910">
        <v>0</v>
      </c>
      <c r="O1910">
        <v>0</v>
      </c>
    </row>
    <row r="1911" spans="1:15" x14ac:dyDescent="0.25">
      <c r="A1911" s="11">
        <v>46059</v>
      </c>
      <c r="B1911" t="s">
        <v>56</v>
      </c>
      <c r="C1911" t="s">
        <v>16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f t="shared" si="42"/>
        <v>0</v>
      </c>
      <c r="J1911" s="3">
        <f t="shared" si="43"/>
        <v>25</v>
      </c>
      <c r="K1911" s="3">
        <f t="shared" si="44"/>
        <v>-25</v>
      </c>
      <c r="L1911" s="3" t="str">
        <f t="shared" si="45"/>
        <v>CRÍTICO</v>
      </c>
      <c r="N1911">
        <v>97.92</v>
      </c>
      <c r="O1911">
        <v>32.87671232876712</v>
      </c>
    </row>
    <row r="1912" spans="1:15" x14ac:dyDescent="0.25">
      <c r="A1912" s="11">
        <v>46059</v>
      </c>
      <c r="B1912" t="s">
        <v>57</v>
      </c>
      <c r="C1912" t="s">
        <v>43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f t="shared" si="42"/>
        <v>0</v>
      </c>
      <c r="J1912" s="3">
        <f t="shared" si="43"/>
        <v>18</v>
      </c>
      <c r="K1912" s="3">
        <f t="shared" si="44"/>
        <v>-18</v>
      </c>
      <c r="L1912" s="3" t="str">
        <f t="shared" si="45"/>
        <v>CRÍTICO</v>
      </c>
      <c r="N1912">
        <v>0</v>
      </c>
      <c r="O1912">
        <v>0</v>
      </c>
    </row>
    <row r="1913" spans="1:15" x14ac:dyDescent="0.25">
      <c r="A1913" s="11">
        <v>46059</v>
      </c>
      <c r="B1913" t="s">
        <v>58</v>
      </c>
      <c r="C1913" t="s">
        <v>43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f t="shared" si="42"/>
        <v>0</v>
      </c>
      <c r="J1913" s="3">
        <f t="shared" si="43"/>
        <v>18</v>
      </c>
      <c r="K1913" s="3">
        <f t="shared" si="44"/>
        <v>-18</v>
      </c>
      <c r="L1913" s="3" t="str">
        <f t="shared" si="45"/>
        <v>CRÍTICO</v>
      </c>
      <c r="N1913">
        <v>0</v>
      </c>
      <c r="O1913">
        <v>0</v>
      </c>
    </row>
    <row r="1914" spans="1:15" x14ac:dyDescent="0.25">
      <c r="A1914" s="11">
        <v>46059</v>
      </c>
      <c r="B1914" t="s">
        <v>59</v>
      </c>
      <c r="C1914" t="s">
        <v>23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f t="shared" si="42"/>
        <v>0</v>
      </c>
      <c r="J1914" s="3">
        <f t="shared" si="43"/>
        <v>9</v>
      </c>
      <c r="K1914" s="3">
        <f t="shared" si="44"/>
        <v>-9</v>
      </c>
      <c r="L1914" s="3" t="str">
        <f t="shared" si="45"/>
        <v>CRÍTICO</v>
      </c>
      <c r="N1914">
        <v>0</v>
      </c>
      <c r="O1914">
        <v>0</v>
      </c>
    </row>
    <row r="1915" spans="1:15" x14ac:dyDescent="0.25">
      <c r="A1915" s="11">
        <v>46059</v>
      </c>
      <c r="B1915" t="s">
        <v>60</v>
      </c>
      <c r="C1915" t="s">
        <v>20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 t="shared" si="42"/>
        <v>13</v>
      </c>
      <c r="J1915" s="3">
        <f t="shared" si="43"/>
        <v>20</v>
      </c>
      <c r="K1915" s="3">
        <f t="shared" si="44"/>
        <v>-7</v>
      </c>
      <c r="L1915" s="3" t="str">
        <f t="shared" si="45"/>
        <v>CRÍTICO</v>
      </c>
      <c r="N1915">
        <v>98.51</v>
      </c>
      <c r="O1915">
        <v>29.710144927536231</v>
      </c>
    </row>
    <row r="1916" spans="1:15" x14ac:dyDescent="0.25">
      <c r="A1916" s="11">
        <v>46059</v>
      </c>
      <c r="B1916" t="s">
        <v>61</v>
      </c>
      <c r="C1916" t="s">
        <v>18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 t="shared" si="42"/>
        <v>27</v>
      </c>
      <c r="J1916" s="3">
        <f t="shared" si="43"/>
        <v>31</v>
      </c>
      <c r="K1916" s="3">
        <f t="shared" si="44"/>
        <v>-4</v>
      </c>
      <c r="L1916" s="3" t="str">
        <f t="shared" si="45"/>
        <v>ATENÇÃO</v>
      </c>
      <c r="N1916">
        <v>98.81</v>
      </c>
      <c r="O1916">
        <v>30.712979890310791</v>
      </c>
    </row>
    <row r="1917" spans="1:15" x14ac:dyDescent="0.25">
      <c r="A1917" s="11">
        <v>46059</v>
      </c>
      <c r="B1917" t="s">
        <v>62</v>
      </c>
      <c r="C1917" t="s">
        <v>20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 t="shared" si="42"/>
        <v>17</v>
      </c>
      <c r="J1917" s="3">
        <f t="shared" si="43"/>
        <v>20</v>
      </c>
      <c r="K1917" s="3">
        <f t="shared" si="44"/>
        <v>-3</v>
      </c>
      <c r="L1917" s="3" t="str">
        <f t="shared" si="45"/>
        <v>ATENÇÃO</v>
      </c>
      <c r="N1917">
        <v>98.48</v>
      </c>
      <c r="O1917">
        <v>29.35323383084577</v>
      </c>
    </row>
    <row r="1918" spans="1:15" x14ac:dyDescent="0.25">
      <c r="A1918" s="11">
        <v>46059</v>
      </c>
      <c r="B1918" t="s">
        <v>63</v>
      </c>
      <c r="C1918" t="s">
        <v>18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 t="shared" si="42"/>
        <v>40</v>
      </c>
      <c r="J1918" s="3">
        <f t="shared" si="43"/>
        <v>31</v>
      </c>
      <c r="K1918" s="3">
        <f t="shared" si="44"/>
        <v>9</v>
      </c>
      <c r="L1918" s="3" t="str">
        <f t="shared" si="45"/>
        <v>EXCELENTE</v>
      </c>
      <c r="N1918">
        <v>98.56</v>
      </c>
      <c r="O1918">
        <v>29.373650107991359</v>
      </c>
    </row>
    <row r="1919" spans="1:15" x14ac:dyDescent="0.25">
      <c r="A1919" s="11">
        <v>46062</v>
      </c>
      <c r="B1919" t="s">
        <v>15</v>
      </c>
      <c r="C1919" t="s">
        <v>16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 t="shared" si="42"/>
        <v>28</v>
      </c>
      <c r="J1919" s="3">
        <f t="shared" si="43"/>
        <v>21</v>
      </c>
      <c r="K1919" s="3">
        <f t="shared" si="44"/>
        <v>7</v>
      </c>
      <c r="L1919" s="3" t="str">
        <f t="shared" si="45"/>
        <v>EXCELENTE</v>
      </c>
      <c r="N1919">
        <v>98.32</v>
      </c>
      <c r="O1919">
        <v>30.303030303030301</v>
      </c>
    </row>
    <row r="1920" spans="1:15" x14ac:dyDescent="0.25">
      <c r="A1920" s="11">
        <v>46062</v>
      </c>
      <c r="B1920" t="s">
        <v>17</v>
      </c>
      <c r="C1920" t="s">
        <v>18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f t="shared" si="42"/>
        <v>0</v>
      </c>
      <c r="J1920" s="3">
        <f t="shared" si="43"/>
        <v>26</v>
      </c>
      <c r="K1920" s="3">
        <f t="shared" si="44"/>
        <v>-26</v>
      </c>
      <c r="L1920" s="3" t="str">
        <f t="shared" si="45"/>
        <v>CRÍTICO</v>
      </c>
      <c r="N1920">
        <v>98.68</v>
      </c>
      <c r="O1920">
        <v>26.219512195121951</v>
      </c>
    </row>
    <row r="1921" spans="1:15" x14ac:dyDescent="0.25">
      <c r="A1921" s="11">
        <v>46062</v>
      </c>
      <c r="B1921" t="s">
        <v>19</v>
      </c>
      <c r="C1921" t="s">
        <v>20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 t="shared" si="42"/>
        <v>29</v>
      </c>
      <c r="J1921" s="3">
        <f t="shared" si="43"/>
        <v>17</v>
      </c>
      <c r="K1921" s="3">
        <f t="shared" si="44"/>
        <v>12</v>
      </c>
      <c r="L1921" s="3" t="str">
        <f t="shared" si="45"/>
        <v>EXCELENTE</v>
      </c>
      <c r="N1921">
        <v>100</v>
      </c>
      <c r="O1921">
        <v>31.74224343675418</v>
      </c>
    </row>
    <row r="1922" spans="1:15" x14ac:dyDescent="0.25">
      <c r="A1922" s="11">
        <v>46062</v>
      </c>
      <c r="B1922" t="s">
        <v>21</v>
      </c>
      <c r="C1922" t="s">
        <v>18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 t="shared" si="42"/>
        <v>23</v>
      </c>
      <c r="J1922" s="3">
        <f t="shared" si="43"/>
        <v>26</v>
      </c>
      <c r="K1922" s="3">
        <f t="shared" si="44"/>
        <v>-3</v>
      </c>
      <c r="L1922" s="3" t="str">
        <f t="shared" si="45"/>
        <v>ATENÇÃO</v>
      </c>
      <c r="N1922">
        <v>98.25</v>
      </c>
      <c r="O1922">
        <v>25.83518930957684</v>
      </c>
    </row>
    <row r="1923" spans="1:15" x14ac:dyDescent="0.25">
      <c r="A1923" s="11">
        <v>46062</v>
      </c>
      <c r="B1923" t="s">
        <v>22</v>
      </c>
      <c r="C1923" t="s">
        <v>23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 t="shared" si="42"/>
        <v>9</v>
      </c>
      <c r="J1923" s="3">
        <f t="shared" si="43"/>
        <v>8</v>
      </c>
      <c r="K1923" s="3">
        <f t="shared" si="44"/>
        <v>1</v>
      </c>
      <c r="L1923" s="3" t="str">
        <f t="shared" si="45"/>
        <v>BOM</v>
      </c>
      <c r="N1923">
        <v>97.5</v>
      </c>
      <c r="O1923">
        <v>30.075187969924809</v>
      </c>
    </row>
    <row r="1924" spans="1:15" x14ac:dyDescent="0.25">
      <c r="A1924" s="11">
        <v>46062</v>
      </c>
      <c r="B1924" t="s">
        <v>24</v>
      </c>
      <c r="C1924" t="s">
        <v>16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 t="shared" si="42"/>
        <v>24</v>
      </c>
      <c r="J1924" s="3">
        <f t="shared" si="43"/>
        <v>21</v>
      </c>
      <c r="K1924" s="3">
        <f t="shared" si="44"/>
        <v>3</v>
      </c>
      <c r="L1924" s="3" t="str">
        <f t="shared" si="45"/>
        <v>BOM</v>
      </c>
      <c r="N1924">
        <v>100</v>
      </c>
      <c r="O1924">
        <v>29.71311475409836</v>
      </c>
    </row>
    <row r="1925" spans="1:15" x14ac:dyDescent="0.25">
      <c r="A1925" s="11">
        <v>46062</v>
      </c>
      <c r="B1925" t="s">
        <v>25</v>
      </c>
      <c r="C1925" t="s">
        <v>16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 t="shared" si="42"/>
        <v>21</v>
      </c>
      <c r="J1925" s="3">
        <f t="shared" si="43"/>
        <v>21</v>
      </c>
      <c r="K1925" s="3">
        <f t="shared" si="44"/>
        <v>0</v>
      </c>
      <c r="L1925" s="3" t="str">
        <f t="shared" si="45"/>
        <v>BOM</v>
      </c>
      <c r="N1925">
        <v>99.22</v>
      </c>
      <c r="O1925">
        <v>35.256410256410263</v>
      </c>
    </row>
    <row r="1926" spans="1:15" x14ac:dyDescent="0.25">
      <c r="A1926" s="11">
        <v>46062</v>
      </c>
      <c r="B1926" t="s">
        <v>26</v>
      </c>
      <c r="C1926" t="s">
        <v>23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f t="shared" si="42"/>
        <v>0</v>
      </c>
      <c r="J1926" s="3">
        <f t="shared" si="43"/>
        <v>8</v>
      </c>
      <c r="K1926" s="3">
        <f t="shared" si="44"/>
        <v>-8</v>
      </c>
      <c r="L1926" s="3" t="str">
        <f t="shared" si="45"/>
        <v>CRÍTICO</v>
      </c>
      <c r="N1926">
        <v>0</v>
      </c>
      <c r="O1926">
        <v>0</v>
      </c>
    </row>
    <row r="1927" spans="1:15" x14ac:dyDescent="0.25">
      <c r="A1927" s="11">
        <v>46062</v>
      </c>
      <c r="B1927" t="s">
        <v>27</v>
      </c>
      <c r="C1927" t="s">
        <v>20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 t="shared" si="42"/>
        <v>17</v>
      </c>
      <c r="J1927" s="3">
        <f t="shared" si="43"/>
        <v>17</v>
      </c>
      <c r="K1927" s="3">
        <f t="shared" si="44"/>
        <v>0</v>
      </c>
      <c r="L1927" s="3" t="str">
        <f t="shared" si="45"/>
        <v>BOM</v>
      </c>
      <c r="N1927">
        <v>98.75</v>
      </c>
      <c r="O1927">
        <v>24.32432432432433</v>
      </c>
    </row>
    <row r="1928" spans="1:15" x14ac:dyDescent="0.25">
      <c r="A1928" s="11">
        <v>46062</v>
      </c>
      <c r="B1928" t="s">
        <v>28</v>
      </c>
      <c r="C1928" t="s">
        <v>18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 t="shared" si="42"/>
        <v>37</v>
      </c>
      <c r="J1928" s="3">
        <f t="shared" si="43"/>
        <v>26</v>
      </c>
      <c r="K1928" s="3">
        <f t="shared" si="44"/>
        <v>11</v>
      </c>
      <c r="L1928" s="3" t="str">
        <f t="shared" si="45"/>
        <v>EXCELENTE</v>
      </c>
      <c r="N1928">
        <v>93.48</v>
      </c>
      <c r="O1928">
        <v>31.334622823984521</v>
      </c>
    </row>
    <row r="1929" spans="1:15" x14ac:dyDescent="0.25">
      <c r="A1929" s="11">
        <v>46062</v>
      </c>
      <c r="B1929" t="s">
        <v>29</v>
      </c>
      <c r="C1929" t="s">
        <v>16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f t="shared" si="42"/>
        <v>0</v>
      </c>
      <c r="J1929" s="3">
        <f t="shared" si="43"/>
        <v>21</v>
      </c>
      <c r="K1929" s="3">
        <f t="shared" si="44"/>
        <v>-21</v>
      </c>
      <c r="L1929" s="3" t="str">
        <f t="shared" si="45"/>
        <v>CRÍTICO</v>
      </c>
      <c r="N1929">
        <v>99.16</v>
      </c>
      <c r="O1929">
        <v>26.13908872901678</v>
      </c>
    </row>
    <row r="1930" spans="1:15" x14ac:dyDescent="0.25">
      <c r="A1930" s="11">
        <v>46062</v>
      </c>
      <c r="B1930" t="s">
        <v>30</v>
      </c>
      <c r="C1930" t="s">
        <v>20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 t="shared" si="42"/>
        <v>18</v>
      </c>
      <c r="J1930" s="3">
        <f t="shared" si="43"/>
        <v>17</v>
      </c>
      <c r="K1930" s="3">
        <f t="shared" si="44"/>
        <v>1</v>
      </c>
      <c r="L1930" s="3" t="str">
        <f t="shared" si="45"/>
        <v>BOM</v>
      </c>
      <c r="N1930">
        <v>100</v>
      </c>
      <c r="O1930">
        <v>31.089743589743591</v>
      </c>
    </row>
    <row r="1931" spans="1:15" x14ac:dyDescent="0.25">
      <c r="A1931" s="11">
        <v>46062</v>
      </c>
      <c r="B1931" t="s">
        <v>31</v>
      </c>
      <c r="C1931" t="s">
        <v>18</v>
      </c>
      <c r="D1931">
        <v>0</v>
      </c>
      <c r="E1931">
        <v>0</v>
      </c>
      <c r="F1931">
        <v>0</v>
      </c>
      <c r="G1931">
        <v>0</v>
      </c>
      <c r="H1931">
        <v>0</v>
      </c>
      <c r="I1931" s="3">
        <f t="shared" si="42"/>
        <v>0</v>
      </c>
      <c r="J1931" s="3">
        <f t="shared" si="43"/>
        <v>26</v>
      </c>
      <c r="K1931" s="3">
        <f t="shared" si="44"/>
        <v>-26</v>
      </c>
      <c r="L1931" s="3" t="str">
        <f t="shared" si="45"/>
        <v>CRÍTICO</v>
      </c>
      <c r="N1931">
        <v>98.11</v>
      </c>
      <c r="O1931">
        <v>33.033707865168537</v>
      </c>
    </row>
    <row r="1932" spans="1:15" x14ac:dyDescent="0.25">
      <c r="A1932" s="11">
        <v>46062</v>
      </c>
      <c r="B1932" t="s">
        <v>32</v>
      </c>
      <c r="C1932" t="s">
        <v>23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 t="shared" si="42"/>
        <v>13</v>
      </c>
      <c r="J1932" s="3">
        <f t="shared" si="43"/>
        <v>8</v>
      </c>
      <c r="K1932" s="3">
        <f t="shared" si="44"/>
        <v>5</v>
      </c>
      <c r="L1932" s="3" t="str">
        <f t="shared" si="45"/>
        <v>BOM</v>
      </c>
      <c r="N1932">
        <v>78.95</v>
      </c>
      <c r="O1932">
        <v>38.983050847457633</v>
      </c>
    </row>
    <row r="1933" spans="1:15" x14ac:dyDescent="0.25">
      <c r="A1933" s="11">
        <v>46062</v>
      </c>
      <c r="B1933" t="s">
        <v>33</v>
      </c>
      <c r="C1933" t="s">
        <v>16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 t="shared" si="42"/>
        <v>33</v>
      </c>
      <c r="J1933" s="3">
        <f t="shared" si="43"/>
        <v>21</v>
      </c>
      <c r="K1933" s="3">
        <f t="shared" si="44"/>
        <v>12</v>
      </c>
      <c r="L1933" s="3" t="str">
        <f t="shared" si="45"/>
        <v>EXCELENTE</v>
      </c>
      <c r="N1933">
        <v>98.45</v>
      </c>
      <c r="O1933">
        <v>29.281767955801101</v>
      </c>
    </row>
    <row r="1934" spans="1:15" x14ac:dyDescent="0.25">
      <c r="A1934" s="11">
        <v>46062</v>
      </c>
      <c r="B1934" t="s">
        <v>34</v>
      </c>
      <c r="C1934" t="s">
        <v>18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 t="shared" si="42"/>
        <v>27</v>
      </c>
      <c r="J1934" s="3">
        <f t="shared" si="43"/>
        <v>26</v>
      </c>
      <c r="K1934" s="3">
        <f t="shared" si="44"/>
        <v>1</v>
      </c>
      <c r="L1934" s="3" t="str">
        <f t="shared" si="45"/>
        <v>BOM</v>
      </c>
      <c r="N1934">
        <v>97.84</v>
      </c>
      <c r="O1934">
        <v>26.282051282051281</v>
      </c>
    </row>
    <row r="1935" spans="1:15" x14ac:dyDescent="0.25">
      <c r="A1935" s="11">
        <v>46062</v>
      </c>
      <c r="B1935" t="s">
        <v>35</v>
      </c>
      <c r="C1935" t="s">
        <v>16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 t="shared" si="42"/>
        <v>46</v>
      </c>
      <c r="J1935" s="3">
        <f t="shared" si="43"/>
        <v>21</v>
      </c>
      <c r="K1935" s="3">
        <f t="shared" si="44"/>
        <v>25</v>
      </c>
      <c r="L1935" s="3" t="str">
        <f t="shared" si="45"/>
        <v>EXCELENTE</v>
      </c>
      <c r="N1935">
        <v>98.5</v>
      </c>
      <c r="O1935">
        <v>23.97769516728625</v>
      </c>
    </row>
    <row r="1936" spans="1:15" x14ac:dyDescent="0.25">
      <c r="A1936" s="11">
        <v>46094</v>
      </c>
      <c r="B1936" t="s">
        <v>36</v>
      </c>
      <c r="C1936" t="s">
        <v>20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 t="shared" si="42"/>
        <v>9</v>
      </c>
      <c r="J1936" s="3">
        <f t="shared" si="43"/>
        <v>13</v>
      </c>
      <c r="K1936" s="3">
        <f t="shared" si="44"/>
        <v>-4</v>
      </c>
      <c r="L1936" s="3" t="str">
        <f t="shared" si="45"/>
        <v>ATENÇÃO</v>
      </c>
      <c r="N1936">
        <v>99.05</v>
      </c>
      <c r="O1936">
        <v>26.621923937360179</v>
      </c>
    </row>
    <row r="1937" spans="1:15" x14ac:dyDescent="0.25">
      <c r="A1937" s="11">
        <v>46062</v>
      </c>
      <c r="B1937" t="s">
        <v>37</v>
      </c>
      <c r="C1937" t="s">
        <v>16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 t="shared" si="42"/>
        <v>19</v>
      </c>
      <c r="J1937" s="3">
        <f t="shared" si="43"/>
        <v>21</v>
      </c>
      <c r="K1937" s="3">
        <f t="shared" si="44"/>
        <v>-2</v>
      </c>
      <c r="L1937" s="3" t="str">
        <f t="shared" si="45"/>
        <v>ATENÇÃO</v>
      </c>
      <c r="N1937">
        <v>98.53</v>
      </c>
      <c r="O1937">
        <v>31.578947368421051</v>
      </c>
    </row>
    <row r="1938" spans="1:15" x14ac:dyDescent="0.25">
      <c r="A1938" s="11">
        <v>46062</v>
      </c>
      <c r="B1938" t="s">
        <v>38</v>
      </c>
      <c r="C1938" t="s">
        <v>18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 t="shared" si="42"/>
        <v>40</v>
      </c>
      <c r="J1938" s="3">
        <f t="shared" si="43"/>
        <v>26</v>
      </c>
      <c r="K1938" s="3">
        <f t="shared" si="44"/>
        <v>14</v>
      </c>
      <c r="L1938" s="3" t="str">
        <f t="shared" si="45"/>
        <v>EXCELENTE</v>
      </c>
      <c r="N1938">
        <v>100</v>
      </c>
      <c r="O1938">
        <v>25.72214580467676</v>
      </c>
    </row>
    <row r="1939" spans="1:15" x14ac:dyDescent="0.25">
      <c r="A1939" s="11">
        <v>46062</v>
      </c>
      <c r="B1939" t="s">
        <v>39</v>
      </c>
      <c r="C1939" t="s">
        <v>18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 t="shared" si="42"/>
        <v>20</v>
      </c>
      <c r="J1939" s="3">
        <f t="shared" si="43"/>
        <v>26</v>
      </c>
      <c r="K1939" s="3">
        <f t="shared" si="44"/>
        <v>-6</v>
      </c>
      <c r="L1939" s="3" t="str">
        <f t="shared" si="45"/>
        <v>CRÍTICO</v>
      </c>
      <c r="N1939">
        <v>94.64</v>
      </c>
      <c r="O1939">
        <v>27.52941176470588</v>
      </c>
    </row>
    <row r="1940" spans="1:15" x14ac:dyDescent="0.25">
      <c r="A1940" s="11">
        <v>46062</v>
      </c>
      <c r="B1940" t="s">
        <v>40</v>
      </c>
      <c r="C1940" t="s">
        <v>16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 t="shared" si="42"/>
        <v>22</v>
      </c>
      <c r="J1940" s="3">
        <f t="shared" si="43"/>
        <v>21</v>
      </c>
      <c r="K1940" s="3">
        <f t="shared" si="44"/>
        <v>1</v>
      </c>
      <c r="L1940" s="3" t="str">
        <f t="shared" si="45"/>
        <v>BOM</v>
      </c>
      <c r="N1940">
        <v>99.07</v>
      </c>
      <c r="O1940">
        <v>26.376811594202898</v>
      </c>
    </row>
    <row r="1941" spans="1:15" x14ac:dyDescent="0.25">
      <c r="A1941" s="11">
        <v>46062</v>
      </c>
      <c r="B1941" t="s">
        <v>41</v>
      </c>
      <c r="C1941" t="s">
        <v>18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f t="shared" si="42"/>
        <v>0</v>
      </c>
      <c r="J1941" s="3">
        <f t="shared" si="43"/>
        <v>26</v>
      </c>
      <c r="K1941" s="3">
        <f t="shared" si="44"/>
        <v>-26</v>
      </c>
      <c r="L1941" s="3" t="str">
        <f t="shared" si="45"/>
        <v>CRÍTICO</v>
      </c>
      <c r="N1941">
        <v>100</v>
      </c>
      <c r="O1941">
        <v>0</v>
      </c>
    </row>
    <row r="1942" spans="1:15" x14ac:dyDescent="0.25">
      <c r="A1942" s="11">
        <v>46062</v>
      </c>
      <c r="B1942" t="s">
        <v>42</v>
      </c>
      <c r="C1942" t="s">
        <v>43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 t="shared" si="42"/>
        <v>6</v>
      </c>
      <c r="J1942" s="3">
        <f t="shared" si="43"/>
        <v>15</v>
      </c>
      <c r="K1942" s="3">
        <f t="shared" si="44"/>
        <v>-9</v>
      </c>
      <c r="L1942" s="3" t="str">
        <f t="shared" si="45"/>
        <v>CRÍTICO</v>
      </c>
      <c r="N1942">
        <v>98.48</v>
      </c>
      <c r="O1942">
        <v>27.853881278538811</v>
      </c>
    </row>
    <row r="1943" spans="1:15" x14ac:dyDescent="0.25">
      <c r="A1943" s="11">
        <v>46062</v>
      </c>
      <c r="B1943" t="s">
        <v>44</v>
      </c>
      <c r="C1943" t="s">
        <v>18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 t="shared" si="42"/>
        <v>16</v>
      </c>
      <c r="J1943" s="3">
        <f t="shared" si="43"/>
        <v>26</v>
      </c>
      <c r="K1943" s="3">
        <f t="shared" si="44"/>
        <v>-10</v>
      </c>
      <c r="L1943" s="3" t="str">
        <f t="shared" si="45"/>
        <v>CRÍTICO</v>
      </c>
      <c r="N1943">
        <v>95.15</v>
      </c>
      <c r="O1943">
        <v>34.131736526946113</v>
      </c>
    </row>
    <row r="1944" spans="1:15" x14ac:dyDescent="0.25">
      <c r="A1944" s="11">
        <v>46062</v>
      </c>
      <c r="B1944" t="s">
        <v>45</v>
      </c>
      <c r="C1944" t="s">
        <v>43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f t="shared" si="42"/>
        <v>0</v>
      </c>
      <c r="J1944" s="3">
        <f t="shared" si="43"/>
        <v>15</v>
      </c>
      <c r="K1944" s="3">
        <f t="shared" si="44"/>
        <v>-15</v>
      </c>
      <c r="L1944" s="3" t="str">
        <f t="shared" si="45"/>
        <v>CRÍTICO</v>
      </c>
      <c r="N1944">
        <v>0</v>
      </c>
      <c r="O1944">
        <v>0</v>
      </c>
    </row>
    <row r="1945" spans="1:15" x14ac:dyDescent="0.25">
      <c r="A1945" s="11">
        <v>46062</v>
      </c>
      <c r="B1945" t="s">
        <v>46</v>
      </c>
      <c r="C1945" t="s">
        <v>18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 t="shared" si="42"/>
        <v>16</v>
      </c>
      <c r="J1945" s="3">
        <f t="shared" si="43"/>
        <v>26</v>
      </c>
      <c r="K1945" s="3">
        <f t="shared" si="44"/>
        <v>-10</v>
      </c>
      <c r="L1945" s="3" t="str">
        <f t="shared" si="45"/>
        <v>CRÍTICO</v>
      </c>
      <c r="N1945">
        <v>99.26</v>
      </c>
      <c r="O1945">
        <v>30.84832904884319</v>
      </c>
    </row>
    <row r="1946" spans="1:15" x14ac:dyDescent="0.25">
      <c r="A1946" s="11">
        <v>46062</v>
      </c>
      <c r="B1946" t="s">
        <v>47</v>
      </c>
      <c r="C1946" t="s">
        <v>16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 t="shared" si="42"/>
        <v>26</v>
      </c>
      <c r="J1946" s="3">
        <f t="shared" si="43"/>
        <v>21</v>
      </c>
      <c r="K1946" s="3">
        <f t="shared" si="44"/>
        <v>5</v>
      </c>
      <c r="L1946" s="3" t="str">
        <f t="shared" si="45"/>
        <v>BOM</v>
      </c>
      <c r="N1946">
        <v>97.48</v>
      </c>
      <c r="O1946">
        <v>27.764705882352938</v>
      </c>
    </row>
    <row r="1947" spans="1:15" x14ac:dyDescent="0.25">
      <c r="A1947" s="11">
        <v>46062</v>
      </c>
      <c r="B1947" t="s">
        <v>48</v>
      </c>
      <c r="C1947" t="s">
        <v>16</v>
      </c>
      <c r="D1947">
        <v>0</v>
      </c>
      <c r="E1947">
        <v>0</v>
      </c>
      <c r="F1947">
        <v>0</v>
      </c>
      <c r="G1947">
        <v>0</v>
      </c>
      <c r="H1947">
        <v>0</v>
      </c>
      <c r="I1947" s="3">
        <f t="shared" si="42"/>
        <v>0</v>
      </c>
      <c r="J1947" s="3">
        <f t="shared" si="43"/>
        <v>21</v>
      </c>
      <c r="K1947" s="3">
        <f t="shared" si="44"/>
        <v>-21</v>
      </c>
      <c r="L1947" s="3" t="str">
        <f t="shared" si="45"/>
        <v>CRÍTICO</v>
      </c>
      <c r="N1947">
        <v>99.34</v>
      </c>
      <c r="O1947">
        <v>30.04291845493562</v>
      </c>
    </row>
    <row r="1948" spans="1:15" x14ac:dyDescent="0.25">
      <c r="A1948" s="11">
        <v>46062</v>
      </c>
      <c r="B1948" t="s">
        <v>49</v>
      </c>
      <c r="C1948" t="s">
        <v>18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 t="shared" si="42"/>
        <v>35</v>
      </c>
      <c r="J1948" s="3">
        <f t="shared" si="43"/>
        <v>26</v>
      </c>
      <c r="K1948" s="3">
        <f t="shared" si="44"/>
        <v>9</v>
      </c>
      <c r="L1948" s="3" t="str">
        <f t="shared" si="45"/>
        <v>EXCELENTE</v>
      </c>
      <c r="N1948">
        <v>96.3</v>
      </c>
      <c r="O1948">
        <v>24.29378531073446</v>
      </c>
    </row>
    <row r="1949" spans="1:15" x14ac:dyDescent="0.25">
      <c r="A1949" s="11">
        <v>46062</v>
      </c>
      <c r="B1949" t="s">
        <v>50</v>
      </c>
      <c r="C1949" t="s">
        <v>20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 t="shared" si="42"/>
        <v>19</v>
      </c>
      <c r="J1949" s="3">
        <f t="shared" si="43"/>
        <v>17</v>
      </c>
      <c r="K1949" s="3">
        <f t="shared" si="44"/>
        <v>2</v>
      </c>
      <c r="L1949" s="3" t="str">
        <f t="shared" si="45"/>
        <v>BOM</v>
      </c>
      <c r="N1949">
        <v>100</v>
      </c>
      <c r="O1949">
        <v>26.543209876543209</v>
      </c>
    </row>
    <row r="1950" spans="1:15" x14ac:dyDescent="0.25">
      <c r="A1950" s="11">
        <v>46062</v>
      </c>
      <c r="B1950" t="s">
        <v>51</v>
      </c>
      <c r="C1950" t="s">
        <v>23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f t="shared" si="42"/>
        <v>0</v>
      </c>
      <c r="J1950" s="3">
        <f t="shared" si="43"/>
        <v>8</v>
      </c>
      <c r="K1950" s="3">
        <f t="shared" si="44"/>
        <v>-8</v>
      </c>
      <c r="L1950" s="3" t="str">
        <f t="shared" si="45"/>
        <v>CRÍTICO</v>
      </c>
      <c r="N1950">
        <v>100</v>
      </c>
      <c r="O1950">
        <v>35.483870967741943</v>
      </c>
    </row>
    <row r="1951" spans="1:15" x14ac:dyDescent="0.25">
      <c r="A1951" s="11">
        <v>46062</v>
      </c>
      <c r="B1951" t="s">
        <v>52</v>
      </c>
      <c r="C1951" t="s">
        <v>18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 t="shared" si="42"/>
        <v>24</v>
      </c>
      <c r="J1951" s="3">
        <f t="shared" si="43"/>
        <v>26</v>
      </c>
      <c r="K1951" s="3">
        <f t="shared" si="44"/>
        <v>-2</v>
      </c>
      <c r="L1951" s="3" t="str">
        <f t="shared" si="45"/>
        <v>ATENÇÃO</v>
      </c>
      <c r="N1951">
        <v>99.27</v>
      </c>
      <c r="O1951">
        <v>31.163708086785011</v>
      </c>
    </row>
    <row r="1952" spans="1:15" x14ac:dyDescent="0.25">
      <c r="A1952" s="11">
        <v>46062</v>
      </c>
      <c r="B1952" t="s">
        <v>53</v>
      </c>
      <c r="C1952" t="s">
        <v>18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 t="shared" si="42"/>
        <v>25</v>
      </c>
      <c r="J1952" s="3">
        <f t="shared" si="43"/>
        <v>26</v>
      </c>
      <c r="K1952" s="3">
        <f t="shared" si="44"/>
        <v>-1</v>
      </c>
      <c r="L1952" s="3" t="str">
        <f t="shared" si="45"/>
        <v>ATENÇÃO</v>
      </c>
      <c r="N1952">
        <v>94.16</v>
      </c>
      <c r="O1952">
        <v>27.038626609442058</v>
      </c>
    </row>
    <row r="1953" spans="1:15" x14ac:dyDescent="0.25">
      <c r="A1953" s="11">
        <v>46062</v>
      </c>
      <c r="B1953" t="s">
        <v>54</v>
      </c>
      <c r="C1953" t="s">
        <v>23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 t="shared" si="42"/>
        <v>9</v>
      </c>
      <c r="J1953" s="3">
        <f t="shared" si="43"/>
        <v>8</v>
      </c>
      <c r="K1953" s="3">
        <f t="shared" si="44"/>
        <v>1</v>
      </c>
      <c r="L1953" s="3" t="str">
        <f t="shared" si="45"/>
        <v>BOM</v>
      </c>
      <c r="N1953">
        <v>93.75</v>
      </c>
      <c r="O1953">
        <v>19.31818181818182</v>
      </c>
    </row>
    <row r="1954" spans="1:15" x14ac:dyDescent="0.25">
      <c r="A1954" s="11">
        <v>46062</v>
      </c>
      <c r="B1954" t="s">
        <v>55</v>
      </c>
      <c r="C1954" t="s">
        <v>43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f t="shared" si="42"/>
        <v>0</v>
      </c>
      <c r="J1954" s="3">
        <f t="shared" si="43"/>
        <v>15</v>
      </c>
      <c r="K1954" s="3">
        <f t="shared" si="44"/>
        <v>-15</v>
      </c>
      <c r="L1954" s="3" t="str">
        <f t="shared" si="45"/>
        <v>CRÍTICO</v>
      </c>
      <c r="N1954">
        <v>0</v>
      </c>
      <c r="O1954">
        <v>0</v>
      </c>
    </row>
    <row r="1955" spans="1:15" x14ac:dyDescent="0.25">
      <c r="A1955" s="11">
        <v>46062</v>
      </c>
      <c r="B1955" t="s">
        <v>56</v>
      </c>
      <c r="C1955" t="s">
        <v>16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f t="shared" ref="I1955:I2018" si="46">E1955+G1955+H1955</f>
        <v>0</v>
      </c>
      <c r="J1955" s="3">
        <f t="shared" ref="J1955:J2018" si="47">ROUND(MIN(IF(C1955="Técnico III",35,IF(C1955="Técnico II",28,IF(C1955="Técnico I",23,IF(C1955="JR",20,IF(C1955="Estágio",10,0))))),IF(C1955="Técnico III",SUMIFS($D:$D,$A:$A,$A1955,$B:$B,"&lt;&gt;Patrícia Karla de Sousa Araújo",$B:$B,"&lt;&gt;Lorena Dias de Araujo",$B:$B,"&lt;&gt;Lucas Luiz Romero")*(35/1083),IF(C1955="Técnico II",SUMIFS($D:$D,$A:$A,$A1955,$B:$B,"&lt;&gt;Patrícia Karla de Sousa Araújo",$B:$B,"&lt;&gt;Lorena Dias de Araujo",$B:$B,"&lt;&gt;Lucas Luiz Romero")*(28/1083),IF(C1955="Técnico I",SUMIFS($D:$D,$A:$A,$A1955,$B:$B,"&lt;&gt;Patrícia Karla de Sousa Araújo",$B:$B,"&lt;&gt;Lorena Dias de Araujo",$B:$B,"&lt;&gt;Lucas Luiz Romero")*(23/1083),IF(C1955="JR",SUMIFS($D:$D,$A:$A,$A1955,$B:$B,"&lt;&gt;Patrícia Karla de Sousa Araújo",$B:$B,"&lt;&gt;Lorena Dias de Araujo",$B:$B,"&lt;&gt;Lucas Luiz Romero")*(20/1083),IF(C1955="Estágio",SUMIFS($D:$D,$A:$A,$A1955,$B:$B,"&lt;&gt;Patrícia Karla de Sousa Araújo",$B:$B,"&lt;&gt;Lorena Dias de Araujo",$B:$B,"&lt;&gt;Lucas Luiz Romero")*(10/1083),0)))))),0)</f>
        <v>21</v>
      </c>
      <c r="K1955" s="3">
        <f t="shared" ref="K1955:K2018" si="48">I1955-J1955</f>
        <v>-21</v>
      </c>
      <c r="L1955" s="3" t="str">
        <f t="shared" ref="L1955:L2018" si="49">IF(K1955&lt;-5,"CRÍTICO",IF(K1955&lt;0,"ATENÇÃO",IF(K1955&lt;=5,"BOM","EXCELENTE")))</f>
        <v>CRÍTICO</v>
      </c>
      <c r="N1955">
        <v>97.92</v>
      </c>
      <c r="O1955">
        <v>32.87671232876712</v>
      </c>
    </row>
    <row r="1956" spans="1:15" x14ac:dyDescent="0.25">
      <c r="A1956" s="11">
        <v>46062</v>
      </c>
      <c r="B1956" t="s">
        <v>57</v>
      </c>
      <c r="C1956" t="s">
        <v>43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f t="shared" si="46"/>
        <v>0</v>
      </c>
      <c r="J1956" s="3">
        <f t="shared" si="47"/>
        <v>15</v>
      </c>
      <c r="K1956" s="3">
        <f t="shared" si="48"/>
        <v>-15</v>
      </c>
      <c r="L1956" s="3" t="str">
        <f t="shared" si="49"/>
        <v>CRÍTICO</v>
      </c>
      <c r="N1956">
        <v>0</v>
      </c>
      <c r="O1956">
        <v>0</v>
      </c>
    </row>
    <row r="1957" spans="1:15" x14ac:dyDescent="0.25">
      <c r="A1957" s="11">
        <v>46062</v>
      </c>
      <c r="B1957" t="s">
        <v>58</v>
      </c>
      <c r="C1957" t="s">
        <v>43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f t="shared" si="46"/>
        <v>0</v>
      </c>
      <c r="J1957" s="3">
        <f t="shared" si="47"/>
        <v>15</v>
      </c>
      <c r="K1957" s="3">
        <f t="shared" si="48"/>
        <v>-15</v>
      </c>
      <c r="L1957" s="3" t="str">
        <f t="shared" si="49"/>
        <v>CRÍTICO</v>
      </c>
      <c r="N1957">
        <v>0</v>
      </c>
      <c r="O1957">
        <v>0</v>
      </c>
    </row>
    <row r="1958" spans="1:15" x14ac:dyDescent="0.25">
      <c r="A1958" s="11">
        <v>46062</v>
      </c>
      <c r="B1958" t="s">
        <v>59</v>
      </c>
      <c r="C1958" t="s">
        <v>23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f t="shared" si="46"/>
        <v>0</v>
      </c>
      <c r="J1958" s="3">
        <f t="shared" si="47"/>
        <v>8</v>
      </c>
      <c r="K1958" s="3">
        <f t="shared" si="48"/>
        <v>-8</v>
      </c>
      <c r="L1958" s="3" t="str">
        <f t="shared" si="49"/>
        <v>CRÍTICO</v>
      </c>
      <c r="N1958">
        <v>0</v>
      </c>
      <c r="O1958">
        <v>0</v>
      </c>
    </row>
    <row r="1959" spans="1:15" x14ac:dyDescent="0.25">
      <c r="A1959" s="11">
        <v>46062</v>
      </c>
      <c r="B1959" t="s">
        <v>60</v>
      </c>
      <c r="C1959" t="s">
        <v>20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 t="shared" si="46"/>
        <v>23</v>
      </c>
      <c r="J1959" s="3">
        <f t="shared" si="47"/>
        <v>17</v>
      </c>
      <c r="K1959" s="3">
        <f t="shared" si="48"/>
        <v>6</v>
      </c>
      <c r="L1959" s="3" t="str">
        <f t="shared" si="49"/>
        <v>EXCELENTE</v>
      </c>
      <c r="N1959">
        <v>98.51</v>
      </c>
      <c r="O1959">
        <v>29.710144927536231</v>
      </c>
    </row>
    <row r="1960" spans="1:15" x14ac:dyDescent="0.25">
      <c r="A1960" s="11">
        <v>46062</v>
      </c>
      <c r="B1960" t="s">
        <v>61</v>
      </c>
      <c r="C1960" t="s">
        <v>18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 t="shared" si="46"/>
        <v>44</v>
      </c>
      <c r="J1960" s="3">
        <f t="shared" si="47"/>
        <v>26</v>
      </c>
      <c r="K1960" s="3">
        <f t="shared" si="48"/>
        <v>18</v>
      </c>
      <c r="L1960" s="3" t="str">
        <f t="shared" si="49"/>
        <v>EXCELENTE</v>
      </c>
      <c r="N1960">
        <v>98.81</v>
      </c>
      <c r="O1960">
        <v>30.712979890310791</v>
      </c>
    </row>
    <row r="1961" spans="1:15" x14ac:dyDescent="0.25">
      <c r="A1961" s="11">
        <v>46062</v>
      </c>
      <c r="B1961" t="s">
        <v>62</v>
      </c>
      <c r="C1961" t="s">
        <v>20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 t="shared" si="46"/>
        <v>10</v>
      </c>
      <c r="J1961" s="3">
        <f t="shared" si="47"/>
        <v>17</v>
      </c>
      <c r="K1961" s="3">
        <f t="shared" si="48"/>
        <v>-7</v>
      </c>
      <c r="L1961" s="3" t="str">
        <f t="shared" si="49"/>
        <v>CRÍTICO</v>
      </c>
      <c r="N1961">
        <v>98.48</v>
      </c>
      <c r="O1961">
        <v>29.35323383084577</v>
      </c>
    </row>
    <row r="1962" spans="1:15" x14ac:dyDescent="0.25">
      <c r="A1962" s="11">
        <v>46062</v>
      </c>
      <c r="B1962" t="s">
        <v>63</v>
      </c>
      <c r="C1962" t="s">
        <v>18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 t="shared" si="46"/>
        <v>28</v>
      </c>
      <c r="J1962" s="3">
        <f t="shared" si="47"/>
        <v>26</v>
      </c>
      <c r="K1962" s="3">
        <f t="shared" si="48"/>
        <v>2</v>
      </c>
      <c r="L1962" s="3" t="str">
        <f t="shared" si="49"/>
        <v>BOM</v>
      </c>
      <c r="N1962">
        <v>98.56</v>
      </c>
      <c r="O1962">
        <v>29.373650107991359</v>
      </c>
    </row>
    <row r="1963" spans="1:15" x14ac:dyDescent="0.25">
      <c r="A1963" s="11">
        <v>46063</v>
      </c>
      <c r="B1963" t="s">
        <v>15</v>
      </c>
      <c r="C1963" t="s">
        <v>16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 t="shared" si="46"/>
        <v>27</v>
      </c>
      <c r="J1963" s="3">
        <f t="shared" si="47"/>
        <v>23</v>
      </c>
      <c r="K1963" s="3">
        <f t="shared" si="48"/>
        <v>4</v>
      </c>
      <c r="L1963" s="3" t="str">
        <f t="shared" si="49"/>
        <v>BOM</v>
      </c>
      <c r="N1963">
        <v>98.32</v>
      </c>
      <c r="O1963">
        <v>30.303030303030301</v>
      </c>
    </row>
    <row r="1964" spans="1:15" x14ac:dyDescent="0.25">
      <c r="A1964" s="11">
        <v>46063</v>
      </c>
      <c r="B1964" t="s">
        <v>17</v>
      </c>
      <c r="C1964" t="s">
        <v>18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f t="shared" si="46"/>
        <v>0</v>
      </c>
      <c r="J1964" s="3">
        <f t="shared" si="47"/>
        <v>28</v>
      </c>
      <c r="K1964" s="3">
        <f t="shared" si="48"/>
        <v>-28</v>
      </c>
      <c r="L1964" s="3" t="str">
        <f t="shared" si="49"/>
        <v>CRÍTICO</v>
      </c>
      <c r="N1964">
        <v>98.68</v>
      </c>
      <c r="O1964">
        <v>26.219512195121951</v>
      </c>
    </row>
    <row r="1965" spans="1:15" x14ac:dyDescent="0.25">
      <c r="A1965" s="11">
        <v>46063</v>
      </c>
      <c r="B1965" t="s">
        <v>19</v>
      </c>
      <c r="C1965" t="s">
        <v>20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 t="shared" si="46"/>
        <v>23</v>
      </c>
      <c r="J1965" s="3">
        <f t="shared" si="47"/>
        <v>19</v>
      </c>
      <c r="K1965" s="3">
        <f t="shared" si="48"/>
        <v>4</v>
      </c>
      <c r="L1965" s="3" t="str">
        <f t="shared" si="49"/>
        <v>BOM</v>
      </c>
      <c r="N1965">
        <v>100</v>
      </c>
      <c r="O1965">
        <v>31.74224343675418</v>
      </c>
    </row>
    <row r="1966" spans="1:15" x14ac:dyDescent="0.25">
      <c r="A1966" s="11">
        <v>46063</v>
      </c>
      <c r="B1966" t="s">
        <v>21</v>
      </c>
      <c r="C1966" t="s">
        <v>18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 t="shared" si="46"/>
        <v>37</v>
      </c>
      <c r="J1966" s="3">
        <f t="shared" si="47"/>
        <v>28</v>
      </c>
      <c r="K1966" s="3">
        <f t="shared" si="48"/>
        <v>9</v>
      </c>
      <c r="L1966" s="3" t="str">
        <f t="shared" si="49"/>
        <v>EXCELENTE</v>
      </c>
      <c r="N1966">
        <v>98.25</v>
      </c>
      <c r="O1966">
        <v>25.83518930957684</v>
      </c>
    </row>
    <row r="1967" spans="1:15" x14ac:dyDescent="0.25">
      <c r="A1967" s="11">
        <v>46063</v>
      </c>
      <c r="B1967" t="s">
        <v>22</v>
      </c>
      <c r="C1967" t="s">
        <v>23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 t="shared" si="46"/>
        <v>9</v>
      </c>
      <c r="J1967" s="3">
        <f t="shared" si="47"/>
        <v>8</v>
      </c>
      <c r="K1967" s="3">
        <f t="shared" si="48"/>
        <v>1</v>
      </c>
      <c r="L1967" s="3" t="str">
        <f t="shared" si="49"/>
        <v>BOM</v>
      </c>
      <c r="N1967">
        <v>97.5</v>
      </c>
      <c r="O1967">
        <v>30.075187969924809</v>
      </c>
    </row>
    <row r="1968" spans="1:15" x14ac:dyDescent="0.25">
      <c r="A1968" s="11">
        <v>46063</v>
      </c>
      <c r="B1968" t="s">
        <v>24</v>
      </c>
      <c r="C1968" t="s">
        <v>16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 t="shared" si="46"/>
        <v>32</v>
      </c>
      <c r="J1968" s="3">
        <f t="shared" si="47"/>
        <v>23</v>
      </c>
      <c r="K1968" s="3">
        <f t="shared" si="48"/>
        <v>9</v>
      </c>
      <c r="L1968" s="3" t="str">
        <f t="shared" si="49"/>
        <v>EXCELENTE</v>
      </c>
      <c r="N1968">
        <v>100</v>
      </c>
      <c r="O1968">
        <v>29.71311475409836</v>
      </c>
    </row>
    <row r="1969" spans="1:15" x14ac:dyDescent="0.25">
      <c r="A1969" s="11">
        <v>46063</v>
      </c>
      <c r="B1969" t="s">
        <v>25</v>
      </c>
      <c r="C1969" t="s">
        <v>16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 t="shared" si="46"/>
        <v>26</v>
      </c>
      <c r="J1969" s="3">
        <f t="shared" si="47"/>
        <v>23</v>
      </c>
      <c r="K1969" s="3">
        <f t="shared" si="48"/>
        <v>3</v>
      </c>
      <c r="L1969" s="3" t="str">
        <f t="shared" si="49"/>
        <v>BOM</v>
      </c>
      <c r="N1969">
        <v>99.22</v>
      </c>
      <c r="O1969">
        <v>35.256410256410263</v>
      </c>
    </row>
    <row r="1970" spans="1:15" x14ac:dyDescent="0.25">
      <c r="A1970" s="11">
        <v>46063</v>
      </c>
      <c r="B1970" t="s">
        <v>26</v>
      </c>
      <c r="C1970" t="s">
        <v>23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f t="shared" si="46"/>
        <v>0</v>
      </c>
      <c r="J1970" s="3">
        <f t="shared" si="47"/>
        <v>8</v>
      </c>
      <c r="K1970" s="3">
        <f t="shared" si="48"/>
        <v>-8</v>
      </c>
      <c r="L1970" s="3" t="str">
        <f t="shared" si="49"/>
        <v>CRÍTICO</v>
      </c>
      <c r="N1970">
        <v>0</v>
      </c>
      <c r="O1970">
        <v>0</v>
      </c>
    </row>
    <row r="1971" spans="1:15" x14ac:dyDescent="0.25">
      <c r="A1971" s="11">
        <v>46063</v>
      </c>
      <c r="B1971" t="s">
        <v>27</v>
      </c>
      <c r="C1971" t="s">
        <v>20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 t="shared" si="46"/>
        <v>12</v>
      </c>
      <c r="J1971" s="3">
        <f t="shared" si="47"/>
        <v>19</v>
      </c>
      <c r="K1971" s="3">
        <f t="shared" si="48"/>
        <v>-7</v>
      </c>
      <c r="L1971" s="3" t="str">
        <f t="shared" si="49"/>
        <v>CRÍTICO</v>
      </c>
      <c r="N1971">
        <v>98.75</v>
      </c>
      <c r="O1971">
        <v>24.32432432432433</v>
      </c>
    </row>
    <row r="1972" spans="1:15" x14ac:dyDescent="0.25">
      <c r="A1972" s="11">
        <v>46063</v>
      </c>
      <c r="B1972" t="s">
        <v>28</v>
      </c>
      <c r="C1972" t="s">
        <v>18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 t="shared" si="46"/>
        <v>37</v>
      </c>
      <c r="J1972" s="3">
        <f t="shared" si="47"/>
        <v>28</v>
      </c>
      <c r="K1972" s="3">
        <f t="shared" si="48"/>
        <v>9</v>
      </c>
      <c r="L1972" s="3" t="str">
        <f t="shared" si="49"/>
        <v>EXCELENTE</v>
      </c>
      <c r="N1972">
        <v>93.48</v>
      </c>
      <c r="O1972">
        <v>31.334622823984521</v>
      </c>
    </row>
    <row r="1973" spans="1:15" x14ac:dyDescent="0.25">
      <c r="A1973" s="11">
        <v>46063</v>
      </c>
      <c r="B1973" t="s">
        <v>29</v>
      </c>
      <c r="C1973" t="s">
        <v>16</v>
      </c>
      <c r="D1973">
        <v>0</v>
      </c>
      <c r="E1973">
        <v>0</v>
      </c>
      <c r="F1973">
        <v>0</v>
      </c>
      <c r="G1973">
        <v>0</v>
      </c>
      <c r="H1973">
        <v>0</v>
      </c>
      <c r="I1973" s="3">
        <f t="shared" si="46"/>
        <v>0</v>
      </c>
      <c r="J1973" s="3">
        <f t="shared" si="47"/>
        <v>23</v>
      </c>
      <c r="K1973" s="3">
        <f t="shared" si="48"/>
        <v>-23</v>
      </c>
      <c r="L1973" s="3" t="str">
        <f t="shared" si="49"/>
        <v>CRÍTICO</v>
      </c>
      <c r="N1973">
        <v>99.16</v>
      </c>
      <c r="O1973">
        <v>26.13908872901678</v>
      </c>
    </row>
    <row r="1974" spans="1:15" x14ac:dyDescent="0.25">
      <c r="A1974" s="11">
        <v>46063</v>
      </c>
      <c r="B1974" t="s">
        <v>30</v>
      </c>
      <c r="C1974" t="s">
        <v>20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 t="shared" si="46"/>
        <v>26</v>
      </c>
      <c r="J1974" s="3">
        <f t="shared" si="47"/>
        <v>19</v>
      </c>
      <c r="K1974" s="3">
        <f t="shared" si="48"/>
        <v>7</v>
      </c>
      <c r="L1974" s="3" t="str">
        <f t="shared" si="49"/>
        <v>EXCELENTE</v>
      </c>
      <c r="N1974">
        <v>100</v>
      </c>
      <c r="O1974">
        <v>31.089743589743591</v>
      </c>
    </row>
    <row r="1975" spans="1:15" x14ac:dyDescent="0.25">
      <c r="A1975" s="11">
        <v>46063</v>
      </c>
      <c r="B1975" t="s">
        <v>31</v>
      </c>
      <c r="C1975" t="s">
        <v>18</v>
      </c>
      <c r="D1975">
        <v>0</v>
      </c>
      <c r="E1975">
        <v>0</v>
      </c>
      <c r="F1975">
        <v>0</v>
      </c>
      <c r="G1975">
        <v>0</v>
      </c>
      <c r="H1975">
        <v>0</v>
      </c>
      <c r="I1975" s="3">
        <f t="shared" si="46"/>
        <v>0</v>
      </c>
      <c r="J1975" s="3">
        <f t="shared" si="47"/>
        <v>28</v>
      </c>
      <c r="K1975" s="3">
        <f t="shared" si="48"/>
        <v>-28</v>
      </c>
      <c r="L1975" s="3" t="str">
        <f t="shared" si="49"/>
        <v>CRÍTICO</v>
      </c>
      <c r="N1975">
        <v>98.11</v>
      </c>
      <c r="O1975">
        <v>33.033707865168537</v>
      </c>
    </row>
    <row r="1976" spans="1:15" x14ac:dyDescent="0.25">
      <c r="A1976" s="11">
        <v>46063</v>
      </c>
      <c r="B1976" t="s">
        <v>32</v>
      </c>
      <c r="C1976" t="s">
        <v>23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 t="shared" si="46"/>
        <v>18</v>
      </c>
      <c r="J1976" s="3">
        <f t="shared" si="47"/>
        <v>8</v>
      </c>
      <c r="K1976" s="3">
        <f t="shared" si="48"/>
        <v>10</v>
      </c>
      <c r="L1976" s="3" t="str">
        <f t="shared" si="49"/>
        <v>EXCELENTE</v>
      </c>
      <c r="N1976">
        <v>78.95</v>
      </c>
      <c r="O1976">
        <v>38.983050847457633</v>
      </c>
    </row>
    <row r="1977" spans="1:15" x14ac:dyDescent="0.25">
      <c r="A1977" s="11">
        <v>46063</v>
      </c>
      <c r="B1977" t="s">
        <v>33</v>
      </c>
      <c r="C1977" t="s">
        <v>16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 t="shared" si="46"/>
        <v>14</v>
      </c>
      <c r="J1977" s="3">
        <f t="shared" si="47"/>
        <v>23</v>
      </c>
      <c r="K1977" s="3">
        <f t="shared" si="48"/>
        <v>-9</v>
      </c>
      <c r="L1977" s="3" t="str">
        <f t="shared" si="49"/>
        <v>CRÍTICO</v>
      </c>
      <c r="N1977">
        <v>98.45</v>
      </c>
      <c r="O1977">
        <v>29.281767955801101</v>
      </c>
    </row>
    <row r="1978" spans="1:15" x14ac:dyDescent="0.25">
      <c r="A1978" s="11">
        <v>46063</v>
      </c>
      <c r="B1978" t="s">
        <v>34</v>
      </c>
      <c r="C1978" t="s">
        <v>18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 t="shared" si="46"/>
        <v>30</v>
      </c>
      <c r="J1978" s="3">
        <f t="shared" si="47"/>
        <v>28</v>
      </c>
      <c r="K1978" s="3">
        <f t="shared" si="48"/>
        <v>2</v>
      </c>
      <c r="L1978" s="3" t="str">
        <f t="shared" si="49"/>
        <v>BOM</v>
      </c>
      <c r="N1978">
        <v>97.84</v>
      </c>
      <c r="O1978">
        <v>26.282051282051281</v>
      </c>
    </row>
    <row r="1979" spans="1:15" x14ac:dyDescent="0.25">
      <c r="A1979" s="11">
        <v>46063</v>
      </c>
      <c r="B1979" t="s">
        <v>35</v>
      </c>
      <c r="C1979" t="s">
        <v>16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 t="shared" si="46"/>
        <v>30</v>
      </c>
      <c r="J1979" s="3">
        <f t="shared" si="47"/>
        <v>23</v>
      </c>
      <c r="K1979" s="3">
        <f t="shared" si="48"/>
        <v>7</v>
      </c>
      <c r="L1979" s="3" t="str">
        <f t="shared" si="49"/>
        <v>EXCELENTE</v>
      </c>
      <c r="N1979">
        <v>98.5</v>
      </c>
      <c r="O1979">
        <v>23.97769516728625</v>
      </c>
    </row>
    <row r="1980" spans="1:15" x14ac:dyDescent="0.25">
      <c r="A1980" s="11">
        <v>46097</v>
      </c>
      <c r="B1980" t="s">
        <v>36</v>
      </c>
      <c r="C1980" t="s">
        <v>20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 t="shared" si="46"/>
        <v>22</v>
      </c>
      <c r="J1980" s="3">
        <f t="shared" si="47"/>
        <v>14</v>
      </c>
      <c r="K1980" s="3">
        <f t="shared" si="48"/>
        <v>8</v>
      </c>
      <c r="L1980" s="3" t="str">
        <f t="shared" si="49"/>
        <v>EXCELENTE</v>
      </c>
      <c r="N1980">
        <v>99.05</v>
      </c>
      <c r="O1980">
        <v>26.621923937360179</v>
      </c>
    </row>
    <row r="1981" spans="1:15" x14ac:dyDescent="0.25">
      <c r="A1981" s="11">
        <v>46063</v>
      </c>
      <c r="B1981" t="s">
        <v>37</v>
      </c>
      <c r="C1981" t="s">
        <v>16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 t="shared" si="46"/>
        <v>29</v>
      </c>
      <c r="J1981" s="3">
        <f t="shared" si="47"/>
        <v>23</v>
      </c>
      <c r="K1981" s="3">
        <f t="shared" si="48"/>
        <v>6</v>
      </c>
      <c r="L1981" s="3" t="str">
        <f t="shared" si="49"/>
        <v>EXCELENTE</v>
      </c>
      <c r="N1981">
        <v>98.53</v>
      </c>
      <c r="O1981">
        <v>31.578947368421051</v>
      </c>
    </row>
    <row r="1982" spans="1:15" x14ac:dyDescent="0.25">
      <c r="A1982" s="11">
        <v>46063</v>
      </c>
      <c r="B1982" t="s">
        <v>38</v>
      </c>
      <c r="C1982" t="s">
        <v>18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 t="shared" si="46"/>
        <v>46</v>
      </c>
      <c r="J1982" s="3">
        <f t="shared" si="47"/>
        <v>28</v>
      </c>
      <c r="K1982" s="3">
        <f t="shared" si="48"/>
        <v>18</v>
      </c>
      <c r="L1982" s="3" t="str">
        <f t="shared" si="49"/>
        <v>EXCELENTE</v>
      </c>
      <c r="N1982">
        <v>100</v>
      </c>
      <c r="O1982">
        <v>25.72214580467676</v>
      </c>
    </row>
    <row r="1983" spans="1:15" x14ac:dyDescent="0.25">
      <c r="A1983" s="11">
        <v>46063</v>
      </c>
      <c r="B1983" t="s">
        <v>39</v>
      </c>
      <c r="C1983" t="s">
        <v>18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 t="shared" si="46"/>
        <v>34</v>
      </c>
      <c r="J1983" s="3">
        <f t="shared" si="47"/>
        <v>28</v>
      </c>
      <c r="K1983" s="3">
        <f t="shared" si="48"/>
        <v>6</v>
      </c>
      <c r="L1983" s="3" t="str">
        <f t="shared" si="49"/>
        <v>EXCELENTE</v>
      </c>
      <c r="N1983">
        <v>94.64</v>
      </c>
      <c r="O1983">
        <v>27.52941176470588</v>
      </c>
    </row>
    <row r="1984" spans="1:15" x14ac:dyDescent="0.25">
      <c r="A1984" s="11">
        <v>46063</v>
      </c>
      <c r="B1984" t="s">
        <v>40</v>
      </c>
      <c r="C1984" t="s">
        <v>16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 t="shared" si="46"/>
        <v>21</v>
      </c>
      <c r="J1984" s="3">
        <f t="shared" si="47"/>
        <v>23</v>
      </c>
      <c r="K1984" s="3">
        <f t="shared" si="48"/>
        <v>-2</v>
      </c>
      <c r="L1984" s="3" t="str">
        <f t="shared" si="49"/>
        <v>ATENÇÃO</v>
      </c>
      <c r="N1984">
        <v>99.07</v>
      </c>
      <c r="O1984">
        <v>26.376811594202898</v>
      </c>
    </row>
    <row r="1985" spans="1:15" x14ac:dyDescent="0.25">
      <c r="A1985" s="11">
        <v>46063</v>
      </c>
      <c r="B1985" t="s">
        <v>41</v>
      </c>
      <c r="C1985" t="s">
        <v>18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f t="shared" si="46"/>
        <v>0</v>
      </c>
      <c r="J1985" s="3">
        <f t="shared" si="47"/>
        <v>28</v>
      </c>
      <c r="K1985" s="3">
        <f t="shared" si="48"/>
        <v>-28</v>
      </c>
      <c r="L1985" s="3" t="str">
        <f t="shared" si="49"/>
        <v>CRÍTICO</v>
      </c>
      <c r="N1985">
        <v>100</v>
      </c>
      <c r="O1985">
        <v>0</v>
      </c>
    </row>
    <row r="1986" spans="1:15" x14ac:dyDescent="0.25">
      <c r="A1986" s="11">
        <v>46063</v>
      </c>
      <c r="B1986" t="s">
        <v>42</v>
      </c>
      <c r="C1986" t="s">
        <v>43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 t="shared" si="46"/>
        <v>13</v>
      </c>
      <c r="J1986" s="3">
        <f t="shared" si="47"/>
        <v>16</v>
      </c>
      <c r="K1986" s="3">
        <f t="shared" si="48"/>
        <v>-3</v>
      </c>
      <c r="L1986" s="3" t="str">
        <f t="shared" si="49"/>
        <v>ATENÇÃO</v>
      </c>
      <c r="N1986">
        <v>98.48</v>
      </c>
      <c r="O1986">
        <v>27.853881278538811</v>
      </c>
    </row>
    <row r="1987" spans="1:15" x14ac:dyDescent="0.25">
      <c r="A1987" s="11">
        <v>46063</v>
      </c>
      <c r="B1987" t="s">
        <v>44</v>
      </c>
      <c r="C1987" t="s">
        <v>18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 t="shared" si="46"/>
        <v>4</v>
      </c>
      <c r="J1987" s="3">
        <f t="shared" si="47"/>
        <v>28</v>
      </c>
      <c r="K1987" s="3">
        <f t="shared" si="48"/>
        <v>-24</v>
      </c>
      <c r="L1987" s="3" t="str">
        <f t="shared" si="49"/>
        <v>CRÍTICO</v>
      </c>
      <c r="N1987">
        <v>95.15</v>
      </c>
      <c r="O1987">
        <v>34.131736526946113</v>
      </c>
    </row>
    <row r="1988" spans="1:15" x14ac:dyDescent="0.25">
      <c r="A1988" s="11">
        <v>46063</v>
      </c>
      <c r="B1988" t="s">
        <v>45</v>
      </c>
      <c r="C1988" t="s">
        <v>43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f t="shared" si="46"/>
        <v>0</v>
      </c>
      <c r="J1988" s="3">
        <f t="shared" si="47"/>
        <v>16</v>
      </c>
      <c r="K1988" s="3">
        <f t="shared" si="48"/>
        <v>-16</v>
      </c>
      <c r="L1988" s="3" t="str">
        <f t="shared" si="49"/>
        <v>CRÍTICO</v>
      </c>
      <c r="N1988">
        <v>0</v>
      </c>
      <c r="O1988">
        <v>0</v>
      </c>
    </row>
    <row r="1989" spans="1:15" x14ac:dyDescent="0.25">
      <c r="A1989" s="11">
        <v>46063</v>
      </c>
      <c r="B1989" t="s">
        <v>46</v>
      </c>
      <c r="C1989" t="s">
        <v>18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 t="shared" si="46"/>
        <v>25</v>
      </c>
      <c r="J1989" s="3">
        <f t="shared" si="47"/>
        <v>28</v>
      </c>
      <c r="K1989" s="3">
        <f t="shared" si="48"/>
        <v>-3</v>
      </c>
      <c r="L1989" s="3" t="str">
        <f t="shared" si="49"/>
        <v>ATENÇÃO</v>
      </c>
      <c r="N1989">
        <v>99.26</v>
      </c>
      <c r="O1989">
        <v>30.84832904884319</v>
      </c>
    </row>
    <row r="1990" spans="1:15" x14ac:dyDescent="0.25">
      <c r="A1990" s="11">
        <v>46063</v>
      </c>
      <c r="B1990" t="s">
        <v>47</v>
      </c>
      <c r="C1990" t="s">
        <v>16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 t="shared" si="46"/>
        <v>30</v>
      </c>
      <c r="J1990" s="3">
        <f t="shared" si="47"/>
        <v>23</v>
      </c>
      <c r="K1990" s="3">
        <f t="shared" si="48"/>
        <v>7</v>
      </c>
      <c r="L1990" s="3" t="str">
        <f t="shared" si="49"/>
        <v>EXCELENTE</v>
      </c>
      <c r="N1990">
        <v>97.48</v>
      </c>
      <c r="O1990">
        <v>27.764705882352938</v>
      </c>
    </row>
    <row r="1991" spans="1:15" x14ac:dyDescent="0.25">
      <c r="A1991" s="11">
        <v>46063</v>
      </c>
      <c r="B1991" t="s">
        <v>48</v>
      </c>
      <c r="C1991" t="s">
        <v>16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f t="shared" si="46"/>
        <v>0</v>
      </c>
      <c r="J1991" s="3">
        <f t="shared" si="47"/>
        <v>23</v>
      </c>
      <c r="K1991" s="3">
        <f t="shared" si="48"/>
        <v>-23</v>
      </c>
      <c r="L1991" s="3" t="str">
        <f t="shared" si="49"/>
        <v>CRÍTICO</v>
      </c>
      <c r="N1991">
        <v>99.34</v>
      </c>
      <c r="O1991">
        <v>30.04291845493562</v>
      </c>
    </row>
    <row r="1992" spans="1:15" x14ac:dyDescent="0.25">
      <c r="A1992" s="11">
        <v>46063</v>
      </c>
      <c r="B1992" t="s">
        <v>49</v>
      </c>
      <c r="C1992" t="s">
        <v>18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f t="shared" si="46"/>
        <v>0</v>
      </c>
      <c r="J1992" s="3">
        <f t="shared" si="47"/>
        <v>28</v>
      </c>
      <c r="K1992" s="3">
        <f t="shared" si="48"/>
        <v>-28</v>
      </c>
      <c r="L1992" s="3" t="str">
        <f t="shared" si="49"/>
        <v>CRÍTICO</v>
      </c>
      <c r="N1992">
        <v>96.3</v>
      </c>
      <c r="O1992">
        <v>24.29378531073446</v>
      </c>
    </row>
    <row r="1993" spans="1:15" x14ac:dyDescent="0.25">
      <c r="A1993" s="11">
        <v>46063</v>
      </c>
      <c r="B1993" t="s">
        <v>50</v>
      </c>
      <c r="C1993" t="s">
        <v>20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 t="shared" si="46"/>
        <v>22</v>
      </c>
      <c r="J1993" s="3">
        <f t="shared" si="47"/>
        <v>19</v>
      </c>
      <c r="K1993" s="3">
        <f t="shared" si="48"/>
        <v>3</v>
      </c>
      <c r="L1993" s="3" t="str">
        <f t="shared" si="49"/>
        <v>BOM</v>
      </c>
      <c r="N1993">
        <v>100</v>
      </c>
      <c r="O1993">
        <v>26.543209876543209</v>
      </c>
    </row>
    <row r="1994" spans="1:15" x14ac:dyDescent="0.25">
      <c r="A1994" s="11">
        <v>46063</v>
      </c>
      <c r="B1994" t="s">
        <v>51</v>
      </c>
      <c r="C1994" t="s">
        <v>23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f t="shared" si="46"/>
        <v>0</v>
      </c>
      <c r="J1994" s="3">
        <f t="shared" si="47"/>
        <v>8</v>
      </c>
      <c r="K1994" s="3">
        <f t="shared" si="48"/>
        <v>-8</v>
      </c>
      <c r="L1994" s="3" t="str">
        <f t="shared" si="49"/>
        <v>CRÍTICO</v>
      </c>
      <c r="N1994">
        <v>100</v>
      </c>
      <c r="O1994">
        <v>35.483870967741943</v>
      </c>
    </row>
    <row r="1995" spans="1:15" x14ac:dyDescent="0.25">
      <c r="A1995" s="11">
        <v>46063</v>
      </c>
      <c r="B1995" t="s">
        <v>52</v>
      </c>
      <c r="C1995" t="s">
        <v>18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 t="shared" si="46"/>
        <v>23</v>
      </c>
      <c r="J1995" s="3">
        <f t="shared" si="47"/>
        <v>28</v>
      </c>
      <c r="K1995" s="3">
        <f t="shared" si="48"/>
        <v>-5</v>
      </c>
      <c r="L1995" s="3" t="str">
        <f t="shared" si="49"/>
        <v>ATENÇÃO</v>
      </c>
      <c r="N1995">
        <v>99.27</v>
      </c>
      <c r="O1995">
        <v>31.163708086785011</v>
      </c>
    </row>
    <row r="1996" spans="1:15" x14ac:dyDescent="0.25">
      <c r="A1996" s="11">
        <v>46063</v>
      </c>
      <c r="B1996" t="s">
        <v>53</v>
      </c>
      <c r="C1996" t="s">
        <v>18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 t="shared" si="46"/>
        <v>40</v>
      </c>
      <c r="J1996" s="3">
        <f t="shared" si="47"/>
        <v>28</v>
      </c>
      <c r="K1996" s="3">
        <f t="shared" si="48"/>
        <v>12</v>
      </c>
      <c r="L1996" s="3" t="str">
        <f t="shared" si="49"/>
        <v>EXCELENTE</v>
      </c>
      <c r="N1996">
        <v>94.16</v>
      </c>
      <c r="O1996">
        <v>27.038626609442058</v>
      </c>
    </row>
    <row r="1997" spans="1:15" x14ac:dyDescent="0.25">
      <c r="A1997" s="11">
        <v>46063</v>
      </c>
      <c r="B1997" t="s">
        <v>54</v>
      </c>
      <c r="C1997" t="s">
        <v>23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 t="shared" si="46"/>
        <v>15</v>
      </c>
      <c r="J1997" s="3">
        <f t="shared" si="47"/>
        <v>8</v>
      </c>
      <c r="K1997" s="3">
        <f t="shared" si="48"/>
        <v>7</v>
      </c>
      <c r="L1997" s="3" t="str">
        <f t="shared" si="49"/>
        <v>EXCELENTE</v>
      </c>
      <c r="N1997">
        <v>93.75</v>
      </c>
      <c r="O1997">
        <v>19.31818181818182</v>
      </c>
    </row>
    <row r="1998" spans="1:15" x14ac:dyDescent="0.25">
      <c r="A1998" s="11">
        <v>46063</v>
      </c>
      <c r="B1998" t="s">
        <v>55</v>
      </c>
      <c r="C1998" t="s">
        <v>43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f t="shared" si="46"/>
        <v>0</v>
      </c>
      <c r="J1998" s="3">
        <f t="shared" si="47"/>
        <v>16</v>
      </c>
      <c r="K1998" s="3">
        <f t="shared" si="48"/>
        <v>-16</v>
      </c>
      <c r="L1998" s="3" t="str">
        <f t="shared" si="49"/>
        <v>CRÍTICO</v>
      </c>
      <c r="N1998">
        <v>0</v>
      </c>
      <c r="O1998">
        <v>0</v>
      </c>
    </row>
    <row r="1999" spans="1:15" x14ac:dyDescent="0.25">
      <c r="A1999" s="11">
        <v>46063</v>
      </c>
      <c r="B1999" t="s">
        <v>56</v>
      </c>
      <c r="C1999" t="s">
        <v>16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f t="shared" si="46"/>
        <v>0</v>
      </c>
      <c r="J1999" s="3">
        <f t="shared" si="47"/>
        <v>23</v>
      </c>
      <c r="K1999" s="3">
        <f t="shared" si="48"/>
        <v>-23</v>
      </c>
      <c r="L1999" s="3" t="str">
        <f t="shared" si="49"/>
        <v>CRÍTICO</v>
      </c>
      <c r="N1999">
        <v>97.92</v>
      </c>
      <c r="O1999">
        <v>32.87671232876712</v>
      </c>
    </row>
    <row r="2000" spans="1:15" x14ac:dyDescent="0.25">
      <c r="A2000" s="11">
        <v>46063</v>
      </c>
      <c r="B2000" t="s">
        <v>57</v>
      </c>
      <c r="C2000" t="s">
        <v>43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f t="shared" si="46"/>
        <v>0</v>
      </c>
      <c r="J2000" s="3">
        <f t="shared" si="47"/>
        <v>16</v>
      </c>
      <c r="K2000" s="3">
        <f t="shared" si="48"/>
        <v>-16</v>
      </c>
      <c r="L2000" s="3" t="str">
        <f t="shared" si="49"/>
        <v>CRÍTICO</v>
      </c>
      <c r="N2000">
        <v>0</v>
      </c>
      <c r="O2000">
        <v>0</v>
      </c>
    </row>
    <row r="2001" spans="1:15" x14ac:dyDescent="0.25">
      <c r="A2001" s="11">
        <v>46063</v>
      </c>
      <c r="B2001" t="s">
        <v>58</v>
      </c>
      <c r="C2001" t="s">
        <v>43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f t="shared" si="46"/>
        <v>0</v>
      </c>
      <c r="J2001" s="3">
        <f t="shared" si="47"/>
        <v>16</v>
      </c>
      <c r="K2001" s="3">
        <f t="shared" si="48"/>
        <v>-16</v>
      </c>
      <c r="L2001" s="3" t="str">
        <f t="shared" si="49"/>
        <v>CRÍTICO</v>
      </c>
      <c r="N2001">
        <v>0</v>
      </c>
      <c r="O2001">
        <v>0</v>
      </c>
    </row>
    <row r="2002" spans="1:15" x14ac:dyDescent="0.25">
      <c r="A2002" s="11">
        <v>46063</v>
      </c>
      <c r="B2002" t="s">
        <v>59</v>
      </c>
      <c r="C2002" t="s">
        <v>23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f t="shared" si="46"/>
        <v>0</v>
      </c>
      <c r="J2002" s="3">
        <f t="shared" si="47"/>
        <v>8</v>
      </c>
      <c r="K2002" s="3">
        <f t="shared" si="48"/>
        <v>-8</v>
      </c>
      <c r="L2002" s="3" t="str">
        <f t="shared" si="49"/>
        <v>CRÍTICO</v>
      </c>
      <c r="N2002">
        <v>0</v>
      </c>
      <c r="O2002">
        <v>0</v>
      </c>
    </row>
    <row r="2003" spans="1:15" x14ac:dyDescent="0.25">
      <c r="A2003" s="11">
        <v>46063</v>
      </c>
      <c r="B2003" t="s">
        <v>60</v>
      </c>
      <c r="C2003" t="s">
        <v>20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 t="shared" si="46"/>
        <v>13</v>
      </c>
      <c r="J2003" s="3">
        <f t="shared" si="47"/>
        <v>19</v>
      </c>
      <c r="K2003" s="3">
        <f t="shared" si="48"/>
        <v>-6</v>
      </c>
      <c r="L2003" s="3" t="str">
        <f t="shared" si="49"/>
        <v>CRÍTICO</v>
      </c>
      <c r="N2003">
        <v>98.51</v>
      </c>
      <c r="O2003">
        <v>29.710144927536231</v>
      </c>
    </row>
    <row r="2004" spans="1:15" x14ac:dyDescent="0.25">
      <c r="A2004" s="11">
        <v>46063</v>
      </c>
      <c r="B2004" t="s">
        <v>61</v>
      </c>
      <c r="C2004" t="s">
        <v>18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 t="shared" si="46"/>
        <v>38</v>
      </c>
      <c r="J2004" s="3">
        <f t="shared" si="47"/>
        <v>28</v>
      </c>
      <c r="K2004" s="3">
        <f t="shared" si="48"/>
        <v>10</v>
      </c>
      <c r="L2004" s="3" t="str">
        <f t="shared" si="49"/>
        <v>EXCELENTE</v>
      </c>
      <c r="N2004">
        <v>98.81</v>
      </c>
      <c r="O2004">
        <v>30.712979890310791</v>
      </c>
    </row>
    <row r="2005" spans="1:15" x14ac:dyDescent="0.25">
      <c r="A2005" s="11">
        <v>46063</v>
      </c>
      <c r="B2005" t="s">
        <v>62</v>
      </c>
      <c r="C2005" t="s">
        <v>20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 t="shared" si="46"/>
        <v>13</v>
      </c>
      <c r="J2005" s="3">
        <f t="shared" si="47"/>
        <v>19</v>
      </c>
      <c r="K2005" s="3">
        <f t="shared" si="48"/>
        <v>-6</v>
      </c>
      <c r="L2005" s="3" t="str">
        <f t="shared" si="49"/>
        <v>CRÍTICO</v>
      </c>
      <c r="N2005">
        <v>98.48</v>
      </c>
      <c r="O2005">
        <v>29.35323383084577</v>
      </c>
    </row>
    <row r="2006" spans="1:15" x14ac:dyDescent="0.25">
      <c r="A2006" s="11">
        <v>46063</v>
      </c>
      <c r="B2006" t="s">
        <v>63</v>
      </c>
      <c r="C2006" t="s">
        <v>18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 t="shared" si="46"/>
        <v>27</v>
      </c>
      <c r="J2006" s="3">
        <f t="shared" si="47"/>
        <v>28</v>
      </c>
      <c r="K2006" s="3">
        <f t="shared" si="48"/>
        <v>-1</v>
      </c>
      <c r="L2006" s="3" t="str">
        <f t="shared" si="49"/>
        <v>ATENÇÃO</v>
      </c>
      <c r="N2006">
        <v>98.56</v>
      </c>
      <c r="O2006">
        <v>29.373650107991359</v>
      </c>
    </row>
    <row r="2007" spans="1:15" x14ac:dyDescent="0.25">
      <c r="A2007" s="11">
        <v>46064</v>
      </c>
      <c r="B2007" t="s">
        <v>15</v>
      </c>
      <c r="C2007" t="s">
        <v>16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 t="shared" si="46"/>
        <v>33</v>
      </c>
      <c r="J2007" s="3">
        <f t="shared" si="47"/>
        <v>21</v>
      </c>
      <c r="K2007" s="3">
        <f t="shared" si="48"/>
        <v>12</v>
      </c>
      <c r="L2007" s="3" t="str">
        <f t="shared" si="49"/>
        <v>EXCELENTE</v>
      </c>
      <c r="N2007">
        <v>98.32</v>
      </c>
      <c r="O2007">
        <v>30.303030303030301</v>
      </c>
    </row>
    <row r="2008" spans="1:15" x14ac:dyDescent="0.25">
      <c r="A2008" s="11">
        <v>46064</v>
      </c>
      <c r="B2008" t="s">
        <v>17</v>
      </c>
      <c r="C2008" t="s">
        <v>18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f t="shared" si="46"/>
        <v>0</v>
      </c>
      <c r="J2008" s="3">
        <f t="shared" si="47"/>
        <v>27</v>
      </c>
      <c r="K2008" s="3">
        <f t="shared" si="48"/>
        <v>-27</v>
      </c>
      <c r="L2008" s="3" t="str">
        <f t="shared" si="49"/>
        <v>CRÍTICO</v>
      </c>
      <c r="N2008">
        <v>98.68</v>
      </c>
      <c r="O2008">
        <v>26.219512195121951</v>
      </c>
    </row>
    <row r="2009" spans="1:15" x14ac:dyDescent="0.25">
      <c r="A2009" s="11">
        <v>46064</v>
      </c>
      <c r="B2009" t="s">
        <v>19</v>
      </c>
      <c r="C2009" t="s">
        <v>20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 t="shared" si="46"/>
        <v>26</v>
      </c>
      <c r="J2009" s="3">
        <f t="shared" si="47"/>
        <v>18</v>
      </c>
      <c r="K2009" s="3">
        <f t="shared" si="48"/>
        <v>8</v>
      </c>
      <c r="L2009" s="3" t="str">
        <f t="shared" si="49"/>
        <v>EXCELENTE</v>
      </c>
      <c r="N2009">
        <v>100</v>
      </c>
      <c r="O2009">
        <v>31.74224343675418</v>
      </c>
    </row>
    <row r="2010" spans="1:15" x14ac:dyDescent="0.25">
      <c r="A2010" s="11">
        <v>46064</v>
      </c>
      <c r="B2010" t="s">
        <v>21</v>
      </c>
      <c r="C2010" t="s">
        <v>18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 t="shared" si="46"/>
        <v>24</v>
      </c>
      <c r="J2010" s="3">
        <f t="shared" si="47"/>
        <v>27</v>
      </c>
      <c r="K2010" s="3">
        <f t="shared" si="48"/>
        <v>-3</v>
      </c>
      <c r="L2010" s="3" t="str">
        <f t="shared" si="49"/>
        <v>ATENÇÃO</v>
      </c>
      <c r="N2010">
        <v>98.25</v>
      </c>
      <c r="O2010">
        <v>25.83518930957684</v>
      </c>
    </row>
    <row r="2011" spans="1:15" x14ac:dyDescent="0.25">
      <c r="A2011" s="11">
        <v>46064</v>
      </c>
      <c r="B2011" t="s">
        <v>22</v>
      </c>
      <c r="C2011" t="s">
        <v>23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 t="shared" si="46"/>
        <v>8</v>
      </c>
      <c r="J2011" s="3">
        <f t="shared" si="47"/>
        <v>8</v>
      </c>
      <c r="K2011" s="3">
        <f t="shared" si="48"/>
        <v>0</v>
      </c>
      <c r="L2011" s="3" t="str">
        <f t="shared" si="49"/>
        <v>BOM</v>
      </c>
      <c r="N2011">
        <v>97.5</v>
      </c>
      <c r="O2011">
        <v>30.075187969924809</v>
      </c>
    </row>
    <row r="2012" spans="1:15" x14ac:dyDescent="0.25">
      <c r="A2012" s="11">
        <v>46064</v>
      </c>
      <c r="B2012" t="s">
        <v>24</v>
      </c>
      <c r="C2012" t="s">
        <v>16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 t="shared" si="46"/>
        <v>22</v>
      </c>
      <c r="J2012" s="3">
        <f t="shared" si="47"/>
        <v>21</v>
      </c>
      <c r="K2012" s="3">
        <f t="shared" si="48"/>
        <v>1</v>
      </c>
      <c r="L2012" s="3" t="str">
        <f t="shared" si="49"/>
        <v>BOM</v>
      </c>
      <c r="N2012">
        <v>100</v>
      </c>
      <c r="O2012">
        <v>29.71311475409836</v>
      </c>
    </row>
    <row r="2013" spans="1:15" x14ac:dyDescent="0.25">
      <c r="A2013" s="11">
        <v>46064</v>
      </c>
      <c r="B2013" t="s">
        <v>25</v>
      </c>
      <c r="C2013" t="s">
        <v>16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 t="shared" si="46"/>
        <v>19</v>
      </c>
      <c r="J2013" s="3">
        <f t="shared" si="47"/>
        <v>21</v>
      </c>
      <c r="K2013" s="3">
        <f t="shared" si="48"/>
        <v>-2</v>
      </c>
      <c r="L2013" s="3" t="str">
        <f t="shared" si="49"/>
        <v>ATENÇÃO</v>
      </c>
      <c r="N2013">
        <v>99.22</v>
      </c>
      <c r="O2013">
        <v>35.256410256410263</v>
      </c>
    </row>
    <row r="2014" spans="1:15" x14ac:dyDescent="0.25">
      <c r="A2014" s="11">
        <v>46064</v>
      </c>
      <c r="B2014" t="s">
        <v>26</v>
      </c>
      <c r="C2014" t="s">
        <v>23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f t="shared" si="46"/>
        <v>0</v>
      </c>
      <c r="J2014" s="3">
        <f t="shared" si="47"/>
        <v>8</v>
      </c>
      <c r="K2014" s="3">
        <f t="shared" si="48"/>
        <v>-8</v>
      </c>
      <c r="L2014" s="3" t="str">
        <f t="shared" si="49"/>
        <v>CRÍTICO</v>
      </c>
      <c r="N2014">
        <v>0</v>
      </c>
      <c r="O2014">
        <v>0</v>
      </c>
    </row>
    <row r="2015" spans="1:15" x14ac:dyDescent="0.25">
      <c r="A2015" s="11">
        <v>46064</v>
      </c>
      <c r="B2015" t="s">
        <v>27</v>
      </c>
      <c r="C2015" t="s">
        <v>20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 t="shared" si="46"/>
        <v>4</v>
      </c>
      <c r="J2015" s="3">
        <f t="shared" si="47"/>
        <v>18</v>
      </c>
      <c r="K2015" s="3">
        <f t="shared" si="48"/>
        <v>-14</v>
      </c>
      <c r="L2015" s="3" t="str">
        <f t="shared" si="49"/>
        <v>CRÍTICO</v>
      </c>
      <c r="N2015">
        <v>98.75</v>
      </c>
      <c r="O2015">
        <v>24.32432432432433</v>
      </c>
    </row>
    <row r="2016" spans="1:15" x14ac:dyDescent="0.25">
      <c r="A2016" s="11">
        <v>46064</v>
      </c>
      <c r="B2016" t="s">
        <v>28</v>
      </c>
      <c r="C2016" t="s">
        <v>18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 t="shared" si="46"/>
        <v>35</v>
      </c>
      <c r="J2016" s="3">
        <f t="shared" si="47"/>
        <v>27</v>
      </c>
      <c r="K2016" s="3">
        <f t="shared" si="48"/>
        <v>8</v>
      </c>
      <c r="L2016" s="3" t="str">
        <f t="shared" si="49"/>
        <v>EXCELENTE</v>
      </c>
      <c r="N2016">
        <v>93.48</v>
      </c>
      <c r="O2016">
        <v>31.334622823984521</v>
      </c>
    </row>
    <row r="2017" spans="1:15" x14ac:dyDescent="0.25">
      <c r="A2017" s="11">
        <v>46064</v>
      </c>
      <c r="B2017" t="s">
        <v>29</v>
      </c>
      <c r="C2017" t="s">
        <v>16</v>
      </c>
      <c r="D2017">
        <v>0</v>
      </c>
      <c r="E2017">
        <v>0</v>
      </c>
      <c r="F2017">
        <v>0</v>
      </c>
      <c r="G2017">
        <v>0</v>
      </c>
      <c r="H2017">
        <v>0</v>
      </c>
      <c r="I2017" s="3">
        <f t="shared" si="46"/>
        <v>0</v>
      </c>
      <c r="J2017" s="3">
        <f t="shared" si="47"/>
        <v>21</v>
      </c>
      <c r="K2017" s="3">
        <f t="shared" si="48"/>
        <v>-21</v>
      </c>
      <c r="L2017" s="3" t="str">
        <f t="shared" si="49"/>
        <v>CRÍTICO</v>
      </c>
      <c r="N2017">
        <v>99.16</v>
      </c>
      <c r="O2017">
        <v>26.13908872901678</v>
      </c>
    </row>
    <row r="2018" spans="1:15" x14ac:dyDescent="0.25">
      <c r="A2018" s="11">
        <v>46064</v>
      </c>
      <c r="B2018" t="s">
        <v>30</v>
      </c>
      <c r="C2018" t="s">
        <v>20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 t="shared" si="46"/>
        <v>16</v>
      </c>
      <c r="J2018" s="3">
        <f t="shared" si="47"/>
        <v>18</v>
      </c>
      <c r="K2018" s="3">
        <f t="shared" si="48"/>
        <v>-2</v>
      </c>
      <c r="L2018" s="3" t="str">
        <f t="shared" si="49"/>
        <v>ATENÇÃO</v>
      </c>
      <c r="N2018">
        <v>100</v>
      </c>
      <c r="O2018">
        <v>31.089743589743591</v>
      </c>
    </row>
    <row r="2019" spans="1:15" x14ac:dyDescent="0.25">
      <c r="A2019" s="11">
        <v>46064</v>
      </c>
      <c r="B2019" t="s">
        <v>31</v>
      </c>
      <c r="C2019" t="s">
        <v>18</v>
      </c>
      <c r="D2019">
        <v>0</v>
      </c>
      <c r="E2019">
        <v>0</v>
      </c>
      <c r="F2019">
        <v>0</v>
      </c>
      <c r="G2019">
        <v>0</v>
      </c>
      <c r="H2019">
        <v>0</v>
      </c>
      <c r="I2019" s="3">
        <f t="shared" ref="I2019:I2082" si="50">E2019+G2019+H2019</f>
        <v>0</v>
      </c>
      <c r="J2019" s="3">
        <f t="shared" ref="J2019:J2082" si="51"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27</v>
      </c>
      <c r="K2019" s="3">
        <f t="shared" ref="K2019:K2082" si="52">I2019-J2019</f>
        <v>-27</v>
      </c>
      <c r="L2019" s="3" t="str">
        <f t="shared" ref="L2019:L2082" si="53">IF(K2019&lt;-5,"CRÍTICO",IF(K2019&lt;0,"ATENÇÃO",IF(K2019&lt;=5,"BOM","EXCELENTE")))</f>
        <v>CRÍTICO</v>
      </c>
      <c r="N2019">
        <v>98.11</v>
      </c>
      <c r="O2019">
        <v>33.033707865168537</v>
      </c>
    </row>
    <row r="2020" spans="1:15" x14ac:dyDescent="0.25">
      <c r="A2020" s="11">
        <v>46064</v>
      </c>
      <c r="B2020" t="s">
        <v>32</v>
      </c>
      <c r="C2020" t="s">
        <v>23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 t="shared" si="50"/>
        <v>42</v>
      </c>
      <c r="J2020" s="3">
        <f t="shared" si="51"/>
        <v>8</v>
      </c>
      <c r="K2020" s="3">
        <f t="shared" si="52"/>
        <v>34</v>
      </c>
      <c r="L2020" s="3" t="str">
        <f t="shared" si="53"/>
        <v>EXCELENTE</v>
      </c>
      <c r="N2020">
        <v>78.95</v>
      </c>
      <c r="O2020">
        <v>38.983050847457633</v>
      </c>
    </row>
    <row r="2021" spans="1:15" x14ac:dyDescent="0.25">
      <c r="A2021" s="11">
        <v>46064</v>
      </c>
      <c r="B2021" t="s">
        <v>33</v>
      </c>
      <c r="C2021" t="s">
        <v>16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 t="shared" si="50"/>
        <v>23</v>
      </c>
      <c r="J2021" s="3">
        <f t="shared" si="51"/>
        <v>21</v>
      </c>
      <c r="K2021" s="3">
        <f t="shared" si="52"/>
        <v>2</v>
      </c>
      <c r="L2021" s="3" t="str">
        <f t="shared" si="53"/>
        <v>BOM</v>
      </c>
      <c r="N2021">
        <v>98.45</v>
      </c>
      <c r="O2021">
        <v>29.281767955801101</v>
      </c>
    </row>
    <row r="2022" spans="1:15" x14ac:dyDescent="0.25">
      <c r="A2022" s="11">
        <v>46064</v>
      </c>
      <c r="B2022" t="s">
        <v>34</v>
      </c>
      <c r="C2022" t="s">
        <v>18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 t="shared" si="50"/>
        <v>28</v>
      </c>
      <c r="J2022" s="3">
        <f t="shared" si="51"/>
        <v>27</v>
      </c>
      <c r="K2022" s="3">
        <f t="shared" si="52"/>
        <v>1</v>
      </c>
      <c r="L2022" s="3" t="str">
        <f t="shared" si="53"/>
        <v>BOM</v>
      </c>
      <c r="N2022">
        <v>97.84</v>
      </c>
      <c r="O2022">
        <v>26.282051282051281</v>
      </c>
    </row>
    <row r="2023" spans="1:15" x14ac:dyDescent="0.25">
      <c r="A2023" s="11">
        <v>46064</v>
      </c>
      <c r="B2023" t="s">
        <v>35</v>
      </c>
      <c r="C2023" t="s">
        <v>16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 t="shared" si="50"/>
        <v>21</v>
      </c>
      <c r="J2023" s="3">
        <f t="shared" si="51"/>
        <v>21</v>
      </c>
      <c r="K2023" s="3">
        <f t="shared" si="52"/>
        <v>0</v>
      </c>
      <c r="L2023" s="3" t="str">
        <f t="shared" si="53"/>
        <v>BOM</v>
      </c>
      <c r="N2023">
        <v>98.5</v>
      </c>
      <c r="O2023">
        <v>23.97769516728625</v>
      </c>
    </row>
    <row r="2024" spans="1:15" x14ac:dyDescent="0.25">
      <c r="A2024" s="11">
        <v>46098</v>
      </c>
      <c r="B2024" t="s">
        <v>36</v>
      </c>
      <c r="C2024" t="s">
        <v>20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 t="shared" si="50"/>
        <v>13</v>
      </c>
      <c r="J2024" s="3">
        <f t="shared" si="51"/>
        <v>14</v>
      </c>
      <c r="K2024" s="3">
        <f t="shared" si="52"/>
        <v>-1</v>
      </c>
      <c r="L2024" s="3" t="str">
        <f t="shared" si="53"/>
        <v>ATENÇÃO</v>
      </c>
      <c r="N2024">
        <v>99.05</v>
      </c>
      <c r="O2024">
        <v>26.621923937360179</v>
      </c>
    </row>
    <row r="2025" spans="1:15" x14ac:dyDescent="0.25">
      <c r="A2025" s="11">
        <v>46064</v>
      </c>
      <c r="B2025" t="s">
        <v>37</v>
      </c>
      <c r="C2025" t="s">
        <v>16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 t="shared" si="50"/>
        <v>26</v>
      </c>
      <c r="J2025" s="3">
        <f t="shared" si="51"/>
        <v>21</v>
      </c>
      <c r="K2025" s="3">
        <f t="shared" si="52"/>
        <v>5</v>
      </c>
      <c r="L2025" s="3" t="str">
        <f t="shared" si="53"/>
        <v>BOM</v>
      </c>
      <c r="N2025">
        <v>98.53</v>
      </c>
      <c r="O2025">
        <v>31.578947368421051</v>
      </c>
    </row>
    <row r="2026" spans="1:15" x14ac:dyDescent="0.25">
      <c r="A2026" s="11">
        <v>46064</v>
      </c>
      <c r="B2026" t="s">
        <v>38</v>
      </c>
      <c r="C2026" t="s">
        <v>18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 t="shared" si="50"/>
        <v>49</v>
      </c>
      <c r="J2026" s="3">
        <f t="shared" si="51"/>
        <v>27</v>
      </c>
      <c r="K2026" s="3">
        <f t="shared" si="52"/>
        <v>22</v>
      </c>
      <c r="L2026" s="3" t="str">
        <f t="shared" si="53"/>
        <v>EXCELENTE</v>
      </c>
      <c r="N2026">
        <v>100</v>
      </c>
      <c r="O2026">
        <v>25.72214580467676</v>
      </c>
    </row>
    <row r="2027" spans="1:15" x14ac:dyDescent="0.25">
      <c r="A2027" s="11">
        <v>46064</v>
      </c>
      <c r="B2027" t="s">
        <v>39</v>
      </c>
      <c r="C2027" t="s">
        <v>18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 t="shared" si="50"/>
        <v>38</v>
      </c>
      <c r="J2027" s="3">
        <f t="shared" si="51"/>
        <v>27</v>
      </c>
      <c r="K2027" s="3">
        <f t="shared" si="52"/>
        <v>11</v>
      </c>
      <c r="L2027" s="3" t="str">
        <f t="shared" si="53"/>
        <v>EXCELENTE</v>
      </c>
      <c r="N2027">
        <v>94.64</v>
      </c>
      <c r="O2027">
        <v>27.52941176470588</v>
      </c>
    </row>
    <row r="2028" spans="1:15" x14ac:dyDescent="0.25">
      <c r="A2028" s="11">
        <v>46064</v>
      </c>
      <c r="B2028" t="s">
        <v>40</v>
      </c>
      <c r="C2028" t="s">
        <v>16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 t="shared" si="50"/>
        <v>26</v>
      </c>
      <c r="J2028" s="3">
        <f t="shared" si="51"/>
        <v>21</v>
      </c>
      <c r="K2028" s="3">
        <f t="shared" si="52"/>
        <v>5</v>
      </c>
      <c r="L2028" s="3" t="str">
        <f t="shared" si="53"/>
        <v>BOM</v>
      </c>
      <c r="N2028">
        <v>99.07</v>
      </c>
      <c r="O2028">
        <v>26.376811594202898</v>
      </c>
    </row>
    <row r="2029" spans="1:15" x14ac:dyDescent="0.25">
      <c r="A2029" s="11">
        <v>46064</v>
      </c>
      <c r="B2029" t="s">
        <v>41</v>
      </c>
      <c r="C2029" t="s">
        <v>18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f t="shared" si="50"/>
        <v>0</v>
      </c>
      <c r="J2029" s="3">
        <f t="shared" si="51"/>
        <v>27</v>
      </c>
      <c r="K2029" s="3">
        <f t="shared" si="52"/>
        <v>-27</v>
      </c>
      <c r="L2029" s="3" t="str">
        <f t="shared" si="53"/>
        <v>CRÍTICO</v>
      </c>
      <c r="N2029">
        <v>100</v>
      </c>
      <c r="O2029">
        <v>0</v>
      </c>
    </row>
    <row r="2030" spans="1:15" x14ac:dyDescent="0.25">
      <c r="A2030" s="11">
        <v>46064</v>
      </c>
      <c r="B2030" t="s">
        <v>42</v>
      </c>
      <c r="C2030" t="s">
        <v>43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 t="shared" si="50"/>
        <v>12</v>
      </c>
      <c r="J2030" s="3">
        <f t="shared" si="51"/>
        <v>15</v>
      </c>
      <c r="K2030" s="3">
        <f t="shared" si="52"/>
        <v>-3</v>
      </c>
      <c r="L2030" s="3" t="str">
        <f t="shared" si="53"/>
        <v>ATENÇÃO</v>
      </c>
      <c r="N2030">
        <v>98.48</v>
      </c>
      <c r="O2030">
        <v>27.853881278538811</v>
      </c>
    </row>
    <row r="2031" spans="1:15" x14ac:dyDescent="0.25">
      <c r="A2031" s="11">
        <v>46064</v>
      </c>
      <c r="B2031" t="s">
        <v>44</v>
      </c>
      <c r="C2031" t="s">
        <v>18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 t="shared" si="50"/>
        <v>2</v>
      </c>
      <c r="J2031" s="3">
        <f t="shared" si="51"/>
        <v>27</v>
      </c>
      <c r="K2031" s="3">
        <f t="shared" si="52"/>
        <v>-25</v>
      </c>
      <c r="L2031" s="3" t="str">
        <f t="shared" si="53"/>
        <v>CRÍTICO</v>
      </c>
      <c r="N2031">
        <v>95.15</v>
      </c>
      <c r="O2031">
        <v>34.131736526946113</v>
      </c>
    </row>
    <row r="2032" spans="1:15" x14ac:dyDescent="0.25">
      <c r="A2032" s="11">
        <v>46064</v>
      </c>
      <c r="B2032" t="s">
        <v>45</v>
      </c>
      <c r="C2032" t="s">
        <v>43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f t="shared" si="50"/>
        <v>0</v>
      </c>
      <c r="J2032" s="3">
        <f t="shared" si="51"/>
        <v>15</v>
      </c>
      <c r="K2032" s="3">
        <f t="shared" si="52"/>
        <v>-15</v>
      </c>
      <c r="L2032" s="3" t="str">
        <f t="shared" si="53"/>
        <v>CRÍTICO</v>
      </c>
      <c r="N2032">
        <v>0</v>
      </c>
      <c r="O2032">
        <v>0</v>
      </c>
    </row>
    <row r="2033" spans="1:15" x14ac:dyDescent="0.25">
      <c r="A2033" s="11">
        <v>46064</v>
      </c>
      <c r="B2033" t="s">
        <v>46</v>
      </c>
      <c r="C2033" t="s">
        <v>18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 t="shared" si="50"/>
        <v>26</v>
      </c>
      <c r="J2033" s="3">
        <f t="shared" si="51"/>
        <v>27</v>
      </c>
      <c r="K2033" s="3">
        <f t="shared" si="52"/>
        <v>-1</v>
      </c>
      <c r="L2033" s="3" t="str">
        <f t="shared" si="53"/>
        <v>ATENÇÃO</v>
      </c>
      <c r="N2033">
        <v>99.26</v>
      </c>
      <c r="O2033">
        <v>30.84832904884319</v>
      </c>
    </row>
    <row r="2034" spans="1:15" x14ac:dyDescent="0.25">
      <c r="A2034" s="11">
        <v>46064</v>
      </c>
      <c r="B2034" t="s">
        <v>47</v>
      </c>
      <c r="C2034" t="s">
        <v>16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 t="shared" si="50"/>
        <v>18</v>
      </c>
      <c r="J2034" s="3">
        <f t="shared" si="51"/>
        <v>21</v>
      </c>
      <c r="K2034" s="3">
        <f t="shared" si="52"/>
        <v>-3</v>
      </c>
      <c r="L2034" s="3" t="str">
        <f t="shared" si="53"/>
        <v>ATENÇÃO</v>
      </c>
      <c r="N2034">
        <v>97.48</v>
      </c>
      <c r="O2034">
        <v>27.764705882352938</v>
      </c>
    </row>
    <row r="2035" spans="1:15" x14ac:dyDescent="0.25">
      <c r="A2035" s="11">
        <v>46064</v>
      </c>
      <c r="B2035" t="s">
        <v>48</v>
      </c>
      <c r="C2035" t="s">
        <v>16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f t="shared" si="50"/>
        <v>0</v>
      </c>
      <c r="J2035" s="3">
        <f t="shared" si="51"/>
        <v>21</v>
      </c>
      <c r="K2035" s="3">
        <f t="shared" si="52"/>
        <v>-21</v>
      </c>
      <c r="L2035" s="3" t="str">
        <f t="shared" si="53"/>
        <v>CRÍTICO</v>
      </c>
      <c r="N2035">
        <v>99.34</v>
      </c>
      <c r="O2035">
        <v>30.04291845493562</v>
      </c>
    </row>
    <row r="2036" spans="1:15" x14ac:dyDescent="0.25">
      <c r="A2036" s="11">
        <v>46064</v>
      </c>
      <c r="B2036" t="s">
        <v>49</v>
      </c>
      <c r="C2036" t="s">
        <v>18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f t="shared" si="50"/>
        <v>0</v>
      </c>
      <c r="J2036" s="3">
        <f t="shared" si="51"/>
        <v>27</v>
      </c>
      <c r="K2036" s="3">
        <f t="shared" si="52"/>
        <v>-27</v>
      </c>
      <c r="L2036" s="3" t="str">
        <f t="shared" si="53"/>
        <v>CRÍTICO</v>
      </c>
      <c r="N2036">
        <v>96.3</v>
      </c>
      <c r="O2036">
        <v>24.29378531073446</v>
      </c>
    </row>
    <row r="2037" spans="1:15" x14ac:dyDescent="0.25">
      <c r="A2037" s="11">
        <v>46064</v>
      </c>
      <c r="B2037" t="s">
        <v>50</v>
      </c>
      <c r="C2037" t="s">
        <v>20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 t="shared" si="50"/>
        <v>19</v>
      </c>
      <c r="J2037" s="3">
        <f t="shared" si="51"/>
        <v>18</v>
      </c>
      <c r="K2037" s="3">
        <f t="shared" si="52"/>
        <v>1</v>
      </c>
      <c r="L2037" s="3" t="str">
        <f t="shared" si="53"/>
        <v>BOM</v>
      </c>
      <c r="N2037">
        <v>100</v>
      </c>
      <c r="O2037">
        <v>26.543209876543209</v>
      </c>
    </row>
    <row r="2038" spans="1:15" x14ac:dyDescent="0.25">
      <c r="A2038" s="11">
        <v>46064</v>
      </c>
      <c r="B2038" t="s">
        <v>51</v>
      </c>
      <c r="C2038" t="s">
        <v>23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 t="shared" si="50"/>
        <v>26</v>
      </c>
      <c r="J2038" s="3">
        <f t="shared" si="51"/>
        <v>8</v>
      </c>
      <c r="K2038" s="3">
        <f t="shared" si="52"/>
        <v>18</v>
      </c>
      <c r="L2038" s="3" t="str">
        <f t="shared" si="53"/>
        <v>EXCELENTE</v>
      </c>
      <c r="N2038">
        <v>100</v>
      </c>
      <c r="O2038">
        <v>35.483870967741943</v>
      </c>
    </row>
    <row r="2039" spans="1:15" x14ac:dyDescent="0.25">
      <c r="A2039" s="11">
        <v>46064</v>
      </c>
      <c r="B2039" t="s">
        <v>52</v>
      </c>
      <c r="C2039" t="s">
        <v>18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 t="shared" si="50"/>
        <v>15</v>
      </c>
      <c r="J2039" s="3">
        <f t="shared" si="51"/>
        <v>27</v>
      </c>
      <c r="K2039" s="3">
        <f t="shared" si="52"/>
        <v>-12</v>
      </c>
      <c r="L2039" s="3" t="str">
        <f t="shared" si="53"/>
        <v>CRÍTICO</v>
      </c>
      <c r="N2039">
        <v>99.27</v>
      </c>
      <c r="O2039">
        <v>31.163708086785011</v>
      </c>
    </row>
    <row r="2040" spans="1:15" x14ac:dyDescent="0.25">
      <c r="A2040" s="11">
        <v>46064</v>
      </c>
      <c r="B2040" t="s">
        <v>53</v>
      </c>
      <c r="C2040" t="s">
        <v>18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 t="shared" si="50"/>
        <v>17</v>
      </c>
      <c r="J2040" s="3">
        <f t="shared" si="51"/>
        <v>27</v>
      </c>
      <c r="K2040" s="3">
        <f t="shared" si="52"/>
        <v>-10</v>
      </c>
      <c r="L2040" s="3" t="str">
        <f t="shared" si="53"/>
        <v>CRÍTICO</v>
      </c>
      <c r="N2040">
        <v>94.16</v>
      </c>
      <c r="O2040">
        <v>27.038626609442058</v>
      </c>
    </row>
    <row r="2041" spans="1:15" x14ac:dyDescent="0.25">
      <c r="A2041" s="11">
        <v>46064</v>
      </c>
      <c r="B2041" t="s">
        <v>54</v>
      </c>
      <c r="C2041" t="s">
        <v>23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 t="shared" si="50"/>
        <v>10</v>
      </c>
      <c r="J2041" s="3">
        <f t="shared" si="51"/>
        <v>8</v>
      </c>
      <c r="K2041" s="3">
        <f t="shared" si="52"/>
        <v>2</v>
      </c>
      <c r="L2041" s="3" t="str">
        <f t="shared" si="53"/>
        <v>BOM</v>
      </c>
      <c r="N2041">
        <v>93.75</v>
      </c>
      <c r="O2041">
        <v>19.31818181818182</v>
      </c>
    </row>
    <row r="2042" spans="1:15" x14ac:dyDescent="0.25">
      <c r="A2042" s="11">
        <v>46064</v>
      </c>
      <c r="B2042" t="s">
        <v>55</v>
      </c>
      <c r="C2042" t="s">
        <v>43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f t="shared" si="50"/>
        <v>0</v>
      </c>
      <c r="J2042" s="3">
        <f t="shared" si="51"/>
        <v>15</v>
      </c>
      <c r="K2042" s="3">
        <f t="shared" si="52"/>
        <v>-15</v>
      </c>
      <c r="L2042" s="3" t="str">
        <f t="shared" si="53"/>
        <v>CRÍTICO</v>
      </c>
      <c r="N2042">
        <v>0</v>
      </c>
      <c r="O2042">
        <v>0</v>
      </c>
    </row>
    <row r="2043" spans="1:15" x14ac:dyDescent="0.25">
      <c r="A2043" s="11">
        <v>46064</v>
      </c>
      <c r="B2043" t="s">
        <v>56</v>
      </c>
      <c r="C2043" t="s">
        <v>16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f t="shared" si="50"/>
        <v>0</v>
      </c>
      <c r="J2043" s="3">
        <f t="shared" si="51"/>
        <v>21</v>
      </c>
      <c r="K2043" s="3">
        <f t="shared" si="52"/>
        <v>-21</v>
      </c>
      <c r="L2043" s="3" t="str">
        <f t="shared" si="53"/>
        <v>CRÍTICO</v>
      </c>
      <c r="N2043">
        <v>97.92</v>
      </c>
      <c r="O2043">
        <v>32.87671232876712</v>
      </c>
    </row>
    <row r="2044" spans="1:15" x14ac:dyDescent="0.25">
      <c r="A2044" s="11">
        <v>46064</v>
      </c>
      <c r="B2044" t="s">
        <v>57</v>
      </c>
      <c r="C2044" t="s">
        <v>43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f t="shared" si="50"/>
        <v>0</v>
      </c>
      <c r="J2044" s="3">
        <f t="shared" si="51"/>
        <v>15</v>
      </c>
      <c r="K2044" s="3">
        <f t="shared" si="52"/>
        <v>-15</v>
      </c>
      <c r="L2044" s="3" t="str">
        <f t="shared" si="53"/>
        <v>CRÍTICO</v>
      </c>
      <c r="N2044">
        <v>0</v>
      </c>
      <c r="O2044">
        <v>0</v>
      </c>
    </row>
    <row r="2045" spans="1:15" x14ac:dyDescent="0.25">
      <c r="A2045" s="11">
        <v>46064</v>
      </c>
      <c r="B2045" t="s">
        <v>58</v>
      </c>
      <c r="C2045" t="s">
        <v>43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f t="shared" si="50"/>
        <v>0</v>
      </c>
      <c r="J2045" s="3">
        <f t="shared" si="51"/>
        <v>15</v>
      </c>
      <c r="K2045" s="3">
        <f t="shared" si="52"/>
        <v>-15</v>
      </c>
      <c r="L2045" s="3" t="str">
        <f t="shared" si="53"/>
        <v>CRÍTICO</v>
      </c>
      <c r="N2045">
        <v>0</v>
      </c>
      <c r="O2045">
        <v>0</v>
      </c>
    </row>
    <row r="2046" spans="1:15" x14ac:dyDescent="0.25">
      <c r="A2046" s="11">
        <v>46064</v>
      </c>
      <c r="B2046" t="s">
        <v>59</v>
      </c>
      <c r="C2046" t="s">
        <v>23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f t="shared" si="50"/>
        <v>0</v>
      </c>
      <c r="J2046" s="3">
        <f t="shared" si="51"/>
        <v>8</v>
      </c>
      <c r="K2046" s="3">
        <f t="shared" si="52"/>
        <v>-8</v>
      </c>
      <c r="L2046" s="3" t="str">
        <f t="shared" si="53"/>
        <v>CRÍTICO</v>
      </c>
      <c r="N2046">
        <v>0</v>
      </c>
      <c r="O2046">
        <v>0</v>
      </c>
    </row>
    <row r="2047" spans="1:15" x14ac:dyDescent="0.25">
      <c r="A2047" s="11">
        <v>46064</v>
      </c>
      <c r="B2047" t="s">
        <v>60</v>
      </c>
      <c r="C2047" t="s">
        <v>20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 t="shared" si="50"/>
        <v>24</v>
      </c>
      <c r="J2047" s="3">
        <f t="shared" si="51"/>
        <v>18</v>
      </c>
      <c r="K2047" s="3">
        <f t="shared" si="52"/>
        <v>6</v>
      </c>
      <c r="L2047" s="3" t="str">
        <f t="shared" si="53"/>
        <v>EXCELENTE</v>
      </c>
      <c r="N2047">
        <v>98.51</v>
      </c>
      <c r="O2047">
        <v>29.710144927536231</v>
      </c>
    </row>
    <row r="2048" spans="1:15" x14ac:dyDescent="0.25">
      <c r="A2048" s="11">
        <v>46064</v>
      </c>
      <c r="B2048" t="s">
        <v>61</v>
      </c>
      <c r="C2048" t="s">
        <v>18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 t="shared" si="50"/>
        <v>35</v>
      </c>
      <c r="J2048" s="3">
        <f t="shared" si="51"/>
        <v>27</v>
      </c>
      <c r="K2048" s="3">
        <f t="shared" si="52"/>
        <v>8</v>
      </c>
      <c r="L2048" s="3" t="str">
        <f t="shared" si="53"/>
        <v>EXCELENTE</v>
      </c>
      <c r="N2048">
        <v>98.81</v>
      </c>
      <c r="O2048">
        <v>30.712979890310791</v>
      </c>
    </row>
    <row r="2049" spans="1:15" x14ac:dyDescent="0.25">
      <c r="A2049" s="11">
        <v>46064</v>
      </c>
      <c r="B2049" t="s">
        <v>62</v>
      </c>
      <c r="C2049" t="s">
        <v>20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 t="shared" si="50"/>
        <v>11</v>
      </c>
      <c r="J2049" s="3">
        <f t="shared" si="51"/>
        <v>18</v>
      </c>
      <c r="K2049" s="3">
        <f t="shared" si="52"/>
        <v>-7</v>
      </c>
      <c r="L2049" s="3" t="str">
        <f t="shared" si="53"/>
        <v>CRÍTICO</v>
      </c>
      <c r="N2049">
        <v>98.48</v>
      </c>
      <c r="O2049">
        <v>29.35323383084577</v>
      </c>
    </row>
    <row r="2050" spans="1:15" x14ac:dyDescent="0.25">
      <c r="A2050" s="11">
        <v>46064</v>
      </c>
      <c r="B2050" t="s">
        <v>63</v>
      </c>
      <c r="C2050" t="s">
        <v>18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 t="shared" si="50"/>
        <v>32</v>
      </c>
      <c r="J2050" s="3">
        <f t="shared" si="51"/>
        <v>27</v>
      </c>
      <c r="K2050" s="3">
        <f t="shared" si="52"/>
        <v>5</v>
      </c>
      <c r="L2050" s="3" t="str">
        <f t="shared" si="53"/>
        <v>BOM</v>
      </c>
      <c r="N2050">
        <v>98.56</v>
      </c>
      <c r="O2050">
        <v>29.373650107991359</v>
      </c>
    </row>
    <row r="2051" spans="1:15" x14ac:dyDescent="0.25">
      <c r="A2051" s="11">
        <v>46065</v>
      </c>
      <c r="B2051" t="s">
        <v>15</v>
      </c>
      <c r="C2051" t="s">
        <v>16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 t="shared" si="50"/>
        <v>0</v>
      </c>
      <c r="J2051" s="3">
        <f t="shared" si="51"/>
        <v>20</v>
      </c>
      <c r="K2051" s="3">
        <f t="shared" si="52"/>
        <v>-20</v>
      </c>
      <c r="L2051" s="3" t="str">
        <f t="shared" si="53"/>
        <v>CRÍTICO</v>
      </c>
      <c r="N2051">
        <v>98.32</v>
      </c>
      <c r="O2051">
        <v>30.303030303030301</v>
      </c>
    </row>
    <row r="2052" spans="1:15" x14ac:dyDescent="0.25">
      <c r="A2052" s="11">
        <v>46065</v>
      </c>
      <c r="B2052" t="s">
        <v>17</v>
      </c>
      <c r="C2052" t="s">
        <v>18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f t="shared" si="50"/>
        <v>0</v>
      </c>
      <c r="J2052" s="3">
        <f t="shared" si="51"/>
        <v>24</v>
      </c>
      <c r="K2052" s="3">
        <f t="shared" si="52"/>
        <v>-24</v>
      </c>
      <c r="L2052" s="3" t="str">
        <f t="shared" si="53"/>
        <v>CRÍTICO</v>
      </c>
      <c r="N2052">
        <v>98.68</v>
      </c>
      <c r="O2052">
        <v>26.219512195121951</v>
      </c>
    </row>
    <row r="2053" spans="1:15" x14ac:dyDescent="0.25">
      <c r="A2053" s="11">
        <v>46065</v>
      </c>
      <c r="B2053" t="s">
        <v>19</v>
      </c>
      <c r="C2053" t="s">
        <v>20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 t="shared" si="50"/>
        <v>24</v>
      </c>
      <c r="J2053" s="3">
        <f t="shared" si="51"/>
        <v>16</v>
      </c>
      <c r="K2053" s="3">
        <f t="shared" si="52"/>
        <v>8</v>
      </c>
      <c r="L2053" s="3" t="str">
        <f t="shared" si="53"/>
        <v>EXCELENTE</v>
      </c>
      <c r="N2053">
        <v>100</v>
      </c>
      <c r="O2053">
        <v>31.74224343675418</v>
      </c>
    </row>
    <row r="2054" spans="1:15" x14ac:dyDescent="0.25">
      <c r="A2054" s="11">
        <v>46065</v>
      </c>
      <c r="B2054" t="s">
        <v>21</v>
      </c>
      <c r="C2054" t="s">
        <v>18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 t="shared" si="50"/>
        <v>26</v>
      </c>
      <c r="J2054" s="3">
        <f t="shared" si="51"/>
        <v>24</v>
      </c>
      <c r="K2054" s="3">
        <f t="shared" si="52"/>
        <v>2</v>
      </c>
      <c r="L2054" s="3" t="str">
        <f t="shared" si="53"/>
        <v>BOM</v>
      </c>
      <c r="N2054">
        <v>98.25</v>
      </c>
      <c r="O2054">
        <v>25.83518930957684</v>
      </c>
    </row>
    <row r="2055" spans="1:15" x14ac:dyDescent="0.25">
      <c r="A2055" s="11">
        <v>46065</v>
      </c>
      <c r="B2055" t="s">
        <v>22</v>
      </c>
      <c r="C2055" t="s">
        <v>23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 t="shared" si="50"/>
        <v>9</v>
      </c>
      <c r="J2055" s="3">
        <f t="shared" si="51"/>
        <v>7</v>
      </c>
      <c r="K2055" s="3">
        <f t="shared" si="52"/>
        <v>2</v>
      </c>
      <c r="L2055" s="3" t="str">
        <f t="shared" si="53"/>
        <v>BOM</v>
      </c>
      <c r="N2055">
        <v>97.5</v>
      </c>
      <c r="O2055">
        <v>30.075187969924809</v>
      </c>
    </row>
    <row r="2056" spans="1:15" x14ac:dyDescent="0.25">
      <c r="A2056" s="11">
        <v>46065</v>
      </c>
      <c r="B2056" t="s">
        <v>24</v>
      </c>
      <c r="C2056" t="s">
        <v>16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 t="shared" si="50"/>
        <v>17</v>
      </c>
      <c r="J2056" s="3">
        <f t="shared" si="51"/>
        <v>20</v>
      </c>
      <c r="K2056" s="3">
        <f t="shared" si="52"/>
        <v>-3</v>
      </c>
      <c r="L2056" s="3" t="str">
        <f t="shared" si="53"/>
        <v>ATENÇÃO</v>
      </c>
      <c r="N2056">
        <v>100</v>
      </c>
      <c r="O2056">
        <v>29.71311475409836</v>
      </c>
    </row>
    <row r="2057" spans="1:15" x14ac:dyDescent="0.25">
      <c r="A2057" s="11">
        <v>46065</v>
      </c>
      <c r="B2057" t="s">
        <v>25</v>
      </c>
      <c r="C2057" t="s">
        <v>16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 t="shared" si="50"/>
        <v>13</v>
      </c>
      <c r="J2057" s="3">
        <f t="shared" si="51"/>
        <v>20</v>
      </c>
      <c r="K2057" s="3">
        <f t="shared" si="52"/>
        <v>-7</v>
      </c>
      <c r="L2057" s="3" t="str">
        <f t="shared" si="53"/>
        <v>CRÍTICO</v>
      </c>
      <c r="N2057">
        <v>99.22</v>
      </c>
      <c r="O2057">
        <v>35.256410256410263</v>
      </c>
    </row>
    <row r="2058" spans="1:15" x14ac:dyDescent="0.25">
      <c r="A2058" s="11">
        <v>46065</v>
      </c>
      <c r="B2058" t="s">
        <v>26</v>
      </c>
      <c r="C2058" t="s">
        <v>23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f t="shared" si="50"/>
        <v>0</v>
      </c>
      <c r="J2058" s="3">
        <f t="shared" si="51"/>
        <v>7</v>
      </c>
      <c r="K2058" s="3">
        <f t="shared" si="52"/>
        <v>-7</v>
      </c>
      <c r="L2058" s="3" t="str">
        <f t="shared" si="53"/>
        <v>CRÍTICO</v>
      </c>
      <c r="N2058">
        <v>0</v>
      </c>
      <c r="O2058">
        <v>0</v>
      </c>
    </row>
    <row r="2059" spans="1:15" x14ac:dyDescent="0.25">
      <c r="A2059" s="11">
        <v>46065</v>
      </c>
      <c r="B2059" t="s">
        <v>27</v>
      </c>
      <c r="C2059" t="s">
        <v>20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 t="shared" si="50"/>
        <v>6</v>
      </c>
      <c r="J2059" s="3">
        <f t="shared" si="51"/>
        <v>16</v>
      </c>
      <c r="K2059" s="3">
        <f t="shared" si="52"/>
        <v>-10</v>
      </c>
      <c r="L2059" s="3" t="str">
        <f t="shared" si="53"/>
        <v>CRÍTICO</v>
      </c>
      <c r="N2059">
        <v>98.75</v>
      </c>
      <c r="O2059">
        <v>24.32432432432433</v>
      </c>
    </row>
    <row r="2060" spans="1:15" x14ac:dyDescent="0.25">
      <c r="A2060" s="11">
        <v>46065</v>
      </c>
      <c r="B2060" t="s">
        <v>28</v>
      </c>
      <c r="C2060" t="s">
        <v>18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 t="shared" si="50"/>
        <v>36</v>
      </c>
      <c r="J2060" s="3">
        <f t="shared" si="51"/>
        <v>24</v>
      </c>
      <c r="K2060" s="3">
        <f t="shared" si="52"/>
        <v>12</v>
      </c>
      <c r="L2060" s="3" t="str">
        <f t="shared" si="53"/>
        <v>EXCELENTE</v>
      </c>
      <c r="N2060">
        <v>93.48</v>
      </c>
      <c r="O2060">
        <v>31.334622823984521</v>
      </c>
    </row>
    <row r="2061" spans="1:15" x14ac:dyDescent="0.25">
      <c r="A2061" s="11">
        <v>46065</v>
      </c>
      <c r="B2061" t="s">
        <v>29</v>
      </c>
      <c r="C2061" t="s">
        <v>16</v>
      </c>
      <c r="D2061">
        <v>0</v>
      </c>
      <c r="E2061">
        <v>0</v>
      </c>
      <c r="F2061">
        <v>0</v>
      </c>
      <c r="G2061">
        <v>0</v>
      </c>
      <c r="H2061">
        <v>0</v>
      </c>
      <c r="I2061" s="3">
        <f t="shared" si="50"/>
        <v>0</v>
      </c>
      <c r="J2061" s="3">
        <f t="shared" si="51"/>
        <v>20</v>
      </c>
      <c r="K2061" s="3">
        <f t="shared" si="52"/>
        <v>-20</v>
      </c>
      <c r="L2061" s="3" t="str">
        <f t="shared" si="53"/>
        <v>CRÍTICO</v>
      </c>
      <c r="N2061">
        <v>99.16</v>
      </c>
      <c r="O2061">
        <v>26.13908872901678</v>
      </c>
    </row>
    <row r="2062" spans="1:15" x14ac:dyDescent="0.25">
      <c r="A2062" s="11">
        <v>46065</v>
      </c>
      <c r="B2062" t="s">
        <v>30</v>
      </c>
      <c r="C2062" t="s">
        <v>20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 t="shared" si="50"/>
        <v>15</v>
      </c>
      <c r="J2062" s="3">
        <f t="shared" si="51"/>
        <v>16</v>
      </c>
      <c r="K2062" s="3">
        <f t="shared" si="52"/>
        <v>-1</v>
      </c>
      <c r="L2062" s="3" t="str">
        <f t="shared" si="53"/>
        <v>ATENÇÃO</v>
      </c>
      <c r="N2062">
        <v>100</v>
      </c>
      <c r="O2062">
        <v>31.089743589743591</v>
      </c>
    </row>
    <row r="2063" spans="1:15" x14ac:dyDescent="0.25">
      <c r="A2063" s="11">
        <v>46065</v>
      </c>
      <c r="B2063" t="s">
        <v>31</v>
      </c>
      <c r="C2063" t="s">
        <v>18</v>
      </c>
      <c r="D2063">
        <v>0</v>
      </c>
      <c r="E2063">
        <v>0</v>
      </c>
      <c r="F2063">
        <v>0</v>
      </c>
      <c r="G2063">
        <v>0</v>
      </c>
      <c r="H2063">
        <v>0</v>
      </c>
      <c r="I2063" s="3">
        <f t="shared" si="50"/>
        <v>0</v>
      </c>
      <c r="J2063" s="3">
        <f t="shared" si="51"/>
        <v>24</v>
      </c>
      <c r="K2063" s="3">
        <f t="shared" si="52"/>
        <v>-24</v>
      </c>
      <c r="L2063" s="3" t="str">
        <f t="shared" si="53"/>
        <v>CRÍTICO</v>
      </c>
      <c r="N2063">
        <v>98.11</v>
      </c>
      <c r="O2063">
        <v>33.033707865168537</v>
      </c>
    </row>
    <row r="2064" spans="1:15" x14ac:dyDescent="0.25">
      <c r="A2064" s="11">
        <v>46065</v>
      </c>
      <c r="B2064" t="s">
        <v>32</v>
      </c>
      <c r="C2064" t="s">
        <v>23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 t="shared" si="50"/>
        <v>13</v>
      </c>
      <c r="J2064" s="3">
        <f t="shared" si="51"/>
        <v>7</v>
      </c>
      <c r="K2064" s="3">
        <f t="shared" si="52"/>
        <v>6</v>
      </c>
      <c r="L2064" s="3" t="str">
        <f t="shared" si="53"/>
        <v>EXCELENTE</v>
      </c>
      <c r="N2064">
        <v>78.95</v>
      </c>
      <c r="O2064">
        <v>38.983050847457633</v>
      </c>
    </row>
    <row r="2065" spans="1:15" x14ac:dyDescent="0.25">
      <c r="A2065" s="11">
        <v>46065</v>
      </c>
      <c r="B2065" t="s">
        <v>33</v>
      </c>
      <c r="C2065" t="s">
        <v>16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 t="shared" si="50"/>
        <v>20</v>
      </c>
      <c r="J2065" s="3">
        <f t="shared" si="51"/>
        <v>20</v>
      </c>
      <c r="K2065" s="3">
        <f t="shared" si="52"/>
        <v>0</v>
      </c>
      <c r="L2065" s="3" t="str">
        <f t="shared" si="53"/>
        <v>BOM</v>
      </c>
      <c r="N2065">
        <v>98.45</v>
      </c>
      <c r="O2065">
        <v>29.281767955801101</v>
      </c>
    </row>
    <row r="2066" spans="1:15" x14ac:dyDescent="0.25">
      <c r="A2066" s="11">
        <v>46065</v>
      </c>
      <c r="B2066" t="s">
        <v>34</v>
      </c>
      <c r="C2066" t="s">
        <v>18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 t="shared" si="50"/>
        <v>29</v>
      </c>
      <c r="J2066" s="3">
        <f t="shared" si="51"/>
        <v>24</v>
      </c>
      <c r="K2066" s="3">
        <f t="shared" si="52"/>
        <v>5</v>
      </c>
      <c r="L2066" s="3" t="str">
        <f t="shared" si="53"/>
        <v>BOM</v>
      </c>
      <c r="N2066">
        <v>97.84</v>
      </c>
      <c r="O2066">
        <v>26.282051282051281</v>
      </c>
    </row>
    <row r="2067" spans="1:15" x14ac:dyDescent="0.25">
      <c r="A2067" s="11">
        <v>46065</v>
      </c>
      <c r="B2067" t="s">
        <v>35</v>
      </c>
      <c r="C2067" t="s">
        <v>16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 t="shared" si="50"/>
        <v>29</v>
      </c>
      <c r="J2067" s="3">
        <f t="shared" si="51"/>
        <v>20</v>
      </c>
      <c r="K2067" s="3">
        <f t="shared" si="52"/>
        <v>9</v>
      </c>
      <c r="L2067" s="3" t="str">
        <f t="shared" si="53"/>
        <v>EXCELENTE</v>
      </c>
      <c r="N2067">
        <v>98.5</v>
      </c>
      <c r="O2067">
        <v>23.97769516728625</v>
      </c>
    </row>
    <row r="2068" spans="1:15" x14ac:dyDescent="0.25">
      <c r="A2068" s="11">
        <v>46099</v>
      </c>
      <c r="B2068" t="s">
        <v>36</v>
      </c>
      <c r="C2068" t="s">
        <v>20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 t="shared" si="50"/>
        <v>25</v>
      </c>
      <c r="J2068" s="3">
        <f t="shared" si="51"/>
        <v>13</v>
      </c>
      <c r="K2068" s="3">
        <f t="shared" si="52"/>
        <v>12</v>
      </c>
      <c r="L2068" s="3" t="str">
        <f t="shared" si="53"/>
        <v>EXCELENTE</v>
      </c>
      <c r="N2068">
        <v>99.05</v>
      </c>
      <c r="O2068">
        <v>26.621923937360179</v>
      </c>
    </row>
    <row r="2069" spans="1:15" x14ac:dyDescent="0.25">
      <c r="A2069" s="11">
        <v>46065</v>
      </c>
      <c r="B2069" t="s">
        <v>37</v>
      </c>
      <c r="C2069" t="s">
        <v>16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 t="shared" si="50"/>
        <v>33</v>
      </c>
      <c r="J2069" s="3">
        <f t="shared" si="51"/>
        <v>20</v>
      </c>
      <c r="K2069" s="3">
        <f t="shared" si="52"/>
        <v>13</v>
      </c>
      <c r="L2069" s="3" t="str">
        <f t="shared" si="53"/>
        <v>EXCELENTE</v>
      </c>
      <c r="N2069">
        <v>98.53</v>
      </c>
      <c r="O2069">
        <v>31.578947368421051</v>
      </c>
    </row>
    <row r="2070" spans="1:15" x14ac:dyDescent="0.25">
      <c r="A2070" s="11">
        <v>46065</v>
      </c>
      <c r="B2070" t="s">
        <v>38</v>
      </c>
      <c r="C2070" t="s">
        <v>18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 t="shared" si="50"/>
        <v>37</v>
      </c>
      <c r="J2070" s="3">
        <f t="shared" si="51"/>
        <v>24</v>
      </c>
      <c r="K2070" s="3">
        <f t="shared" si="52"/>
        <v>13</v>
      </c>
      <c r="L2070" s="3" t="str">
        <f t="shared" si="53"/>
        <v>EXCELENTE</v>
      </c>
      <c r="N2070">
        <v>100</v>
      </c>
      <c r="O2070">
        <v>25.72214580467676</v>
      </c>
    </row>
    <row r="2071" spans="1:15" x14ac:dyDescent="0.25">
      <c r="A2071" s="11">
        <v>46065</v>
      </c>
      <c r="B2071" t="s">
        <v>39</v>
      </c>
      <c r="C2071" t="s">
        <v>18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 t="shared" si="50"/>
        <v>20</v>
      </c>
      <c r="J2071" s="3">
        <f t="shared" si="51"/>
        <v>24</v>
      </c>
      <c r="K2071" s="3">
        <f t="shared" si="52"/>
        <v>-4</v>
      </c>
      <c r="L2071" s="3" t="str">
        <f t="shared" si="53"/>
        <v>ATENÇÃO</v>
      </c>
      <c r="N2071">
        <v>94.64</v>
      </c>
      <c r="O2071">
        <v>27.52941176470588</v>
      </c>
    </row>
    <row r="2072" spans="1:15" x14ac:dyDescent="0.25">
      <c r="A2072" s="11">
        <v>46065</v>
      </c>
      <c r="B2072" t="s">
        <v>40</v>
      </c>
      <c r="C2072" t="s">
        <v>16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 t="shared" si="50"/>
        <v>17</v>
      </c>
      <c r="J2072" s="3">
        <f t="shared" si="51"/>
        <v>20</v>
      </c>
      <c r="K2072" s="3">
        <f t="shared" si="52"/>
        <v>-3</v>
      </c>
      <c r="L2072" s="3" t="str">
        <f t="shared" si="53"/>
        <v>ATENÇÃO</v>
      </c>
      <c r="N2072">
        <v>99.07</v>
      </c>
      <c r="O2072">
        <v>26.376811594202898</v>
      </c>
    </row>
    <row r="2073" spans="1:15" x14ac:dyDescent="0.25">
      <c r="A2073" s="11">
        <v>46065</v>
      </c>
      <c r="B2073" t="s">
        <v>41</v>
      </c>
      <c r="C2073" t="s">
        <v>18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f t="shared" si="50"/>
        <v>0</v>
      </c>
      <c r="J2073" s="3">
        <f t="shared" si="51"/>
        <v>24</v>
      </c>
      <c r="K2073" s="3">
        <f t="shared" si="52"/>
        <v>-24</v>
      </c>
      <c r="L2073" s="3" t="str">
        <f t="shared" si="53"/>
        <v>CRÍTICO</v>
      </c>
      <c r="N2073">
        <v>100</v>
      </c>
      <c r="O2073">
        <v>0</v>
      </c>
    </row>
    <row r="2074" spans="1:15" x14ac:dyDescent="0.25">
      <c r="A2074" s="11">
        <v>46065</v>
      </c>
      <c r="B2074" t="s">
        <v>42</v>
      </c>
      <c r="C2074" t="s">
        <v>43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 t="shared" si="50"/>
        <v>7</v>
      </c>
      <c r="J2074" s="3">
        <f t="shared" si="51"/>
        <v>14</v>
      </c>
      <c r="K2074" s="3">
        <f t="shared" si="52"/>
        <v>-7</v>
      </c>
      <c r="L2074" s="3" t="str">
        <f t="shared" si="53"/>
        <v>CRÍTICO</v>
      </c>
      <c r="N2074">
        <v>98.48</v>
      </c>
      <c r="O2074">
        <v>27.853881278538811</v>
      </c>
    </row>
    <row r="2075" spans="1:15" x14ac:dyDescent="0.25">
      <c r="A2075" s="11">
        <v>46065</v>
      </c>
      <c r="B2075" t="s">
        <v>44</v>
      </c>
      <c r="C2075" t="s">
        <v>18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 t="shared" si="50"/>
        <v>9</v>
      </c>
      <c r="J2075" s="3">
        <f t="shared" si="51"/>
        <v>24</v>
      </c>
      <c r="K2075" s="3">
        <f t="shared" si="52"/>
        <v>-15</v>
      </c>
      <c r="L2075" s="3" t="str">
        <f t="shared" si="53"/>
        <v>CRÍTICO</v>
      </c>
      <c r="N2075">
        <v>95.15</v>
      </c>
      <c r="O2075">
        <v>34.131736526946113</v>
      </c>
    </row>
    <row r="2076" spans="1:15" x14ac:dyDescent="0.25">
      <c r="A2076" s="11">
        <v>46065</v>
      </c>
      <c r="B2076" t="s">
        <v>45</v>
      </c>
      <c r="C2076" t="s">
        <v>43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f t="shared" si="50"/>
        <v>0</v>
      </c>
      <c r="J2076" s="3">
        <f t="shared" si="51"/>
        <v>14</v>
      </c>
      <c r="K2076" s="3">
        <f t="shared" si="52"/>
        <v>-14</v>
      </c>
      <c r="L2076" s="3" t="str">
        <f t="shared" si="53"/>
        <v>CRÍTICO</v>
      </c>
      <c r="N2076">
        <v>0</v>
      </c>
      <c r="O2076">
        <v>0</v>
      </c>
    </row>
    <row r="2077" spans="1:15" x14ac:dyDescent="0.25">
      <c r="A2077" s="11">
        <v>46065</v>
      </c>
      <c r="B2077" t="s">
        <v>46</v>
      </c>
      <c r="C2077" t="s">
        <v>18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 t="shared" si="50"/>
        <v>29</v>
      </c>
      <c r="J2077" s="3">
        <f t="shared" si="51"/>
        <v>24</v>
      </c>
      <c r="K2077" s="3">
        <f t="shared" si="52"/>
        <v>5</v>
      </c>
      <c r="L2077" s="3" t="str">
        <f t="shared" si="53"/>
        <v>BOM</v>
      </c>
      <c r="N2077">
        <v>99.26</v>
      </c>
      <c r="O2077">
        <v>30.84832904884319</v>
      </c>
    </row>
    <row r="2078" spans="1:15" x14ac:dyDescent="0.25">
      <c r="A2078" s="11">
        <v>46065</v>
      </c>
      <c r="B2078" t="s">
        <v>47</v>
      </c>
      <c r="C2078" t="s">
        <v>16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 t="shared" si="50"/>
        <v>36</v>
      </c>
      <c r="J2078" s="3">
        <f t="shared" si="51"/>
        <v>20</v>
      </c>
      <c r="K2078" s="3">
        <f t="shared" si="52"/>
        <v>16</v>
      </c>
      <c r="L2078" s="3" t="str">
        <f t="shared" si="53"/>
        <v>EXCELENTE</v>
      </c>
      <c r="N2078">
        <v>97.48</v>
      </c>
      <c r="O2078">
        <v>27.764705882352938</v>
      </c>
    </row>
    <row r="2079" spans="1:15" x14ac:dyDescent="0.25">
      <c r="A2079" s="11">
        <v>46065</v>
      </c>
      <c r="B2079" t="s">
        <v>48</v>
      </c>
      <c r="C2079" t="s">
        <v>16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f t="shared" si="50"/>
        <v>0</v>
      </c>
      <c r="J2079" s="3">
        <f t="shared" si="51"/>
        <v>20</v>
      </c>
      <c r="K2079" s="3">
        <f t="shared" si="52"/>
        <v>-20</v>
      </c>
      <c r="L2079" s="3" t="str">
        <f t="shared" si="53"/>
        <v>CRÍTICO</v>
      </c>
      <c r="N2079">
        <v>99.34</v>
      </c>
      <c r="O2079">
        <v>30.04291845493562</v>
      </c>
    </row>
    <row r="2080" spans="1:15" x14ac:dyDescent="0.25">
      <c r="A2080" s="11">
        <v>46065</v>
      </c>
      <c r="B2080" t="s">
        <v>49</v>
      </c>
      <c r="C2080" t="s">
        <v>18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f t="shared" si="50"/>
        <v>0</v>
      </c>
      <c r="J2080" s="3">
        <f t="shared" si="51"/>
        <v>24</v>
      </c>
      <c r="K2080" s="3">
        <f t="shared" si="52"/>
        <v>-24</v>
      </c>
      <c r="L2080" s="3" t="str">
        <f t="shared" si="53"/>
        <v>CRÍTICO</v>
      </c>
      <c r="N2080">
        <v>96.3</v>
      </c>
      <c r="O2080">
        <v>24.29378531073446</v>
      </c>
    </row>
    <row r="2081" spans="1:15" x14ac:dyDescent="0.25">
      <c r="A2081" s="11">
        <v>46065</v>
      </c>
      <c r="B2081" t="s">
        <v>50</v>
      </c>
      <c r="C2081" t="s">
        <v>20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 t="shared" si="50"/>
        <v>28</v>
      </c>
      <c r="J2081" s="3">
        <f t="shared" si="51"/>
        <v>16</v>
      </c>
      <c r="K2081" s="3">
        <f t="shared" si="52"/>
        <v>12</v>
      </c>
      <c r="L2081" s="3" t="str">
        <f t="shared" si="53"/>
        <v>EXCELENTE</v>
      </c>
      <c r="N2081">
        <v>100</v>
      </c>
      <c r="O2081">
        <v>26.543209876543209</v>
      </c>
    </row>
    <row r="2082" spans="1:15" x14ac:dyDescent="0.25">
      <c r="A2082" s="11">
        <v>46065</v>
      </c>
      <c r="B2082" t="s">
        <v>51</v>
      </c>
      <c r="C2082" t="s">
        <v>23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 t="shared" si="50"/>
        <v>16</v>
      </c>
      <c r="J2082" s="3">
        <f t="shared" si="51"/>
        <v>7</v>
      </c>
      <c r="K2082" s="3">
        <f t="shared" si="52"/>
        <v>9</v>
      </c>
      <c r="L2082" s="3" t="str">
        <f t="shared" si="53"/>
        <v>EXCELENTE</v>
      </c>
      <c r="N2082">
        <v>100</v>
      </c>
      <c r="O2082">
        <v>35.483870967741943</v>
      </c>
    </row>
    <row r="2083" spans="1:15" x14ac:dyDescent="0.25">
      <c r="A2083" s="11">
        <v>46065</v>
      </c>
      <c r="B2083" t="s">
        <v>52</v>
      </c>
      <c r="C2083" t="s">
        <v>18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 t="shared" ref="I2083:I2146" si="54">E2083+G2083+H2083</f>
        <v>34</v>
      </c>
      <c r="J2083" s="3">
        <f t="shared" ref="J2083:J2146" si="55"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24</v>
      </c>
      <c r="K2083" s="3">
        <f t="shared" ref="K2083:K2146" si="56">I2083-J2083</f>
        <v>10</v>
      </c>
      <c r="L2083" s="3" t="str">
        <f t="shared" ref="L2083:L2146" si="57">IF(K2083&lt;-5,"CRÍTICO",IF(K2083&lt;0,"ATENÇÃO",IF(K2083&lt;=5,"BOM","EXCELENTE")))</f>
        <v>EXCELENTE</v>
      </c>
      <c r="N2083">
        <v>99.27</v>
      </c>
      <c r="O2083">
        <v>31.163708086785011</v>
      </c>
    </row>
    <row r="2084" spans="1:15" x14ac:dyDescent="0.25">
      <c r="A2084" s="11">
        <v>46065</v>
      </c>
      <c r="B2084" t="s">
        <v>53</v>
      </c>
      <c r="C2084" t="s">
        <v>18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 t="shared" si="54"/>
        <v>17</v>
      </c>
      <c r="J2084" s="3">
        <f t="shared" si="55"/>
        <v>24</v>
      </c>
      <c r="K2084" s="3">
        <f t="shared" si="56"/>
        <v>-7</v>
      </c>
      <c r="L2084" s="3" t="str">
        <f t="shared" si="57"/>
        <v>CRÍTICO</v>
      </c>
      <c r="N2084">
        <v>94.16</v>
      </c>
      <c r="O2084">
        <v>27.038626609442058</v>
      </c>
    </row>
    <row r="2085" spans="1:15" x14ac:dyDescent="0.25">
      <c r="A2085" s="11">
        <v>46065</v>
      </c>
      <c r="B2085" t="s">
        <v>54</v>
      </c>
      <c r="C2085" t="s">
        <v>23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 t="shared" si="54"/>
        <v>13</v>
      </c>
      <c r="J2085" s="3">
        <f t="shared" si="55"/>
        <v>7</v>
      </c>
      <c r="K2085" s="3">
        <f t="shared" si="56"/>
        <v>6</v>
      </c>
      <c r="L2085" s="3" t="str">
        <f t="shared" si="57"/>
        <v>EXCELENTE</v>
      </c>
      <c r="N2085">
        <v>93.75</v>
      </c>
      <c r="O2085">
        <v>19.31818181818182</v>
      </c>
    </row>
    <row r="2086" spans="1:15" x14ac:dyDescent="0.25">
      <c r="A2086" s="11">
        <v>46065</v>
      </c>
      <c r="B2086" t="s">
        <v>55</v>
      </c>
      <c r="C2086" t="s">
        <v>43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f t="shared" si="54"/>
        <v>0</v>
      </c>
      <c r="J2086" s="3">
        <f t="shared" si="55"/>
        <v>14</v>
      </c>
      <c r="K2086" s="3">
        <f t="shared" si="56"/>
        <v>-14</v>
      </c>
      <c r="L2086" s="3" t="str">
        <f t="shared" si="57"/>
        <v>CRÍTICO</v>
      </c>
      <c r="N2086">
        <v>0</v>
      </c>
      <c r="O2086">
        <v>0</v>
      </c>
    </row>
    <row r="2087" spans="1:15" x14ac:dyDescent="0.25">
      <c r="A2087" s="11">
        <v>46065</v>
      </c>
      <c r="B2087" t="s">
        <v>56</v>
      </c>
      <c r="C2087" t="s">
        <v>16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f t="shared" si="54"/>
        <v>0</v>
      </c>
      <c r="J2087" s="3">
        <f t="shared" si="55"/>
        <v>20</v>
      </c>
      <c r="K2087" s="3">
        <f t="shared" si="56"/>
        <v>-20</v>
      </c>
      <c r="L2087" s="3" t="str">
        <f t="shared" si="57"/>
        <v>CRÍTICO</v>
      </c>
      <c r="N2087">
        <v>97.92</v>
      </c>
      <c r="O2087">
        <v>32.87671232876712</v>
      </c>
    </row>
    <row r="2088" spans="1:15" x14ac:dyDescent="0.25">
      <c r="A2088" s="11">
        <v>46065</v>
      </c>
      <c r="B2088" t="s">
        <v>57</v>
      </c>
      <c r="C2088" t="s">
        <v>43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f t="shared" si="54"/>
        <v>0</v>
      </c>
      <c r="J2088" s="3">
        <f t="shared" si="55"/>
        <v>14</v>
      </c>
      <c r="K2088" s="3">
        <f t="shared" si="56"/>
        <v>-14</v>
      </c>
      <c r="L2088" s="3" t="str">
        <f t="shared" si="57"/>
        <v>CRÍTICO</v>
      </c>
      <c r="N2088">
        <v>0</v>
      </c>
      <c r="O2088">
        <v>0</v>
      </c>
    </row>
    <row r="2089" spans="1:15" x14ac:dyDescent="0.25">
      <c r="A2089" s="11">
        <v>46065</v>
      </c>
      <c r="B2089" t="s">
        <v>58</v>
      </c>
      <c r="C2089" t="s">
        <v>43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f t="shared" si="54"/>
        <v>0</v>
      </c>
      <c r="J2089" s="3">
        <f t="shared" si="55"/>
        <v>14</v>
      </c>
      <c r="K2089" s="3">
        <f t="shared" si="56"/>
        <v>-14</v>
      </c>
      <c r="L2089" s="3" t="str">
        <f t="shared" si="57"/>
        <v>CRÍTICO</v>
      </c>
      <c r="N2089">
        <v>0</v>
      </c>
      <c r="O2089">
        <v>0</v>
      </c>
    </row>
    <row r="2090" spans="1:15" x14ac:dyDescent="0.25">
      <c r="A2090" s="11">
        <v>46065</v>
      </c>
      <c r="B2090" t="s">
        <v>59</v>
      </c>
      <c r="C2090" t="s">
        <v>23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f t="shared" si="54"/>
        <v>0</v>
      </c>
      <c r="J2090" s="3">
        <f t="shared" si="55"/>
        <v>7</v>
      </c>
      <c r="K2090" s="3">
        <f t="shared" si="56"/>
        <v>-7</v>
      </c>
      <c r="L2090" s="3" t="str">
        <f t="shared" si="57"/>
        <v>CRÍTICO</v>
      </c>
      <c r="N2090">
        <v>0</v>
      </c>
      <c r="O2090">
        <v>0</v>
      </c>
    </row>
    <row r="2091" spans="1:15" x14ac:dyDescent="0.25">
      <c r="A2091" s="11">
        <v>46065</v>
      </c>
      <c r="B2091" t="s">
        <v>60</v>
      </c>
      <c r="C2091" t="s">
        <v>20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 t="shared" si="54"/>
        <v>24</v>
      </c>
      <c r="J2091" s="3">
        <f t="shared" si="55"/>
        <v>16</v>
      </c>
      <c r="K2091" s="3">
        <f t="shared" si="56"/>
        <v>8</v>
      </c>
      <c r="L2091" s="3" t="str">
        <f t="shared" si="57"/>
        <v>EXCELENTE</v>
      </c>
      <c r="N2091">
        <v>98.51</v>
      </c>
      <c r="O2091">
        <v>29.710144927536231</v>
      </c>
    </row>
    <row r="2092" spans="1:15" x14ac:dyDescent="0.25">
      <c r="A2092" s="11">
        <v>46065</v>
      </c>
      <c r="B2092" t="s">
        <v>61</v>
      </c>
      <c r="C2092" t="s">
        <v>18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 t="shared" si="54"/>
        <v>46</v>
      </c>
      <c r="J2092" s="3">
        <f t="shared" si="55"/>
        <v>24</v>
      </c>
      <c r="K2092" s="3">
        <f t="shared" si="56"/>
        <v>22</v>
      </c>
      <c r="L2092" s="3" t="str">
        <f t="shared" si="57"/>
        <v>EXCELENTE</v>
      </c>
      <c r="N2092">
        <v>98.81</v>
      </c>
      <c r="O2092">
        <v>30.712979890310791</v>
      </c>
    </row>
    <row r="2093" spans="1:15" x14ac:dyDescent="0.25">
      <c r="A2093" s="11">
        <v>46065</v>
      </c>
      <c r="B2093" t="s">
        <v>62</v>
      </c>
      <c r="C2093" t="s">
        <v>20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 t="shared" si="54"/>
        <v>11</v>
      </c>
      <c r="J2093" s="3">
        <f t="shared" si="55"/>
        <v>16</v>
      </c>
      <c r="K2093" s="3">
        <f t="shared" si="56"/>
        <v>-5</v>
      </c>
      <c r="L2093" s="3" t="str">
        <f t="shared" si="57"/>
        <v>ATENÇÃO</v>
      </c>
      <c r="N2093">
        <v>98.48</v>
      </c>
      <c r="O2093">
        <v>29.35323383084577</v>
      </c>
    </row>
    <row r="2094" spans="1:15" x14ac:dyDescent="0.25">
      <c r="A2094" s="11">
        <v>46065</v>
      </c>
      <c r="B2094" t="s">
        <v>63</v>
      </c>
      <c r="C2094" t="s">
        <v>18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 t="shared" si="54"/>
        <v>29</v>
      </c>
      <c r="J2094" s="3">
        <f t="shared" si="55"/>
        <v>24</v>
      </c>
      <c r="K2094" s="3">
        <f t="shared" si="56"/>
        <v>5</v>
      </c>
      <c r="L2094" s="3" t="str">
        <f t="shared" si="57"/>
        <v>BOM</v>
      </c>
      <c r="N2094">
        <v>98.56</v>
      </c>
      <c r="O2094">
        <v>29.373650107991359</v>
      </c>
    </row>
    <row r="2095" spans="1:15" x14ac:dyDescent="0.25">
      <c r="A2095" s="11">
        <v>46066</v>
      </c>
      <c r="B2095" t="s">
        <v>15</v>
      </c>
      <c r="C2095" t="s">
        <v>16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 t="shared" si="54"/>
        <v>31</v>
      </c>
      <c r="J2095" s="3">
        <f t="shared" si="55"/>
        <v>20</v>
      </c>
      <c r="K2095" s="3">
        <f t="shared" si="56"/>
        <v>11</v>
      </c>
      <c r="L2095" s="3" t="str">
        <f t="shared" si="57"/>
        <v>EXCELENTE</v>
      </c>
      <c r="N2095">
        <v>98.32</v>
      </c>
      <c r="O2095">
        <v>30.303030303030301</v>
      </c>
    </row>
    <row r="2096" spans="1:15" x14ac:dyDescent="0.25">
      <c r="A2096" s="11">
        <v>46066</v>
      </c>
      <c r="B2096" t="s">
        <v>17</v>
      </c>
      <c r="C2096" t="s">
        <v>18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f t="shared" si="54"/>
        <v>0</v>
      </c>
      <c r="J2096" s="3">
        <f t="shared" si="55"/>
        <v>25</v>
      </c>
      <c r="K2096" s="3">
        <f t="shared" si="56"/>
        <v>-25</v>
      </c>
      <c r="L2096" s="3" t="str">
        <f t="shared" si="57"/>
        <v>CRÍTICO</v>
      </c>
      <c r="N2096">
        <v>98.68</v>
      </c>
      <c r="O2096">
        <v>26.219512195121951</v>
      </c>
    </row>
    <row r="2097" spans="1:15" x14ac:dyDescent="0.25">
      <c r="A2097" s="11">
        <v>46066</v>
      </c>
      <c r="B2097" t="s">
        <v>19</v>
      </c>
      <c r="C2097" t="s">
        <v>20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 t="shared" si="54"/>
        <v>16</v>
      </c>
      <c r="J2097" s="3">
        <f t="shared" si="55"/>
        <v>17</v>
      </c>
      <c r="K2097" s="3">
        <f t="shared" si="56"/>
        <v>-1</v>
      </c>
      <c r="L2097" s="3" t="str">
        <f t="shared" si="57"/>
        <v>ATENÇÃO</v>
      </c>
      <c r="N2097">
        <v>100</v>
      </c>
      <c r="O2097">
        <v>31.74224343675418</v>
      </c>
    </row>
    <row r="2098" spans="1:15" x14ac:dyDescent="0.25">
      <c r="A2098" s="11">
        <v>46066</v>
      </c>
      <c r="B2098" t="s">
        <v>21</v>
      </c>
      <c r="C2098" t="s">
        <v>18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 t="shared" si="54"/>
        <v>17</v>
      </c>
      <c r="J2098" s="3">
        <f t="shared" si="55"/>
        <v>25</v>
      </c>
      <c r="K2098" s="3">
        <f t="shared" si="56"/>
        <v>-8</v>
      </c>
      <c r="L2098" s="3" t="str">
        <f t="shared" si="57"/>
        <v>CRÍTICO</v>
      </c>
      <c r="N2098">
        <v>98.25</v>
      </c>
      <c r="O2098">
        <v>25.83518930957684</v>
      </c>
    </row>
    <row r="2099" spans="1:15" x14ac:dyDescent="0.25">
      <c r="A2099" s="11">
        <v>46066</v>
      </c>
      <c r="B2099" t="s">
        <v>22</v>
      </c>
      <c r="C2099" t="s">
        <v>23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 t="shared" si="54"/>
        <v>8</v>
      </c>
      <c r="J2099" s="3">
        <f t="shared" si="55"/>
        <v>7</v>
      </c>
      <c r="K2099" s="3">
        <f t="shared" si="56"/>
        <v>1</v>
      </c>
      <c r="L2099" s="3" t="str">
        <f t="shared" si="57"/>
        <v>BOM</v>
      </c>
      <c r="N2099">
        <v>97.5</v>
      </c>
      <c r="O2099">
        <v>30.075187969924809</v>
      </c>
    </row>
    <row r="2100" spans="1:15" x14ac:dyDescent="0.25">
      <c r="A2100" s="11">
        <v>46066</v>
      </c>
      <c r="B2100" t="s">
        <v>24</v>
      </c>
      <c r="C2100" t="s">
        <v>16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 t="shared" si="54"/>
        <v>30</v>
      </c>
      <c r="J2100" s="3">
        <f t="shared" si="55"/>
        <v>20</v>
      </c>
      <c r="K2100" s="3">
        <f t="shared" si="56"/>
        <v>10</v>
      </c>
      <c r="L2100" s="3" t="str">
        <f t="shared" si="57"/>
        <v>EXCELENTE</v>
      </c>
      <c r="N2100">
        <v>100</v>
      </c>
      <c r="O2100">
        <v>29.71311475409836</v>
      </c>
    </row>
    <row r="2101" spans="1:15" x14ac:dyDescent="0.25">
      <c r="A2101" s="11">
        <v>46066</v>
      </c>
      <c r="B2101" t="s">
        <v>25</v>
      </c>
      <c r="C2101" t="s">
        <v>16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 t="shared" si="54"/>
        <v>16</v>
      </c>
      <c r="J2101" s="3">
        <f t="shared" si="55"/>
        <v>20</v>
      </c>
      <c r="K2101" s="3">
        <f t="shared" si="56"/>
        <v>-4</v>
      </c>
      <c r="L2101" s="3" t="str">
        <f t="shared" si="57"/>
        <v>ATENÇÃO</v>
      </c>
      <c r="N2101">
        <v>99.22</v>
      </c>
      <c r="O2101">
        <v>35.256410256410263</v>
      </c>
    </row>
    <row r="2102" spans="1:15" x14ac:dyDescent="0.25">
      <c r="A2102" s="11">
        <v>46066</v>
      </c>
      <c r="B2102" t="s">
        <v>26</v>
      </c>
      <c r="C2102" t="s">
        <v>23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f t="shared" si="54"/>
        <v>0</v>
      </c>
      <c r="J2102" s="3">
        <f t="shared" si="55"/>
        <v>7</v>
      </c>
      <c r="K2102" s="3">
        <f t="shared" si="56"/>
        <v>-7</v>
      </c>
      <c r="L2102" s="3" t="str">
        <f t="shared" si="57"/>
        <v>CRÍTICO</v>
      </c>
      <c r="N2102">
        <v>0</v>
      </c>
      <c r="O2102">
        <v>0</v>
      </c>
    </row>
    <row r="2103" spans="1:15" x14ac:dyDescent="0.25">
      <c r="A2103" s="11">
        <v>46066</v>
      </c>
      <c r="B2103" t="s">
        <v>27</v>
      </c>
      <c r="C2103" t="s">
        <v>20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 t="shared" si="54"/>
        <v>8</v>
      </c>
      <c r="J2103" s="3">
        <f t="shared" si="55"/>
        <v>17</v>
      </c>
      <c r="K2103" s="3">
        <f t="shared" si="56"/>
        <v>-9</v>
      </c>
      <c r="L2103" s="3" t="str">
        <f t="shared" si="57"/>
        <v>CRÍTICO</v>
      </c>
      <c r="N2103">
        <v>98.75</v>
      </c>
      <c r="O2103">
        <v>24.32432432432433</v>
      </c>
    </row>
    <row r="2104" spans="1:15" x14ac:dyDescent="0.25">
      <c r="A2104" s="11">
        <v>46066</v>
      </c>
      <c r="B2104" t="s">
        <v>28</v>
      </c>
      <c r="C2104" t="s">
        <v>18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 t="shared" si="54"/>
        <v>38</v>
      </c>
      <c r="J2104" s="3">
        <f t="shared" si="55"/>
        <v>25</v>
      </c>
      <c r="K2104" s="3">
        <f t="shared" si="56"/>
        <v>13</v>
      </c>
      <c r="L2104" s="3" t="str">
        <f t="shared" si="57"/>
        <v>EXCELENTE</v>
      </c>
      <c r="N2104">
        <v>93.48</v>
      </c>
      <c r="O2104">
        <v>31.334622823984521</v>
      </c>
    </row>
    <row r="2105" spans="1:15" x14ac:dyDescent="0.25">
      <c r="A2105" s="11">
        <v>46066</v>
      </c>
      <c r="B2105" t="s">
        <v>29</v>
      </c>
      <c r="C2105" t="s">
        <v>16</v>
      </c>
      <c r="D2105">
        <v>0</v>
      </c>
      <c r="E2105">
        <v>0</v>
      </c>
      <c r="F2105">
        <v>0</v>
      </c>
      <c r="G2105">
        <v>0</v>
      </c>
      <c r="H2105">
        <v>0</v>
      </c>
      <c r="I2105" s="3">
        <f t="shared" si="54"/>
        <v>0</v>
      </c>
      <c r="J2105" s="3">
        <f t="shared" si="55"/>
        <v>20</v>
      </c>
      <c r="K2105" s="3">
        <f t="shared" si="56"/>
        <v>-20</v>
      </c>
      <c r="L2105" s="3" t="str">
        <f t="shared" si="57"/>
        <v>CRÍTICO</v>
      </c>
      <c r="N2105">
        <v>99.16</v>
      </c>
      <c r="O2105">
        <v>26.13908872901678</v>
      </c>
    </row>
    <row r="2106" spans="1:15" x14ac:dyDescent="0.25">
      <c r="A2106" s="11">
        <v>46066</v>
      </c>
      <c r="B2106" t="s">
        <v>30</v>
      </c>
      <c r="C2106" t="s">
        <v>20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 t="shared" si="54"/>
        <v>12</v>
      </c>
      <c r="J2106" s="3">
        <f t="shared" si="55"/>
        <v>17</v>
      </c>
      <c r="K2106" s="3">
        <f t="shared" si="56"/>
        <v>-5</v>
      </c>
      <c r="L2106" s="3" t="str">
        <f t="shared" si="57"/>
        <v>ATENÇÃO</v>
      </c>
      <c r="N2106">
        <v>100</v>
      </c>
      <c r="O2106">
        <v>31.089743589743591</v>
      </c>
    </row>
    <row r="2107" spans="1:15" x14ac:dyDescent="0.25">
      <c r="A2107" s="11">
        <v>46066</v>
      </c>
      <c r="B2107" t="s">
        <v>31</v>
      </c>
      <c r="C2107" t="s">
        <v>18</v>
      </c>
      <c r="D2107">
        <v>0</v>
      </c>
      <c r="E2107">
        <v>0</v>
      </c>
      <c r="F2107">
        <v>0</v>
      </c>
      <c r="G2107">
        <v>0</v>
      </c>
      <c r="H2107">
        <v>0</v>
      </c>
      <c r="I2107" s="3">
        <f t="shared" si="54"/>
        <v>0</v>
      </c>
      <c r="J2107" s="3">
        <f t="shared" si="55"/>
        <v>25</v>
      </c>
      <c r="K2107" s="3">
        <f t="shared" si="56"/>
        <v>-25</v>
      </c>
      <c r="L2107" s="3" t="str">
        <f t="shared" si="57"/>
        <v>CRÍTICO</v>
      </c>
      <c r="N2107">
        <v>98.11</v>
      </c>
      <c r="O2107">
        <v>33.033707865168537</v>
      </c>
    </row>
    <row r="2108" spans="1:15" x14ac:dyDescent="0.25">
      <c r="A2108" s="11">
        <v>46066</v>
      </c>
      <c r="B2108" t="s">
        <v>32</v>
      </c>
      <c r="C2108" t="s">
        <v>23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 t="shared" si="54"/>
        <v>33</v>
      </c>
      <c r="J2108" s="3">
        <f t="shared" si="55"/>
        <v>7</v>
      </c>
      <c r="K2108" s="3">
        <f t="shared" si="56"/>
        <v>26</v>
      </c>
      <c r="L2108" s="3" t="str">
        <f t="shared" si="57"/>
        <v>EXCELENTE</v>
      </c>
      <c r="N2108">
        <v>78.95</v>
      </c>
      <c r="O2108">
        <v>38.983050847457633</v>
      </c>
    </row>
    <row r="2109" spans="1:15" x14ac:dyDescent="0.25">
      <c r="A2109" s="11">
        <v>46066</v>
      </c>
      <c r="B2109" t="s">
        <v>33</v>
      </c>
      <c r="C2109" t="s">
        <v>16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 t="shared" si="54"/>
        <v>16</v>
      </c>
      <c r="J2109" s="3">
        <f t="shared" si="55"/>
        <v>20</v>
      </c>
      <c r="K2109" s="3">
        <f t="shared" si="56"/>
        <v>-4</v>
      </c>
      <c r="L2109" s="3" t="str">
        <f t="shared" si="57"/>
        <v>ATENÇÃO</v>
      </c>
      <c r="N2109">
        <v>98.45</v>
      </c>
      <c r="O2109">
        <v>29.281767955801101</v>
      </c>
    </row>
    <row r="2110" spans="1:15" x14ac:dyDescent="0.25">
      <c r="A2110" s="11">
        <v>46066</v>
      </c>
      <c r="B2110" t="s">
        <v>34</v>
      </c>
      <c r="C2110" t="s">
        <v>18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 t="shared" si="54"/>
        <v>25</v>
      </c>
      <c r="J2110" s="3">
        <f t="shared" si="55"/>
        <v>25</v>
      </c>
      <c r="K2110" s="3">
        <f t="shared" si="56"/>
        <v>0</v>
      </c>
      <c r="L2110" s="3" t="str">
        <f t="shared" si="57"/>
        <v>BOM</v>
      </c>
      <c r="N2110">
        <v>97.84</v>
      </c>
      <c r="O2110">
        <v>26.282051282051281</v>
      </c>
    </row>
    <row r="2111" spans="1:15" x14ac:dyDescent="0.25">
      <c r="A2111" s="11">
        <v>46066</v>
      </c>
      <c r="B2111" t="s">
        <v>35</v>
      </c>
      <c r="C2111" t="s">
        <v>16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 t="shared" si="54"/>
        <v>36</v>
      </c>
      <c r="J2111" s="3">
        <f t="shared" si="55"/>
        <v>20</v>
      </c>
      <c r="K2111" s="3">
        <f t="shared" si="56"/>
        <v>16</v>
      </c>
      <c r="L2111" s="3" t="str">
        <f t="shared" si="57"/>
        <v>EXCELENTE</v>
      </c>
      <c r="N2111">
        <v>98.5</v>
      </c>
      <c r="O2111">
        <v>23.97769516728625</v>
      </c>
    </row>
    <row r="2112" spans="1:15" x14ac:dyDescent="0.25">
      <c r="A2112" s="11">
        <v>46100</v>
      </c>
      <c r="B2112" t="s">
        <v>36</v>
      </c>
      <c r="C2112" t="s">
        <v>20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 t="shared" si="54"/>
        <v>12</v>
      </c>
      <c r="J2112" s="3">
        <f t="shared" si="55"/>
        <v>14</v>
      </c>
      <c r="K2112" s="3">
        <f t="shared" si="56"/>
        <v>-2</v>
      </c>
      <c r="L2112" s="3" t="str">
        <f t="shared" si="57"/>
        <v>ATENÇÃO</v>
      </c>
      <c r="N2112">
        <v>99.05</v>
      </c>
      <c r="O2112">
        <v>26.621923937360179</v>
      </c>
    </row>
    <row r="2113" spans="1:15" x14ac:dyDescent="0.25">
      <c r="A2113" s="11">
        <v>46066</v>
      </c>
      <c r="B2113" t="s">
        <v>37</v>
      </c>
      <c r="C2113" t="s">
        <v>16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 t="shared" si="54"/>
        <v>24</v>
      </c>
      <c r="J2113" s="3">
        <f t="shared" si="55"/>
        <v>20</v>
      </c>
      <c r="K2113" s="3">
        <f t="shared" si="56"/>
        <v>4</v>
      </c>
      <c r="L2113" s="3" t="str">
        <f t="shared" si="57"/>
        <v>BOM</v>
      </c>
      <c r="N2113">
        <v>98.53</v>
      </c>
      <c r="O2113">
        <v>31.578947368421051</v>
      </c>
    </row>
    <row r="2114" spans="1:15" x14ac:dyDescent="0.25">
      <c r="A2114" s="11">
        <v>46066</v>
      </c>
      <c r="B2114" t="s">
        <v>38</v>
      </c>
      <c r="C2114" t="s">
        <v>18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 t="shared" si="54"/>
        <v>44</v>
      </c>
      <c r="J2114" s="3">
        <f t="shared" si="55"/>
        <v>25</v>
      </c>
      <c r="K2114" s="3">
        <f t="shared" si="56"/>
        <v>19</v>
      </c>
      <c r="L2114" s="3" t="str">
        <f t="shared" si="57"/>
        <v>EXCELENTE</v>
      </c>
      <c r="N2114">
        <v>100</v>
      </c>
      <c r="O2114">
        <v>25.72214580467676</v>
      </c>
    </row>
    <row r="2115" spans="1:15" x14ac:dyDescent="0.25">
      <c r="A2115" s="11">
        <v>46066</v>
      </c>
      <c r="B2115" t="s">
        <v>39</v>
      </c>
      <c r="C2115" t="s">
        <v>18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 t="shared" si="54"/>
        <v>33</v>
      </c>
      <c r="J2115" s="3">
        <f t="shared" si="55"/>
        <v>25</v>
      </c>
      <c r="K2115" s="3">
        <f t="shared" si="56"/>
        <v>8</v>
      </c>
      <c r="L2115" s="3" t="str">
        <f t="shared" si="57"/>
        <v>EXCELENTE</v>
      </c>
      <c r="N2115">
        <v>94.64</v>
      </c>
      <c r="O2115">
        <v>27.52941176470588</v>
      </c>
    </row>
    <row r="2116" spans="1:15" x14ac:dyDescent="0.25">
      <c r="A2116" s="11">
        <v>46066</v>
      </c>
      <c r="B2116" t="s">
        <v>40</v>
      </c>
      <c r="C2116" t="s">
        <v>16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 t="shared" si="54"/>
        <v>30</v>
      </c>
      <c r="J2116" s="3">
        <f t="shared" si="55"/>
        <v>20</v>
      </c>
      <c r="K2116" s="3">
        <f t="shared" si="56"/>
        <v>10</v>
      </c>
      <c r="L2116" s="3" t="str">
        <f t="shared" si="57"/>
        <v>EXCELENTE</v>
      </c>
      <c r="N2116">
        <v>99.07</v>
      </c>
      <c r="O2116">
        <v>26.376811594202898</v>
      </c>
    </row>
    <row r="2117" spans="1:15" x14ac:dyDescent="0.25">
      <c r="A2117" s="11">
        <v>46066</v>
      </c>
      <c r="B2117" t="s">
        <v>41</v>
      </c>
      <c r="C2117" t="s">
        <v>18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f t="shared" si="54"/>
        <v>0</v>
      </c>
      <c r="J2117" s="3">
        <f t="shared" si="55"/>
        <v>25</v>
      </c>
      <c r="K2117" s="3">
        <f t="shared" si="56"/>
        <v>-25</v>
      </c>
      <c r="L2117" s="3" t="str">
        <f t="shared" si="57"/>
        <v>CRÍTICO</v>
      </c>
      <c r="N2117">
        <v>100</v>
      </c>
      <c r="O2117">
        <v>0</v>
      </c>
    </row>
    <row r="2118" spans="1:15" x14ac:dyDescent="0.25">
      <c r="A2118" s="11">
        <v>46066</v>
      </c>
      <c r="B2118" t="s">
        <v>42</v>
      </c>
      <c r="C2118" t="s">
        <v>43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 t="shared" si="54"/>
        <v>8</v>
      </c>
      <c r="J2118" s="3">
        <f t="shared" si="55"/>
        <v>15</v>
      </c>
      <c r="K2118" s="3">
        <f t="shared" si="56"/>
        <v>-7</v>
      </c>
      <c r="L2118" s="3" t="str">
        <f t="shared" si="57"/>
        <v>CRÍTICO</v>
      </c>
      <c r="N2118">
        <v>98.48</v>
      </c>
      <c r="O2118">
        <v>27.853881278538811</v>
      </c>
    </row>
    <row r="2119" spans="1:15" x14ac:dyDescent="0.25">
      <c r="A2119" s="11">
        <v>46066</v>
      </c>
      <c r="B2119" t="s">
        <v>44</v>
      </c>
      <c r="C2119" t="s">
        <v>18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 t="shared" si="54"/>
        <v>2</v>
      </c>
      <c r="J2119" s="3">
        <f t="shared" si="55"/>
        <v>25</v>
      </c>
      <c r="K2119" s="3">
        <f t="shared" si="56"/>
        <v>-23</v>
      </c>
      <c r="L2119" s="3" t="str">
        <f t="shared" si="57"/>
        <v>CRÍTICO</v>
      </c>
      <c r="N2119">
        <v>95.15</v>
      </c>
      <c r="O2119">
        <v>34.131736526946113</v>
      </c>
    </row>
    <row r="2120" spans="1:15" x14ac:dyDescent="0.25">
      <c r="A2120" s="11">
        <v>46066</v>
      </c>
      <c r="B2120" t="s">
        <v>45</v>
      </c>
      <c r="C2120" t="s">
        <v>43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f t="shared" si="54"/>
        <v>0</v>
      </c>
      <c r="J2120" s="3">
        <f t="shared" si="55"/>
        <v>15</v>
      </c>
      <c r="K2120" s="3">
        <f t="shared" si="56"/>
        <v>-15</v>
      </c>
      <c r="L2120" s="3" t="str">
        <f t="shared" si="57"/>
        <v>CRÍTICO</v>
      </c>
      <c r="N2120">
        <v>0</v>
      </c>
      <c r="O2120">
        <v>0</v>
      </c>
    </row>
    <row r="2121" spans="1:15" x14ac:dyDescent="0.25">
      <c r="A2121" s="11">
        <v>46066</v>
      </c>
      <c r="B2121" t="s">
        <v>46</v>
      </c>
      <c r="C2121" t="s">
        <v>18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 t="shared" si="54"/>
        <v>22</v>
      </c>
      <c r="J2121" s="3">
        <f t="shared" si="55"/>
        <v>25</v>
      </c>
      <c r="K2121" s="3">
        <f t="shared" si="56"/>
        <v>-3</v>
      </c>
      <c r="L2121" s="3" t="str">
        <f t="shared" si="57"/>
        <v>ATENÇÃO</v>
      </c>
      <c r="N2121">
        <v>99.26</v>
      </c>
      <c r="O2121">
        <v>30.84832904884319</v>
      </c>
    </row>
    <row r="2122" spans="1:15" x14ac:dyDescent="0.25">
      <c r="A2122" s="11">
        <v>46066</v>
      </c>
      <c r="B2122" t="s">
        <v>47</v>
      </c>
      <c r="C2122" t="s">
        <v>16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 t="shared" si="54"/>
        <v>22</v>
      </c>
      <c r="J2122" s="3">
        <f t="shared" si="55"/>
        <v>20</v>
      </c>
      <c r="K2122" s="3">
        <f t="shared" si="56"/>
        <v>2</v>
      </c>
      <c r="L2122" s="3" t="str">
        <f t="shared" si="57"/>
        <v>BOM</v>
      </c>
      <c r="N2122">
        <v>97.48</v>
      </c>
      <c r="O2122">
        <v>27.764705882352938</v>
      </c>
    </row>
    <row r="2123" spans="1:15" x14ac:dyDescent="0.25">
      <c r="A2123" s="11">
        <v>46066</v>
      </c>
      <c r="B2123" t="s">
        <v>48</v>
      </c>
      <c r="C2123" t="s">
        <v>16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f t="shared" si="54"/>
        <v>0</v>
      </c>
      <c r="J2123" s="3">
        <f t="shared" si="55"/>
        <v>20</v>
      </c>
      <c r="K2123" s="3">
        <f t="shared" si="56"/>
        <v>-20</v>
      </c>
      <c r="L2123" s="3" t="str">
        <f t="shared" si="57"/>
        <v>CRÍTICO</v>
      </c>
      <c r="N2123">
        <v>99.34</v>
      </c>
      <c r="O2123">
        <v>30.04291845493562</v>
      </c>
    </row>
    <row r="2124" spans="1:15" x14ac:dyDescent="0.25">
      <c r="A2124" s="11">
        <v>46066</v>
      </c>
      <c r="B2124" t="s">
        <v>49</v>
      </c>
      <c r="C2124" t="s">
        <v>18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f t="shared" si="54"/>
        <v>0</v>
      </c>
      <c r="J2124" s="3">
        <f t="shared" si="55"/>
        <v>25</v>
      </c>
      <c r="K2124" s="3">
        <f t="shared" si="56"/>
        <v>-25</v>
      </c>
      <c r="L2124" s="3" t="str">
        <f t="shared" si="57"/>
        <v>CRÍTICO</v>
      </c>
      <c r="N2124">
        <v>96.3</v>
      </c>
      <c r="O2124">
        <v>24.29378531073446</v>
      </c>
    </row>
    <row r="2125" spans="1:15" x14ac:dyDescent="0.25">
      <c r="A2125" s="11">
        <v>46066</v>
      </c>
      <c r="B2125" t="s">
        <v>50</v>
      </c>
      <c r="C2125" t="s">
        <v>20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 t="shared" si="54"/>
        <v>16</v>
      </c>
      <c r="J2125" s="3">
        <f t="shared" si="55"/>
        <v>17</v>
      </c>
      <c r="K2125" s="3">
        <f t="shared" si="56"/>
        <v>-1</v>
      </c>
      <c r="L2125" s="3" t="str">
        <f t="shared" si="57"/>
        <v>ATENÇÃO</v>
      </c>
      <c r="N2125">
        <v>100</v>
      </c>
      <c r="O2125">
        <v>26.543209876543209</v>
      </c>
    </row>
    <row r="2126" spans="1:15" x14ac:dyDescent="0.25">
      <c r="A2126" s="11">
        <v>46066</v>
      </c>
      <c r="B2126" t="s">
        <v>51</v>
      </c>
      <c r="C2126" t="s">
        <v>23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 t="shared" si="54"/>
        <v>25</v>
      </c>
      <c r="J2126" s="3">
        <f t="shared" si="55"/>
        <v>7</v>
      </c>
      <c r="K2126" s="3">
        <f t="shared" si="56"/>
        <v>18</v>
      </c>
      <c r="L2126" s="3" t="str">
        <f t="shared" si="57"/>
        <v>EXCELENTE</v>
      </c>
      <c r="N2126">
        <v>100</v>
      </c>
      <c r="O2126">
        <v>35.483870967741943</v>
      </c>
    </row>
    <row r="2127" spans="1:15" x14ac:dyDescent="0.25">
      <c r="A2127" s="11">
        <v>46066</v>
      </c>
      <c r="B2127" t="s">
        <v>52</v>
      </c>
      <c r="C2127" t="s">
        <v>18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 t="shared" si="54"/>
        <v>25</v>
      </c>
      <c r="J2127" s="3">
        <f t="shared" si="55"/>
        <v>25</v>
      </c>
      <c r="K2127" s="3">
        <f t="shared" si="56"/>
        <v>0</v>
      </c>
      <c r="L2127" s="3" t="str">
        <f t="shared" si="57"/>
        <v>BOM</v>
      </c>
      <c r="N2127">
        <v>99.27</v>
      </c>
      <c r="O2127">
        <v>31.163708086785011</v>
      </c>
    </row>
    <row r="2128" spans="1:15" x14ac:dyDescent="0.25">
      <c r="A2128" s="11">
        <v>46066</v>
      </c>
      <c r="B2128" t="s">
        <v>53</v>
      </c>
      <c r="C2128" t="s">
        <v>18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 t="shared" si="54"/>
        <v>33</v>
      </c>
      <c r="J2128" s="3">
        <f t="shared" si="55"/>
        <v>25</v>
      </c>
      <c r="K2128" s="3">
        <f t="shared" si="56"/>
        <v>8</v>
      </c>
      <c r="L2128" s="3" t="str">
        <f t="shared" si="57"/>
        <v>EXCELENTE</v>
      </c>
      <c r="N2128">
        <v>94.16</v>
      </c>
      <c r="O2128">
        <v>27.038626609442058</v>
      </c>
    </row>
    <row r="2129" spans="1:15" x14ac:dyDescent="0.25">
      <c r="A2129" s="11">
        <v>46066</v>
      </c>
      <c r="B2129" t="s">
        <v>54</v>
      </c>
      <c r="C2129" t="s">
        <v>23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 t="shared" si="54"/>
        <v>11</v>
      </c>
      <c r="J2129" s="3">
        <f t="shared" si="55"/>
        <v>7</v>
      </c>
      <c r="K2129" s="3">
        <f t="shared" si="56"/>
        <v>4</v>
      </c>
      <c r="L2129" s="3" t="str">
        <f t="shared" si="57"/>
        <v>BOM</v>
      </c>
      <c r="N2129">
        <v>93.75</v>
      </c>
      <c r="O2129">
        <v>19.31818181818182</v>
      </c>
    </row>
    <row r="2130" spans="1:15" x14ac:dyDescent="0.25">
      <c r="A2130" s="11">
        <v>46066</v>
      </c>
      <c r="B2130" t="s">
        <v>55</v>
      </c>
      <c r="C2130" t="s">
        <v>43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f t="shared" si="54"/>
        <v>0</v>
      </c>
      <c r="J2130" s="3">
        <f t="shared" si="55"/>
        <v>15</v>
      </c>
      <c r="K2130" s="3">
        <f t="shared" si="56"/>
        <v>-15</v>
      </c>
      <c r="L2130" s="3" t="str">
        <f t="shared" si="57"/>
        <v>CRÍTICO</v>
      </c>
      <c r="N2130">
        <v>0</v>
      </c>
      <c r="O2130">
        <v>0</v>
      </c>
    </row>
    <row r="2131" spans="1:15" x14ac:dyDescent="0.25">
      <c r="A2131" s="11">
        <v>46066</v>
      </c>
      <c r="B2131" t="s">
        <v>56</v>
      </c>
      <c r="C2131" t="s">
        <v>16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f t="shared" si="54"/>
        <v>0</v>
      </c>
      <c r="J2131" s="3">
        <f t="shared" si="55"/>
        <v>20</v>
      </c>
      <c r="K2131" s="3">
        <f t="shared" si="56"/>
        <v>-20</v>
      </c>
      <c r="L2131" s="3" t="str">
        <f t="shared" si="57"/>
        <v>CRÍTICO</v>
      </c>
      <c r="N2131">
        <v>97.92</v>
      </c>
      <c r="O2131">
        <v>32.87671232876712</v>
      </c>
    </row>
    <row r="2132" spans="1:15" x14ac:dyDescent="0.25">
      <c r="A2132" s="11">
        <v>46066</v>
      </c>
      <c r="B2132" t="s">
        <v>57</v>
      </c>
      <c r="C2132" t="s">
        <v>43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f t="shared" si="54"/>
        <v>0</v>
      </c>
      <c r="J2132" s="3">
        <f t="shared" si="55"/>
        <v>15</v>
      </c>
      <c r="K2132" s="3">
        <f t="shared" si="56"/>
        <v>-15</v>
      </c>
      <c r="L2132" s="3" t="str">
        <f t="shared" si="57"/>
        <v>CRÍTICO</v>
      </c>
      <c r="N2132">
        <v>0</v>
      </c>
      <c r="O2132">
        <v>0</v>
      </c>
    </row>
    <row r="2133" spans="1:15" x14ac:dyDescent="0.25">
      <c r="A2133" s="11">
        <v>46066</v>
      </c>
      <c r="B2133" t="s">
        <v>58</v>
      </c>
      <c r="C2133" t="s">
        <v>43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f t="shared" si="54"/>
        <v>0</v>
      </c>
      <c r="J2133" s="3">
        <f t="shared" si="55"/>
        <v>15</v>
      </c>
      <c r="K2133" s="3">
        <f t="shared" si="56"/>
        <v>-15</v>
      </c>
      <c r="L2133" s="3" t="str">
        <f t="shared" si="57"/>
        <v>CRÍTICO</v>
      </c>
      <c r="N2133">
        <v>0</v>
      </c>
      <c r="O2133">
        <v>0</v>
      </c>
    </row>
    <row r="2134" spans="1:15" x14ac:dyDescent="0.25">
      <c r="A2134" s="11">
        <v>46066</v>
      </c>
      <c r="B2134" t="s">
        <v>59</v>
      </c>
      <c r="C2134" t="s">
        <v>23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f t="shared" si="54"/>
        <v>0</v>
      </c>
      <c r="J2134" s="3">
        <f t="shared" si="55"/>
        <v>7</v>
      </c>
      <c r="K2134" s="3">
        <f t="shared" si="56"/>
        <v>-7</v>
      </c>
      <c r="L2134" s="3" t="str">
        <f t="shared" si="57"/>
        <v>CRÍTICO</v>
      </c>
      <c r="N2134">
        <v>0</v>
      </c>
      <c r="O2134">
        <v>0</v>
      </c>
    </row>
    <row r="2135" spans="1:15" x14ac:dyDescent="0.25">
      <c r="A2135" s="11">
        <v>46066</v>
      </c>
      <c r="B2135" t="s">
        <v>60</v>
      </c>
      <c r="C2135" t="s">
        <v>20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 t="shared" si="54"/>
        <v>16</v>
      </c>
      <c r="J2135" s="3">
        <f t="shared" si="55"/>
        <v>17</v>
      </c>
      <c r="K2135" s="3">
        <f t="shared" si="56"/>
        <v>-1</v>
      </c>
      <c r="L2135" s="3" t="str">
        <f t="shared" si="57"/>
        <v>ATENÇÃO</v>
      </c>
      <c r="N2135">
        <v>98.51</v>
      </c>
      <c r="O2135">
        <v>29.710144927536231</v>
      </c>
    </row>
    <row r="2136" spans="1:15" x14ac:dyDescent="0.25">
      <c r="A2136" s="11">
        <v>46066</v>
      </c>
      <c r="B2136" t="s">
        <v>61</v>
      </c>
      <c r="C2136" t="s">
        <v>18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 t="shared" si="54"/>
        <v>32</v>
      </c>
      <c r="J2136" s="3">
        <f t="shared" si="55"/>
        <v>25</v>
      </c>
      <c r="K2136" s="3">
        <f t="shared" si="56"/>
        <v>7</v>
      </c>
      <c r="L2136" s="3" t="str">
        <f t="shared" si="57"/>
        <v>EXCELENTE</v>
      </c>
      <c r="N2136">
        <v>98.81</v>
      </c>
      <c r="O2136">
        <v>30.712979890310791</v>
      </c>
    </row>
    <row r="2137" spans="1:15" x14ac:dyDescent="0.25">
      <c r="A2137" s="11">
        <v>46066</v>
      </c>
      <c r="B2137" t="s">
        <v>62</v>
      </c>
      <c r="C2137" t="s">
        <v>20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 t="shared" si="54"/>
        <v>9</v>
      </c>
      <c r="J2137" s="3">
        <f t="shared" si="55"/>
        <v>17</v>
      </c>
      <c r="K2137" s="3">
        <f t="shared" si="56"/>
        <v>-8</v>
      </c>
      <c r="L2137" s="3" t="str">
        <f t="shared" si="57"/>
        <v>CRÍTICO</v>
      </c>
      <c r="N2137">
        <v>98.48</v>
      </c>
      <c r="O2137">
        <v>29.35323383084577</v>
      </c>
    </row>
    <row r="2138" spans="1:15" x14ac:dyDescent="0.25">
      <c r="A2138" s="11">
        <v>46066</v>
      </c>
      <c r="B2138" t="s">
        <v>63</v>
      </c>
      <c r="C2138" t="s">
        <v>18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 t="shared" si="54"/>
        <v>30</v>
      </c>
      <c r="J2138" s="3">
        <f t="shared" si="55"/>
        <v>25</v>
      </c>
      <c r="K2138" s="3">
        <f t="shared" si="56"/>
        <v>5</v>
      </c>
      <c r="L2138" s="3" t="str">
        <f t="shared" si="57"/>
        <v>BOM</v>
      </c>
      <c r="N2138">
        <v>98.56</v>
      </c>
      <c r="O2138">
        <v>29.373650107991359</v>
      </c>
    </row>
    <row r="2139" spans="1:15" x14ac:dyDescent="0.25">
      <c r="A2139" s="11">
        <v>46069</v>
      </c>
      <c r="B2139" t="s">
        <v>15</v>
      </c>
      <c r="C2139" t="s">
        <v>16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 t="shared" si="54"/>
        <v>8</v>
      </c>
      <c r="J2139" s="3">
        <f t="shared" si="55"/>
        <v>5</v>
      </c>
      <c r="K2139" s="3">
        <f t="shared" si="56"/>
        <v>3</v>
      </c>
      <c r="L2139" s="3" t="str">
        <f t="shared" si="57"/>
        <v>BOM</v>
      </c>
      <c r="N2139">
        <v>98.32</v>
      </c>
      <c r="O2139">
        <v>30.303030303030301</v>
      </c>
    </row>
    <row r="2140" spans="1:15" x14ac:dyDescent="0.25">
      <c r="A2140" s="11">
        <v>46069</v>
      </c>
      <c r="B2140" t="s">
        <v>17</v>
      </c>
      <c r="C2140" t="s">
        <v>18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f t="shared" si="54"/>
        <v>0</v>
      </c>
      <c r="J2140" s="3">
        <f t="shared" si="55"/>
        <v>7</v>
      </c>
      <c r="K2140" s="3">
        <f t="shared" si="56"/>
        <v>-7</v>
      </c>
      <c r="L2140" s="3" t="str">
        <f t="shared" si="57"/>
        <v>CRÍTICO</v>
      </c>
      <c r="N2140">
        <v>98.68</v>
      </c>
      <c r="O2140">
        <v>26.219512195121951</v>
      </c>
    </row>
    <row r="2141" spans="1:15" x14ac:dyDescent="0.25">
      <c r="A2141" s="11">
        <v>46069</v>
      </c>
      <c r="B2141" t="s">
        <v>19</v>
      </c>
      <c r="C2141" t="s">
        <v>20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 t="shared" si="54"/>
        <v>8</v>
      </c>
      <c r="J2141" s="3">
        <f t="shared" si="55"/>
        <v>4</v>
      </c>
      <c r="K2141" s="3">
        <f t="shared" si="56"/>
        <v>4</v>
      </c>
      <c r="L2141" s="3" t="str">
        <f t="shared" si="57"/>
        <v>BOM</v>
      </c>
      <c r="N2141">
        <v>100</v>
      </c>
      <c r="O2141">
        <v>31.74224343675418</v>
      </c>
    </row>
    <row r="2142" spans="1:15" x14ac:dyDescent="0.25">
      <c r="A2142" s="11">
        <v>46069</v>
      </c>
      <c r="B2142" t="s">
        <v>21</v>
      </c>
      <c r="C2142" t="s">
        <v>18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 t="shared" si="54"/>
        <v>8</v>
      </c>
      <c r="J2142" s="3">
        <f t="shared" si="55"/>
        <v>7</v>
      </c>
      <c r="K2142" s="3">
        <f t="shared" si="56"/>
        <v>1</v>
      </c>
      <c r="L2142" s="3" t="str">
        <f t="shared" si="57"/>
        <v>BOM</v>
      </c>
      <c r="N2142">
        <v>98.25</v>
      </c>
      <c r="O2142">
        <v>25.83518930957684</v>
      </c>
    </row>
    <row r="2143" spans="1:15" x14ac:dyDescent="0.25">
      <c r="A2143" s="11">
        <v>46069</v>
      </c>
      <c r="B2143" t="s">
        <v>22</v>
      </c>
      <c r="C2143" t="s">
        <v>23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 t="shared" si="54"/>
        <v>2</v>
      </c>
      <c r="J2143" s="3">
        <f t="shared" si="55"/>
        <v>2</v>
      </c>
      <c r="K2143" s="3">
        <f t="shared" si="56"/>
        <v>0</v>
      </c>
      <c r="L2143" s="3" t="str">
        <f t="shared" si="57"/>
        <v>BOM</v>
      </c>
      <c r="N2143">
        <v>97.5</v>
      </c>
      <c r="O2143">
        <v>30.075187969924809</v>
      </c>
    </row>
    <row r="2144" spans="1:15" x14ac:dyDescent="0.25">
      <c r="A2144" s="11">
        <v>46069</v>
      </c>
      <c r="B2144" t="s">
        <v>24</v>
      </c>
      <c r="C2144" t="s">
        <v>16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 t="shared" si="54"/>
        <v>6</v>
      </c>
      <c r="J2144" s="3">
        <f t="shared" si="55"/>
        <v>5</v>
      </c>
      <c r="K2144" s="3">
        <f t="shared" si="56"/>
        <v>1</v>
      </c>
      <c r="L2144" s="3" t="str">
        <f t="shared" si="57"/>
        <v>BOM</v>
      </c>
      <c r="N2144">
        <v>100</v>
      </c>
      <c r="O2144">
        <v>29.71311475409836</v>
      </c>
    </row>
    <row r="2145" spans="1:15" x14ac:dyDescent="0.25">
      <c r="A2145" s="11">
        <v>46069</v>
      </c>
      <c r="B2145" t="s">
        <v>25</v>
      </c>
      <c r="C2145" t="s">
        <v>16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 t="shared" si="54"/>
        <v>7</v>
      </c>
      <c r="J2145" s="3">
        <f t="shared" si="55"/>
        <v>5</v>
      </c>
      <c r="K2145" s="3">
        <f t="shared" si="56"/>
        <v>2</v>
      </c>
      <c r="L2145" s="3" t="str">
        <f t="shared" si="57"/>
        <v>BOM</v>
      </c>
      <c r="N2145">
        <v>99.22</v>
      </c>
      <c r="O2145">
        <v>35.256410256410263</v>
      </c>
    </row>
    <row r="2146" spans="1:15" x14ac:dyDescent="0.25">
      <c r="A2146" s="11">
        <v>46069</v>
      </c>
      <c r="B2146" t="s">
        <v>26</v>
      </c>
      <c r="C2146" t="s">
        <v>23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f t="shared" si="54"/>
        <v>0</v>
      </c>
      <c r="J2146" s="3">
        <f t="shared" si="55"/>
        <v>2</v>
      </c>
      <c r="K2146" s="3">
        <f t="shared" si="56"/>
        <v>-2</v>
      </c>
      <c r="L2146" s="3" t="str">
        <f t="shared" si="57"/>
        <v>ATENÇÃO</v>
      </c>
      <c r="N2146">
        <v>0</v>
      </c>
      <c r="O2146">
        <v>0</v>
      </c>
    </row>
    <row r="2147" spans="1:15" x14ac:dyDescent="0.25">
      <c r="A2147" s="11">
        <v>46069</v>
      </c>
      <c r="B2147" t="s">
        <v>27</v>
      </c>
      <c r="C2147" t="s">
        <v>20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 t="shared" ref="I2147:I2210" si="58">E2147+G2147+H2147</f>
        <v>6</v>
      </c>
      <c r="J2147" s="3">
        <f t="shared" ref="J2147:J2210" si="59"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4</v>
      </c>
      <c r="K2147" s="3">
        <f t="shared" ref="K2147:K2210" si="60">I2147-J2147</f>
        <v>2</v>
      </c>
      <c r="L2147" s="3" t="str">
        <f t="shared" ref="L2147:L2210" si="61">IF(K2147&lt;-5,"CRÍTICO",IF(K2147&lt;0,"ATENÇÃO",IF(K2147&lt;=5,"BOM","EXCELENTE")))</f>
        <v>BOM</v>
      </c>
      <c r="N2147">
        <v>98.75</v>
      </c>
      <c r="O2147">
        <v>24.32432432432433</v>
      </c>
    </row>
    <row r="2148" spans="1:15" x14ac:dyDescent="0.25">
      <c r="A2148" s="11">
        <v>46069</v>
      </c>
      <c r="B2148" t="s">
        <v>28</v>
      </c>
      <c r="C2148" t="s">
        <v>18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 t="shared" si="58"/>
        <v>7</v>
      </c>
      <c r="J2148" s="3">
        <f t="shared" si="59"/>
        <v>7</v>
      </c>
      <c r="K2148" s="3">
        <f t="shared" si="60"/>
        <v>0</v>
      </c>
      <c r="L2148" s="3" t="str">
        <f t="shared" si="61"/>
        <v>BOM</v>
      </c>
      <c r="N2148">
        <v>93.48</v>
      </c>
      <c r="O2148">
        <v>31.334622823984521</v>
      </c>
    </row>
    <row r="2149" spans="1:15" x14ac:dyDescent="0.25">
      <c r="A2149" s="11">
        <v>46069</v>
      </c>
      <c r="B2149" t="s">
        <v>29</v>
      </c>
      <c r="C2149" t="s">
        <v>16</v>
      </c>
      <c r="D2149">
        <v>0</v>
      </c>
      <c r="E2149">
        <v>0</v>
      </c>
      <c r="F2149">
        <v>0</v>
      </c>
      <c r="G2149">
        <v>0</v>
      </c>
      <c r="H2149">
        <v>0</v>
      </c>
      <c r="I2149" s="3">
        <f t="shared" si="58"/>
        <v>0</v>
      </c>
      <c r="J2149" s="3">
        <f t="shared" si="59"/>
        <v>5</v>
      </c>
      <c r="K2149" s="3">
        <f t="shared" si="60"/>
        <v>-5</v>
      </c>
      <c r="L2149" s="3" t="str">
        <f t="shared" si="61"/>
        <v>ATENÇÃO</v>
      </c>
      <c r="N2149">
        <v>99.16</v>
      </c>
      <c r="O2149">
        <v>26.13908872901678</v>
      </c>
    </row>
    <row r="2150" spans="1:15" x14ac:dyDescent="0.25">
      <c r="A2150" s="11">
        <v>46069</v>
      </c>
      <c r="B2150" t="s">
        <v>30</v>
      </c>
      <c r="C2150" t="s">
        <v>20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 t="shared" si="58"/>
        <v>8</v>
      </c>
      <c r="J2150" s="3">
        <f t="shared" si="59"/>
        <v>4</v>
      </c>
      <c r="K2150" s="3">
        <f t="shared" si="60"/>
        <v>4</v>
      </c>
      <c r="L2150" s="3" t="str">
        <f t="shared" si="61"/>
        <v>BOM</v>
      </c>
      <c r="N2150">
        <v>100</v>
      </c>
      <c r="O2150">
        <v>31.089743589743591</v>
      </c>
    </row>
    <row r="2151" spans="1:15" x14ac:dyDescent="0.25">
      <c r="A2151" s="11">
        <v>46069</v>
      </c>
      <c r="B2151" t="s">
        <v>31</v>
      </c>
      <c r="C2151" t="s">
        <v>18</v>
      </c>
      <c r="D2151">
        <v>0</v>
      </c>
      <c r="E2151">
        <v>0</v>
      </c>
      <c r="F2151">
        <v>0</v>
      </c>
      <c r="G2151">
        <v>0</v>
      </c>
      <c r="H2151">
        <v>0</v>
      </c>
      <c r="I2151" s="3">
        <f t="shared" si="58"/>
        <v>0</v>
      </c>
      <c r="J2151" s="3">
        <f t="shared" si="59"/>
        <v>7</v>
      </c>
      <c r="K2151" s="3">
        <f t="shared" si="60"/>
        <v>-7</v>
      </c>
      <c r="L2151" s="3" t="str">
        <f t="shared" si="61"/>
        <v>CRÍTICO</v>
      </c>
      <c r="N2151">
        <v>98.11</v>
      </c>
      <c r="O2151">
        <v>33.033707865168537</v>
      </c>
    </row>
    <row r="2152" spans="1:15" x14ac:dyDescent="0.25">
      <c r="A2152" s="11">
        <v>46069</v>
      </c>
      <c r="B2152" t="s">
        <v>32</v>
      </c>
      <c r="C2152" t="s">
        <v>23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 t="shared" si="58"/>
        <v>4</v>
      </c>
      <c r="J2152" s="3">
        <f t="shared" si="59"/>
        <v>2</v>
      </c>
      <c r="K2152" s="3">
        <f t="shared" si="60"/>
        <v>2</v>
      </c>
      <c r="L2152" s="3" t="str">
        <f t="shared" si="61"/>
        <v>BOM</v>
      </c>
      <c r="N2152">
        <v>78.95</v>
      </c>
      <c r="O2152">
        <v>38.983050847457633</v>
      </c>
    </row>
    <row r="2153" spans="1:15" x14ac:dyDescent="0.25">
      <c r="A2153" s="11">
        <v>46069</v>
      </c>
      <c r="B2153" t="s">
        <v>33</v>
      </c>
      <c r="C2153" t="s">
        <v>16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 t="shared" si="58"/>
        <v>10</v>
      </c>
      <c r="J2153" s="3">
        <f t="shared" si="59"/>
        <v>5</v>
      </c>
      <c r="K2153" s="3">
        <f t="shared" si="60"/>
        <v>5</v>
      </c>
      <c r="L2153" s="3" t="str">
        <f t="shared" si="61"/>
        <v>BOM</v>
      </c>
      <c r="N2153">
        <v>98.45</v>
      </c>
      <c r="O2153">
        <v>29.281767955801101</v>
      </c>
    </row>
    <row r="2154" spans="1:15" x14ac:dyDescent="0.25">
      <c r="A2154" s="11">
        <v>46069</v>
      </c>
      <c r="B2154" t="s">
        <v>34</v>
      </c>
      <c r="C2154" t="s">
        <v>18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 t="shared" si="58"/>
        <v>8</v>
      </c>
      <c r="J2154" s="3">
        <f t="shared" si="59"/>
        <v>7</v>
      </c>
      <c r="K2154" s="3">
        <f t="shared" si="60"/>
        <v>1</v>
      </c>
      <c r="L2154" s="3" t="str">
        <f t="shared" si="61"/>
        <v>BOM</v>
      </c>
      <c r="N2154">
        <v>97.84</v>
      </c>
      <c r="O2154">
        <v>26.282051282051281</v>
      </c>
    </row>
    <row r="2155" spans="1:15" x14ac:dyDescent="0.25">
      <c r="A2155" s="11">
        <v>46069</v>
      </c>
      <c r="B2155" t="s">
        <v>35</v>
      </c>
      <c r="C2155" t="s">
        <v>16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 t="shared" si="58"/>
        <v>7</v>
      </c>
      <c r="J2155" s="3">
        <f t="shared" si="59"/>
        <v>5</v>
      </c>
      <c r="K2155" s="3">
        <f t="shared" si="60"/>
        <v>2</v>
      </c>
      <c r="L2155" s="3" t="str">
        <f t="shared" si="61"/>
        <v>BOM</v>
      </c>
      <c r="N2155">
        <v>98.5</v>
      </c>
      <c r="O2155">
        <v>23.97769516728625</v>
      </c>
    </row>
    <row r="2156" spans="1:15" x14ac:dyDescent="0.25">
      <c r="A2156" s="11">
        <v>46101</v>
      </c>
      <c r="B2156" t="s">
        <v>36</v>
      </c>
      <c r="C2156" t="s">
        <v>20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 t="shared" si="58"/>
        <v>17</v>
      </c>
      <c r="J2156" s="3">
        <f t="shared" si="59"/>
        <v>13</v>
      </c>
      <c r="K2156" s="3">
        <f t="shared" si="60"/>
        <v>4</v>
      </c>
      <c r="L2156" s="3" t="str">
        <f t="shared" si="61"/>
        <v>BOM</v>
      </c>
      <c r="N2156">
        <v>99.05</v>
      </c>
      <c r="O2156">
        <v>26.621923937360179</v>
      </c>
    </row>
    <row r="2157" spans="1:15" x14ac:dyDescent="0.25">
      <c r="A2157" s="11">
        <v>46069</v>
      </c>
      <c r="B2157" t="s">
        <v>37</v>
      </c>
      <c r="C2157" t="s">
        <v>16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 t="shared" si="58"/>
        <v>5</v>
      </c>
      <c r="J2157" s="3">
        <f t="shared" si="59"/>
        <v>5</v>
      </c>
      <c r="K2157" s="3">
        <f t="shared" si="60"/>
        <v>0</v>
      </c>
      <c r="L2157" s="3" t="str">
        <f t="shared" si="61"/>
        <v>BOM</v>
      </c>
      <c r="N2157">
        <v>98.53</v>
      </c>
      <c r="O2157">
        <v>31.578947368421051</v>
      </c>
    </row>
    <row r="2158" spans="1:15" x14ac:dyDescent="0.25">
      <c r="A2158" s="11">
        <v>46069</v>
      </c>
      <c r="B2158" t="s">
        <v>38</v>
      </c>
      <c r="C2158" t="s">
        <v>18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 t="shared" si="58"/>
        <v>6</v>
      </c>
      <c r="J2158" s="3">
        <f t="shared" si="59"/>
        <v>7</v>
      </c>
      <c r="K2158" s="3">
        <f t="shared" si="60"/>
        <v>-1</v>
      </c>
      <c r="L2158" s="3" t="str">
        <f t="shared" si="61"/>
        <v>ATENÇÃO</v>
      </c>
      <c r="N2158">
        <v>100</v>
      </c>
      <c r="O2158">
        <v>25.72214580467676</v>
      </c>
    </row>
    <row r="2159" spans="1:15" x14ac:dyDescent="0.25">
      <c r="A2159" s="11">
        <v>46069</v>
      </c>
      <c r="B2159" t="s">
        <v>39</v>
      </c>
      <c r="C2159" t="s">
        <v>18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 t="shared" si="58"/>
        <v>7</v>
      </c>
      <c r="J2159" s="3">
        <f t="shared" si="59"/>
        <v>7</v>
      </c>
      <c r="K2159" s="3">
        <f t="shared" si="60"/>
        <v>0</v>
      </c>
      <c r="L2159" s="3" t="str">
        <f t="shared" si="61"/>
        <v>BOM</v>
      </c>
      <c r="N2159">
        <v>94.64</v>
      </c>
      <c r="O2159">
        <v>27.52941176470588</v>
      </c>
    </row>
    <row r="2160" spans="1:15" x14ac:dyDescent="0.25">
      <c r="A2160" s="11">
        <v>46069</v>
      </c>
      <c r="B2160" t="s">
        <v>40</v>
      </c>
      <c r="C2160" t="s">
        <v>16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 t="shared" si="58"/>
        <v>7</v>
      </c>
      <c r="J2160" s="3">
        <f t="shared" si="59"/>
        <v>5</v>
      </c>
      <c r="K2160" s="3">
        <f t="shared" si="60"/>
        <v>2</v>
      </c>
      <c r="L2160" s="3" t="str">
        <f t="shared" si="61"/>
        <v>BOM</v>
      </c>
      <c r="N2160">
        <v>99.07</v>
      </c>
      <c r="O2160">
        <v>26.376811594202898</v>
      </c>
    </row>
    <row r="2161" spans="1:15" x14ac:dyDescent="0.25">
      <c r="A2161" s="11">
        <v>46069</v>
      </c>
      <c r="B2161" t="s">
        <v>41</v>
      </c>
      <c r="C2161" t="s">
        <v>18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f t="shared" si="58"/>
        <v>0</v>
      </c>
      <c r="J2161" s="3">
        <f t="shared" si="59"/>
        <v>7</v>
      </c>
      <c r="K2161" s="3">
        <f t="shared" si="60"/>
        <v>-7</v>
      </c>
      <c r="L2161" s="3" t="str">
        <f t="shared" si="61"/>
        <v>CRÍTICO</v>
      </c>
      <c r="N2161">
        <v>100</v>
      </c>
      <c r="O2161">
        <v>0</v>
      </c>
    </row>
    <row r="2162" spans="1:15" x14ac:dyDescent="0.25">
      <c r="A2162" s="11">
        <v>46069</v>
      </c>
      <c r="B2162" t="s">
        <v>42</v>
      </c>
      <c r="C2162" t="s">
        <v>43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f t="shared" si="58"/>
        <v>0</v>
      </c>
      <c r="J2162" s="3">
        <f t="shared" si="59"/>
        <v>4</v>
      </c>
      <c r="K2162" s="3">
        <f t="shared" si="60"/>
        <v>-4</v>
      </c>
      <c r="L2162" s="3" t="str">
        <f t="shared" si="61"/>
        <v>ATENÇÃO</v>
      </c>
      <c r="N2162">
        <v>98.48</v>
      </c>
      <c r="O2162">
        <v>27.853881278538811</v>
      </c>
    </row>
    <row r="2163" spans="1:15" x14ac:dyDescent="0.25">
      <c r="A2163" s="11">
        <v>46069</v>
      </c>
      <c r="B2163" t="s">
        <v>44</v>
      </c>
      <c r="C2163" t="s">
        <v>18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 t="shared" si="58"/>
        <v>6</v>
      </c>
      <c r="J2163" s="3">
        <f t="shared" si="59"/>
        <v>7</v>
      </c>
      <c r="K2163" s="3">
        <f t="shared" si="60"/>
        <v>-1</v>
      </c>
      <c r="L2163" s="3" t="str">
        <f t="shared" si="61"/>
        <v>ATENÇÃO</v>
      </c>
      <c r="N2163">
        <v>95.15</v>
      </c>
      <c r="O2163">
        <v>34.131736526946113</v>
      </c>
    </row>
    <row r="2164" spans="1:15" x14ac:dyDescent="0.25">
      <c r="A2164" s="11">
        <v>46069</v>
      </c>
      <c r="B2164" t="s">
        <v>45</v>
      </c>
      <c r="C2164" t="s">
        <v>43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f t="shared" si="58"/>
        <v>0</v>
      </c>
      <c r="J2164" s="3">
        <f t="shared" si="59"/>
        <v>4</v>
      </c>
      <c r="K2164" s="3">
        <f t="shared" si="60"/>
        <v>-4</v>
      </c>
      <c r="L2164" s="3" t="str">
        <f t="shared" si="61"/>
        <v>ATENÇÃO</v>
      </c>
      <c r="N2164">
        <v>0</v>
      </c>
      <c r="O2164">
        <v>0</v>
      </c>
    </row>
    <row r="2165" spans="1:15" x14ac:dyDescent="0.25">
      <c r="A2165" s="11">
        <v>46069</v>
      </c>
      <c r="B2165" t="s">
        <v>46</v>
      </c>
      <c r="C2165" t="s">
        <v>18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 t="shared" si="58"/>
        <v>8</v>
      </c>
      <c r="J2165" s="3">
        <f t="shared" si="59"/>
        <v>7</v>
      </c>
      <c r="K2165" s="3">
        <f t="shared" si="60"/>
        <v>1</v>
      </c>
      <c r="L2165" s="3" t="str">
        <f t="shared" si="61"/>
        <v>BOM</v>
      </c>
      <c r="N2165">
        <v>99.26</v>
      </c>
      <c r="O2165">
        <v>30.84832904884319</v>
      </c>
    </row>
    <row r="2166" spans="1:15" x14ac:dyDescent="0.25">
      <c r="A2166" s="11">
        <v>46069</v>
      </c>
      <c r="B2166" t="s">
        <v>47</v>
      </c>
      <c r="C2166" t="s">
        <v>16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 t="shared" si="58"/>
        <v>6</v>
      </c>
      <c r="J2166" s="3">
        <f t="shared" si="59"/>
        <v>5</v>
      </c>
      <c r="K2166" s="3">
        <f t="shared" si="60"/>
        <v>1</v>
      </c>
      <c r="L2166" s="3" t="str">
        <f t="shared" si="61"/>
        <v>BOM</v>
      </c>
      <c r="N2166">
        <v>97.48</v>
      </c>
      <c r="O2166">
        <v>27.764705882352938</v>
      </c>
    </row>
    <row r="2167" spans="1:15" x14ac:dyDescent="0.25">
      <c r="A2167" s="11">
        <v>46069</v>
      </c>
      <c r="B2167" t="s">
        <v>48</v>
      </c>
      <c r="C2167" t="s">
        <v>16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f t="shared" si="58"/>
        <v>0</v>
      </c>
      <c r="J2167" s="3">
        <f t="shared" si="59"/>
        <v>5</v>
      </c>
      <c r="K2167" s="3">
        <f t="shared" si="60"/>
        <v>-5</v>
      </c>
      <c r="L2167" s="3" t="str">
        <f t="shared" si="61"/>
        <v>ATENÇÃO</v>
      </c>
      <c r="N2167">
        <v>99.34</v>
      </c>
      <c r="O2167">
        <v>30.04291845493562</v>
      </c>
    </row>
    <row r="2168" spans="1:15" x14ac:dyDescent="0.25">
      <c r="A2168" s="11">
        <v>46069</v>
      </c>
      <c r="B2168" t="s">
        <v>49</v>
      </c>
      <c r="C2168" t="s">
        <v>18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f t="shared" si="58"/>
        <v>0</v>
      </c>
      <c r="J2168" s="3">
        <f t="shared" si="59"/>
        <v>7</v>
      </c>
      <c r="K2168" s="3">
        <f t="shared" si="60"/>
        <v>-7</v>
      </c>
      <c r="L2168" s="3" t="str">
        <f t="shared" si="61"/>
        <v>CRÍTICO</v>
      </c>
      <c r="N2168">
        <v>96.3</v>
      </c>
      <c r="O2168">
        <v>24.29378531073446</v>
      </c>
    </row>
    <row r="2169" spans="1:15" x14ac:dyDescent="0.25">
      <c r="A2169" s="11">
        <v>46069</v>
      </c>
      <c r="B2169" t="s">
        <v>50</v>
      </c>
      <c r="C2169" t="s">
        <v>20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 t="shared" si="58"/>
        <v>7</v>
      </c>
      <c r="J2169" s="3">
        <f t="shared" si="59"/>
        <v>4</v>
      </c>
      <c r="K2169" s="3">
        <f t="shared" si="60"/>
        <v>3</v>
      </c>
      <c r="L2169" s="3" t="str">
        <f t="shared" si="61"/>
        <v>BOM</v>
      </c>
      <c r="N2169">
        <v>100</v>
      </c>
      <c r="O2169">
        <v>26.543209876543209</v>
      </c>
    </row>
    <row r="2170" spans="1:15" x14ac:dyDescent="0.25">
      <c r="A2170" s="11">
        <v>46069</v>
      </c>
      <c r="B2170" t="s">
        <v>51</v>
      </c>
      <c r="C2170" t="s">
        <v>23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 t="shared" si="58"/>
        <v>4</v>
      </c>
      <c r="J2170" s="3">
        <f t="shared" si="59"/>
        <v>2</v>
      </c>
      <c r="K2170" s="3">
        <f t="shared" si="60"/>
        <v>2</v>
      </c>
      <c r="L2170" s="3" t="str">
        <f t="shared" si="61"/>
        <v>BOM</v>
      </c>
      <c r="N2170">
        <v>100</v>
      </c>
      <c r="O2170">
        <v>35.483870967741943</v>
      </c>
    </row>
    <row r="2171" spans="1:15" x14ac:dyDescent="0.25">
      <c r="A2171" s="11">
        <v>46069</v>
      </c>
      <c r="B2171" t="s">
        <v>52</v>
      </c>
      <c r="C2171" t="s">
        <v>18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 t="shared" si="58"/>
        <v>2</v>
      </c>
      <c r="J2171" s="3">
        <f t="shared" si="59"/>
        <v>7</v>
      </c>
      <c r="K2171" s="3">
        <f t="shared" si="60"/>
        <v>-5</v>
      </c>
      <c r="L2171" s="3" t="str">
        <f t="shared" si="61"/>
        <v>ATENÇÃO</v>
      </c>
      <c r="N2171">
        <v>99.27</v>
      </c>
      <c r="O2171">
        <v>31.163708086785011</v>
      </c>
    </row>
    <row r="2172" spans="1:15" x14ac:dyDescent="0.25">
      <c r="A2172" s="11">
        <v>46069</v>
      </c>
      <c r="B2172" t="s">
        <v>53</v>
      </c>
      <c r="C2172" t="s">
        <v>18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 t="shared" si="58"/>
        <v>5</v>
      </c>
      <c r="J2172" s="3">
        <f t="shared" si="59"/>
        <v>7</v>
      </c>
      <c r="K2172" s="3">
        <f t="shared" si="60"/>
        <v>-2</v>
      </c>
      <c r="L2172" s="3" t="str">
        <f t="shared" si="61"/>
        <v>ATENÇÃO</v>
      </c>
      <c r="N2172">
        <v>94.16</v>
      </c>
      <c r="O2172">
        <v>27.038626609442058</v>
      </c>
    </row>
    <row r="2173" spans="1:15" x14ac:dyDescent="0.25">
      <c r="A2173" s="11">
        <v>46069</v>
      </c>
      <c r="B2173" t="s">
        <v>54</v>
      </c>
      <c r="C2173" t="s">
        <v>23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f t="shared" si="58"/>
        <v>0</v>
      </c>
      <c r="J2173" s="3">
        <f t="shared" si="59"/>
        <v>2</v>
      </c>
      <c r="K2173" s="3">
        <f t="shared" si="60"/>
        <v>-2</v>
      </c>
      <c r="L2173" s="3" t="str">
        <f t="shared" si="61"/>
        <v>ATENÇÃO</v>
      </c>
      <c r="N2173">
        <v>93.75</v>
      </c>
      <c r="O2173">
        <v>19.31818181818182</v>
      </c>
    </row>
    <row r="2174" spans="1:15" x14ac:dyDescent="0.25">
      <c r="A2174" s="11">
        <v>46069</v>
      </c>
      <c r="B2174" t="s">
        <v>55</v>
      </c>
      <c r="C2174" t="s">
        <v>43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f t="shared" si="58"/>
        <v>0</v>
      </c>
      <c r="J2174" s="3">
        <f t="shared" si="59"/>
        <v>4</v>
      </c>
      <c r="K2174" s="3">
        <f t="shared" si="60"/>
        <v>-4</v>
      </c>
      <c r="L2174" s="3" t="str">
        <f t="shared" si="61"/>
        <v>ATENÇÃO</v>
      </c>
      <c r="N2174">
        <v>0</v>
      </c>
      <c r="O2174">
        <v>0</v>
      </c>
    </row>
    <row r="2175" spans="1:15" x14ac:dyDescent="0.25">
      <c r="A2175" s="11">
        <v>46069</v>
      </c>
      <c r="B2175" t="s">
        <v>56</v>
      </c>
      <c r="C2175" t="s">
        <v>16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f t="shared" si="58"/>
        <v>0</v>
      </c>
      <c r="J2175" s="3">
        <f t="shared" si="59"/>
        <v>5</v>
      </c>
      <c r="K2175" s="3">
        <f t="shared" si="60"/>
        <v>-5</v>
      </c>
      <c r="L2175" s="3" t="str">
        <f t="shared" si="61"/>
        <v>ATENÇÃO</v>
      </c>
      <c r="N2175">
        <v>97.92</v>
      </c>
      <c r="O2175">
        <v>32.87671232876712</v>
      </c>
    </row>
    <row r="2176" spans="1:15" x14ac:dyDescent="0.25">
      <c r="A2176" s="11">
        <v>46069</v>
      </c>
      <c r="B2176" t="s">
        <v>57</v>
      </c>
      <c r="C2176" t="s">
        <v>43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f t="shared" si="58"/>
        <v>0</v>
      </c>
      <c r="J2176" s="3">
        <f t="shared" si="59"/>
        <v>4</v>
      </c>
      <c r="K2176" s="3">
        <f t="shared" si="60"/>
        <v>-4</v>
      </c>
      <c r="L2176" s="3" t="str">
        <f t="shared" si="61"/>
        <v>ATENÇÃO</v>
      </c>
      <c r="N2176">
        <v>0</v>
      </c>
      <c r="O2176">
        <v>0</v>
      </c>
    </row>
    <row r="2177" spans="1:15" x14ac:dyDescent="0.25">
      <c r="A2177" s="11">
        <v>46069</v>
      </c>
      <c r="B2177" t="s">
        <v>58</v>
      </c>
      <c r="C2177" t="s">
        <v>43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f t="shared" si="58"/>
        <v>0</v>
      </c>
      <c r="J2177" s="3">
        <f t="shared" si="59"/>
        <v>4</v>
      </c>
      <c r="K2177" s="3">
        <f t="shared" si="60"/>
        <v>-4</v>
      </c>
      <c r="L2177" s="3" t="str">
        <f t="shared" si="61"/>
        <v>ATENÇÃO</v>
      </c>
      <c r="N2177">
        <v>0</v>
      </c>
      <c r="O2177">
        <v>0</v>
      </c>
    </row>
    <row r="2178" spans="1:15" x14ac:dyDescent="0.25">
      <c r="A2178" s="11">
        <v>46069</v>
      </c>
      <c r="B2178" t="s">
        <v>59</v>
      </c>
      <c r="C2178" t="s">
        <v>23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f t="shared" si="58"/>
        <v>0</v>
      </c>
      <c r="J2178" s="3">
        <f t="shared" si="59"/>
        <v>2</v>
      </c>
      <c r="K2178" s="3">
        <f t="shared" si="60"/>
        <v>-2</v>
      </c>
      <c r="L2178" s="3" t="str">
        <f t="shared" si="61"/>
        <v>ATENÇÃO</v>
      </c>
      <c r="N2178">
        <v>0</v>
      </c>
      <c r="O2178">
        <v>0</v>
      </c>
    </row>
    <row r="2179" spans="1:15" x14ac:dyDescent="0.25">
      <c r="A2179" s="11">
        <v>46069</v>
      </c>
      <c r="B2179" t="s">
        <v>60</v>
      </c>
      <c r="C2179" t="s">
        <v>20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 t="shared" si="58"/>
        <v>7</v>
      </c>
      <c r="J2179" s="3">
        <f t="shared" si="59"/>
        <v>4</v>
      </c>
      <c r="K2179" s="3">
        <f t="shared" si="60"/>
        <v>3</v>
      </c>
      <c r="L2179" s="3" t="str">
        <f t="shared" si="61"/>
        <v>BOM</v>
      </c>
      <c r="N2179">
        <v>98.51</v>
      </c>
      <c r="O2179">
        <v>29.710144927536231</v>
      </c>
    </row>
    <row r="2180" spans="1:15" x14ac:dyDescent="0.25">
      <c r="A2180" s="11">
        <v>46069</v>
      </c>
      <c r="B2180" t="s">
        <v>61</v>
      </c>
      <c r="C2180" t="s">
        <v>18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 t="shared" si="58"/>
        <v>6</v>
      </c>
      <c r="J2180" s="3">
        <f t="shared" si="59"/>
        <v>7</v>
      </c>
      <c r="K2180" s="3">
        <f t="shared" si="60"/>
        <v>-1</v>
      </c>
      <c r="L2180" s="3" t="str">
        <f t="shared" si="61"/>
        <v>ATENÇÃO</v>
      </c>
      <c r="N2180">
        <v>98.81</v>
      </c>
      <c r="O2180">
        <v>30.712979890310791</v>
      </c>
    </row>
    <row r="2181" spans="1:15" x14ac:dyDescent="0.25">
      <c r="A2181" s="11">
        <v>46069</v>
      </c>
      <c r="B2181" t="s">
        <v>62</v>
      </c>
      <c r="C2181" t="s">
        <v>20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 t="shared" si="58"/>
        <v>7</v>
      </c>
      <c r="J2181" s="3">
        <f t="shared" si="59"/>
        <v>4</v>
      </c>
      <c r="K2181" s="3">
        <f t="shared" si="60"/>
        <v>3</v>
      </c>
      <c r="L2181" s="3" t="str">
        <f t="shared" si="61"/>
        <v>BOM</v>
      </c>
      <c r="N2181">
        <v>98.48</v>
      </c>
      <c r="O2181">
        <v>29.35323383084577</v>
      </c>
    </row>
    <row r="2182" spans="1:15" x14ac:dyDescent="0.25">
      <c r="A2182" s="11">
        <v>46069</v>
      </c>
      <c r="B2182" t="s">
        <v>63</v>
      </c>
      <c r="C2182" t="s">
        <v>18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 t="shared" si="58"/>
        <v>9</v>
      </c>
      <c r="J2182" s="3">
        <f t="shared" si="59"/>
        <v>7</v>
      </c>
      <c r="K2182" s="3">
        <f t="shared" si="60"/>
        <v>2</v>
      </c>
      <c r="L2182" s="3" t="str">
        <f t="shared" si="61"/>
        <v>BOM</v>
      </c>
      <c r="N2182">
        <v>98.56</v>
      </c>
      <c r="O2182">
        <v>29.373650107991359</v>
      </c>
    </row>
    <row r="2183" spans="1:15" x14ac:dyDescent="0.25">
      <c r="A2183" s="11">
        <v>46070</v>
      </c>
      <c r="B2183" t="s">
        <v>15</v>
      </c>
      <c r="C2183" t="s">
        <v>16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f t="shared" si="58"/>
        <v>0</v>
      </c>
      <c r="J2183" s="3">
        <f t="shared" si="59"/>
        <v>0</v>
      </c>
      <c r="K2183" s="3">
        <f t="shared" si="60"/>
        <v>0</v>
      </c>
      <c r="L2183" s="3" t="str">
        <f t="shared" si="61"/>
        <v>BOM</v>
      </c>
      <c r="N2183">
        <v>98.32</v>
      </c>
      <c r="O2183">
        <v>30.303030303030301</v>
      </c>
    </row>
    <row r="2184" spans="1:15" x14ac:dyDescent="0.25">
      <c r="A2184" s="11">
        <v>46070</v>
      </c>
      <c r="B2184" t="s">
        <v>17</v>
      </c>
      <c r="C2184" t="s">
        <v>18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f t="shared" si="58"/>
        <v>0</v>
      </c>
      <c r="J2184" s="3">
        <f t="shared" si="59"/>
        <v>0</v>
      </c>
      <c r="K2184" s="3">
        <f t="shared" si="60"/>
        <v>0</v>
      </c>
      <c r="L2184" s="3" t="str">
        <f t="shared" si="61"/>
        <v>BOM</v>
      </c>
      <c r="N2184">
        <v>98.68</v>
      </c>
      <c r="O2184">
        <v>26.219512195121951</v>
      </c>
    </row>
    <row r="2185" spans="1:15" x14ac:dyDescent="0.25">
      <c r="A2185" s="11">
        <v>46070</v>
      </c>
      <c r="B2185" t="s">
        <v>19</v>
      </c>
      <c r="C2185" t="s">
        <v>20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f t="shared" si="58"/>
        <v>0</v>
      </c>
      <c r="J2185" s="3">
        <f t="shared" si="59"/>
        <v>0</v>
      </c>
      <c r="K2185" s="3">
        <f t="shared" si="60"/>
        <v>0</v>
      </c>
      <c r="L2185" s="3" t="str">
        <f t="shared" si="61"/>
        <v>BOM</v>
      </c>
      <c r="N2185">
        <v>100</v>
      </c>
      <c r="O2185">
        <v>31.74224343675418</v>
      </c>
    </row>
    <row r="2186" spans="1:15" x14ac:dyDescent="0.25">
      <c r="A2186" s="11">
        <v>46070</v>
      </c>
      <c r="B2186" t="s">
        <v>21</v>
      </c>
      <c r="C2186" t="s">
        <v>18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f t="shared" si="58"/>
        <v>0</v>
      </c>
      <c r="J2186" s="3">
        <f t="shared" si="59"/>
        <v>0</v>
      </c>
      <c r="K2186" s="3">
        <f t="shared" si="60"/>
        <v>0</v>
      </c>
      <c r="L2186" s="3" t="str">
        <f t="shared" si="61"/>
        <v>BOM</v>
      </c>
      <c r="N2186">
        <v>98.25</v>
      </c>
      <c r="O2186">
        <v>25.83518930957684</v>
      </c>
    </row>
    <row r="2187" spans="1:15" x14ac:dyDescent="0.25">
      <c r="A2187" s="11">
        <v>46070</v>
      </c>
      <c r="B2187" t="s">
        <v>22</v>
      </c>
      <c r="C2187" t="s">
        <v>23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f t="shared" si="58"/>
        <v>0</v>
      </c>
      <c r="J2187" s="3">
        <f t="shared" si="59"/>
        <v>0</v>
      </c>
      <c r="K2187" s="3">
        <f t="shared" si="60"/>
        <v>0</v>
      </c>
      <c r="L2187" s="3" t="str">
        <f t="shared" si="61"/>
        <v>BOM</v>
      </c>
      <c r="N2187">
        <v>97.5</v>
      </c>
      <c r="O2187">
        <v>30.075187969924809</v>
      </c>
    </row>
    <row r="2188" spans="1:15" x14ac:dyDescent="0.25">
      <c r="A2188" s="11">
        <v>46070</v>
      </c>
      <c r="B2188" t="s">
        <v>24</v>
      </c>
      <c r="C2188" t="s">
        <v>16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f t="shared" si="58"/>
        <v>0</v>
      </c>
      <c r="J2188" s="3">
        <f t="shared" si="59"/>
        <v>0</v>
      </c>
      <c r="K2188" s="3">
        <f t="shared" si="60"/>
        <v>0</v>
      </c>
      <c r="L2188" s="3" t="str">
        <f t="shared" si="61"/>
        <v>BOM</v>
      </c>
      <c r="N2188">
        <v>100</v>
      </c>
      <c r="O2188">
        <v>29.71311475409836</v>
      </c>
    </row>
    <row r="2189" spans="1:15" x14ac:dyDescent="0.25">
      <c r="A2189" s="11">
        <v>46070</v>
      </c>
      <c r="B2189" t="s">
        <v>25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f t="shared" si="58"/>
        <v>0</v>
      </c>
      <c r="J2189" s="3">
        <f t="shared" si="59"/>
        <v>0</v>
      </c>
      <c r="K2189" s="3">
        <f t="shared" si="60"/>
        <v>0</v>
      </c>
      <c r="L2189" s="3" t="str">
        <f t="shared" si="61"/>
        <v>BOM</v>
      </c>
      <c r="N2189">
        <v>99.22</v>
      </c>
      <c r="O2189">
        <v>35.256410256410263</v>
      </c>
    </row>
    <row r="2190" spans="1:15" x14ac:dyDescent="0.25">
      <c r="A2190" s="11">
        <v>46070</v>
      </c>
      <c r="B2190" t="s">
        <v>26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f t="shared" si="58"/>
        <v>0</v>
      </c>
      <c r="J2190" s="3">
        <f t="shared" si="59"/>
        <v>0</v>
      </c>
      <c r="K2190" s="3">
        <f t="shared" si="60"/>
        <v>0</v>
      </c>
      <c r="L2190" s="3" t="str">
        <f t="shared" si="61"/>
        <v>BOM</v>
      </c>
      <c r="N2190">
        <v>0</v>
      </c>
      <c r="O2190">
        <v>0</v>
      </c>
    </row>
    <row r="2191" spans="1:15" x14ac:dyDescent="0.25">
      <c r="A2191" s="11">
        <v>46070</v>
      </c>
      <c r="B2191" t="s">
        <v>27</v>
      </c>
      <c r="C2191" t="s">
        <v>20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f t="shared" si="58"/>
        <v>0</v>
      </c>
      <c r="J2191" s="3">
        <f t="shared" si="59"/>
        <v>0</v>
      </c>
      <c r="K2191" s="3">
        <f t="shared" si="60"/>
        <v>0</v>
      </c>
      <c r="L2191" s="3" t="str">
        <f t="shared" si="61"/>
        <v>BOM</v>
      </c>
      <c r="N2191">
        <v>98.75</v>
      </c>
      <c r="O2191">
        <v>24.32432432432433</v>
      </c>
    </row>
    <row r="2192" spans="1:15" x14ac:dyDescent="0.25">
      <c r="A2192" s="11">
        <v>46070</v>
      </c>
      <c r="B2192" t="s">
        <v>28</v>
      </c>
      <c r="C2192" t="s">
        <v>18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f t="shared" si="58"/>
        <v>0</v>
      </c>
      <c r="J2192" s="3">
        <f t="shared" si="59"/>
        <v>0</v>
      </c>
      <c r="K2192" s="3">
        <f t="shared" si="60"/>
        <v>0</v>
      </c>
      <c r="L2192" s="3" t="str">
        <f t="shared" si="61"/>
        <v>BOM</v>
      </c>
      <c r="N2192">
        <v>93.48</v>
      </c>
      <c r="O2192">
        <v>31.334622823984521</v>
      </c>
    </row>
    <row r="2193" spans="1:15" x14ac:dyDescent="0.25">
      <c r="A2193" s="11">
        <v>46070</v>
      </c>
      <c r="B2193" t="s">
        <v>29</v>
      </c>
      <c r="C2193" t="s">
        <v>16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f t="shared" si="58"/>
        <v>0</v>
      </c>
      <c r="J2193" s="3">
        <f t="shared" si="59"/>
        <v>0</v>
      </c>
      <c r="K2193" s="3">
        <f t="shared" si="60"/>
        <v>0</v>
      </c>
      <c r="L2193" s="3" t="str">
        <f t="shared" si="61"/>
        <v>BOM</v>
      </c>
      <c r="N2193">
        <v>99.16</v>
      </c>
      <c r="O2193">
        <v>26.13908872901678</v>
      </c>
    </row>
    <row r="2194" spans="1:15" x14ac:dyDescent="0.25">
      <c r="A2194" s="11">
        <v>46070</v>
      </c>
      <c r="B2194" t="s">
        <v>30</v>
      </c>
      <c r="C2194" t="s">
        <v>20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f t="shared" si="58"/>
        <v>0</v>
      </c>
      <c r="J2194" s="3">
        <f t="shared" si="59"/>
        <v>0</v>
      </c>
      <c r="K2194" s="3">
        <f t="shared" si="60"/>
        <v>0</v>
      </c>
      <c r="L2194" s="3" t="str">
        <f t="shared" si="61"/>
        <v>BOM</v>
      </c>
      <c r="N2194">
        <v>100</v>
      </c>
      <c r="O2194">
        <v>31.089743589743591</v>
      </c>
    </row>
    <row r="2195" spans="1:15" x14ac:dyDescent="0.25">
      <c r="A2195" s="11">
        <v>46070</v>
      </c>
      <c r="B2195" t="s">
        <v>31</v>
      </c>
      <c r="C2195" t="s">
        <v>18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f t="shared" si="58"/>
        <v>0</v>
      </c>
      <c r="J2195" s="3">
        <f t="shared" si="59"/>
        <v>0</v>
      </c>
      <c r="K2195" s="3">
        <f t="shared" si="60"/>
        <v>0</v>
      </c>
      <c r="L2195" s="3" t="str">
        <f t="shared" si="61"/>
        <v>BOM</v>
      </c>
      <c r="N2195">
        <v>98.11</v>
      </c>
      <c r="O2195">
        <v>33.033707865168537</v>
      </c>
    </row>
    <row r="2196" spans="1:15" x14ac:dyDescent="0.25">
      <c r="A2196" s="11">
        <v>46070</v>
      </c>
      <c r="B2196" t="s">
        <v>32</v>
      </c>
      <c r="C2196" t="s">
        <v>23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f t="shared" si="58"/>
        <v>0</v>
      </c>
      <c r="J2196" s="3">
        <f t="shared" si="59"/>
        <v>0</v>
      </c>
      <c r="K2196" s="3">
        <f t="shared" si="60"/>
        <v>0</v>
      </c>
      <c r="L2196" s="3" t="str">
        <f t="shared" si="61"/>
        <v>BOM</v>
      </c>
      <c r="N2196">
        <v>78.95</v>
      </c>
      <c r="O2196">
        <v>38.983050847457633</v>
      </c>
    </row>
    <row r="2197" spans="1:15" x14ac:dyDescent="0.25">
      <c r="A2197" s="11">
        <v>46070</v>
      </c>
      <c r="B2197" t="s">
        <v>33</v>
      </c>
      <c r="C2197" t="s">
        <v>16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f t="shared" si="58"/>
        <v>0</v>
      </c>
      <c r="J2197" s="3">
        <f t="shared" si="59"/>
        <v>0</v>
      </c>
      <c r="K2197" s="3">
        <f t="shared" si="60"/>
        <v>0</v>
      </c>
      <c r="L2197" s="3" t="str">
        <f t="shared" si="61"/>
        <v>BOM</v>
      </c>
      <c r="N2197">
        <v>98.45</v>
      </c>
      <c r="O2197">
        <v>29.281767955801101</v>
      </c>
    </row>
    <row r="2198" spans="1:15" x14ac:dyDescent="0.25">
      <c r="A2198" s="11">
        <v>46070</v>
      </c>
      <c r="B2198" t="s">
        <v>34</v>
      </c>
      <c r="C2198" t="s">
        <v>18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f t="shared" si="58"/>
        <v>0</v>
      </c>
      <c r="J2198" s="3">
        <f t="shared" si="59"/>
        <v>0</v>
      </c>
      <c r="K2198" s="3">
        <f t="shared" si="60"/>
        <v>0</v>
      </c>
      <c r="L2198" s="3" t="str">
        <f t="shared" si="61"/>
        <v>BOM</v>
      </c>
      <c r="N2198">
        <v>97.84</v>
      </c>
      <c r="O2198">
        <v>26.282051282051281</v>
      </c>
    </row>
    <row r="2199" spans="1:15" x14ac:dyDescent="0.25">
      <c r="A2199" s="11">
        <v>46070</v>
      </c>
      <c r="B2199" t="s">
        <v>35</v>
      </c>
      <c r="C2199" t="s">
        <v>16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f t="shared" si="58"/>
        <v>0</v>
      </c>
      <c r="J2199" s="3">
        <f t="shared" si="59"/>
        <v>0</v>
      </c>
      <c r="K2199" s="3">
        <f t="shared" si="60"/>
        <v>0</v>
      </c>
      <c r="L2199" s="3" t="str">
        <f t="shared" si="61"/>
        <v>BOM</v>
      </c>
      <c r="N2199">
        <v>98.5</v>
      </c>
      <c r="O2199">
        <v>23.97769516728625</v>
      </c>
    </row>
    <row r="2200" spans="1:15" x14ac:dyDescent="0.25">
      <c r="A2200" s="11">
        <v>46104</v>
      </c>
      <c r="B2200" t="s">
        <v>36</v>
      </c>
      <c r="C2200" t="s">
        <v>20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 t="shared" si="58"/>
        <v>15</v>
      </c>
      <c r="J2200" s="3">
        <f t="shared" si="59"/>
        <v>13</v>
      </c>
      <c r="K2200" s="3">
        <f t="shared" si="60"/>
        <v>2</v>
      </c>
      <c r="L2200" s="3" t="str">
        <f t="shared" si="61"/>
        <v>BOM</v>
      </c>
      <c r="N2200">
        <v>99.05</v>
      </c>
      <c r="O2200">
        <v>26.621923937360179</v>
      </c>
    </row>
    <row r="2201" spans="1:15" x14ac:dyDescent="0.25">
      <c r="A2201" s="11">
        <v>46070</v>
      </c>
      <c r="B2201" t="s">
        <v>37</v>
      </c>
      <c r="C2201" t="s">
        <v>16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f t="shared" si="58"/>
        <v>0</v>
      </c>
      <c r="J2201" s="3">
        <f t="shared" si="59"/>
        <v>0</v>
      </c>
      <c r="K2201" s="3">
        <f t="shared" si="60"/>
        <v>0</v>
      </c>
      <c r="L2201" s="3" t="str">
        <f t="shared" si="61"/>
        <v>BOM</v>
      </c>
      <c r="N2201">
        <v>98.53</v>
      </c>
      <c r="O2201">
        <v>31.578947368421051</v>
      </c>
    </row>
    <row r="2202" spans="1:15" x14ac:dyDescent="0.25">
      <c r="A2202" s="11">
        <v>46070</v>
      </c>
      <c r="B2202" t="s">
        <v>38</v>
      </c>
      <c r="C2202" t="s">
        <v>18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f t="shared" si="58"/>
        <v>0</v>
      </c>
      <c r="J2202" s="3">
        <f t="shared" si="59"/>
        <v>0</v>
      </c>
      <c r="K2202" s="3">
        <f t="shared" si="60"/>
        <v>0</v>
      </c>
      <c r="L2202" s="3" t="str">
        <f t="shared" si="61"/>
        <v>BOM</v>
      </c>
      <c r="N2202">
        <v>100</v>
      </c>
      <c r="O2202">
        <v>25.72214580467676</v>
      </c>
    </row>
    <row r="2203" spans="1:15" x14ac:dyDescent="0.25">
      <c r="A2203" s="11">
        <v>46070</v>
      </c>
      <c r="B2203" t="s">
        <v>39</v>
      </c>
      <c r="C2203" t="s">
        <v>18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f t="shared" si="58"/>
        <v>0</v>
      </c>
      <c r="J2203" s="3">
        <f t="shared" si="59"/>
        <v>0</v>
      </c>
      <c r="K2203" s="3">
        <f t="shared" si="60"/>
        <v>0</v>
      </c>
      <c r="L2203" s="3" t="str">
        <f t="shared" si="61"/>
        <v>BOM</v>
      </c>
      <c r="N2203">
        <v>94.64</v>
      </c>
      <c r="O2203">
        <v>27.52941176470588</v>
      </c>
    </row>
    <row r="2204" spans="1:15" x14ac:dyDescent="0.25">
      <c r="A2204" s="11">
        <v>46070</v>
      </c>
      <c r="B2204" t="s">
        <v>40</v>
      </c>
      <c r="C2204" t="s">
        <v>16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f t="shared" si="58"/>
        <v>0</v>
      </c>
      <c r="J2204" s="3">
        <f t="shared" si="59"/>
        <v>0</v>
      </c>
      <c r="K2204" s="3">
        <f t="shared" si="60"/>
        <v>0</v>
      </c>
      <c r="L2204" s="3" t="str">
        <f t="shared" si="61"/>
        <v>BOM</v>
      </c>
      <c r="N2204">
        <v>99.07</v>
      </c>
      <c r="O2204">
        <v>26.376811594202898</v>
      </c>
    </row>
    <row r="2205" spans="1:15" x14ac:dyDescent="0.25">
      <c r="A2205" s="11">
        <v>46070</v>
      </c>
      <c r="B2205" t="s">
        <v>41</v>
      </c>
      <c r="C2205" t="s">
        <v>18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f t="shared" si="58"/>
        <v>0</v>
      </c>
      <c r="J2205" s="3">
        <f t="shared" si="59"/>
        <v>0</v>
      </c>
      <c r="K2205" s="3">
        <f t="shared" si="60"/>
        <v>0</v>
      </c>
      <c r="L2205" s="3" t="str">
        <f t="shared" si="61"/>
        <v>BOM</v>
      </c>
      <c r="N2205">
        <v>100</v>
      </c>
      <c r="O2205">
        <v>0</v>
      </c>
    </row>
    <row r="2206" spans="1:15" x14ac:dyDescent="0.25">
      <c r="A2206" s="11">
        <v>46070</v>
      </c>
      <c r="B2206" t="s">
        <v>42</v>
      </c>
      <c r="C2206" t="s">
        <v>43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f t="shared" si="58"/>
        <v>0</v>
      </c>
      <c r="J2206" s="3">
        <f t="shared" si="59"/>
        <v>0</v>
      </c>
      <c r="K2206" s="3">
        <f t="shared" si="60"/>
        <v>0</v>
      </c>
      <c r="L2206" s="3" t="str">
        <f t="shared" si="61"/>
        <v>BOM</v>
      </c>
      <c r="N2206">
        <v>98.48</v>
      </c>
      <c r="O2206">
        <v>27.853881278538811</v>
      </c>
    </row>
    <row r="2207" spans="1:15" x14ac:dyDescent="0.25">
      <c r="A2207" s="11">
        <v>46070</v>
      </c>
      <c r="B2207" t="s">
        <v>44</v>
      </c>
      <c r="C2207" t="s">
        <v>18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f t="shared" si="58"/>
        <v>0</v>
      </c>
      <c r="J2207" s="3">
        <f t="shared" si="59"/>
        <v>0</v>
      </c>
      <c r="K2207" s="3">
        <f t="shared" si="60"/>
        <v>0</v>
      </c>
      <c r="L2207" s="3" t="str">
        <f t="shared" si="61"/>
        <v>BOM</v>
      </c>
      <c r="N2207">
        <v>95.15</v>
      </c>
      <c r="O2207">
        <v>34.131736526946113</v>
      </c>
    </row>
    <row r="2208" spans="1:15" x14ac:dyDescent="0.25">
      <c r="A2208" s="11">
        <v>46070</v>
      </c>
      <c r="B2208" t="s">
        <v>45</v>
      </c>
      <c r="C2208" t="s">
        <v>43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f t="shared" si="58"/>
        <v>0</v>
      </c>
      <c r="J2208" s="3">
        <f t="shared" si="59"/>
        <v>0</v>
      </c>
      <c r="K2208" s="3">
        <f t="shared" si="60"/>
        <v>0</v>
      </c>
      <c r="L2208" s="3" t="str">
        <f t="shared" si="61"/>
        <v>BOM</v>
      </c>
      <c r="N2208">
        <v>0</v>
      </c>
      <c r="O2208">
        <v>0</v>
      </c>
    </row>
    <row r="2209" spans="1:15" x14ac:dyDescent="0.25">
      <c r="A2209" s="11">
        <v>46070</v>
      </c>
      <c r="B2209" t="s">
        <v>46</v>
      </c>
      <c r="C2209" t="s">
        <v>18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f t="shared" si="58"/>
        <v>0</v>
      </c>
      <c r="J2209" s="3">
        <f t="shared" si="59"/>
        <v>0</v>
      </c>
      <c r="K2209" s="3">
        <f t="shared" si="60"/>
        <v>0</v>
      </c>
      <c r="L2209" s="3" t="str">
        <f t="shared" si="61"/>
        <v>BOM</v>
      </c>
      <c r="N2209">
        <v>99.26</v>
      </c>
      <c r="O2209">
        <v>30.84832904884319</v>
      </c>
    </row>
    <row r="2210" spans="1:15" x14ac:dyDescent="0.25">
      <c r="A2210" s="11">
        <v>46070</v>
      </c>
      <c r="B2210" t="s">
        <v>47</v>
      </c>
      <c r="C2210" t="s">
        <v>16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f t="shared" si="58"/>
        <v>0</v>
      </c>
      <c r="J2210" s="3">
        <f t="shared" si="59"/>
        <v>0</v>
      </c>
      <c r="K2210" s="3">
        <f t="shared" si="60"/>
        <v>0</v>
      </c>
      <c r="L2210" s="3" t="str">
        <f t="shared" si="61"/>
        <v>BOM</v>
      </c>
      <c r="N2210">
        <v>97.48</v>
      </c>
      <c r="O2210">
        <v>27.764705882352938</v>
      </c>
    </row>
    <row r="2211" spans="1:15" x14ac:dyDescent="0.25">
      <c r="A2211" s="11">
        <v>46070</v>
      </c>
      <c r="B2211" t="s">
        <v>48</v>
      </c>
      <c r="C2211" t="s">
        <v>16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f t="shared" ref="I2211:I2274" si="62">E2211+G2211+H2211</f>
        <v>0</v>
      </c>
      <c r="J2211" s="3">
        <f t="shared" ref="J2211:J2274" si="63">ROUND(MIN(IF(C2211="Técnico III",35,IF(C2211="Técnico II",28,IF(C2211="Técnico I",23,IF(C2211="JR",20,IF(C2211="Estágio",10,0))))),IF(C2211="Técnico III",SUMIFS($D:$D,$A:$A,$A2211,$B:$B,"&lt;&gt;Patrícia Karla de Sousa Araújo",$B:$B,"&lt;&gt;Lorena Dias de Araujo",$B:$B,"&lt;&gt;Lucas Luiz Romero")*(35/1083),IF(C2211="Técnico II",SUMIFS($D:$D,$A:$A,$A2211,$B:$B,"&lt;&gt;Patrícia Karla de Sousa Araújo",$B:$B,"&lt;&gt;Lorena Dias de Araujo",$B:$B,"&lt;&gt;Lucas Luiz Romero")*(28/1083),IF(C2211="Técnico I",SUMIFS($D:$D,$A:$A,$A2211,$B:$B,"&lt;&gt;Patrícia Karla de Sousa Araújo",$B:$B,"&lt;&gt;Lorena Dias de Araujo",$B:$B,"&lt;&gt;Lucas Luiz Romero")*(23/1083),IF(C2211="JR",SUMIFS($D:$D,$A:$A,$A2211,$B:$B,"&lt;&gt;Patrícia Karla de Sousa Araújo",$B:$B,"&lt;&gt;Lorena Dias de Araujo",$B:$B,"&lt;&gt;Lucas Luiz Romero")*(20/1083),IF(C2211="Estágio",SUMIFS($D:$D,$A:$A,$A2211,$B:$B,"&lt;&gt;Patrícia Karla de Sousa Araújo",$B:$B,"&lt;&gt;Lorena Dias de Araujo",$B:$B,"&lt;&gt;Lucas Luiz Romero")*(10/1083),0)))))),0)</f>
        <v>0</v>
      </c>
      <c r="K2211" s="3">
        <f t="shared" ref="K2211:K2274" si="64">I2211-J2211</f>
        <v>0</v>
      </c>
      <c r="L2211" s="3" t="str">
        <f t="shared" ref="L2211:L2274" si="65">IF(K2211&lt;-5,"CRÍTICO",IF(K2211&lt;0,"ATENÇÃO",IF(K2211&lt;=5,"BOM","EXCELENTE")))</f>
        <v>BOM</v>
      </c>
      <c r="N2211">
        <v>99.34</v>
      </c>
      <c r="O2211">
        <v>30.04291845493562</v>
      </c>
    </row>
    <row r="2212" spans="1:15" x14ac:dyDescent="0.25">
      <c r="A2212" s="11">
        <v>46070</v>
      </c>
      <c r="B2212" t="s">
        <v>49</v>
      </c>
      <c r="C2212" t="s">
        <v>18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f t="shared" si="62"/>
        <v>0</v>
      </c>
      <c r="J2212" s="3">
        <f t="shared" si="63"/>
        <v>0</v>
      </c>
      <c r="K2212" s="3">
        <f t="shared" si="64"/>
        <v>0</v>
      </c>
      <c r="L2212" s="3" t="str">
        <f t="shared" si="65"/>
        <v>BOM</v>
      </c>
      <c r="N2212">
        <v>96.3</v>
      </c>
      <c r="O2212">
        <v>24.29378531073446</v>
      </c>
    </row>
    <row r="2213" spans="1:15" x14ac:dyDescent="0.25">
      <c r="A2213" s="11">
        <v>46070</v>
      </c>
      <c r="B2213" t="s">
        <v>50</v>
      </c>
      <c r="C2213" t="s">
        <v>20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f t="shared" si="62"/>
        <v>0</v>
      </c>
      <c r="J2213" s="3">
        <f t="shared" si="63"/>
        <v>0</v>
      </c>
      <c r="K2213" s="3">
        <f t="shared" si="64"/>
        <v>0</v>
      </c>
      <c r="L2213" s="3" t="str">
        <f t="shared" si="65"/>
        <v>BOM</v>
      </c>
      <c r="N2213">
        <v>100</v>
      </c>
      <c r="O2213">
        <v>26.543209876543209</v>
      </c>
    </row>
    <row r="2214" spans="1:15" x14ac:dyDescent="0.25">
      <c r="A2214" s="11">
        <v>46070</v>
      </c>
      <c r="B2214" t="s">
        <v>51</v>
      </c>
      <c r="C2214" t="s">
        <v>23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f t="shared" si="62"/>
        <v>0</v>
      </c>
      <c r="J2214" s="3">
        <f t="shared" si="63"/>
        <v>0</v>
      </c>
      <c r="K2214" s="3">
        <f t="shared" si="64"/>
        <v>0</v>
      </c>
      <c r="L2214" s="3" t="str">
        <f t="shared" si="65"/>
        <v>BOM</v>
      </c>
      <c r="N2214">
        <v>100</v>
      </c>
      <c r="O2214">
        <v>35.483870967741943</v>
      </c>
    </row>
    <row r="2215" spans="1:15" x14ac:dyDescent="0.25">
      <c r="A2215" s="11">
        <v>46070</v>
      </c>
      <c r="B2215" t="s">
        <v>52</v>
      </c>
      <c r="C2215" t="s">
        <v>18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f t="shared" si="62"/>
        <v>0</v>
      </c>
      <c r="J2215" s="3">
        <f t="shared" si="63"/>
        <v>0</v>
      </c>
      <c r="K2215" s="3">
        <f t="shared" si="64"/>
        <v>0</v>
      </c>
      <c r="L2215" s="3" t="str">
        <f t="shared" si="65"/>
        <v>BOM</v>
      </c>
      <c r="N2215">
        <v>99.27</v>
      </c>
      <c r="O2215">
        <v>31.163708086785011</v>
      </c>
    </row>
    <row r="2216" spans="1:15" x14ac:dyDescent="0.25">
      <c r="A2216" s="11">
        <v>46070</v>
      </c>
      <c r="B2216" t="s">
        <v>53</v>
      </c>
      <c r="C2216" t="s">
        <v>18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f t="shared" si="62"/>
        <v>0</v>
      </c>
      <c r="J2216" s="3">
        <f t="shared" si="63"/>
        <v>0</v>
      </c>
      <c r="K2216" s="3">
        <f t="shared" si="64"/>
        <v>0</v>
      </c>
      <c r="L2216" s="3" t="str">
        <f t="shared" si="65"/>
        <v>BOM</v>
      </c>
      <c r="N2216">
        <v>94.16</v>
      </c>
      <c r="O2216">
        <v>27.038626609442058</v>
      </c>
    </row>
    <row r="2217" spans="1:15" x14ac:dyDescent="0.25">
      <c r="A2217" s="11">
        <v>46070</v>
      </c>
      <c r="B2217" t="s">
        <v>54</v>
      </c>
      <c r="C2217" t="s">
        <v>23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f t="shared" si="62"/>
        <v>0</v>
      </c>
      <c r="J2217" s="3">
        <f t="shared" si="63"/>
        <v>0</v>
      </c>
      <c r="K2217" s="3">
        <f t="shared" si="64"/>
        <v>0</v>
      </c>
      <c r="L2217" s="3" t="str">
        <f t="shared" si="65"/>
        <v>BOM</v>
      </c>
      <c r="N2217">
        <v>93.75</v>
      </c>
      <c r="O2217">
        <v>19.31818181818182</v>
      </c>
    </row>
    <row r="2218" spans="1:15" x14ac:dyDescent="0.25">
      <c r="A2218" s="11">
        <v>46070</v>
      </c>
      <c r="B2218" t="s">
        <v>55</v>
      </c>
      <c r="C2218" t="s">
        <v>43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f t="shared" si="62"/>
        <v>0</v>
      </c>
      <c r="J2218" s="3">
        <f t="shared" si="63"/>
        <v>0</v>
      </c>
      <c r="K2218" s="3">
        <f t="shared" si="64"/>
        <v>0</v>
      </c>
      <c r="L2218" s="3" t="str">
        <f t="shared" si="65"/>
        <v>BOM</v>
      </c>
      <c r="N2218">
        <v>0</v>
      </c>
      <c r="O2218">
        <v>0</v>
      </c>
    </row>
    <row r="2219" spans="1:15" x14ac:dyDescent="0.25">
      <c r="A2219" s="11">
        <v>46070</v>
      </c>
      <c r="B2219" t="s">
        <v>56</v>
      </c>
      <c r="C2219" t="s">
        <v>16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f t="shared" si="62"/>
        <v>0</v>
      </c>
      <c r="J2219" s="3">
        <f t="shared" si="63"/>
        <v>0</v>
      </c>
      <c r="K2219" s="3">
        <f t="shared" si="64"/>
        <v>0</v>
      </c>
      <c r="L2219" s="3" t="str">
        <f t="shared" si="65"/>
        <v>BOM</v>
      </c>
      <c r="N2219">
        <v>97.92</v>
      </c>
      <c r="O2219">
        <v>32.87671232876712</v>
      </c>
    </row>
    <row r="2220" spans="1:15" x14ac:dyDescent="0.25">
      <c r="A2220" s="11">
        <v>46070</v>
      </c>
      <c r="B2220" t="s">
        <v>57</v>
      </c>
      <c r="C2220" t="s">
        <v>43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f t="shared" si="62"/>
        <v>0</v>
      </c>
      <c r="J2220" s="3">
        <f t="shared" si="63"/>
        <v>0</v>
      </c>
      <c r="K2220" s="3">
        <f t="shared" si="64"/>
        <v>0</v>
      </c>
      <c r="L2220" s="3" t="str">
        <f t="shared" si="65"/>
        <v>BOM</v>
      </c>
      <c r="N2220">
        <v>0</v>
      </c>
      <c r="O2220">
        <v>0</v>
      </c>
    </row>
    <row r="2221" spans="1:15" x14ac:dyDescent="0.25">
      <c r="A2221" s="11">
        <v>46070</v>
      </c>
      <c r="B2221" t="s">
        <v>58</v>
      </c>
      <c r="C2221" t="s">
        <v>43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f t="shared" si="62"/>
        <v>0</v>
      </c>
      <c r="J2221" s="3">
        <f t="shared" si="63"/>
        <v>0</v>
      </c>
      <c r="K2221" s="3">
        <f t="shared" si="64"/>
        <v>0</v>
      </c>
      <c r="L2221" s="3" t="str">
        <f t="shared" si="65"/>
        <v>BOM</v>
      </c>
      <c r="N2221">
        <v>0</v>
      </c>
      <c r="O2221">
        <v>0</v>
      </c>
    </row>
    <row r="2222" spans="1:15" x14ac:dyDescent="0.25">
      <c r="A2222" s="11">
        <v>46070</v>
      </c>
      <c r="B2222" t="s">
        <v>59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f t="shared" si="62"/>
        <v>0</v>
      </c>
      <c r="J2222" s="3">
        <f t="shared" si="63"/>
        <v>0</v>
      </c>
      <c r="K2222" s="3">
        <f t="shared" si="64"/>
        <v>0</v>
      </c>
      <c r="L2222" s="3" t="str">
        <f t="shared" si="65"/>
        <v>BOM</v>
      </c>
      <c r="N2222">
        <v>0</v>
      </c>
      <c r="O2222">
        <v>0</v>
      </c>
    </row>
    <row r="2223" spans="1:15" x14ac:dyDescent="0.25">
      <c r="A2223" s="11">
        <v>46070</v>
      </c>
      <c r="B2223" t="s">
        <v>60</v>
      </c>
      <c r="C2223" t="s">
        <v>20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f t="shared" si="62"/>
        <v>0</v>
      </c>
      <c r="J2223" s="3">
        <f t="shared" si="63"/>
        <v>0</v>
      </c>
      <c r="K2223" s="3">
        <f t="shared" si="64"/>
        <v>0</v>
      </c>
      <c r="L2223" s="3" t="str">
        <f t="shared" si="65"/>
        <v>BOM</v>
      </c>
      <c r="N2223">
        <v>98.51</v>
      </c>
      <c r="O2223">
        <v>29.710144927536231</v>
      </c>
    </row>
    <row r="2224" spans="1:15" x14ac:dyDescent="0.25">
      <c r="A2224" s="11">
        <v>46070</v>
      </c>
      <c r="B2224" t="s">
        <v>61</v>
      </c>
      <c r="C2224" t="s">
        <v>18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f t="shared" si="62"/>
        <v>0</v>
      </c>
      <c r="J2224" s="3">
        <f t="shared" si="63"/>
        <v>0</v>
      </c>
      <c r="K2224" s="3">
        <f t="shared" si="64"/>
        <v>0</v>
      </c>
      <c r="L2224" s="3" t="str">
        <f t="shared" si="65"/>
        <v>BOM</v>
      </c>
      <c r="N2224">
        <v>98.81</v>
      </c>
      <c r="O2224">
        <v>30.712979890310791</v>
      </c>
    </row>
    <row r="2225" spans="1:15" x14ac:dyDescent="0.25">
      <c r="A2225" s="11">
        <v>46070</v>
      </c>
      <c r="B2225" t="s">
        <v>62</v>
      </c>
      <c r="C2225" t="s">
        <v>20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f t="shared" si="62"/>
        <v>0</v>
      </c>
      <c r="J2225" s="3">
        <f t="shared" si="63"/>
        <v>0</v>
      </c>
      <c r="K2225" s="3">
        <f t="shared" si="64"/>
        <v>0</v>
      </c>
      <c r="L2225" s="3" t="str">
        <f t="shared" si="65"/>
        <v>BOM</v>
      </c>
      <c r="N2225">
        <v>98.48</v>
      </c>
      <c r="O2225">
        <v>29.35323383084577</v>
      </c>
    </row>
    <row r="2226" spans="1:15" x14ac:dyDescent="0.25">
      <c r="A2226" s="11">
        <v>46070</v>
      </c>
      <c r="B2226" t="s">
        <v>63</v>
      </c>
      <c r="C2226" t="s">
        <v>18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f t="shared" si="62"/>
        <v>0</v>
      </c>
      <c r="J2226" s="3">
        <f t="shared" si="63"/>
        <v>0</v>
      </c>
      <c r="K2226" s="3">
        <f t="shared" si="64"/>
        <v>0</v>
      </c>
      <c r="L2226" s="3" t="str">
        <f t="shared" si="65"/>
        <v>BOM</v>
      </c>
      <c r="N2226">
        <v>98.56</v>
      </c>
      <c r="O2226">
        <v>29.373650107991359</v>
      </c>
    </row>
    <row r="2227" spans="1:15" x14ac:dyDescent="0.25">
      <c r="A2227" s="11">
        <v>46071</v>
      </c>
      <c r="B2227" t="s">
        <v>15</v>
      </c>
      <c r="C2227" t="s">
        <v>16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 t="shared" si="62"/>
        <v>32</v>
      </c>
      <c r="J2227" s="3">
        <f t="shared" si="63"/>
        <v>18</v>
      </c>
      <c r="K2227" s="3">
        <f t="shared" si="64"/>
        <v>14</v>
      </c>
      <c r="L2227" s="3" t="str">
        <f t="shared" si="65"/>
        <v>EXCELENTE</v>
      </c>
      <c r="N2227">
        <v>98.32</v>
      </c>
      <c r="O2227">
        <v>30.303030303030301</v>
      </c>
    </row>
    <row r="2228" spans="1:15" x14ac:dyDescent="0.25">
      <c r="A2228" s="11">
        <v>46071</v>
      </c>
      <c r="B2228" t="s">
        <v>17</v>
      </c>
      <c r="C2228" t="s">
        <v>18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f t="shared" si="62"/>
        <v>0</v>
      </c>
      <c r="J2228" s="3">
        <f t="shared" si="63"/>
        <v>23</v>
      </c>
      <c r="K2228" s="3">
        <f t="shared" si="64"/>
        <v>-23</v>
      </c>
      <c r="L2228" s="3" t="str">
        <f t="shared" si="65"/>
        <v>CRÍTICO</v>
      </c>
      <c r="N2228">
        <v>98.68</v>
      </c>
      <c r="O2228">
        <v>26.219512195121951</v>
      </c>
    </row>
    <row r="2229" spans="1:15" x14ac:dyDescent="0.25">
      <c r="A2229" s="11">
        <v>46071</v>
      </c>
      <c r="B2229" t="s">
        <v>19</v>
      </c>
      <c r="C2229" t="s">
        <v>20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 t="shared" si="62"/>
        <v>21</v>
      </c>
      <c r="J2229" s="3">
        <f t="shared" si="63"/>
        <v>15</v>
      </c>
      <c r="K2229" s="3">
        <f t="shared" si="64"/>
        <v>6</v>
      </c>
      <c r="L2229" s="3" t="str">
        <f t="shared" si="65"/>
        <v>EXCELENTE</v>
      </c>
      <c r="N2229">
        <v>100</v>
      </c>
      <c r="O2229">
        <v>31.74224343675418</v>
      </c>
    </row>
    <row r="2230" spans="1:15" x14ac:dyDescent="0.25">
      <c r="A2230" s="11">
        <v>46071</v>
      </c>
      <c r="B2230" t="s">
        <v>21</v>
      </c>
      <c r="C2230" t="s">
        <v>18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 t="shared" si="62"/>
        <v>28</v>
      </c>
      <c r="J2230" s="3">
        <f t="shared" si="63"/>
        <v>23</v>
      </c>
      <c r="K2230" s="3">
        <f t="shared" si="64"/>
        <v>5</v>
      </c>
      <c r="L2230" s="3" t="str">
        <f t="shared" si="65"/>
        <v>BOM</v>
      </c>
      <c r="N2230">
        <v>98.25</v>
      </c>
      <c r="O2230">
        <v>25.83518930957684</v>
      </c>
    </row>
    <row r="2231" spans="1:15" x14ac:dyDescent="0.25">
      <c r="A2231" s="11">
        <v>46071</v>
      </c>
      <c r="B2231" t="s">
        <v>22</v>
      </c>
      <c r="C2231" t="s">
        <v>23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 t="shared" si="62"/>
        <v>6</v>
      </c>
      <c r="J2231" s="3">
        <f t="shared" si="63"/>
        <v>7</v>
      </c>
      <c r="K2231" s="3">
        <f t="shared" si="64"/>
        <v>-1</v>
      </c>
      <c r="L2231" s="3" t="str">
        <f t="shared" si="65"/>
        <v>ATENÇÃO</v>
      </c>
      <c r="N2231">
        <v>97.5</v>
      </c>
      <c r="O2231">
        <v>30.075187969924809</v>
      </c>
    </row>
    <row r="2232" spans="1:15" x14ac:dyDescent="0.25">
      <c r="A2232" s="11">
        <v>46071</v>
      </c>
      <c r="B2232" t="s">
        <v>24</v>
      </c>
      <c r="C2232" t="s">
        <v>16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 t="shared" si="62"/>
        <v>17</v>
      </c>
      <c r="J2232" s="3">
        <f t="shared" si="63"/>
        <v>18</v>
      </c>
      <c r="K2232" s="3">
        <f t="shared" si="64"/>
        <v>-1</v>
      </c>
      <c r="L2232" s="3" t="str">
        <f t="shared" si="65"/>
        <v>ATENÇÃO</v>
      </c>
      <c r="N2232">
        <v>100</v>
      </c>
      <c r="O2232">
        <v>29.71311475409836</v>
      </c>
    </row>
    <row r="2233" spans="1:15" x14ac:dyDescent="0.25">
      <c r="A2233" s="11">
        <v>46071</v>
      </c>
      <c r="B2233" t="s">
        <v>25</v>
      </c>
      <c r="C2233" t="s">
        <v>16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 t="shared" si="62"/>
        <v>9</v>
      </c>
      <c r="J2233" s="3">
        <f t="shared" si="63"/>
        <v>18</v>
      </c>
      <c r="K2233" s="3">
        <f t="shared" si="64"/>
        <v>-9</v>
      </c>
      <c r="L2233" s="3" t="str">
        <f t="shared" si="65"/>
        <v>CRÍTICO</v>
      </c>
      <c r="N2233">
        <v>99.22</v>
      </c>
      <c r="O2233">
        <v>35.256410256410263</v>
      </c>
    </row>
    <row r="2234" spans="1:15" x14ac:dyDescent="0.25">
      <c r="A2234" s="11">
        <v>46071</v>
      </c>
      <c r="B2234" t="s">
        <v>26</v>
      </c>
      <c r="C2234" t="s">
        <v>23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f t="shared" si="62"/>
        <v>0</v>
      </c>
      <c r="J2234" s="3">
        <f t="shared" si="63"/>
        <v>7</v>
      </c>
      <c r="K2234" s="3">
        <f t="shared" si="64"/>
        <v>-7</v>
      </c>
      <c r="L2234" s="3" t="str">
        <f t="shared" si="65"/>
        <v>CRÍTICO</v>
      </c>
      <c r="N2234">
        <v>0</v>
      </c>
      <c r="O2234">
        <v>0</v>
      </c>
    </row>
    <row r="2235" spans="1:15" x14ac:dyDescent="0.25">
      <c r="A2235" s="11">
        <v>46071</v>
      </c>
      <c r="B2235" t="s">
        <v>27</v>
      </c>
      <c r="C2235" t="s">
        <v>20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 t="shared" si="62"/>
        <v>22</v>
      </c>
      <c r="J2235" s="3">
        <f t="shared" si="63"/>
        <v>15</v>
      </c>
      <c r="K2235" s="3">
        <f t="shared" si="64"/>
        <v>7</v>
      </c>
      <c r="L2235" s="3" t="str">
        <f t="shared" si="65"/>
        <v>EXCELENTE</v>
      </c>
      <c r="N2235">
        <v>98.75</v>
      </c>
      <c r="O2235">
        <v>24.32432432432433</v>
      </c>
    </row>
    <row r="2236" spans="1:15" x14ac:dyDescent="0.25">
      <c r="A2236" s="11">
        <v>46071</v>
      </c>
      <c r="B2236" t="s">
        <v>28</v>
      </c>
      <c r="C2236" t="s">
        <v>18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 t="shared" si="62"/>
        <v>37</v>
      </c>
      <c r="J2236" s="3">
        <f t="shared" si="63"/>
        <v>23</v>
      </c>
      <c r="K2236" s="3">
        <f t="shared" si="64"/>
        <v>14</v>
      </c>
      <c r="L2236" s="3" t="str">
        <f t="shared" si="65"/>
        <v>EXCELENTE</v>
      </c>
      <c r="N2236">
        <v>93.48</v>
      </c>
      <c r="O2236">
        <v>31.334622823984521</v>
      </c>
    </row>
    <row r="2237" spans="1:15" x14ac:dyDescent="0.25">
      <c r="A2237" s="11">
        <v>46071</v>
      </c>
      <c r="B2237" t="s">
        <v>29</v>
      </c>
      <c r="C2237" t="s">
        <v>16</v>
      </c>
      <c r="D2237">
        <v>0</v>
      </c>
      <c r="E2237">
        <v>0</v>
      </c>
      <c r="F2237">
        <v>0</v>
      </c>
      <c r="G2237">
        <v>0</v>
      </c>
      <c r="H2237">
        <v>0</v>
      </c>
      <c r="I2237" s="3">
        <f t="shared" si="62"/>
        <v>0</v>
      </c>
      <c r="J2237" s="3">
        <f t="shared" si="63"/>
        <v>18</v>
      </c>
      <c r="K2237" s="3">
        <f t="shared" si="64"/>
        <v>-18</v>
      </c>
      <c r="L2237" s="3" t="str">
        <f t="shared" si="65"/>
        <v>CRÍTICO</v>
      </c>
      <c r="N2237">
        <v>99.16</v>
      </c>
      <c r="O2237">
        <v>26.13908872901678</v>
      </c>
    </row>
    <row r="2238" spans="1:15" x14ac:dyDescent="0.25">
      <c r="A2238" s="11">
        <v>46071</v>
      </c>
      <c r="B2238" t="s">
        <v>30</v>
      </c>
      <c r="C2238" t="s">
        <v>20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 t="shared" si="62"/>
        <v>31</v>
      </c>
      <c r="J2238" s="3">
        <f t="shared" si="63"/>
        <v>15</v>
      </c>
      <c r="K2238" s="3">
        <f t="shared" si="64"/>
        <v>16</v>
      </c>
      <c r="L2238" s="3" t="str">
        <f t="shared" si="65"/>
        <v>EXCELENTE</v>
      </c>
      <c r="N2238">
        <v>100</v>
      </c>
      <c r="O2238">
        <v>31.089743589743591</v>
      </c>
    </row>
    <row r="2239" spans="1:15" x14ac:dyDescent="0.25">
      <c r="A2239" s="11">
        <v>46071</v>
      </c>
      <c r="B2239" t="s">
        <v>31</v>
      </c>
      <c r="C2239" t="s">
        <v>18</v>
      </c>
      <c r="D2239">
        <v>0</v>
      </c>
      <c r="E2239">
        <v>0</v>
      </c>
      <c r="F2239">
        <v>0</v>
      </c>
      <c r="G2239">
        <v>0</v>
      </c>
      <c r="H2239">
        <v>0</v>
      </c>
      <c r="I2239" s="3">
        <f t="shared" si="62"/>
        <v>0</v>
      </c>
      <c r="J2239" s="3">
        <f t="shared" si="63"/>
        <v>23</v>
      </c>
      <c r="K2239" s="3">
        <f t="shared" si="64"/>
        <v>-23</v>
      </c>
      <c r="L2239" s="3" t="str">
        <f t="shared" si="65"/>
        <v>CRÍTICO</v>
      </c>
      <c r="N2239">
        <v>98.11</v>
      </c>
      <c r="O2239">
        <v>33.033707865168537</v>
      </c>
    </row>
    <row r="2240" spans="1:15" x14ac:dyDescent="0.25">
      <c r="A2240" s="11">
        <v>46071</v>
      </c>
      <c r="B2240" t="s">
        <v>32</v>
      </c>
      <c r="C2240" t="s">
        <v>23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 t="shared" si="62"/>
        <v>3</v>
      </c>
      <c r="J2240" s="3">
        <f t="shared" si="63"/>
        <v>7</v>
      </c>
      <c r="K2240" s="3">
        <f t="shared" si="64"/>
        <v>-4</v>
      </c>
      <c r="L2240" s="3" t="str">
        <f t="shared" si="65"/>
        <v>ATENÇÃO</v>
      </c>
      <c r="N2240">
        <v>78.95</v>
      </c>
      <c r="O2240">
        <v>38.983050847457633</v>
      </c>
    </row>
    <row r="2241" spans="1:15" x14ac:dyDescent="0.25">
      <c r="A2241" s="11">
        <v>46071</v>
      </c>
      <c r="B2241" t="s">
        <v>33</v>
      </c>
      <c r="C2241" t="s">
        <v>16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 t="shared" si="62"/>
        <v>28</v>
      </c>
      <c r="J2241" s="3">
        <f t="shared" si="63"/>
        <v>18</v>
      </c>
      <c r="K2241" s="3">
        <f t="shared" si="64"/>
        <v>10</v>
      </c>
      <c r="L2241" s="3" t="str">
        <f t="shared" si="65"/>
        <v>EXCELENTE</v>
      </c>
      <c r="N2241">
        <v>98.45</v>
      </c>
      <c r="O2241">
        <v>29.281767955801101</v>
      </c>
    </row>
    <row r="2242" spans="1:15" x14ac:dyDescent="0.25">
      <c r="A2242" s="11">
        <v>46071</v>
      </c>
      <c r="B2242" t="s">
        <v>34</v>
      </c>
      <c r="C2242" t="s">
        <v>18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 t="shared" si="62"/>
        <v>15</v>
      </c>
      <c r="J2242" s="3">
        <f t="shared" si="63"/>
        <v>23</v>
      </c>
      <c r="K2242" s="3">
        <f t="shared" si="64"/>
        <v>-8</v>
      </c>
      <c r="L2242" s="3" t="str">
        <f t="shared" si="65"/>
        <v>CRÍTICO</v>
      </c>
      <c r="N2242">
        <v>97.84</v>
      </c>
      <c r="O2242">
        <v>26.282051282051281</v>
      </c>
    </row>
    <row r="2243" spans="1:15" x14ac:dyDescent="0.25">
      <c r="A2243" s="11">
        <v>46071</v>
      </c>
      <c r="B2243" t="s">
        <v>35</v>
      </c>
      <c r="C2243" t="s">
        <v>16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 t="shared" si="62"/>
        <v>24</v>
      </c>
      <c r="J2243" s="3">
        <f t="shared" si="63"/>
        <v>18</v>
      </c>
      <c r="K2243" s="3">
        <f t="shared" si="64"/>
        <v>6</v>
      </c>
      <c r="L2243" s="3" t="str">
        <f t="shared" si="65"/>
        <v>EXCELENTE</v>
      </c>
      <c r="N2243">
        <v>98.5</v>
      </c>
      <c r="O2243">
        <v>23.97769516728625</v>
      </c>
    </row>
    <row r="2244" spans="1:15" x14ac:dyDescent="0.25">
      <c r="A2244" s="11">
        <v>46105</v>
      </c>
      <c r="B2244" t="s">
        <v>36</v>
      </c>
      <c r="C2244" t="s">
        <v>20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 t="shared" si="62"/>
        <v>29</v>
      </c>
      <c r="J2244" s="3">
        <f t="shared" si="63"/>
        <v>17</v>
      </c>
      <c r="K2244" s="3">
        <f t="shared" si="64"/>
        <v>12</v>
      </c>
      <c r="L2244" s="3" t="str">
        <f t="shared" si="65"/>
        <v>EXCELENTE</v>
      </c>
      <c r="N2244">
        <v>99.05</v>
      </c>
      <c r="O2244">
        <v>26.621923937360179</v>
      </c>
    </row>
    <row r="2245" spans="1:15" x14ac:dyDescent="0.25">
      <c r="A2245" s="11">
        <v>46071</v>
      </c>
      <c r="B2245" t="s">
        <v>37</v>
      </c>
      <c r="C2245" t="s">
        <v>16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 t="shared" si="62"/>
        <v>22</v>
      </c>
      <c r="J2245" s="3">
        <f t="shared" si="63"/>
        <v>18</v>
      </c>
      <c r="K2245" s="3">
        <f t="shared" si="64"/>
        <v>4</v>
      </c>
      <c r="L2245" s="3" t="str">
        <f t="shared" si="65"/>
        <v>BOM</v>
      </c>
      <c r="N2245">
        <v>98.53</v>
      </c>
      <c r="O2245">
        <v>31.578947368421051</v>
      </c>
    </row>
    <row r="2246" spans="1:15" x14ac:dyDescent="0.25">
      <c r="A2246" s="11">
        <v>46071</v>
      </c>
      <c r="B2246" t="s">
        <v>38</v>
      </c>
      <c r="C2246" t="s">
        <v>18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 t="shared" si="62"/>
        <v>39</v>
      </c>
      <c r="J2246" s="3">
        <f t="shared" si="63"/>
        <v>23</v>
      </c>
      <c r="K2246" s="3">
        <f t="shared" si="64"/>
        <v>16</v>
      </c>
      <c r="L2246" s="3" t="str">
        <f t="shared" si="65"/>
        <v>EXCELENTE</v>
      </c>
      <c r="N2246">
        <v>100</v>
      </c>
      <c r="O2246">
        <v>25.72214580467676</v>
      </c>
    </row>
    <row r="2247" spans="1:15" x14ac:dyDescent="0.25">
      <c r="A2247" s="11">
        <v>46071</v>
      </c>
      <c r="B2247" t="s">
        <v>39</v>
      </c>
      <c r="C2247" t="s">
        <v>18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 t="shared" si="62"/>
        <v>26</v>
      </c>
      <c r="J2247" s="3">
        <f t="shared" si="63"/>
        <v>23</v>
      </c>
      <c r="K2247" s="3">
        <f t="shared" si="64"/>
        <v>3</v>
      </c>
      <c r="L2247" s="3" t="str">
        <f t="shared" si="65"/>
        <v>BOM</v>
      </c>
      <c r="N2247">
        <v>94.64</v>
      </c>
      <c r="O2247">
        <v>27.52941176470588</v>
      </c>
    </row>
    <row r="2248" spans="1:15" x14ac:dyDescent="0.25">
      <c r="A2248" s="11">
        <v>46071</v>
      </c>
      <c r="B2248" t="s">
        <v>40</v>
      </c>
      <c r="C2248" t="s">
        <v>16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 t="shared" si="62"/>
        <v>20</v>
      </c>
      <c r="J2248" s="3">
        <f t="shared" si="63"/>
        <v>18</v>
      </c>
      <c r="K2248" s="3">
        <f t="shared" si="64"/>
        <v>2</v>
      </c>
      <c r="L2248" s="3" t="str">
        <f t="shared" si="65"/>
        <v>BOM</v>
      </c>
      <c r="N2248">
        <v>99.07</v>
      </c>
      <c r="O2248">
        <v>26.376811594202898</v>
      </c>
    </row>
    <row r="2249" spans="1:15" x14ac:dyDescent="0.25">
      <c r="A2249" s="11">
        <v>46071</v>
      </c>
      <c r="B2249" t="s">
        <v>41</v>
      </c>
      <c r="C2249" t="s">
        <v>18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f t="shared" si="62"/>
        <v>0</v>
      </c>
      <c r="J2249" s="3">
        <f t="shared" si="63"/>
        <v>23</v>
      </c>
      <c r="K2249" s="3">
        <f t="shared" si="64"/>
        <v>-23</v>
      </c>
      <c r="L2249" s="3" t="str">
        <f t="shared" si="65"/>
        <v>CRÍTICO</v>
      </c>
      <c r="N2249">
        <v>100</v>
      </c>
      <c r="O2249">
        <v>0</v>
      </c>
    </row>
    <row r="2250" spans="1:15" x14ac:dyDescent="0.25">
      <c r="A2250" s="11">
        <v>46071</v>
      </c>
      <c r="B2250" t="s">
        <v>42</v>
      </c>
      <c r="C2250" t="s">
        <v>43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 t="shared" si="62"/>
        <v>9</v>
      </c>
      <c r="J2250" s="3">
        <f t="shared" si="63"/>
        <v>13</v>
      </c>
      <c r="K2250" s="3">
        <f t="shared" si="64"/>
        <v>-4</v>
      </c>
      <c r="L2250" s="3" t="str">
        <f t="shared" si="65"/>
        <v>ATENÇÃO</v>
      </c>
      <c r="N2250">
        <v>98.48</v>
      </c>
      <c r="O2250">
        <v>27.853881278538811</v>
      </c>
    </row>
    <row r="2251" spans="1:15" x14ac:dyDescent="0.25">
      <c r="A2251" s="11">
        <v>46071</v>
      </c>
      <c r="B2251" t="s">
        <v>44</v>
      </c>
      <c r="C2251" t="s">
        <v>18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 t="shared" si="62"/>
        <v>16</v>
      </c>
      <c r="J2251" s="3">
        <f t="shared" si="63"/>
        <v>23</v>
      </c>
      <c r="K2251" s="3">
        <f t="shared" si="64"/>
        <v>-7</v>
      </c>
      <c r="L2251" s="3" t="str">
        <f t="shared" si="65"/>
        <v>CRÍTICO</v>
      </c>
      <c r="N2251">
        <v>95.15</v>
      </c>
      <c r="O2251">
        <v>34.131736526946113</v>
      </c>
    </row>
    <row r="2252" spans="1:15" x14ac:dyDescent="0.25">
      <c r="A2252" s="11">
        <v>46071</v>
      </c>
      <c r="B2252" t="s">
        <v>45</v>
      </c>
      <c r="C2252" t="s">
        <v>43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f t="shared" si="62"/>
        <v>0</v>
      </c>
      <c r="J2252" s="3">
        <f t="shared" si="63"/>
        <v>13</v>
      </c>
      <c r="K2252" s="3">
        <f t="shared" si="64"/>
        <v>-13</v>
      </c>
      <c r="L2252" s="3" t="str">
        <f t="shared" si="65"/>
        <v>CRÍTICO</v>
      </c>
      <c r="N2252">
        <v>0</v>
      </c>
      <c r="O2252">
        <v>0</v>
      </c>
    </row>
    <row r="2253" spans="1:15" x14ac:dyDescent="0.25">
      <c r="A2253" s="11">
        <v>46071</v>
      </c>
      <c r="B2253" t="s">
        <v>46</v>
      </c>
      <c r="C2253" t="s">
        <v>18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 t="shared" si="62"/>
        <v>18</v>
      </c>
      <c r="J2253" s="3">
        <f t="shared" si="63"/>
        <v>23</v>
      </c>
      <c r="K2253" s="3">
        <f t="shared" si="64"/>
        <v>-5</v>
      </c>
      <c r="L2253" s="3" t="str">
        <f t="shared" si="65"/>
        <v>ATENÇÃO</v>
      </c>
      <c r="N2253">
        <v>99.26</v>
      </c>
      <c r="O2253">
        <v>30.84832904884319</v>
      </c>
    </row>
    <row r="2254" spans="1:15" x14ac:dyDescent="0.25">
      <c r="A2254" s="11">
        <v>46071</v>
      </c>
      <c r="B2254" t="s">
        <v>47</v>
      </c>
      <c r="C2254" t="s">
        <v>16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 t="shared" si="62"/>
        <v>22</v>
      </c>
      <c r="J2254" s="3">
        <f t="shared" si="63"/>
        <v>18</v>
      </c>
      <c r="K2254" s="3">
        <f t="shared" si="64"/>
        <v>4</v>
      </c>
      <c r="L2254" s="3" t="str">
        <f t="shared" si="65"/>
        <v>BOM</v>
      </c>
      <c r="N2254">
        <v>97.48</v>
      </c>
      <c r="O2254">
        <v>27.764705882352938</v>
      </c>
    </row>
    <row r="2255" spans="1:15" x14ac:dyDescent="0.25">
      <c r="A2255" s="11">
        <v>46071</v>
      </c>
      <c r="B2255" t="s">
        <v>48</v>
      </c>
      <c r="C2255" t="s">
        <v>16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f t="shared" si="62"/>
        <v>0</v>
      </c>
      <c r="J2255" s="3">
        <f t="shared" si="63"/>
        <v>18</v>
      </c>
      <c r="K2255" s="3">
        <f t="shared" si="64"/>
        <v>-18</v>
      </c>
      <c r="L2255" s="3" t="str">
        <f t="shared" si="65"/>
        <v>CRÍTICO</v>
      </c>
      <c r="N2255">
        <v>99.34</v>
      </c>
      <c r="O2255">
        <v>30.04291845493562</v>
      </c>
    </row>
    <row r="2256" spans="1:15" x14ac:dyDescent="0.25">
      <c r="A2256" s="11">
        <v>46071</v>
      </c>
      <c r="B2256" t="s">
        <v>49</v>
      </c>
      <c r="C2256" t="s">
        <v>18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f t="shared" si="62"/>
        <v>0</v>
      </c>
      <c r="J2256" s="3">
        <f t="shared" si="63"/>
        <v>23</v>
      </c>
      <c r="K2256" s="3">
        <f t="shared" si="64"/>
        <v>-23</v>
      </c>
      <c r="L2256" s="3" t="str">
        <f t="shared" si="65"/>
        <v>CRÍTICO</v>
      </c>
      <c r="N2256">
        <v>96.3</v>
      </c>
      <c r="O2256">
        <v>24.29378531073446</v>
      </c>
    </row>
    <row r="2257" spans="1:15" x14ac:dyDescent="0.25">
      <c r="A2257" s="11">
        <v>46071</v>
      </c>
      <c r="B2257" t="s">
        <v>50</v>
      </c>
      <c r="C2257" t="s">
        <v>20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 t="shared" si="62"/>
        <v>18</v>
      </c>
      <c r="J2257" s="3">
        <f t="shared" si="63"/>
        <v>15</v>
      </c>
      <c r="K2257" s="3">
        <f t="shared" si="64"/>
        <v>3</v>
      </c>
      <c r="L2257" s="3" t="str">
        <f t="shared" si="65"/>
        <v>BOM</v>
      </c>
      <c r="N2257">
        <v>100</v>
      </c>
      <c r="O2257">
        <v>26.543209876543209</v>
      </c>
    </row>
    <row r="2258" spans="1:15" x14ac:dyDescent="0.25">
      <c r="A2258" s="11">
        <v>46071</v>
      </c>
      <c r="B2258" t="s">
        <v>51</v>
      </c>
      <c r="C2258" t="s">
        <v>23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 t="shared" si="62"/>
        <v>2</v>
      </c>
      <c r="J2258" s="3">
        <f t="shared" si="63"/>
        <v>7</v>
      </c>
      <c r="K2258" s="3">
        <f t="shared" si="64"/>
        <v>-5</v>
      </c>
      <c r="L2258" s="3" t="str">
        <f t="shared" si="65"/>
        <v>ATENÇÃO</v>
      </c>
      <c r="N2258">
        <v>100</v>
      </c>
      <c r="O2258">
        <v>35.483870967741943</v>
      </c>
    </row>
    <row r="2259" spans="1:15" x14ac:dyDescent="0.25">
      <c r="A2259" s="11">
        <v>46071</v>
      </c>
      <c r="B2259" t="s">
        <v>52</v>
      </c>
      <c r="C2259" t="s">
        <v>18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 t="shared" si="62"/>
        <v>28</v>
      </c>
      <c r="J2259" s="3">
        <f t="shared" si="63"/>
        <v>23</v>
      </c>
      <c r="K2259" s="3">
        <f t="shared" si="64"/>
        <v>5</v>
      </c>
      <c r="L2259" s="3" t="str">
        <f t="shared" si="65"/>
        <v>BOM</v>
      </c>
      <c r="N2259">
        <v>99.27</v>
      </c>
      <c r="O2259">
        <v>31.163708086785011</v>
      </c>
    </row>
    <row r="2260" spans="1:15" x14ac:dyDescent="0.25">
      <c r="A2260" s="11">
        <v>46071</v>
      </c>
      <c r="B2260" t="s">
        <v>53</v>
      </c>
      <c r="C2260" t="s">
        <v>18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 t="shared" si="62"/>
        <v>35</v>
      </c>
      <c r="J2260" s="3">
        <f t="shared" si="63"/>
        <v>23</v>
      </c>
      <c r="K2260" s="3">
        <f t="shared" si="64"/>
        <v>12</v>
      </c>
      <c r="L2260" s="3" t="str">
        <f t="shared" si="65"/>
        <v>EXCELENTE</v>
      </c>
      <c r="N2260">
        <v>94.16</v>
      </c>
      <c r="O2260">
        <v>27.038626609442058</v>
      </c>
    </row>
    <row r="2261" spans="1:15" x14ac:dyDescent="0.25">
      <c r="A2261" s="11">
        <v>46071</v>
      </c>
      <c r="B2261" t="s">
        <v>54</v>
      </c>
      <c r="C2261" t="s">
        <v>23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 t="shared" si="62"/>
        <v>6</v>
      </c>
      <c r="J2261" s="3">
        <f t="shared" si="63"/>
        <v>7</v>
      </c>
      <c r="K2261" s="3">
        <f t="shared" si="64"/>
        <v>-1</v>
      </c>
      <c r="L2261" s="3" t="str">
        <f t="shared" si="65"/>
        <v>ATENÇÃO</v>
      </c>
      <c r="N2261">
        <v>93.75</v>
      </c>
      <c r="O2261">
        <v>19.31818181818182</v>
      </c>
    </row>
    <row r="2262" spans="1:15" x14ac:dyDescent="0.25">
      <c r="A2262" s="11">
        <v>46071</v>
      </c>
      <c r="B2262" t="s">
        <v>55</v>
      </c>
      <c r="C2262" t="s">
        <v>43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f t="shared" si="62"/>
        <v>0</v>
      </c>
      <c r="J2262" s="3">
        <f t="shared" si="63"/>
        <v>13</v>
      </c>
      <c r="K2262" s="3">
        <f t="shared" si="64"/>
        <v>-13</v>
      </c>
      <c r="L2262" s="3" t="str">
        <f t="shared" si="65"/>
        <v>CRÍTICO</v>
      </c>
      <c r="N2262">
        <v>0</v>
      </c>
      <c r="O2262">
        <v>0</v>
      </c>
    </row>
    <row r="2263" spans="1:15" x14ac:dyDescent="0.25">
      <c r="A2263" s="11">
        <v>46071</v>
      </c>
      <c r="B2263" t="s">
        <v>56</v>
      </c>
      <c r="C2263" t="s">
        <v>16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f t="shared" si="62"/>
        <v>0</v>
      </c>
      <c r="J2263" s="3">
        <f t="shared" si="63"/>
        <v>18</v>
      </c>
      <c r="K2263" s="3">
        <f t="shared" si="64"/>
        <v>-18</v>
      </c>
      <c r="L2263" s="3" t="str">
        <f t="shared" si="65"/>
        <v>CRÍTICO</v>
      </c>
      <c r="N2263">
        <v>97.92</v>
      </c>
      <c r="O2263">
        <v>32.87671232876712</v>
      </c>
    </row>
    <row r="2264" spans="1:15" x14ac:dyDescent="0.25">
      <c r="A2264" s="11">
        <v>46071</v>
      </c>
      <c r="B2264" t="s">
        <v>57</v>
      </c>
      <c r="C2264" t="s">
        <v>43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f t="shared" si="62"/>
        <v>0</v>
      </c>
      <c r="J2264" s="3">
        <f t="shared" si="63"/>
        <v>13</v>
      </c>
      <c r="K2264" s="3">
        <f t="shared" si="64"/>
        <v>-13</v>
      </c>
      <c r="L2264" s="3" t="str">
        <f t="shared" si="65"/>
        <v>CRÍTICO</v>
      </c>
      <c r="N2264">
        <v>0</v>
      </c>
      <c r="O2264">
        <v>0</v>
      </c>
    </row>
    <row r="2265" spans="1:15" x14ac:dyDescent="0.25">
      <c r="A2265" s="11">
        <v>46071</v>
      </c>
      <c r="B2265" t="s">
        <v>58</v>
      </c>
      <c r="C2265" t="s">
        <v>43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f t="shared" si="62"/>
        <v>0</v>
      </c>
      <c r="J2265" s="3">
        <f t="shared" si="63"/>
        <v>13</v>
      </c>
      <c r="K2265" s="3">
        <f t="shared" si="64"/>
        <v>-13</v>
      </c>
      <c r="L2265" s="3" t="str">
        <f t="shared" si="65"/>
        <v>CRÍTICO</v>
      </c>
      <c r="N2265">
        <v>0</v>
      </c>
      <c r="O2265">
        <v>0</v>
      </c>
    </row>
    <row r="2266" spans="1:15" x14ac:dyDescent="0.25">
      <c r="A2266" s="11">
        <v>46071</v>
      </c>
      <c r="B2266" t="s">
        <v>59</v>
      </c>
      <c r="C2266" t="s">
        <v>23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f t="shared" si="62"/>
        <v>0</v>
      </c>
      <c r="J2266" s="3">
        <f t="shared" si="63"/>
        <v>7</v>
      </c>
      <c r="K2266" s="3">
        <f t="shared" si="64"/>
        <v>-7</v>
      </c>
      <c r="L2266" s="3" t="str">
        <f t="shared" si="65"/>
        <v>CRÍTICO</v>
      </c>
      <c r="N2266">
        <v>0</v>
      </c>
      <c r="O2266">
        <v>0</v>
      </c>
    </row>
    <row r="2267" spans="1:15" x14ac:dyDescent="0.25">
      <c r="A2267" s="11">
        <v>46071</v>
      </c>
      <c r="B2267" t="s">
        <v>60</v>
      </c>
      <c r="C2267" t="s">
        <v>20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 t="shared" si="62"/>
        <v>34</v>
      </c>
      <c r="J2267" s="3">
        <f t="shared" si="63"/>
        <v>15</v>
      </c>
      <c r="K2267" s="3">
        <f t="shared" si="64"/>
        <v>19</v>
      </c>
      <c r="L2267" s="3" t="str">
        <f t="shared" si="65"/>
        <v>EXCELENTE</v>
      </c>
      <c r="N2267">
        <v>98.51</v>
      </c>
      <c r="O2267">
        <v>29.710144927536231</v>
      </c>
    </row>
    <row r="2268" spans="1:15" x14ac:dyDescent="0.25">
      <c r="A2268" s="11">
        <v>46071</v>
      </c>
      <c r="B2268" t="s">
        <v>61</v>
      </c>
      <c r="C2268" t="s">
        <v>18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 t="shared" si="62"/>
        <v>41</v>
      </c>
      <c r="J2268" s="3">
        <f t="shared" si="63"/>
        <v>23</v>
      </c>
      <c r="K2268" s="3">
        <f t="shared" si="64"/>
        <v>18</v>
      </c>
      <c r="L2268" s="3" t="str">
        <f t="shared" si="65"/>
        <v>EXCELENTE</v>
      </c>
      <c r="N2268">
        <v>98.81</v>
      </c>
      <c r="O2268">
        <v>30.712979890310791</v>
      </c>
    </row>
    <row r="2269" spans="1:15" x14ac:dyDescent="0.25">
      <c r="A2269" s="11">
        <v>46071</v>
      </c>
      <c r="B2269" t="s">
        <v>62</v>
      </c>
      <c r="C2269" t="s">
        <v>20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 t="shared" si="62"/>
        <v>10</v>
      </c>
      <c r="J2269" s="3">
        <f t="shared" si="63"/>
        <v>15</v>
      </c>
      <c r="K2269" s="3">
        <f t="shared" si="64"/>
        <v>-5</v>
      </c>
      <c r="L2269" s="3" t="str">
        <f t="shared" si="65"/>
        <v>ATENÇÃO</v>
      </c>
      <c r="N2269">
        <v>98.48</v>
      </c>
      <c r="O2269">
        <v>29.35323383084577</v>
      </c>
    </row>
    <row r="2270" spans="1:15" x14ac:dyDescent="0.25">
      <c r="A2270" s="11">
        <v>46071</v>
      </c>
      <c r="B2270" t="s">
        <v>63</v>
      </c>
      <c r="C2270" t="s">
        <v>18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 t="shared" si="62"/>
        <v>26</v>
      </c>
      <c r="J2270" s="3">
        <f t="shared" si="63"/>
        <v>23</v>
      </c>
      <c r="K2270" s="3">
        <f t="shared" si="64"/>
        <v>3</v>
      </c>
      <c r="L2270" s="3" t="str">
        <f t="shared" si="65"/>
        <v>BOM</v>
      </c>
      <c r="N2270">
        <v>98.56</v>
      </c>
      <c r="O2270">
        <v>29.373650107991359</v>
      </c>
    </row>
    <row r="2271" spans="1:15" x14ac:dyDescent="0.25">
      <c r="A2271" s="11">
        <v>46072</v>
      </c>
      <c r="B2271" t="s">
        <v>15</v>
      </c>
      <c r="C2271" t="s">
        <v>16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 t="shared" si="62"/>
        <v>15</v>
      </c>
      <c r="J2271" s="3">
        <f t="shared" si="63"/>
        <v>17</v>
      </c>
      <c r="K2271" s="3">
        <f t="shared" si="64"/>
        <v>-2</v>
      </c>
      <c r="L2271" s="3" t="str">
        <f t="shared" si="65"/>
        <v>ATENÇÃO</v>
      </c>
      <c r="N2271">
        <v>98.32</v>
      </c>
      <c r="O2271">
        <v>30.303030303030301</v>
      </c>
    </row>
    <row r="2272" spans="1:15" x14ac:dyDescent="0.25">
      <c r="A2272" s="11">
        <v>46072</v>
      </c>
      <c r="B2272" t="s">
        <v>17</v>
      </c>
      <c r="C2272" t="s">
        <v>18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f t="shared" si="62"/>
        <v>0</v>
      </c>
      <c r="J2272" s="3">
        <f t="shared" si="63"/>
        <v>21</v>
      </c>
      <c r="K2272" s="3">
        <f t="shared" si="64"/>
        <v>-21</v>
      </c>
      <c r="L2272" s="3" t="str">
        <f t="shared" si="65"/>
        <v>CRÍTICO</v>
      </c>
      <c r="N2272">
        <v>98.68</v>
      </c>
      <c r="O2272">
        <v>26.219512195121951</v>
      </c>
    </row>
    <row r="2273" spans="1:15" x14ac:dyDescent="0.25">
      <c r="A2273" s="11">
        <v>46072</v>
      </c>
      <c r="B2273" t="s">
        <v>19</v>
      </c>
      <c r="C2273" t="s">
        <v>20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 t="shared" si="62"/>
        <v>14</v>
      </c>
      <c r="J2273" s="3">
        <f t="shared" si="63"/>
        <v>14</v>
      </c>
      <c r="K2273" s="3">
        <f t="shared" si="64"/>
        <v>0</v>
      </c>
      <c r="L2273" s="3" t="str">
        <f t="shared" si="65"/>
        <v>BOM</v>
      </c>
      <c r="N2273">
        <v>100</v>
      </c>
      <c r="O2273">
        <v>31.74224343675418</v>
      </c>
    </row>
    <row r="2274" spans="1:15" x14ac:dyDescent="0.25">
      <c r="A2274" s="11">
        <v>46072</v>
      </c>
      <c r="B2274" t="s">
        <v>21</v>
      </c>
      <c r="C2274" t="s">
        <v>18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 t="shared" si="62"/>
        <v>28</v>
      </c>
      <c r="J2274" s="3">
        <f t="shared" si="63"/>
        <v>21</v>
      </c>
      <c r="K2274" s="3">
        <f t="shared" si="64"/>
        <v>7</v>
      </c>
      <c r="L2274" s="3" t="str">
        <f t="shared" si="65"/>
        <v>EXCELENTE</v>
      </c>
      <c r="N2274">
        <v>98.25</v>
      </c>
      <c r="O2274">
        <v>25.83518930957684</v>
      </c>
    </row>
    <row r="2275" spans="1:15" x14ac:dyDescent="0.25">
      <c r="A2275" s="11">
        <v>46072</v>
      </c>
      <c r="B2275" t="s">
        <v>22</v>
      </c>
      <c r="C2275" t="s">
        <v>23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 t="shared" ref="I2275:I2338" si="66">E2275+G2275+H2275</f>
        <v>4</v>
      </c>
      <c r="J2275" s="3">
        <f t="shared" ref="J2275:J2338" si="67"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 t="shared" ref="K2275:K2338" si="68">I2275-J2275</f>
        <v>-2</v>
      </c>
      <c r="L2275" s="3" t="str">
        <f t="shared" ref="L2275:L2338" si="69">IF(K2275&lt;-5,"CRÍTICO",IF(K2275&lt;0,"ATENÇÃO",IF(K2275&lt;=5,"BOM","EXCELENTE")))</f>
        <v>ATENÇÃO</v>
      </c>
      <c r="N2275">
        <v>97.5</v>
      </c>
      <c r="O2275">
        <v>30.075187969924809</v>
      </c>
    </row>
    <row r="2276" spans="1:15" x14ac:dyDescent="0.25">
      <c r="A2276" s="11">
        <v>46072</v>
      </c>
      <c r="B2276" t="s">
        <v>24</v>
      </c>
      <c r="C2276" t="s">
        <v>16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 t="shared" si="66"/>
        <v>23</v>
      </c>
      <c r="J2276" s="3">
        <f t="shared" si="67"/>
        <v>17</v>
      </c>
      <c r="K2276" s="3">
        <f t="shared" si="68"/>
        <v>6</v>
      </c>
      <c r="L2276" s="3" t="str">
        <f t="shared" si="69"/>
        <v>EXCELENTE</v>
      </c>
      <c r="N2276">
        <v>100</v>
      </c>
      <c r="O2276">
        <v>29.71311475409836</v>
      </c>
    </row>
    <row r="2277" spans="1:15" x14ac:dyDescent="0.25">
      <c r="A2277" s="11">
        <v>46072</v>
      </c>
      <c r="B2277" t="s">
        <v>25</v>
      </c>
      <c r="C2277" t="s">
        <v>16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 t="shared" si="66"/>
        <v>11</v>
      </c>
      <c r="J2277" s="3">
        <f t="shared" si="67"/>
        <v>17</v>
      </c>
      <c r="K2277" s="3">
        <f t="shared" si="68"/>
        <v>-6</v>
      </c>
      <c r="L2277" s="3" t="str">
        <f t="shared" si="69"/>
        <v>CRÍTICO</v>
      </c>
      <c r="N2277">
        <v>99.22</v>
      </c>
      <c r="O2277">
        <v>35.256410256410263</v>
      </c>
    </row>
    <row r="2278" spans="1:15" x14ac:dyDescent="0.25">
      <c r="A2278" s="11">
        <v>46072</v>
      </c>
      <c r="B2278" t="s">
        <v>26</v>
      </c>
      <c r="C2278" t="s">
        <v>23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f t="shared" si="66"/>
        <v>0</v>
      </c>
      <c r="J2278" s="3">
        <f t="shared" si="67"/>
        <v>6</v>
      </c>
      <c r="K2278" s="3">
        <f t="shared" si="68"/>
        <v>-6</v>
      </c>
      <c r="L2278" s="3" t="str">
        <f t="shared" si="69"/>
        <v>CRÍTICO</v>
      </c>
      <c r="N2278">
        <v>0</v>
      </c>
      <c r="O2278">
        <v>0</v>
      </c>
    </row>
    <row r="2279" spans="1:15" x14ac:dyDescent="0.25">
      <c r="A2279" s="11">
        <v>46072</v>
      </c>
      <c r="B2279" t="s">
        <v>27</v>
      </c>
      <c r="C2279" t="s">
        <v>20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 t="shared" si="66"/>
        <v>18</v>
      </c>
      <c r="J2279" s="3">
        <f t="shared" si="67"/>
        <v>14</v>
      </c>
      <c r="K2279" s="3">
        <f t="shared" si="68"/>
        <v>4</v>
      </c>
      <c r="L2279" s="3" t="str">
        <f t="shared" si="69"/>
        <v>BOM</v>
      </c>
      <c r="N2279">
        <v>98.75</v>
      </c>
      <c r="O2279">
        <v>24.32432432432433</v>
      </c>
    </row>
    <row r="2280" spans="1:15" x14ac:dyDescent="0.25">
      <c r="A2280" s="11">
        <v>46072</v>
      </c>
      <c r="B2280" t="s">
        <v>28</v>
      </c>
      <c r="C2280" t="s">
        <v>18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 t="shared" si="66"/>
        <v>40</v>
      </c>
      <c r="J2280" s="3">
        <f t="shared" si="67"/>
        <v>21</v>
      </c>
      <c r="K2280" s="3">
        <f t="shared" si="68"/>
        <v>19</v>
      </c>
      <c r="L2280" s="3" t="str">
        <f t="shared" si="69"/>
        <v>EXCELENTE</v>
      </c>
      <c r="N2280">
        <v>93.48</v>
      </c>
      <c r="O2280">
        <v>31.334622823984521</v>
      </c>
    </row>
    <row r="2281" spans="1:15" x14ac:dyDescent="0.25">
      <c r="A2281" s="11">
        <v>46072</v>
      </c>
      <c r="B2281" t="s">
        <v>29</v>
      </c>
      <c r="C2281" t="s">
        <v>16</v>
      </c>
      <c r="D2281">
        <v>0</v>
      </c>
      <c r="E2281">
        <v>0</v>
      </c>
      <c r="F2281">
        <v>0</v>
      </c>
      <c r="G2281">
        <v>0</v>
      </c>
      <c r="H2281">
        <v>0</v>
      </c>
      <c r="I2281" s="3">
        <f t="shared" si="66"/>
        <v>0</v>
      </c>
      <c r="J2281" s="3">
        <f t="shared" si="67"/>
        <v>17</v>
      </c>
      <c r="K2281" s="3">
        <f t="shared" si="68"/>
        <v>-17</v>
      </c>
      <c r="L2281" s="3" t="str">
        <f t="shared" si="69"/>
        <v>CRÍTICO</v>
      </c>
      <c r="N2281">
        <v>99.16</v>
      </c>
      <c r="O2281">
        <v>26.13908872901678</v>
      </c>
    </row>
    <row r="2282" spans="1:15" x14ac:dyDescent="0.25">
      <c r="A2282" s="11">
        <v>46072</v>
      </c>
      <c r="B2282" t="s">
        <v>30</v>
      </c>
      <c r="C2282" t="s">
        <v>20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 t="shared" si="66"/>
        <v>13</v>
      </c>
      <c r="J2282" s="3">
        <f t="shared" si="67"/>
        <v>14</v>
      </c>
      <c r="K2282" s="3">
        <f t="shared" si="68"/>
        <v>-1</v>
      </c>
      <c r="L2282" s="3" t="str">
        <f t="shared" si="69"/>
        <v>ATENÇÃO</v>
      </c>
      <c r="N2282">
        <v>100</v>
      </c>
      <c r="O2282">
        <v>31.089743589743591</v>
      </c>
    </row>
    <row r="2283" spans="1:15" x14ac:dyDescent="0.25">
      <c r="A2283" s="11">
        <v>46072</v>
      </c>
      <c r="B2283" t="s">
        <v>31</v>
      </c>
      <c r="C2283" t="s">
        <v>18</v>
      </c>
      <c r="D2283">
        <v>0</v>
      </c>
      <c r="E2283">
        <v>0</v>
      </c>
      <c r="F2283">
        <v>0</v>
      </c>
      <c r="G2283">
        <v>0</v>
      </c>
      <c r="H2283">
        <v>0</v>
      </c>
      <c r="I2283" s="3">
        <f t="shared" si="66"/>
        <v>0</v>
      </c>
      <c r="J2283" s="3">
        <f t="shared" si="67"/>
        <v>21</v>
      </c>
      <c r="K2283" s="3">
        <f t="shared" si="68"/>
        <v>-21</v>
      </c>
      <c r="L2283" s="3" t="str">
        <f t="shared" si="69"/>
        <v>CRÍTICO</v>
      </c>
      <c r="N2283">
        <v>98.11</v>
      </c>
      <c r="O2283">
        <v>33.033707865168537</v>
      </c>
    </row>
    <row r="2284" spans="1:15" x14ac:dyDescent="0.25">
      <c r="A2284" s="11">
        <v>46072</v>
      </c>
      <c r="B2284" t="s">
        <v>32</v>
      </c>
      <c r="C2284" t="s">
        <v>23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 t="shared" si="66"/>
        <v>9</v>
      </c>
      <c r="J2284" s="3">
        <f t="shared" si="67"/>
        <v>6</v>
      </c>
      <c r="K2284" s="3">
        <f t="shared" si="68"/>
        <v>3</v>
      </c>
      <c r="L2284" s="3" t="str">
        <f t="shared" si="69"/>
        <v>BOM</v>
      </c>
      <c r="N2284">
        <v>78.95</v>
      </c>
      <c r="O2284">
        <v>38.983050847457633</v>
      </c>
    </row>
    <row r="2285" spans="1:15" x14ac:dyDescent="0.25">
      <c r="A2285" s="11">
        <v>46072</v>
      </c>
      <c r="B2285" t="s">
        <v>33</v>
      </c>
      <c r="C2285" t="s">
        <v>16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 t="shared" si="66"/>
        <v>15</v>
      </c>
      <c r="J2285" s="3">
        <f t="shared" si="67"/>
        <v>17</v>
      </c>
      <c r="K2285" s="3">
        <f t="shared" si="68"/>
        <v>-2</v>
      </c>
      <c r="L2285" s="3" t="str">
        <f t="shared" si="69"/>
        <v>ATENÇÃO</v>
      </c>
      <c r="N2285">
        <v>98.45</v>
      </c>
      <c r="O2285">
        <v>29.281767955801101</v>
      </c>
    </row>
    <row r="2286" spans="1:15" x14ac:dyDescent="0.25">
      <c r="A2286" s="11">
        <v>46072</v>
      </c>
      <c r="B2286" t="s">
        <v>34</v>
      </c>
      <c r="C2286" t="s">
        <v>18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 t="shared" si="66"/>
        <v>21</v>
      </c>
      <c r="J2286" s="3">
        <f t="shared" si="67"/>
        <v>21</v>
      </c>
      <c r="K2286" s="3">
        <f t="shared" si="68"/>
        <v>0</v>
      </c>
      <c r="L2286" s="3" t="str">
        <f t="shared" si="69"/>
        <v>BOM</v>
      </c>
      <c r="N2286">
        <v>97.84</v>
      </c>
      <c r="O2286">
        <v>26.282051282051281</v>
      </c>
    </row>
    <row r="2287" spans="1:15" x14ac:dyDescent="0.25">
      <c r="A2287" s="11">
        <v>46072</v>
      </c>
      <c r="B2287" t="s">
        <v>35</v>
      </c>
      <c r="C2287" t="s">
        <v>16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 t="shared" si="66"/>
        <v>29</v>
      </c>
      <c r="J2287" s="3">
        <f t="shared" si="67"/>
        <v>17</v>
      </c>
      <c r="K2287" s="3">
        <f t="shared" si="68"/>
        <v>12</v>
      </c>
      <c r="L2287" s="3" t="str">
        <f t="shared" si="69"/>
        <v>EXCELENTE</v>
      </c>
      <c r="N2287">
        <v>98.5</v>
      </c>
      <c r="O2287">
        <v>23.97769516728625</v>
      </c>
    </row>
    <row r="2288" spans="1:15" x14ac:dyDescent="0.25">
      <c r="A2288" s="11">
        <v>46106</v>
      </c>
      <c r="B2288" t="s">
        <v>36</v>
      </c>
      <c r="C2288" t="s">
        <v>20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 t="shared" si="66"/>
        <v>21</v>
      </c>
      <c r="J2288" s="3">
        <f t="shared" si="67"/>
        <v>15</v>
      </c>
      <c r="K2288" s="3">
        <f t="shared" si="68"/>
        <v>6</v>
      </c>
      <c r="L2288" s="3" t="str">
        <f t="shared" si="69"/>
        <v>EXCELENTE</v>
      </c>
      <c r="N2288">
        <v>99.05</v>
      </c>
      <c r="O2288">
        <v>26.621923937360179</v>
      </c>
    </row>
    <row r="2289" spans="1:15" x14ac:dyDescent="0.25">
      <c r="A2289" s="11">
        <v>46072</v>
      </c>
      <c r="B2289" t="s">
        <v>37</v>
      </c>
      <c r="C2289" t="s">
        <v>16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 t="shared" si="66"/>
        <v>22</v>
      </c>
      <c r="J2289" s="3">
        <f t="shared" si="67"/>
        <v>17</v>
      </c>
      <c r="K2289" s="3">
        <f t="shared" si="68"/>
        <v>5</v>
      </c>
      <c r="L2289" s="3" t="str">
        <f t="shared" si="69"/>
        <v>BOM</v>
      </c>
      <c r="N2289">
        <v>98.53</v>
      </c>
      <c r="O2289">
        <v>31.578947368421051</v>
      </c>
    </row>
    <row r="2290" spans="1:15" x14ac:dyDescent="0.25">
      <c r="A2290" s="11">
        <v>46072</v>
      </c>
      <c r="B2290" t="s">
        <v>38</v>
      </c>
      <c r="C2290" t="s">
        <v>18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 t="shared" si="66"/>
        <v>31</v>
      </c>
      <c r="J2290" s="3">
        <f t="shared" si="67"/>
        <v>21</v>
      </c>
      <c r="K2290" s="3">
        <f t="shared" si="68"/>
        <v>10</v>
      </c>
      <c r="L2290" s="3" t="str">
        <f t="shared" si="69"/>
        <v>EXCELENTE</v>
      </c>
      <c r="N2290">
        <v>100</v>
      </c>
      <c r="O2290">
        <v>25.72214580467676</v>
      </c>
    </row>
    <row r="2291" spans="1:15" x14ac:dyDescent="0.25">
      <c r="A2291" s="11">
        <v>46072</v>
      </c>
      <c r="B2291" t="s">
        <v>39</v>
      </c>
      <c r="C2291" t="s">
        <v>18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 t="shared" si="66"/>
        <v>2</v>
      </c>
      <c r="J2291" s="3">
        <f t="shared" si="67"/>
        <v>21</v>
      </c>
      <c r="K2291" s="3">
        <f t="shared" si="68"/>
        <v>-19</v>
      </c>
      <c r="L2291" s="3" t="str">
        <f t="shared" si="69"/>
        <v>CRÍTICO</v>
      </c>
      <c r="N2291">
        <v>94.64</v>
      </c>
      <c r="O2291">
        <v>27.52941176470588</v>
      </c>
    </row>
    <row r="2292" spans="1:15" x14ac:dyDescent="0.25">
      <c r="A2292" s="11">
        <v>46072</v>
      </c>
      <c r="B2292" t="s">
        <v>40</v>
      </c>
      <c r="C2292" t="s">
        <v>16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 t="shared" si="66"/>
        <v>14</v>
      </c>
      <c r="J2292" s="3">
        <f t="shared" si="67"/>
        <v>17</v>
      </c>
      <c r="K2292" s="3">
        <f t="shared" si="68"/>
        <v>-3</v>
      </c>
      <c r="L2292" s="3" t="str">
        <f t="shared" si="69"/>
        <v>ATENÇÃO</v>
      </c>
      <c r="N2292">
        <v>99.07</v>
      </c>
      <c r="O2292">
        <v>26.376811594202898</v>
      </c>
    </row>
    <row r="2293" spans="1:15" x14ac:dyDescent="0.25">
      <c r="A2293" s="11">
        <v>46072</v>
      </c>
      <c r="B2293" t="s">
        <v>41</v>
      </c>
      <c r="C2293" t="s">
        <v>18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f t="shared" si="66"/>
        <v>0</v>
      </c>
      <c r="J2293" s="3">
        <f t="shared" si="67"/>
        <v>21</v>
      </c>
      <c r="K2293" s="3">
        <f t="shared" si="68"/>
        <v>-21</v>
      </c>
      <c r="L2293" s="3" t="str">
        <f t="shared" si="69"/>
        <v>CRÍTICO</v>
      </c>
      <c r="N2293">
        <v>100</v>
      </c>
      <c r="O2293">
        <v>0</v>
      </c>
    </row>
    <row r="2294" spans="1:15" x14ac:dyDescent="0.25">
      <c r="A2294" s="11">
        <v>46072</v>
      </c>
      <c r="B2294" t="s">
        <v>42</v>
      </c>
      <c r="C2294" t="s">
        <v>43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 t="shared" si="66"/>
        <v>15</v>
      </c>
      <c r="J2294" s="3">
        <f t="shared" si="67"/>
        <v>12</v>
      </c>
      <c r="K2294" s="3">
        <f t="shared" si="68"/>
        <v>3</v>
      </c>
      <c r="L2294" s="3" t="str">
        <f t="shared" si="69"/>
        <v>BOM</v>
      </c>
      <c r="N2294">
        <v>98.48</v>
      </c>
      <c r="O2294">
        <v>27.853881278538811</v>
      </c>
    </row>
    <row r="2295" spans="1:15" x14ac:dyDescent="0.25">
      <c r="A2295" s="11">
        <v>46072</v>
      </c>
      <c r="B2295" t="s">
        <v>44</v>
      </c>
      <c r="C2295" t="s">
        <v>18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 t="shared" si="66"/>
        <v>17</v>
      </c>
      <c r="J2295" s="3">
        <f t="shared" si="67"/>
        <v>21</v>
      </c>
      <c r="K2295" s="3">
        <f t="shared" si="68"/>
        <v>-4</v>
      </c>
      <c r="L2295" s="3" t="str">
        <f t="shared" si="69"/>
        <v>ATENÇÃO</v>
      </c>
      <c r="N2295">
        <v>95.15</v>
      </c>
      <c r="O2295">
        <v>34.131736526946113</v>
      </c>
    </row>
    <row r="2296" spans="1:15" x14ac:dyDescent="0.25">
      <c r="A2296" s="11">
        <v>46072</v>
      </c>
      <c r="B2296" t="s">
        <v>45</v>
      </c>
      <c r="C2296" t="s">
        <v>43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f t="shared" si="66"/>
        <v>0</v>
      </c>
      <c r="J2296" s="3">
        <f t="shared" si="67"/>
        <v>12</v>
      </c>
      <c r="K2296" s="3">
        <f t="shared" si="68"/>
        <v>-12</v>
      </c>
      <c r="L2296" s="3" t="str">
        <f t="shared" si="69"/>
        <v>CRÍTICO</v>
      </c>
      <c r="N2296">
        <v>0</v>
      </c>
      <c r="O2296">
        <v>0</v>
      </c>
    </row>
    <row r="2297" spans="1:15" x14ac:dyDescent="0.25">
      <c r="A2297" s="11">
        <v>46072</v>
      </c>
      <c r="B2297" t="s">
        <v>46</v>
      </c>
      <c r="C2297" t="s">
        <v>18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 t="shared" si="66"/>
        <v>27</v>
      </c>
      <c r="J2297" s="3">
        <f t="shared" si="67"/>
        <v>21</v>
      </c>
      <c r="K2297" s="3">
        <f t="shared" si="68"/>
        <v>6</v>
      </c>
      <c r="L2297" s="3" t="str">
        <f t="shared" si="69"/>
        <v>EXCELENTE</v>
      </c>
      <c r="N2297">
        <v>99.26</v>
      </c>
      <c r="O2297">
        <v>30.84832904884319</v>
      </c>
    </row>
    <row r="2298" spans="1:15" x14ac:dyDescent="0.25">
      <c r="A2298" s="11">
        <v>46072</v>
      </c>
      <c r="B2298" t="s">
        <v>47</v>
      </c>
      <c r="C2298" t="s">
        <v>16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 t="shared" si="66"/>
        <v>25</v>
      </c>
      <c r="J2298" s="3">
        <f t="shared" si="67"/>
        <v>17</v>
      </c>
      <c r="K2298" s="3">
        <f t="shared" si="68"/>
        <v>8</v>
      </c>
      <c r="L2298" s="3" t="str">
        <f t="shared" si="69"/>
        <v>EXCELENTE</v>
      </c>
      <c r="N2298">
        <v>97.48</v>
      </c>
      <c r="O2298">
        <v>27.764705882352938</v>
      </c>
    </row>
    <row r="2299" spans="1:15" x14ac:dyDescent="0.25">
      <c r="A2299" s="11">
        <v>46072</v>
      </c>
      <c r="B2299" t="s">
        <v>48</v>
      </c>
      <c r="C2299" t="s">
        <v>16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f t="shared" si="66"/>
        <v>0</v>
      </c>
      <c r="J2299" s="3">
        <f t="shared" si="67"/>
        <v>17</v>
      </c>
      <c r="K2299" s="3">
        <f t="shared" si="68"/>
        <v>-17</v>
      </c>
      <c r="L2299" s="3" t="str">
        <f t="shared" si="69"/>
        <v>CRÍTICO</v>
      </c>
      <c r="N2299">
        <v>99.34</v>
      </c>
      <c r="O2299">
        <v>30.04291845493562</v>
      </c>
    </row>
    <row r="2300" spans="1:15" x14ac:dyDescent="0.25">
      <c r="A2300" s="11">
        <v>46072</v>
      </c>
      <c r="B2300" t="s">
        <v>49</v>
      </c>
      <c r="C2300" t="s">
        <v>18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f t="shared" si="66"/>
        <v>0</v>
      </c>
      <c r="J2300" s="3">
        <f t="shared" si="67"/>
        <v>21</v>
      </c>
      <c r="K2300" s="3">
        <f t="shared" si="68"/>
        <v>-21</v>
      </c>
      <c r="L2300" s="3" t="str">
        <f t="shared" si="69"/>
        <v>CRÍTICO</v>
      </c>
      <c r="N2300">
        <v>96.3</v>
      </c>
      <c r="O2300">
        <v>24.29378531073446</v>
      </c>
    </row>
    <row r="2301" spans="1:15" x14ac:dyDescent="0.25">
      <c r="A2301" s="11">
        <v>46072</v>
      </c>
      <c r="B2301" t="s">
        <v>50</v>
      </c>
      <c r="C2301" t="s">
        <v>20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 t="shared" si="66"/>
        <v>15</v>
      </c>
      <c r="J2301" s="3">
        <f t="shared" si="67"/>
        <v>14</v>
      </c>
      <c r="K2301" s="3">
        <f t="shared" si="68"/>
        <v>1</v>
      </c>
      <c r="L2301" s="3" t="str">
        <f t="shared" si="69"/>
        <v>BOM</v>
      </c>
      <c r="N2301">
        <v>100</v>
      </c>
      <c r="O2301">
        <v>26.543209876543209</v>
      </c>
    </row>
    <row r="2302" spans="1:15" x14ac:dyDescent="0.25">
      <c r="A2302" s="11">
        <v>46072</v>
      </c>
      <c r="B2302" t="s">
        <v>51</v>
      </c>
      <c r="C2302" t="s">
        <v>23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 t="shared" si="66"/>
        <v>8</v>
      </c>
      <c r="J2302" s="3">
        <f t="shared" si="67"/>
        <v>6</v>
      </c>
      <c r="K2302" s="3">
        <f t="shared" si="68"/>
        <v>2</v>
      </c>
      <c r="L2302" s="3" t="str">
        <f t="shared" si="69"/>
        <v>BOM</v>
      </c>
      <c r="N2302">
        <v>100</v>
      </c>
      <c r="O2302">
        <v>35.483870967741943</v>
      </c>
    </row>
    <row r="2303" spans="1:15" x14ac:dyDescent="0.25">
      <c r="A2303" s="11">
        <v>46072</v>
      </c>
      <c r="B2303" t="s">
        <v>52</v>
      </c>
      <c r="C2303" t="s">
        <v>18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 t="shared" si="66"/>
        <v>35</v>
      </c>
      <c r="J2303" s="3">
        <f t="shared" si="67"/>
        <v>21</v>
      </c>
      <c r="K2303" s="3">
        <f t="shared" si="68"/>
        <v>14</v>
      </c>
      <c r="L2303" s="3" t="str">
        <f t="shared" si="69"/>
        <v>EXCELENTE</v>
      </c>
      <c r="N2303">
        <v>99.27</v>
      </c>
      <c r="O2303">
        <v>31.163708086785011</v>
      </c>
    </row>
    <row r="2304" spans="1:15" x14ac:dyDescent="0.25">
      <c r="A2304" s="11">
        <v>46072</v>
      </c>
      <c r="B2304" t="s">
        <v>53</v>
      </c>
      <c r="C2304" t="s">
        <v>18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 t="shared" si="66"/>
        <v>28</v>
      </c>
      <c r="J2304" s="3">
        <f t="shared" si="67"/>
        <v>21</v>
      </c>
      <c r="K2304" s="3">
        <f t="shared" si="68"/>
        <v>7</v>
      </c>
      <c r="L2304" s="3" t="str">
        <f t="shared" si="69"/>
        <v>EXCELENTE</v>
      </c>
      <c r="N2304">
        <v>94.16</v>
      </c>
      <c r="O2304">
        <v>27.038626609442058</v>
      </c>
    </row>
    <row r="2305" spans="1:15" x14ac:dyDescent="0.25">
      <c r="A2305" s="11">
        <v>46072</v>
      </c>
      <c r="B2305" t="s">
        <v>54</v>
      </c>
      <c r="C2305" t="s">
        <v>23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 t="shared" si="66"/>
        <v>7</v>
      </c>
      <c r="J2305" s="3">
        <f t="shared" si="67"/>
        <v>6</v>
      </c>
      <c r="K2305" s="3">
        <f t="shared" si="68"/>
        <v>1</v>
      </c>
      <c r="L2305" s="3" t="str">
        <f t="shared" si="69"/>
        <v>BOM</v>
      </c>
      <c r="N2305">
        <v>93.75</v>
      </c>
      <c r="O2305">
        <v>19.31818181818182</v>
      </c>
    </row>
    <row r="2306" spans="1:15" x14ac:dyDescent="0.25">
      <c r="A2306" s="11">
        <v>46072</v>
      </c>
      <c r="B2306" t="s">
        <v>55</v>
      </c>
      <c r="C2306" t="s">
        <v>43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f t="shared" si="66"/>
        <v>0</v>
      </c>
      <c r="J2306" s="3">
        <f t="shared" si="67"/>
        <v>12</v>
      </c>
      <c r="K2306" s="3">
        <f t="shared" si="68"/>
        <v>-12</v>
      </c>
      <c r="L2306" s="3" t="str">
        <f t="shared" si="69"/>
        <v>CRÍTICO</v>
      </c>
      <c r="N2306">
        <v>0</v>
      </c>
      <c r="O2306">
        <v>0</v>
      </c>
    </row>
    <row r="2307" spans="1:15" x14ac:dyDescent="0.25">
      <c r="A2307" s="11">
        <v>46072</v>
      </c>
      <c r="B2307" t="s">
        <v>56</v>
      </c>
      <c r="C2307" t="s">
        <v>16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f t="shared" si="66"/>
        <v>0</v>
      </c>
      <c r="J2307" s="3">
        <f t="shared" si="67"/>
        <v>17</v>
      </c>
      <c r="K2307" s="3">
        <f t="shared" si="68"/>
        <v>-17</v>
      </c>
      <c r="L2307" s="3" t="str">
        <f t="shared" si="69"/>
        <v>CRÍTICO</v>
      </c>
      <c r="N2307">
        <v>97.92</v>
      </c>
      <c r="O2307">
        <v>32.87671232876712</v>
      </c>
    </row>
    <row r="2308" spans="1:15" x14ac:dyDescent="0.25">
      <c r="A2308" s="11">
        <v>46072</v>
      </c>
      <c r="B2308" t="s">
        <v>57</v>
      </c>
      <c r="C2308" t="s">
        <v>43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f t="shared" si="66"/>
        <v>0</v>
      </c>
      <c r="J2308" s="3">
        <f t="shared" si="67"/>
        <v>12</v>
      </c>
      <c r="K2308" s="3">
        <f t="shared" si="68"/>
        <v>-12</v>
      </c>
      <c r="L2308" s="3" t="str">
        <f t="shared" si="69"/>
        <v>CRÍTICO</v>
      </c>
      <c r="N2308">
        <v>0</v>
      </c>
      <c r="O2308">
        <v>0</v>
      </c>
    </row>
    <row r="2309" spans="1:15" x14ac:dyDescent="0.25">
      <c r="A2309" s="11">
        <v>46072</v>
      </c>
      <c r="B2309" t="s">
        <v>58</v>
      </c>
      <c r="C2309" t="s">
        <v>43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f t="shared" si="66"/>
        <v>0</v>
      </c>
      <c r="J2309" s="3">
        <f t="shared" si="67"/>
        <v>12</v>
      </c>
      <c r="K2309" s="3">
        <f t="shared" si="68"/>
        <v>-12</v>
      </c>
      <c r="L2309" s="3" t="str">
        <f t="shared" si="69"/>
        <v>CRÍTICO</v>
      </c>
      <c r="N2309">
        <v>0</v>
      </c>
      <c r="O2309">
        <v>0</v>
      </c>
    </row>
    <row r="2310" spans="1:15" x14ac:dyDescent="0.25">
      <c r="A2310" s="11">
        <v>46072</v>
      </c>
      <c r="B2310" t="s">
        <v>59</v>
      </c>
      <c r="C2310" t="s">
        <v>23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f t="shared" si="66"/>
        <v>0</v>
      </c>
      <c r="J2310" s="3">
        <f t="shared" si="67"/>
        <v>6</v>
      </c>
      <c r="K2310" s="3">
        <f t="shared" si="68"/>
        <v>-6</v>
      </c>
      <c r="L2310" s="3" t="str">
        <f t="shared" si="69"/>
        <v>CRÍTICO</v>
      </c>
      <c r="N2310">
        <v>0</v>
      </c>
      <c r="O2310">
        <v>0</v>
      </c>
    </row>
    <row r="2311" spans="1:15" x14ac:dyDescent="0.25">
      <c r="A2311" s="11">
        <v>46072</v>
      </c>
      <c r="B2311" t="s">
        <v>60</v>
      </c>
      <c r="C2311" t="s">
        <v>20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 t="shared" si="66"/>
        <v>21</v>
      </c>
      <c r="J2311" s="3">
        <f t="shared" si="67"/>
        <v>14</v>
      </c>
      <c r="K2311" s="3">
        <f t="shared" si="68"/>
        <v>7</v>
      </c>
      <c r="L2311" s="3" t="str">
        <f t="shared" si="69"/>
        <v>EXCELENTE</v>
      </c>
      <c r="N2311">
        <v>98.51</v>
      </c>
      <c r="O2311">
        <v>29.710144927536231</v>
      </c>
    </row>
    <row r="2312" spans="1:15" x14ac:dyDescent="0.25">
      <c r="A2312" s="11">
        <v>46072</v>
      </c>
      <c r="B2312" t="s">
        <v>61</v>
      </c>
      <c r="C2312" t="s">
        <v>18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 t="shared" si="66"/>
        <v>26</v>
      </c>
      <c r="J2312" s="3">
        <f t="shared" si="67"/>
        <v>21</v>
      </c>
      <c r="K2312" s="3">
        <f t="shared" si="68"/>
        <v>5</v>
      </c>
      <c r="L2312" s="3" t="str">
        <f t="shared" si="69"/>
        <v>BOM</v>
      </c>
      <c r="N2312">
        <v>98.81</v>
      </c>
      <c r="O2312">
        <v>30.712979890310791</v>
      </c>
    </row>
    <row r="2313" spans="1:15" x14ac:dyDescent="0.25">
      <c r="A2313" s="11">
        <v>46072</v>
      </c>
      <c r="B2313" t="s">
        <v>62</v>
      </c>
      <c r="C2313" t="s">
        <v>20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 t="shared" si="66"/>
        <v>12</v>
      </c>
      <c r="J2313" s="3">
        <f t="shared" si="67"/>
        <v>14</v>
      </c>
      <c r="K2313" s="3">
        <f t="shared" si="68"/>
        <v>-2</v>
      </c>
      <c r="L2313" s="3" t="str">
        <f t="shared" si="69"/>
        <v>ATENÇÃO</v>
      </c>
      <c r="N2313">
        <v>98.48</v>
      </c>
      <c r="O2313">
        <v>29.35323383084577</v>
      </c>
    </row>
    <row r="2314" spans="1:15" x14ac:dyDescent="0.25">
      <c r="A2314" s="11">
        <v>46072</v>
      </c>
      <c r="B2314" t="s">
        <v>63</v>
      </c>
      <c r="C2314" t="s">
        <v>18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 t="shared" si="66"/>
        <v>33</v>
      </c>
      <c r="J2314" s="3">
        <f t="shared" si="67"/>
        <v>21</v>
      </c>
      <c r="K2314" s="3">
        <f t="shared" si="68"/>
        <v>12</v>
      </c>
      <c r="L2314" s="3" t="str">
        <f t="shared" si="69"/>
        <v>EXCELENTE</v>
      </c>
      <c r="N2314">
        <v>98.56</v>
      </c>
      <c r="O2314">
        <v>29.373650107991359</v>
      </c>
    </row>
    <row r="2315" spans="1:15" x14ac:dyDescent="0.25">
      <c r="A2315" s="11">
        <v>46073</v>
      </c>
      <c r="B2315" t="s">
        <v>15</v>
      </c>
      <c r="C2315" t="s">
        <v>16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 t="shared" si="66"/>
        <v>18</v>
      </c>
      <c r="J2315" s="3">
        <f t="shared" si="67"/>
        <v>18</v>
      </c>
      <c r="K2315" s="3">
        <f t="shared" si="68"/>
        <v>0</v>
      </c>
      <c r="L2315" s="3" t="str">
        <f t="shared" si="69"/>
        <v>BOM</v>
      </c>
      <c r="N2315">
        <v>98.32</v>
      </c>
      <c r="O2315">
        <v>30.303030303030301</v>
      </c>
    </row>
    <row r="2316" spans="1:15" x14ac:dyDescent="0.25">
      <c r="A2316" s="11">
        <v>46073</v>
      </c>
      <c r="B2316" t="s">
        <v>17</v>
      </c>
      <c r="C2316" t="s">
        <v>18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f t="shared" si="66"/>
        <v>0</v>
      </c>
      <c r="J2316" s="3">
        <f t="shared" si="67"/>
        <v>22</v>
      </c>
      <c r="K2316" s="3">
        <f t="shared" si="68"/>
        <v>-22</v>
      </c>
      <c r="L2316" s="3" t="str">
        <f t="shared" si="69"/>
        <v>CRÍTICO</v>
      </c>
      <c r="N2316">
        <v>98.68</v>
      </c>
      <c r="O2316">
        <v>26.219512195121951</v>
      </c>
    </row>
    <row r="2317" spans="1:15" x14ac:dyDescent="0.25">
      <c r="A2317" s="11">
        <v>46073</v>
      </c>
      <c r="B2317" t="s">
        <v>19</v>
      </c>
      <c r="C2317" t="s">
        <v>20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 t="shared" si="66"/>
        <v>19</v>
      </c>
      <c r="J2317" s="3">
        <f t="shared" si="67"/>
        <v>14</v>
      </c>
      <c r="K2317" s="3">
        <f t="shared" si="68"/>
        <v>5</v>
      </c>
      <c r="L2317" s="3" t="str">
        <f t="shared" si="69"/>
        <v>BOM</v>
      </c>
      <c r="N2317">
        <v>100</v>
      </c>
      <c r="O2317">
        <v>31.74224343675418</v>
      </c>
    </row>
    <row r="2318" spans="1:15" x14ac:dyDescent="0.25">
      <c r="A2318" s="11">
        <v>46073</v>
      </c>
      <c r="B2318" t="s">
        <v>21</v>
      </c>
      <c r="C2318" t="s">
        <v>18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 t="shared" si="66"/>
        <v>31</v>
      </c>
      <c r="J2318" s="3">
        <f t="shared" si="67"/>
        <v>22</v>
      </c>
      <c r="K2318" s="3">
        <f t="shared" si="68"/>
        <v>9</v>
      </c>
      <c r="L2318" s="3" t="str">
        <f t="shared" si="69"/>
        <v>EXCELENTE</v>
      </c>
      <c r="N2318">
        <v>98.25</v>
      </c>
      <c r="O2318">
        <v>25.83518930957684</v>
      </c>
    </row>
    <row r="2319" spans="1:15" x14ac:dyDescent="0.25">
      <c r="A2319" s="11">
        <v>46073</v>
      </c>
      <c r="B2319" t="s">
        <v>22</v>
      </c>
      <c r="C2319" t="s">
        <v>23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 t="shared" si="66"/>
        <v>11</v>
      </c>
      <c r="J2319" s="3">
        <f t="shared" si="67"/>
        <v>6</v>
      </c>
      <c r="K2319" s="3">
        <f t="shared" si="68"/>
        <v>5</v>
      </c>
      <c r="L2319" s="3" t="str">
        <f t="shared" si="69"/>
        <v>BOM</v>
      </c>
      <c r="N2319">
        <v>97.5</v>
      </c>
      <c r="O2319">
        <v>30.075187969924809</v>
      </c>
    </row>
    <row r="2320" spans="1:15" x14ac:dyDescent="0.25">
      <c r="A2320" s="11">
        <v>46073</v>
      </c>
      <c r="B2320" t="s">
        <v>24</v>
      </c>
      <c r="C2320" t="s">
        <v>16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 t="shared" si="66"/>
        <v>29</v>
      </c>
      <c r="J2320" s="3">
        <f t="shared" si="67"/>
        <v>18</v>
      </c>
      <c r="K2320" s="3">
        <f t="shared" si="68"/>
        <v>11</v>
      </c>
      <c r="L2320" s="3" t="str">
        <f t="shared" si="69"/>
        <v>EXCELENTE</v>
      </c>
      <c r="N2320">
        <v>100</v>
      </c>
      <c r="O2320">
        <v>29.71311475409836</v>
      </c>
    </row>
    <row r="2321" spans="1:15" x14ac:dyDescent="0.25">
      <c r="A2321" s="11">
        <v>46073</v>
      </c>
      <c r="B2321" t="s">
        <v>25</v>
      </c>
      <c r="C2321" t="s">
        <v>16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 t="shared" si="66"/>
        <v>16</v>
      </c>
      <c r="J2321" s="3">
        <f t="shared" si="67"/>
        <v>18</v>
      </c>
      <c r="K2321" s="3">
        <f t="shared" si="68"/>
        <v>-2</v>
      </c>
      <c r="L2321" s="3" t="str">
        <f t="shared" si="69"/>
        <v>ATENÇÃO</v>
      </c>
      <c r="N2321">
        <v>99.22</v>
      </c>
      <c r="O2321">
        <v>35.256410256410263</v>
      </c>
    </row>
    <row r="2322" spans="1:15" x14ac:dyDescent="0.25">
      <c r="A2322" s="11">
        <v>46073</v>
      </c>
      <c r="B2322" t="s">
        <v>26</v>
      </c>
      <c r="C2322" t="s">
        <v>23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f t="shared" si="66"/>
        <v>0</v>
      </c>
      <c r="J2322" s="3">
        <f t="shared" si="67"/>
        <v>6</v>
      </c>
      <c r="K2322" s="3">
        <f t="shared" si="68"/>
        <v>-6</v>
      </c>
      <c r="L2322" s="3" t="str">
        <f t="shared" si="69"/>
        <v>CRÍTICO</v>
      </c>
      <c r="N2322">
        <v>0</v>
      </c>
      <c r="O2322">
        <v>0</v>
      </c>
    </row>
    <row r="2323" spans="1:15" x14ac:dyDescent="0.25">
      <c r="A2323" s="11">
        <v>46073</v>
      </c>
      <c r="B2323" t="s">
        <v>27</v>
      </c>
      <c r="C2323" t="s">
        <v>20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 t="shared" si="66"/>
        <v>18</v>
      </c>
      <c r="J2323" s="3">
        <f t="shared" si="67"/>
        <v>14</v>
      </c>
      <c r="K2323" s="3">
        <f t="shared" si="68"/>
        <v>4</v>
      </c>
      <c r="L2323" s="3" t="str">
        <f t="shared" si="69"/>
        <v>BOM</v>
      </c>
      <c r="N2323">
        <v>98.75</v>
      </c>
      <c r="O2323">
        <v>24.32432432432433</v>
      </c>
    </row>
    <row r="2324" spans="1:15" x14ac:dyDescent="0.25">
      <c r="A2324" s="11">
        <v>46073</v>
      </c>
      <c r="B2324" t="s">
        <v>28</v>
      </c>
      <c r="C2324" t="s">
        <v>18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 t="shared" si="66"/>
        <v>34</v>
      </c>
      <c r="J2324" s="3">
        <f t="shared" si="67"/>
        <v>22</v>
      </c>
      <c r="K2324" s="3">
        <f t="shared" si="68"/>
        <v>12</v>
      </c>
      <c r="L2324" s="3" t="str">
        <f t="shared" si="69"/>
        <v>EXCELENTE</v>
      </c>
      <c r="N2324">
        <v>93.48</v>
      </c>
      <c r="O2324">
        <v>31.334622823984521</v>
      </c>
    </row>
    <row r="2325" spans="1:15" x14ac:dyDescent="0.25">
      <c r="A2325" s="11">
        <v>46073</v>
      </c>
      <c r="B2325" t="s">
        <v>29</v>
      </c>
      <c r="C2325" t="s">
        <v>16</v>
      </c>
      <c r="D2325">
        <v>0</v>
      </c>
      <c r="E2325">
        <v>0</v>
      </c>
      <c r="F2325">
        <v>0</v>
      </c>
      <c r="G2325">
        <v>0</v>
      </c>
      <c r="H2325">
        <v>0</v>
      </c>
      <c r="I2325" s="3">
        <f t="shared" si="66"/>
        <v>0</v>
      </c>
      <c r="J2325" s="3">
        <f t="shared" si="67"/>
        <v>18</v>
      </c>
      <c r="K2325" s="3">
        <f t="shared" si="68"/>
        <v>-18</v>
      </c>
      <c r="L2325" s="3" t="str">
        <f t="shared" si="69"/>
        <v>CRÍTICO</v>
      </c>
      <c r="N2325">
        <v>99.16</v>
      </c>
      <c r="O2325">
        <v>26.13908872901678</v>
      </c>
    </row>
    <row r="2326" spans="1:15" x14ac:dyDescent="0.25">
      <c r="A2326" s="11">
        <v>46073</v>
      </c>
      <c r="B2326" t="s">
        <v>30</v>
      </c>
      <c r="C2326" t="s">
        <v>20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 t="shared" si="66"/>
        <v>21</v>
      </c>
      <c r="J2326" s="3">
        <f t="shared" si="67"/>
        <v>14</v>
      </c>
      <c r="K2326" s="3">
        <f t="shared" si="68"/>
        <v>7</v>
      </c>
      <c r="L2326" s="3" t="str">
        <f t="shared" si="69"/>
        <v>EXCELENTE</v>
      </c>
      <c r="N2326">
        <v>100</v>
      </c>
      <c r="O2326">
        <v>31.089743589743591</v>
      </c>
    </row>
    <row r="2327" spans="1:15" x14ac:dyDescent="0.25">
      <c r="A2327" s="11">
        <v>46073</v>
      </c>
      <c r="B2327" t="s">
        <v>31</v>
      </c>
      <c r="C2327" t="s">
        <v>18</v>
      </c>
      <c r="D2327">
        <v>0</v>
      </c>
      <c r="E2327">
        <v>0</v>
      </c>
      <c r="F2327">
        <v>0</v>
      </c>
      <c r="G2327">
        <v>0</v>
      </c>
      <c r="H2327">
        <v>0</v>
      </c>
      <c r="I2327" s="3">
        <f t="shared" si="66"/>
        <v>0</v>
      </c>
      <c r="J2327" s="3">
        <f t="shared" si="67"/>
        <v>22</v>
      </c>
      <c r="K2327" s="3">
        <f t="shared" si="68"/>
        <v>-22</v>
      </c>
      <c r="L2327" s="3" t="str">
        <f t="shared" si="69"/>
        <v>CRÍTICO</v>
      </c>
      <c r="N2327">
        <v>98.11</v>
      </c>
      <c r="O2327">
        <v>33.033707865168537</v>
      </c>
    </row>
    <row r="2328" spans="1:15" x14ac:dyDescent="0.25">
      <c r="A2328" s="11">
        <v>46073</v>
      </c>
      <c r="B2328" t="s">
        <v>32</v>
      </c>
      <c r="C2328" t="s">
        <v>23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 t="shared" si="66"/>
        <v>7</v>
      </c>
      <c r="J2328" s="3">
        <f t="shared" si="67"/>
        <v>6</v>
      </c>
      <c r="K2328" s="3">
        <f t="shared" si="68"/>
        <v>1</v>
      </c>
      <c r="L2328" s="3" t="str">
        <f t="shared" si="69"/>
        <v>BOM</v>
      </c>
      <c r="N2328">
        <v>78.95</v>
      </c>
      <c r="O2328">
        <v>38.983050847457633</v>
      </c>
    </row>
    <row r="2329" spans="1:15" x14ac:dyDescent="0.25">
      <c r="A2329" s="11">
        <v>46073</v>
      </c>
      <c r="B2329" t="s">
        <v>33</v>
      </c>
      <c r="C2329" t="s">
        <v>16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 t="shared" si="66"/>
        <v>19</v>
      </c>
      <c r="J2329" s="3">
        <f t="shared" si="67"/>
        <v>18</v>
      </c>
      <c r="K2329" s="3">
        <f t="shared" si="68"/>
        <v>1</v>
      </c>
      <c r="L2329" s="3" t="str">
        <f t="shared" si="69"/>
        <v>BOM</v>
      </c>
      <c r="N2329">
        <v>98.45</v>
      </c>
      <c r="O2329">
        <v>29.281767955801101</v>
      </c>
    </row>
    <row r="2330" spans="1:15" x14ac:dyDescent="0.25">
      <c r="A2330" s="11">
        <v>46073</v>
      </c>
      <c r="B2330" t="s">
        <v>34</v>
      </c>
      <c r="C2330" t="s">
        <v>18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 t="shared" si="66"/>
        <v>22</v>
      </c>
      <c r="J2330" s="3">
        <f t="shared" si="67"/>
        <v>22</v>
      </c>
      <c r="K2330" s="3">
        <f t="shared" si="68"/>
        <v>0</v>
      </c>
      <c r="L2330" s="3" t="str">
        <f t="shared" si="69"/>
        <v>BOM</v>
      </c>
      <c r="N2330">
        <v>97.84</v>
      </c>
      <c r="O2330">
        <v>26.282051282051281</v>
      </c>
    </row>
    <row r="2331" spans="1:15" x14ac:dyDescent="0.25">
      <c r="A2331" s="11">
        <v>46073</v>
      </c>
      <c r="B2331" t="s">
        <v>35</v>
      </c>
      <c r="C2331" t="s">
        <v>16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 t="shared" si="66"/>
        <v>29</v>
      </c>
      <c r="J2331" s="3">
        <f t="shared" si="67"/>
        <v>18</v>
      </c>
      <c r="K2331" s="3">
        <f t="shared" si="68"/>
        <v>11</v>
      </c>
      <c r="L2331" s="3" t="str">
        <f t="shared" si="69"/>
        <v>EXCELENTE</v>
      </c>
      <c r="N2331">
        <v>98.5</v>
      </c>
      <c r="O2331">
        <v>23.97769516728625</v>
      </c>
    </row>
    <row r="2332" spans="1:15" x14ac:dyDescent="0.25">
      <c r="A2332" s="11">
        <v>46107</v>
      </c>
      <c r="B2332" t="s">
        <v>36</v>
      </c>
      <c r="C2332" t="s">
        <v>20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 t="shared" si="66"/>
        <v>27</v>
      </c>
      <c r="J2332" s="3">
        <f t="shared" si="67"/>
        <v>17</v>
      </c>
      <c r="K2332" s="3">
        <f t="shared" si="68"/>
        <v>10</v>
      </c>
      <c r="L2332" s="3" t="str">
        <f t="shared" si="69"/>
        <v>EXCELENTE</v>
      </c>
      <c r="N2332">
        <v>99.05</v>
      </c>
      <c r="O2332">
        <v>26.621923937360179</v>
      </c>
    </row>
    <row r="2333" spans="1:15" x14ac:dyDescent="0.25">
      <c r="A2333" s="11">
        <v>46073</v>
      </c>
      <c r="B2333" t="s">
        <v>37</v>
      </c>
      <c r="C2333" t="s">
        <v>16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 t="shared" si="66"/>
        <v>28</v>
      </c>
      <c r="J2333" s="3">
        <f t="shared" si="67"/>
        <v>18</v>
      </c>
      <c r="K2333" s="3">
        <f t="shared" si="68"/>
        <v>10</v>
      </c>
      <c r="L2333" s="3" t="str">
        <f t="shared" si="69"/>
        <v>EXCELENTE</v>
      </c>
      <c r="N2333">
        <v>98.53</v>
      </c>
      <c r="O2333">
        <v>31.578947368421051</v>
      </c>
    </row>
    <row r="2334" spans="1:15" x14ac:dyDescent="0.25">
      <c r="A2334" s="11">
        <v>46073</v>
      </c>
      <c r="B2334" t="s">
        <v>38</v>
      </c>
      <c r="C2334" t="s">
        <v>18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 t="shared" si="66"/>
        <v>30</v>
      </c>
      <c r="J2334" s="3">
        <f t="shared" si="67"/>
        <v>22</v>
      </c>
      <c r="K2334" s="3">
        <f t="shared" si="68"/>
        <v>8</v>
      </c>
      <c r="L2334" s="3" t="str">
        <f t="shared" si="69"/>
        <v>EXCELENTE</v>
      </c>
      <c r="N2334">
        <v>100</v>
      </c>
      <c r="O2334">
        <v>25.72214580467676</v>
      </c>
    </row>
    <row r="2335" spans="1:15" x14ac:dyDescent="0.25">
      <c r="A2335" s="11">
        <v>46073</v>
      </c>
      <c r="B2335" t="s">
        <v>39</v>
      </c>
      <c r="C2335" t="s">
        <v>18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 t="shared" si="66"/>
        <v>24</v>
      </c>
      <c r="J2335" s="3">
        <f t="shared" si="67"/>
        <v>22</v>
      </c>
      <c r="K2335" s="3">
        <f t="shared" si="68"/>
        <v>2</v>
      </c>
      <c r="L2335" s="3" t="str">
        <f t="shared" si="69"/>
        <v>BOM</v>
      </c>
      <c r="N2335">
        <v>94.64</v>
      </c>
      <c r="O2335">
        <v>27.52941176470588</v>
      </c>
    </row>
    <row r="2336" spans="1:15" x14ac:dyDescent="0.25">
      <c r="A2336" s="11">
        <v>46073</v>
      </c>
      <c r="B2336" t="s">
        <v>40</v>
      </c>
      <c r="C2336" t="s">
        <v>16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 t="shared" si="66"/>
        <v>20</v>
      </c>
      <c r="J2336" s="3">
        <f t="shared" si="67"/>
        <v>18</v>
      </c>
      <c r="K2336" s="3">
        <f t="shared" si="68"/>
        <v>2</v>
      </c>
      <c r="L2336" s="3" t="str">
        <f t="shared" si="69"/>
        <v>BOM</v>
      </c>
      <c r="N2336">
        <v>99.07</v>
      </c>
      <c r="O2336">
        <v>26.376811594202898</v>
      </c>
    </row>
    <row r="2337" spans="1:15" x14ac:dyDescent="0.25">
      <c r="A2337" s="11">
        <v>46073</v>
      </c>
      <c r="B2337" t="s">
        <v>41</v>
      </c>
      <c r="C2337" t="s">
        <v>18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f t="shared" si="66"/>
        <v>0</v>
      </c>
      <c r="J2337" s="3">
        <f t="shared" si="67"/>
        <v>22</v>
      </c>
      <c r="K2337" s="3">
        <f t="shared" si="68"/>
        <v>-22</v>
      </c>
      <c r="L2337" s="3" t="str">
        <f t="shared" si="69"/>
        <v>CRÍTICO</v>
      </c>
      <c r="N2337">
        <v>100</v>
      </c>
      <c r="O2337">
        <v>0</v>
      </c>
    </row>
    <row r="2338" spans="1:15" x14ac:dyDescent="0.25">
      <c r="A2338" s="11">
        <v>46073</v>
      </c>
      <c r="B2338" t="s">
        <v>42</v>
      </c>
      <c r="C2338" t="s">
        <v>43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 t="shared" si="66"/>
        <v>18</v>
      </c>
      <c r="J2338" s="3">
        <f t="shared" si="67"/>
        <v>13</v>
      </c>
      <c r="K2338" s="3">
        <f t="shared" si="68"/>
        <v>5</v>
      </c>
      <c r="L2338" s="3" t="str">
        <f t="shared" si="69"/>
        <v>BOM</v>
      </c>
      <c r="N2338">
        <v>98.48</v>
      </c>
      <c r="O2338">
        <v>27.853881278538811</v>
      </c>
    </row>
    <row r="2339" spans="1:15" x14ac:dyDescent="0.25">
      <c r="A2339" s="11">
        <v>46073</v>
      </c>
      <c r="B2339" t="s">
        <v>44</v>
      </c>
      <c r="C2339" t="s">
        <v>18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 t="shared" ref="I2339:I2402" si="70">E2339+G2339+H2339</f>
        <v>19</v>
      </c>
      <c r="J2339" s="3">
        <f t="shared" ref="J2339:J2402" si="71"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22</v>
      </c>
      <c r="K2339" s="3">
        <f t="shared" ref="K2339:K2402" si="72">I2339-J2339</f>
        <v>-3</v>
      </c>
      <c r="L2339" s="3" t="str">
        <f t="shared" ref="L2339:L2402" si="73">IF(K2339&lt;-5,"CRÍTICO",IF(K2339&lt;0,"ATENÇÃO",IF(K2339&lt;=5,"BOM","EXCELENTE")))</f>
        <v>ATENÇÃO</v>
      </c>
      <c r="N2339">
        <v>95.15</v>
      </c>
      <c r="O2339">
        <v>34.131736526946113</v>
      </c>
    </row>
    <row r="2340" spans="1:15" x14ac:dyDescent="0.25">
      <c r="A2340" s="11">
        <v>46073</v>
      </c>
      <c r="B2340" t="s">
        <v>45</v>
      </c>
      <c r="C2340" t="s">
        <v>43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f t="shared" si="70"/>
        <v>0</v>
      </c>
      <c r="J2340" s="3">
        <f t="shared" si="71"/>
        <v>13</v>
      </c>
      <c r="K2340" s="3">
        <f t="shared" si="72"/>
        <v>-13</v>
      </c>
      <c r="L2340" s="3" t="str">
        <f t="shared" si="73"/>
        <v>CRÍTICO</v>
      </c>
      <c r="N2340">
        <v>0</v>
      </c>
      <c r="O2340">
        <v>0</v>
      </c>
    </row>
    <row r="2341" spans="1:15" x14ac:dyDescent="0.25">
      <c r="A2341" s="11">
        <v>46073</v>
      </c>
      <c r="B2341" t="s">
        <v>46</v>
      </c>
      <c r="C2341" t="s">
        <v>18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 t="shared" si="70"/>
        <v>28</v>
      </c>
      <c r="J2341" s="3">
        <f t="shared" si="71"/>
        <v>22</v>
      </c>
      <c r="K2341" s="3">
        <f t="shared" si="72"/>
        <v>6</v>
      </c>
      <c r="L2341" s="3" t="str">
        <f t="shared" si="73"/>
        <v>EXCELENTE</v>
      </c>
      <c r="N2341">
        <v>99.26</v>
      </c>
      <c r="O2341">
        <v>30.84832904884319</v>
      </c>
    </row>
    <row r="2342" spans="1:15" x14ac:dyDescent="0.25">
      <c r="A2342" s="11">
        <v>46073</v>
      </c>
      <c r="B2342" t="s">
        <v>47</v>
      </c>
      <c r="C2342" t="s">
        <v>16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 t="shared" si="70"/>
        <v>27</v>
      </c>
      <c r="J2342" s="3">
        <f t="shared" si="71"/>
        <v>18</v>
      </c>
      <c r="K2342" s="3">
        <f t="shared" si="72"/>
        <v>9</v>
      </c>
      <c r="L2342" s="3" t="str">
        <f t="shared" si="73"/>
        <v>EXCELENTE</v>
      </c>
      <c r="N2342">
        <v>97.48</v>
      </c>
      <c r="O2342">
        <v>27.764705882352938</v>
      </c>
    </row>
    <row r="2343" spans="1:15" x14ac:dyDescent="0.25">
      <c r="A2343" s="11">
        <v>46073</v>
      </c>
      <c r="B2343" t="s">
        <v>48</v>
      </c>
      <c r="C2343" t="s">
        <v>16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f t="shared" si="70"/>
        <v>0</v>
      </c>
      <c r="J2343" s="3">
        <f t="shared" si="71"/>
        <v>18</v>
      </c>
      <c r="K2343" s="3">
        <f t="shared" si="72"/>
        <v>-18</v>
      </c>
      <c r="L2343" s="3" t="str">
        <f t="shared" si="73"/>
        <v>CRÍTICO</v>
      </c>
      <c r="N2343">
        <v>99.34</v>
      </c>
      <c r="O2343">
        <v>30.04291845493562</v>
      </c>
    </row>
    <row r="2344" spans="1:15" x14ac:dyDescent="0.25">
      <c r="A2344" s="11">
        <v>46073</v>
      </c>
      <c r="B2344" t="s">
        <v>49</v>
      </c>
      <c r="C2344" t="s">
        <v>18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f t="shared" si="70"/>
        <v>0</v>
      </c>
      <c r="J2344" s="3">
        <f t="shared" si="71"/>
        <v>22</v>
      </c>
      <c r="K2344" s="3">
        <f t="shared" si="72"/>
        <v>-22</v>
      </c>
      <c r="L2344" s="3" t="str">
        <f t="shared" si="73"/>
        <v>CRÍTICO</v>
      </c>
      <c r="N2344">
        <v>96.3</v>
      </c>
      <c r="O2344">
        <v>24.29378531073446</v>
      </c>
    </row>
    <row r="2345" spans="1:15" x14ac:dyDescent="0.25">
      <c r="A2345" s="11">
        <v>46073</v>
      </c>
      <c r="B2345" t="s">
        <v>50</v>
      </c>
      <c r="C2345" t="s">
        <v>20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 t="shared" si="70"/>
        <v>9</v>
      </c>
      <c r="J2345" s="3">
        <f t="shared" si="71"/>
        <v>14</v>
      </c>
      <c r="K2345" s="3">
        <f t="shared" si="72"/>
        <v>-5</v>
      </c>
      <c r="L2345" s="3" t="str">
        <f t="shared" si="73"/>
        <v>ATENÇÃO</v>
      </c>
      <c r="N2345">
        <v>100</v>
      </c>
      <c r="O2345">
        <v>26.543209876543209</v>
      </c>
    </row>
    <row r="2346" spans="1:15" x14ac:dyDescent="0.25">
      <c r="A2346" s="11">
        <v>46073</v>
      </c>
      <c r="B2346" t="s">
        <v>51</v>
      </c>
      <c r="C2346" t="s">
        <v>23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 t="shared" si="70"/>
        <v>4</v>
      </c>
      <c r="J2346" s="3">
        <f t="shared" si="71"/>
        <v>6</v>
      </c>
      <c r="K2346" s="3">
        <f t="shared" si="72"/>
        <v>-2</v>
      </c>
      <c r="L2346" s="3" t="str">
        <f t="shared" si="73"/>
        <v>ATENÇÃO</v>
      </c>
      <c r="N2346">
        <v>100</v>
      </c>
      <c r="O2346">
        <v>35.483870967741943</v>
      </c>
    </row>
    <row r="2347" spans="1:15" x14ac:dyDescent="0.25">
      <c r="A2347" s="11">
        <v>46073</v>
      </c>
      <c r="B2347" t="s">
        <v>52</v>
      </c>
      <c r="C2347" t="s">
        <v>18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 t="shared" si="70"/>
        <v>22</v>
      </c>
      <c r="J2347" s="3">
        <f t="shared" si="71"/>
        <v>22</v>
      </c>
      <c r="K2347" s="3">
        <f t="shared" si="72"/>
        <v>0</v>
      </c>
      <c r="L2347" s="3" t="str">
        <f t="shared" si="73"/>
        <v>BOM</v>
      </c>
      <c r="N2347">
        <v>99.27</v>
      </c>
      <c r="O2347">
        <v>31.163708086785011</v>
      </c>
    </row>
    <row r="2348" spans="1:15" x14ac:dyDescent="0.25">
      <c r="A2348" s="11">
        <v>46073</v>
      </c>
      <c r="B2348" t="s">
        <v>53</v>
      </c>
      <c r="C2348" t="s">
        <v>18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 t="shared" si="70"/>
        <v>23</v>
      </c>
      <c r="J2348" s="3">
        <f t="shared" si="71"/>
        <v>22</v>
      </c>
      <c r="K2348" s="3">
        <f t="shared" si="72"/>
        <v>1</v>
      </c>
      <c r="L2348" s="3" t="str">
        <f t="shared" si="73"/>
        <v>BOM</v>
      </c>
      <c r="N2348">
        <v>94.16</v>
      </c>
      <c r="O2348">
        <v>27.038626609442058</v>
      </c>
    </row>
    <row r="2349" spans="1:15" x14ac:dyDescent="0.25">
      <c r="A2349" s="11">
        <v>46073</v>
      </c>
      <c r="B2349" t="s">
        <v>54</v>
      </c>
      <c r="C2349" t="s">
        <v>23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 t="shared" si="70"/>
        <v>7</v>
      </c>
      <c r="J2349" s="3">
        <f t="shared" si="71"/>
        <v>6</v>
      </c>
      <c r="K2349" s="3">
        <f t="shared" si="72"/>
        <v>1</v>
      </c>
      <c r="L2349" s="3" t="str">
        <f t="shared" si="73"/>
        <v>BOM</v>
      </c>
      <c r="N2349">
        <v>93.75</v>
      </c>
      <c r="O2349">
        <v>19.31818181818182</v>
      </c>
    </row>
    <row r="2350" spans="1:15" x14ac:dyDescent="0.25">
      <c r="A2350" s="11">
        <v>46073</v>
      </c>
      <c r="B2350" t="s">
        <v>55</v>
      </c>
      <c r="C2350" t="s">
        <v>43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f t="shared" si="70"/>
        <v>0</v>
      </c>
      <c r="J2350" s="3">
        <f t="shared" si="71"/>
        <v>13</v>
      </c>
      <c r="K2350" s="3">
        <f t="shared" si="72"/>
        <v>-13</v>
      </c>
      <c r="L2350" s="3" t="str">
        <f t="shared" si="73"/>
        <v>CRÍTICO</v>
      </c>
      <c r="N2350">
        <v>0</v>
      </c>
      <c r="O2350">
        <v>0</v>
      </c>
    </row>
    <row r="2351" spans="1:15" x14ac:dyDescent="0.25">
      <c r="A2351" s="11">
        <v>46073</v>
      </c>
      <c r="B2351" t="s">
        <v>56</v>
      </c>
      <c r="C2351" t="s">
        <v>16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f t="shared" si="70"/>
        <v>0</v>
      </c>
      <c r="J2351" s="3">
        <f t="shared" si="71"/>
        <v>18</v>
      </c>
      <c r="K2351" s="3">
        <f t="shared" si="72"/>
        <v>-18</v>
      </c>
      <c r="L2351" s="3" t="str">
        <f t="shared" si="73"/>
        <v>CRÍTICO</v>
      </c>
      <c r="N2351">
        <v>97.92</v>
      </c>
      <c r="O2351">
        <v>32.87671232876712</v>
      </c>
    </row>
    <row r="2352" spans="1:15" x14ac:dyDescent="0.25">
      <c r="A2352" s="11">
        <v>46073</v>
      </c>
      <c r="B2352" t="s">
        <v>57</v>
      </c>
      <c r="C2352" t="s">
        <v>43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f t="shared" si="70"/>
        <v>0</v>
      </c>
      <c r="J2352" s="3">
        <f t="shared" si="71"/>
        <v>13</v>
      </c>
      <c r="K2352" s="3">
        <f t="shared" si="72"/>
        <v>-13</v>
      </c>
      <c r="L2352" s="3" t="str">
        <f t="shared" si="73"/>
        <v>CRÍTICO</v>
      </c>
      <c r="N2352">
        <v>0</v>
      </c>
      <c r="O2352">
        <v>0</v>
      </c>
    </row>
    <row r="2353" spans="1:15" x14ac:dyDescent="0.25">
      <c r="A2353" s="11">
        <v>46073</v>
      </c>
      <c r="B2353" t="s">
        <v>58</v>
      </c>
      <c r="C2353" t="s">
        <v>43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f t="shared" si="70"/>
        <v>0</v>
      </c>
      <c r="J2353" s="3">
        <f t="shared" si="71"/>
        <v>13</v>
      </c>
      <c r="K2353" s="3">
        <f t="shared" si="72"/>
        <v>-13</v>
      </c>
      <c r="L2353" s="3" t="str">
        <f t="shared" si="73"/>
        <v>CRÍTICO</v>
      </c>
      <c r="N2353">
        <v>0</v>
      </c>
      <c r="O2353">
        <v>0</v>
      </c>
    </row>
    <row r="2354" spans="1:15" x14ac:dyDescent="0.25">
      <c r="A2354" s="11">
        <v>46073</v>
      </c>
      <c r="B2354" t="s">
        <v>59</v>
      </c>
      <c r="C2354" t="s">
        <v>23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f t="shared" si="70"/>
        <v>0</v>
      </c>
      <c r="J2354" s="3">
        <f t="shared" si="71"/>
        <v>6</v>
      </c>
      <c r="K2354" s="3">
        <f t="shared" si="72"/>
        <v>-6</v>
      </c>
      <c r="L2354" s="3" t="str">
        <f t="shared" si="73"/>
        <v>CRÍTICO</v>
      </c>
      <c r="N2354">
        <v>0</v>
      </c>
      <c r="O2354">
        <v>0</v>
      </c>
    </row>
    <row r="2355" spans="1:15" x14ac:dyDescent="0.25">
      <c r="A2355" s="11">
        <v>46073</v>
      </c>
      <c r="B2355" t="s">
        <v>60</v>
      </c>
      <c r="C2355" t="s">
        <v>20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 t="shared" si="70"/>
        <v>19</v>
      </c>
      <c r="J2355" s="3">
        <f t="shared" si="71"/>
        <v>14</v>
      </c>
      <c r="K2355" s="3">
        <f t="shared" si="72"/>
        <v>5</v>
      </c>
      <c r="L2355" s="3" t="str">
        <f t="shared" si="73"/>
        <v>BOM</v>
      </c>
      <c r="N2355">
        <v>98.51</v>
      </c>
      <c r="O2355">
        <v>29.710144927536231</v>
      </c>
    </row>
    <row r="2356" spans="1:15" x14ac:dyDescent="0.25">
      <c r="A2356" s="11">
        <v>46073</v>
      </c>
      <c r="B2356" t="s">
        <v>61</v>
      </c>
      <c r="C2356" t="s">
        <v>18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 t="shared" si="70"/>
        <v>32</v>
      </c>
      <c r="J2356" s="3">
        <f t="shared" si="71"/>
        <v>22</v>
      </c>
      <c r="K2356" s="3">
        <f t="shared" si="72"/>
        <v>10</v>
      </c>
      <c r="L2356" s="3" t="str">
        <f t="shared" si="73"/>
        <v>EXCELENTE</v>
      </c>
      <c r="N2356">
        <v>98.81</v>
      </c>
      <c r="O2356">
        <v>30.712979890310791</v>
      </c>
    </row>
    <row r="2357" spans="1:15" x14ac:dyDescent="0.25">
      <c r="A2357" s="11">
        <v>46073</v>
      </c>
      <c r="B2357" t="s">
        <v>62</v>
      </c>
      <c r="C2357" t="s">
        <v>20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 t="shared" si="70"/>
        <v>11</v>
      </c>
      <c r="J2357" s="3">
        <f t="shared" si="71"/>
        <v>14</v>
      </c>
      <c r="K2357" s="3">
        <f t="shared" si="72"/>
        <v>-3</v>
      </c>
      <c r="L2357" s="3" t="str">
        <f t="shared" si="73"/>
        <v>ATENÇÃO</v>
      </c>
      <c r="N2357">
        <v>98.48</v>
      </c>
      <c r="O2357">
        <v>29.35323383084577</v>
      </c>
    </row>
    <row r="2358" spans="1:15" x14ac:dyDescent="0.25">
      <c r="A2358" s="11">
        <v>46073</v>
      </c>
      <c r="B2358" t="s">
        <v>63</v>
      </c>
      <c r="C2358" t="s">
        <v>18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 t="shared" si="70"/>
        <v>16</v>
      </c>
      <c r="J2358" s="3">
        <f t="shared" si="71"/>
        <v>22</v>
      </c>
      <c r="K2358" s="3">
        <f t="shared" si="72"/>
        <v>-6</v>
      </c>
      <c r="L2358" s="3" t="str">
        <f t="shared" si="73"/>
        <v>CRÍTICO</v>
      </c>
      <c r="N2358">
        <v>98.56</v>
      </c>
      <c r="O2358">
        <v>29.373650107991359</v>
      </c>
    </row>
    <row r="2359" spans="1:15" x14ac:dyDescent="0.25">
      <c r="A2359" s="11">
        <v>46076</v>
      </c>
      <c r="B2359" t="s">
        <v>15</v>
      </c>
      <c r="C2359" t="s">
        <v>16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 t="shared" si="70"/>
        <v>32</v>
      </c>
      <c r="J2359" s="3">
        <f t="shared" si="71"/>
        <v>17</v>
      </c>
      <c r="K2359" s="3">
        <f t="shared" si="72"/>
        <v>15</v>
      </c>
      <c r="L2359" s="3" t="str">
        <f t="shared" si="73"/>
        <v>EXCELENTE</v>
      </c>
      <c r="N2359">
        <v>98.32</v>
      </c>
      <c r="O2359">
        <v>30.303030303030301</v>
      </c>
    </row>
    <row r="2360" spans="1:15" x14ac:dyDescent="0.25">
      <c r="A2360" s="11">
        <v>46076</v>
      </c>
      <c r="B2360" t="s">
        <v>17</v>
      </c>
      <c r="C2360" t="s">
        <v>18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f t="shared" si="70"/>
        <v>0</v>
      </c>
      <c r="J2360" s="3">
        <f t="shared" si="71"/>
        <v>21</v>
      </c>
      <c r="K2360" s="3">
        <f t="shared" si="72"/>
        <v>-21</v>
      </c>
      <c r="L2360" s="3" t="str">
        <f t="shared" si="73"/>
        <v>CRÍTICO</v>
      </c>
      <c r="N2360">
        <v>98.68</v>
      </c>
      <c r="O2360">
        <v>26.219512195121951</v>
      </c>
    </row>
    <row r="2361" spans="1:15" x14ac:dyDescent="0.25">
      <c r="A2361" s="11">
        <v>46076</v>
      </c>
      <c r="B2361" t="s">
        <v>19</v>
      </c>
      <c r="C2361" t="s">
        <v>20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 t="shared" si="70"/>
        <v>27</v>
      </c>
      <c r="J2361" s="3">
        <f t="shared" si="71"/>
        <v>14</v>
      </c>
      <c r="K2361" s="3">
        <f t="shared" si="72"/>
        <v>13</v>
      </c>
      <c r="L2361" s="3" t="str">
        <f t="shared" si="73"/>
        <v>EXCELENTE</v>
      </c>
      <c r="N2361">
        <v>100</v>
      </c>
      <c r="O2361">
        <v>31.74224343675418</v>
      </c>
    </row>
    <row r="2362" spans="1:15" x14ac:dyDescent="0.25">
      <c r="A2362" s="11">
        <v>46076</v>
      </c>
      <c r="B2362" t="s">
        <v>21</v>
      </c>
      <c r="C2362" t="s">
        <v>18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 t="shared" si="70"/>
        <v>22</v>
      </c>
      <c r="J2362" s="3">
        <f t="shared" si="71"/>
        <v>21</v>
      </c>
      <c r="K2362" s="3">
        <f t="shared" si="72"/>
        <v>1</v>
      </c>
      <c r="L2362" s="3" t="str">
        <f t="shared" si="73"/>
        <v>BOM</v>
      </c>
      <c r="N2362">
        <v>98.25</v>
      </c>
      <c r="O2362">
        <v>25.83518930957684</v>
      </c>
    </row>
    <row r="2363" spans="1:15" x14ac:dyDescent="0.25">
      <c r="A2363" s="11">
        <v>46076</v>
      </c>
      <c r="B2363" t="s">
        <v>22</v>
      </c>
      <c r="C2363" t="s">
        <v>23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 t="shared" si="70"/>
        <v>8</v>
      </c>
      <c r="J2363" s="3">
        <f t="shared" si="71"/>
        <v>6</v>
      </c>
      <c r="K2363" s="3">
        <f t="shared" si="72"/>
        <v>2</v>
      </c>
      <c r="L2363" s="3" t="str">
        <f t="shared" si="73"/>
        <v>BOM</v>
      </c>
      <c r="N2363">
        <v>97.5</v>
      </c>
      <c r="O2363">
        <v>30.075187969924809</v>
      </c>
    </row>
    <row r="2364" spans="1:15" x14ac:dyDescent="0.25">
      <c r="A2364" s="11">
        <v>46076</v>
      </c>
      <c r="B2364" t="s">
        <v>24</v>
      </c>
      <c r="C2364" t="s">
        <v>16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 t="shared" si="70"/>
        <v>27</v>
      </c>
      <c r="J2364" s="3">
        <f t="shared" si="71"/>
        <v>17</v>
      </c>
      <c r="K2364" s="3">
        <f t="shared" si="72"/>
        <v>10</v>
      </c>
      <c r="L2364" s="3" t="str">
        <f t="shared" si="73"/>
        <v>EXCELENTE</v>
      </c>
      <c r="N2364">
        <v>100</v>
      </c>
      <c r="O2364">
        <v>29.71311475409836</v>
      </c>
    </row>
    <row r="2365" spans="1:15" x14ac:dyDescent="0.25">
      <c r="A2365" s="11">
        <v>46076</v>
      </c>
      <c r="B2365" t="s">
        <v>25</v>
      </c>
      <c r="C2365" t="s">
        <v>16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 t="shared" si="70"/>
        <v>14</v>
      </c>
      <c r="J2365" s="3">
        <f t="shared" si="71"/>
        <v>17</v>
      </c>
      <c r="K2365" s="3">
        <f t="shared" si="72"/>
        <v>-3</v>
      </c>
      <c r="L2365" s="3" t="str">
        <f t="shared" si="73"/>
        <v>ATENÇÃO</v>
      </c>
      <c r="N2365">
        <v>99.22</v>
      </c>
      <c r="O2365">
        <v>35.256410256410263</v>
      </c>
    </row>
    <row r="2366" spans="1:15" x14ac:dyDescent="0.25">
      <c r="A2366" s="11">
        <v>46076</v>
      </c>
      <c r="B2366" t="s">
        <v>26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f t="shared" si="70"/>
        <v>0</v>
      </c>
      <c r="J2366" s="3">
        <f t="shared" si="71"/>
        <v>6</v>
      </c>
      <c r="K2366" s="3">
        <f t="shared" si="72"/>
        <v>-6</v>
      </c>
      <c r="L2366" s="3" t="str">
        <f t="shared" si="73"/>
        <v>CRÍTICO</v>
      </c>
      <c r="N2366">
        <v>0</v>
      </c>
      <c r="O2366">
        <v>0</v>
      </c>
    </row>
    <row r="2367" spans="1:15" x14ac:dyDescent="0.25">
      <c r="A2367" s="11">
        <v>46076</v>
      </c>
      <c r="B2367" t="s">
        <v>27</v>
      </c>
      <c r="C2367" t="s">
        <v>20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f t="shared" si="70"/>
        <v>0</v>
      </c>
      <c r="J2367" s="3">
        <f t="shared" si="71"/>
        <v>14</v>
      </c>
      <c r="K2367" s="3">
        <f t="shared" si="72"/>
        <v>-14</v>
      </c>
      <c r="L2367" s="3" t="str">
        <f t="shared" si="73"/>
        <v>CRÍTICO</v>
      </c>
      <c r="N2367">
        <v>98.75</v>
      </c>
      <c r="O2367">
        <v>24.32432432432433</v>
      </c>
    </row>
    <row r="2368" spans="1:15" x14ac:dyDescent="0.25">
      <c r="A2368" s="11">
        <v>46076</v>
      </c>
      <c r="B2368" t="s">
        <v>28</v>
      </c>
      <c r="C2368" t="s">
        <v>18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f t="shared" si="70"/>
        <v>0</v>
      </c>
      <c r="J2368" s="3">
        <f t="shared" si="71"/>
        <v>21</v>
      </c>
      <c r="K2368" s="3">
        <f t="shared" si="72"/>
        <v>-21</v>
      </c>
      <c r="L2368" s="3" t="str">
        <f t="shared" si="73"/>
        <v>CRÍTICO</v>
      </c>
      <c r="N2368">
        <v>93.48</v>
      </c>
      <c r="O2368">
        <v>31.334622823984521</v>
      </c>
    </row>
    <row r="2369" spans="1:15" x14ac:dyDescent="0.25">
      <c r="A2369" s="11">
        <v>46076</v>
      </c>
      <c r="B2369" t="s">
        <v>29</v>
      </c>
      <c r="C2369" t="s">
        <v>16</v>
      </c>
      <c r="D2369">
        <v>0</v>
      </c>
      <c r="E2369">
        <v>0</v>
      </c>
      <c r="F2369">
        <v>0</v>
      </c>
      <c r="G2369">
        <v>0</v>
      </c>
      <c r="H2369">
        <v>0</v>
      </c>
      <c r="I2369" s="3">
        <f t="shared" si="70"/>
        <v>0</v>
      </c>
      <c r="J2369" s="3">
        <f t="shared" si="71"/>
        <v>17</v>
      </c>
      <c r="K2369" s="3">
        <f t="shared" si="72"/>
        <v>-17</v>
      </c>
      <c r="L2369" s="3" t="str">
        <f t="shared" si="73"/>
        <v>CRÍTICO</v>
      </c>
      <c r="N2369">
        <v>99.16</v>
      </c>
      <c r="O2369">
        <v>26.13908872901678</v>
      </c>
    </row>
    <row r="2370" spans="1:15" x14ac:dyDescent="0.25">
      <c r="A2370" s="11">
        <v>46076</v>
      </c>
      <c r="B2370" t="s">
        <v>30</v>
      </c>
      <c r="C2370" t="s">
        <v>20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 t="shared" si="70"/>
        <v>19</v>
      </c>
      <c r="J2370" s="3">
        <f t="shared" si="71"/>
        <v>14</v>
      </c>
      <c r="K2370" s="3">
        <f t="shared" si="72"/>
        <v>5</v>
      </c>
      <c r="L2370" s="3" t="str">
        <f t="shared" si="73"/>
        <v>BOM</v>
      </c>
      <c r="N2370">
        <v>100</v>
      </c>
      <c r="O2370">
        <v>31.089743589743591</v>
      </c>
    </row>
    <row r="2371" spans="1:15" x14ac:dyDescent="0.25">
      <c r="A2371" s="11">
        <v>46076</v>
      </c>
      <c r="B2371" t="s">
        <v>31</v>
      </c>
      <c r="C2371" t="s">
        <v>18</v>
      </c>
      <c r="D2371">
        <v>0</v>
      </c>
      <c r="E2371">
        <v>0</v>
      </c>
      <c r="F2371">
        <v>0</v>
      </c>
      <c r="G2371">
        <v>0</v>
      </c>
      <c r="H2371">
        <v>0</v>
      </c>
      <c r="I2371" s="3">
        <f t="shared" si="70"/>
        <v>0</v>
      </c>
      <c r="J2371" s="3">
        <f t="shared" si="71"/>
        <v>21</v>
      </c>
      <c r="K2371" s="3">
        <f t="shared" si="72"/>
        <v>-21</v>
      </c>
      <c r="L2371" s="3" t="str">
        <f t="shared" si="73"/>
        <v>CRÍTICO</v>
      </c>
      <c r="N2371">
        <v>98.11</v>
      </c>
      <c r="O2371">
        <v>33.033707865168537</v>
      </c>
    </row>
    <row r="2372" spans="1:15" x14ac:dyDescent="0.25">
      <c r="A2372" s="11">
        <v>46076</v>
      </c>
      <c r="B2372" t="s">
        <v>32</v>
      </c>
      <c r="C2372" t="s">
        <v>23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 t="shared" si="70"/>
        <v>8</v>
      </c>
      <c r="J2372" s="3">
        <f t="shared" si="71"/>
        <v>6</v>
      </c>
      <c r="K2372" s="3">
        <f t="shared" si="72"/>
        <v>2</v>
      </c>
      <c r="L2372" s="3" t="str">
        <f t="shared" si="73"/>
        <v>BOM</v>
      </c>
      <c r="N2372">
        <v>78.95</v>
      </c>
      <c r="O2372">
        <v>38.983050847457633</v>
      </c>
    </row>
    <row r="2373" spans="1:15" x14ac:dyDescent="0.25">
      <c r="A2373" s="11">
        <v>46076</v>
      </c>
      <c r="B2373" t="s">
        <v>33</v>
      </c>
      <c r="C2373" t="s">
        <v>16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 t="shared" si="70"/>
        <v>20</v>
      </c>
      <c r="J2373" s="3">
        <f t="shared" si="71"/>
        <v>17</v>
      </c>
      <c r="K2373" s="3">
        <f t="shared" si="72"/>
        <v>3</v>
      </c>
      <c r="L2373" s="3" t="str">
        <f t="shared" si="73"/>
        <v>BOM</v>
      </c>
      <c r="N2373">
        <v>98.45</v>
      </c>
      <c r="O2373">
        <v>29.281767955801101</v>
      </c>
    </row>
    <row r="2374" spans="1:15" x14ac:dyDescent="0.25">
      <c r="A2374" s="11">
        <v>46076</v>
      </c>
      <c r="B2374" t="s">
        <v>34</v>
      </c>
      <c r="C2374" t="s">
        <v>18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 t="shared" si="70"/>
        <v>30</v>
      </c>
      <c r="J2374" s="3">
        <f t="shared" si="71"/>
        <v>21</v>
      </c>
      <c r="K2374" s="3">
        <f t="shared" si="72"/>
        <v>9</v>
      </c>
      <c r="L2374" s="3" t="str">
        <f t="shared" si="73"/>
        <v>EXCELENTE</v>
      </c>
      <c r="N2374">
        <v>97.84</v>
      </c>
      <c r="O2374">
        <v>26.282051282051281</v>
      </c>
    </row>
    <row r="2375" spans="1:15" x14ac:dyDescent="0.25">
      <c r="A2375" s="11">
        <v>46076</v>
      </c>
      <c r="B2375" t="s">
        <v>35</v>
      </c>
      <c r="C2375" t="s">
        <v>16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 t="shared" si="70"/>
        <v>25</v>
      </c>
      <c r="J2375" s="3">
        <f t="shared" si="71"/>
        <v>17</v>
      </c>
      <c r="K2375" s="3">
        <f t="shared" si="72"/>
        <v>8</v>
      </c>
      <c r="L2375" s="3" t="str">
        <f t="shared" si="73"/>
        <v>EXCELENTE</v>
      </c>
      <c r="N2375">
        <v>98.5</v>
      </c>
      <c r="O2375">
        <v>23.97769516728625</v>
      </c>
    </row>
    <row r="2376" spans="1:15" x14ac:dyDescent="0.25">
      <c r="A2376" s="11">
        <v>46108</v>
      </c>
      <c r="B2376" t="s">
        <v>36</v>
      </c>
      <c r="C2376" t="s">
        <v>20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 t="shared" si="70"/>
        <v>28</v>
      </c>
      <c r="J2376" s="3">
        <f t="shared" si="71"/>
        <v>16</v>
      </c>
      <c r="K2376" s="3">
        <f t="shared" si="72"/>
        <v>12</v>
      </c>
      <c r="L2376" s="3" t="str">
        <f t="shared" si="73"/>
        <v>EXCELENTE</v>
      </c>
      <c r="N2376">
        <v>99.05</v>
      </c>
      <c r="O2376">
        <v>26.621923937360179</v>
      </c>
    </row>
    <row r="2377" spans="1:15" x14ac:dyDescent="0.25">
      <c r="A2377" s="11">
        <v>46076</v>
      </c>
      <c r="B2377" t="s">
        <v>37</v>
      </c>
      <c r="C2377" t="s">
        <v>16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 t="shared" si="70"/>
        <v>33</v>
      </c>
      <c r="J2377" s="3">
        <f t="shared" si="71"/>
        <v>17</v>
      </c>
      <c r="K2377" s="3">
        <f t="shared" si="72"/>
        <v>16</v>
      </c>
      <c r="L2377" s="3" t="str">
        <f t="shared" si="73"/>
        <v>EXCELENTE</v>
      </c>
      <c r="N2377">
        <v>98.53</v>
      </c>
      <c r="O2377">
        <v>31.578947368421051</v>
      </c>
    </row>
    <row r="2378" spans="1:15" x14ac:dyDescent="0.25">
      <c r="A2378" s="11">
        <v>46076</v>
      </c>
      <c r="B2378" t="s">
        <v>38</v>
      </c>
      <c r="C2378" t="s">
        <v>18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 t="shared" si="70"/>
        <v>36</v>
      </c>
      <c r="J2378" s="3">
        <f t="shared" si="71"/>
        <v>21</v>
      </c>
      <c r="K2378" s="3">
        <f t="shared" si="72"/>
        <v>15</v>
      </c>
      <c r="L2378" s="3" t="str">
        <f t="shared" si="73"/>
        <v>EXCELENTE</v>
      </c>
      <c r="N2378">
        <v>100</v>
      </c>
      <c r="O2378">
        <v>25.72214580467676</v>
      </c>
    </row>
    <row r="2379" spans="1:15" x14ac:dyDescent="0.25">
      <c r="A2379" s="11">
        <v>46076</v>
      </c>
      <c r="B2379" t="s">
        <v>39</v>
      </c>
      <c r="C2379" t="s">
        <v>18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 t="shared" si="70"/>
        <v>20</v>
      </c>
      <c r="J2379" s="3">
        <f t="shared" si="71"/>
        <v>21</v>
      </c>
      <c r="K2379" s="3">
        <f t="shared" si="72"/>
        <v>-1</v>
      </c>
      <c r="L2379" s="3" t="str">
        <f t="shared" si="73"/>
        <v>ATENÇÃO</v>
      </c>
      <c r="N2379">
        <v>94.64</v>
      </c>
      <c r="O2379">
        <v>27.52941176470588</v>
      </c>
    </row>
    <row r="2380" spans="1:15" x14ac:dyDescent="0.25">
      <c r="A2380" s="11">
        <v>46076</v>
      </c>
      <c r="B2380" t="s">
        <v>40</v>
      </c>
      <c r="C2380" t="s">
        <v>16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 t="shared" si="70"/>
        <v>28</v>
      </c>
      <c r="J2380" s="3">
        <f t="shared" si="71"/>
        <v>17</v>
      </c>
      <c r="K2380" s="3">
        <f t="shared" si="72"/>
        <v>11</v>
      </c>
      <c r="L2380" s="3" t="str">
        <f t="shared" si="73"/>
        <v>EXCELENTE</v>
      </c>
      <c r="N2380">
        <v>99.07</v>
      </c>
      <c r="O2380">
        <v>26.376811594202898</v>
      </c>
    </row>
    <row r="2381" spans="1:15" x14ac:dyDescent="0.25">
      <c r="A2381" s="11">
        <v>46076</v>
      </c>
      <c r="B2381" t="s">
        <v>41</v>
      </c>
      <c r="C2381" t="s">
        <v>18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f t="shared" si="70"/>
        <v>0</v>
      </c>
      <c r="J2381" s="3">
        <f t="shared" si="71"/>
        <v>21</v>
      </c>
      <c r="K2381" s="3">
        <f t="shared" si="72"/>
        <v>-21</v>
      </c>
      <c r="L2381" s="3" t="str">
        <f t="shared" si="73"/>
        <v>CRÍTICO</v>
      </c>
      <c r="N2381">
        <v>100</v>
      </c>
      <c r="O2381">
        <v>0</v>
      </c>
    </row>
    <row r="2382" spans="1:15" x14ac:dyDescent="0.25">
      <c r="A2382" s="11">
        <v>46076</v>
      </c>
      <c r="B2382" t="s">
        <v>42</v>
      </c>
      <c r="C2382" t="s">
        <v>43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 t="shared" si="70"/>
        <v>11</v>
      </c>
      <c r="J2382" s="3">
        <f t="shared" si="71"/>
        <v>12</v>
      </c>
      <c r="K2382" s="3">
        <f t="shared" si="72"/>
        <v>-1</v>
      </c>
      <c r="L2382" s="3" t="str">
        <f t="shared" si="73"/>
        <v>ATENÇÃO</v>
      </c>
      <c r="N2382">
        <v>98.48</v>
      </c>
      <c r="O2382">
        <v>27.853881278538811</v>
      </c>
    </row>
    <row r="2383" spans="1:15" x14ac:dyDescent="0.25">
      <c r="A2383" s="11">
        <v>46076</v>
      </c>
      <c r="B2383" t="s">
        <v>44</v>
      </c>
      <c r="C2383" t="s">
        <v>18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 t="shared" si="70"/>
        <v>18</v>
      </c>
      <c r="J2383" s="3">
        <f t="shared" si="71"/>
        <v>21</v>
      </c>
      <c r="K2383" s="3">
        <f t="shared" si="72"/>
        <v>-3</v>
      </c>
      <c r="L2383" s="3" t="str">
        <f t="shared" si="73"/>
        <v>ATENÇÃO</v>
      </c>
      <c r="N2383">
        <v>95.15</v>
      </c>
      <c r="O2383">
        <v>34.131736526946113</v>
      </c>
    </row>
    <row r="2384" spans="1:15" x14ac:dyDescent="0.25">
      <c r="A2384" s="11">
        <v>46076</v>
      </c>
      <c r="B2384" t="s">
        <v>45</v>
      </c>
      <c r="C2384" t="s">
        <v>43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f t="shared" si="70"/>
        <v>0</v>
      </c>
      <c r="J2384" s="3">
        <f t="shared" si="71"/>
        <v>12</v>
      </c>
      <c r="K2384" s="3">
        <f t="shared" si="72"/>
        <v>-12</v>
      </c>
      <c r="L2384" s="3" t="str">
        <f t="shared" si="73"/>
        <v>CRÍTICO</v>
      </c>
      <c r="N2384">
        <v>0</v>
      </c>
      <c r="O2384">
        <v>0</v>
      </c>
    </row>
    <row r="2385" spans="1:15" x14ac:dyDescent="0.25">
      <c r="A2385" s="11">
        <v>46076</v>
      </c>
      <c r="B2385" t="s">
        <v>46</v>
      </c>
      <c r="C2385" t="s">
        <v>18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 t="shared" si="70"/>
        <v>19</v>
      </c>
      <c r="J2385" s="3">
        <f t="shared" si="71"/>
        <v>21</v>
      </c>
      <c r="K2385" s="3">
        <f t="shared" si="72"/>
        <v>-2</v>
      </c>
      <c r="L2385" s="3" t="str">
        <f t="shared" si="73"/>
        <v>ATENÇÃO</v>
      </c>
      <c r="N2385">
        <v>99.26</v>
      </c>
      <c r="O2385">
        <v>30.84832904884319</v>
      </c>
    </row>
    <row r="2386" spans="1:15" x14ac:dyDescent="0.25">
      <c r="A2386" s="11">
        <v>46076</v>
      </c>
      <c r="B2386" t="s">
        <v>47</v>
      </c>
      <c r="C2386" t="s">
        <v>16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 t="shared" si="70"/>
        <v>27</v>
      </c>
      <c r="J2386" s="3">
        <f t="shared" si="71"/>
        <v>17</v>
      </c>
      <c r="K2386" s="3">
        <f t="shared" si="72"/>
        <v>10</v>
      </c>
      <c r="L2386" s="3" t="str">
        <f t="shared" si="73"/>
        <v>EXCELENTE</v>
      </c>
      <c r="N2386">
        <v>97.48</v>
      </c>
      <c r="O2386">
        <v>27.764705882352938</v>
      </c>
    </row>
    <row r="2387" spans="1:15" x14ac:dyDescent="0.25">
      <c r="A2387" s="11">
        <v>46076</v>
      </c>
      <c r="B2387" t="s">
        <v>48</v>
      </c>
      <c r="C2387" t="s">
        <v>16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f t="shared" si="70"/>
        <v>0</v>
      </c>
      <c r="J2387" s="3">
        <f t="shared" si="71"/>
        <v>17</v>
      </c>
      <c r="K2387" s="3">
        <f t="shared" si="72"/>
        <v>-17</v>
      </c>
      <c r="L2387" s="3" t="str">
        <f t="shared" si="73"/>
        <v>CRÍTICO</v>
      </c>
      <c r="N2387">
        <v>99.34</v>
      </c>
      <c r="O2387">
        <v>30.04291845493562</v>
      </c>
    </row>
    <row r="2388" spans="1:15" x14ac:dyDescent="0.25">
      <c r="A2388" s="11">
        <v>46076</v>
      </c>
      <c r="B2388" t="s">
        <v>49</v>
      </c>
      <c r="C2388" t="s">
        <v>18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f t="shared" si="70"/>
        <v>0</v>
      </c>
      <c r="J2388" s="3">
        <f t="shared" si="71"/>
        <v>21</v>
      </c>
      <c r="K2388" s="3">
        <f t="shared" si="72"/>
        <v>-21</v>
      </c>
      <c r="L2388" s="3" t="str">
        <f t="shared" si="73"/>
        <v>CRÍTICO</v>
      </c>
      <c r="N2388">
        <v>96.3</v>
      </c>
      <c r="O2388">
        <v>24.29378531073446</v>
      </c>
    </row>
    <row r="2389" spans="1:15" x14ac:dyDescent="0.25">
      <c r="A2389" s="11">
        <v>46076</v>
      </c>
      <c r="B2389" t="s">
        <v>50</v>
      </c>
      <c r="C2389" t="s">
        <v>20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 t="shared" si="70"/>
        <v>9</v>
      </c>
      <c r="J2389" s="3">
        <f t="shared" si="71"/>
        <v>14</v>
      </c>
      <c r="K2389" s="3">
        <f t="shared" si="72"/>
        <v>-5</v>
      </c>
      <c r="L2389" s="3" t="str">
        <f t="shared" si="73"/>
        <v>ATENÇÃO</v>
      </c>
      <c r="N2389">
        <v>100</v>
      </c>
      <c r="O2389">
        <v>26.543209876543209</v>
      </c>
    </row>
    <row r="2390" spans="1:15" x14ac:dyDescent="0.25">
      <c r="A2390" s="11">
        <v>46076</v>
      </c>
      <c r="B2390" t="s">
        <v>51</v>
      </c>
      <c r="C2390" t="s">
        <v>23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 t="shared" si="70"/>
        <v>10</v>
      </c>
      <c r="J2390" s="3">
        <f t="shared" si="71"/>
        <v>6</v>
      </c>
      <c r="K2390" s="3">
        <f t="shared" si="72"/>
        <v>4</v>
      </c>
      <c r="L2390" s="3" t="str">
        <f t="shared" si="73"/>
        <v>BOM</v>
      </c>
      <c r="N2390">
        <v>100</v>
      </c>
      <c r="O2390">
        <v>35.483870967741943</v>
      </c>
    </row>
    <row r="2391" spans="1:15" x14ac:dyDescent="0.25">
      <c r="A2391" s="11">
        <v>46076</v>
      </c>
      <c r="B2391" t="s">
        <v>52</v>
      </c>
      <c r="C2391" t="s">
        <v>18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 t="shared" si="70"/>
        <v>23</v>
      </c>
      <c r="J2391" s="3">
        <f t="shared" si="71"/>
        <v>21</v>
      </c>
      <c r="K2391" s="3">
        <f t="shared" si="72"/>
        <v>2</v>
      </c>
      <c r="L2391" s="3" t="str">
        <f t="shared" si="73"/>
        <v>BOM</v>
      </c>
      <c r="N2391">
        <v>99.27</v>
      </c>
      <c r="O2391">
        <v>31.163708086785011</v>
      </c>
    </row>
    <row r="2392" spans="1:15" x14ac:dyDescent="0.25">
      <c r="A2392" s="11">
        <v>46076</v>
      </c>
      <c r="B2392" t="s">
        <v>53</v>
      </c>
      <c r="C2392" t="s">
        <v>18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 t="shared" si="70"/>
        <v>29</v>
      </c>
      <c r="J2392" s="3">
        <f t="shared" si="71"/>
        <v>21</v>
      </c>
      <c r="K2392" s="3">
        <f t="shared" si="72"/>
        <v>8</v>
      </c>
      <c r="L2392" s="3" t="str">
        <f t="shared" si="73"/>
        <v>EXCELENTE</v>
      </c>
      <c r="N2392">
        <v>94.16</v>
      </c>
      <c r="O2392">
        <v>27.038626609442058</v>
      </c>
    </row>
    <row r="2393" spans="1:15" x14ac:dyDescent="0.25">
      <c r="A2393" s="11">
        <v>46076</v>
      </c>
      <c r="B2393" t="s">
        <v>54</v>
      </c>
      <c r="C2393" t="s">
        <v>23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 t="shared" si="70"/>
        <v>9</v>
      </c>
      <c r="J2393" s="3">
        <f t="shared" si="71"/>
        <v>6</v>
      </c>
      <c r="K2393" s="3">
        <f t="shared" si="72"/>
        <v>3</v>
      </c>
      <c r="L2393" s="3" t="str">
        <f t="shared" si="73"/>
        <v>BOM</v>
      </c>
      <c r="N2393">
        <v>93.75</v>
      </c>
      <c r="O2393">
        <v>19.31818181818182</v>
      </c>
    </row>
    <row r="2394" spans="1:15" x14ac:dyDescent="0.25">
      <c r="A2394" s="11">
        <v>46076</v>
      </c>
      <c r="B2394" t="s">
        <v>55</v>
      </c>
      <c r="C2394" t="s">
        <v>43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f t="shared" si="70"/>
        <v>0</v>
      </c>
      <c r="J2394" s="3">
        <f t="shared" si="71"/>
        <v>12</v>
      </c>
      <c r="K2394" s="3">
        <f t="shared" si="72"/>
        <v>-12</v>
      </c>
      <c r="L2394" s="3" t="str">
        <f t="shared" si="73"/>
        <v>CRÍTICO</v>
      </c>
      <c r="N2394">
        <v>0</v>
      </c>
      <c r="O2394">
        <v>0</v>
      </c>
    </row>
    <row r="2395" spans="1:15" x14ac:dyDescent="0.25">
      <c r="A2395" s="11">
        <v>46076</v>
      </c>
      <c r="B2395" t="s">
        <v>56</v>
      </c>
      <c r="C2395" t="s">
        <v>16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f t="shared" si="70"/>
        <v>0</v>
      </c>
      <c r="J2395" s="3">
        <f t="shared" si="71"/>
        <v>17</v>
      </c>
      <c r="K2395" s="3">
        <f t="shared" si="72"/>
        <v>-17</v>
      </c>
      <c r="L2395" s="3" t="str">
        <f t="shared" si="73"/>
        <v>CRÍTICO</v>
      </c>
      <c r="N2395">
        <v>97.92</v>
      </c>
      <c r="O2395">
        <v>32.87671232876712</v>
      </c>
    </row>
    <row r="2396" spans="1:15" x14ac:dyDescent="0.25">
      <c r="A2396" s="11">
        <v>46076</v>
      </c>
      <c r="B2396" t="s">
        <v>57</v>
      </c>
      <c r="C2396" t="s">
        <v>43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f t="shared" si="70"/>
        <v>0</v>
      </c>
      <c r="J2396" s="3">
        <f t="shared" si="71"/>
        <v>12</v>
      </c>
      <c r="K2396" s="3">
        <f t="shared" si="72"/>
        <v>-12</v>
      </c>
      <c r="L2396" s="3" t="str">
        <f t="shared" si="73"/>
        <v>CRÍTICO</v>
      </c>
      <c r="N2396">
        <v>0</v>
      </c>
      <c r="O2396">
        <v>0</v>
      </c>
    </row>
    <row r="2397" spans="1:15" x14ac:dyDescent="0.25">
      <c r="A2397" s="11">
        <v>46076</v>
      </c>
      <c r="B2397" t="s">
        <v>58</v>
      </c>
      <c r="C2397" t="s">
        <v>43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f t="shared" si="70"/>
        <v>0</v>
      </c>
      <c r="J2397" s="3">
        <f t="shared" si="71"/>
        <v>12</v>
      </c>
      <c r="K2397" s="3">
        <f t="shared" si="72"/>
        <v>-12</v>
      </c>
      <c r="L2397" s="3" t="str">
        <f t="shared" si="73"/>
        <v>CRÍTICO</v>
      </c>
      <c r="N2397">
        <v>0</v>
      </c>
      <c r="O2397">
        <v>0</v>
      </c>
    </row>
    <row r="2398" spans="1:15" x14ac:dyDescent="0.25">
      <c r="A2398" s="11">
        <v>46076</v>
      </c>
      <c r="B2398" t="s">
        <v>59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f t="shared" si="70"/>
        <v>0</v>
      </c>
      <c r="J2398" s="3">
        <f t="shared" si="71"/>
        <v>6</v>
      </c>
      <c r="K2398" s="3">
        <f t="shared" si="72"/>
        <v>-6</v>
      </c>
      <c r="L2398" s="3" t="str">
        <f t="shared" si="73"/>
        <v>CRÍTICO</v>
      </c>
      <c r="N2398">
        <v>0</v>
      </c>
      <c r="O2398">
        <v>0</v>
      </c>
    </row>
    <row r="2399" spans="1:15" x14ac:dyDescent="0.25">
      <c r="A2399" s="11">
        <v>46076</v>
      </c>
      <c r="B2399" t="s">
        <v>60</v>
      </c>
      <c r="C2399" t="s">
        <v>20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f t="shared" si="70"/>
        <v>0</v>
      </c>
      <c r="J2399" s="3">
        <f t="shared" si="71"/>
        <v>14</v>
      </c>
      <c r="K2399" s="3">
        <f t="shared" si="72"/>
        <v>-14</v>
      </c>
      <c r="L2399" s="3" t="str">
        <f t="shared" si="73"/>
        <v>CRÍTICO</v>
      </c>
      <c r="N2399">
        <v>98.51</v>
      </c>
      <c r="O2399">
        <v>29.710144927536231</v>
      </c>
    </row>
    <row r="2400" spans="1:15" x14ac:dyDescent="0.25">
      <c r="A2400" s="11">
        <v>46076</v>
      </c>
      <c r="B2400" t="s">
        <v>61</v>
      </c>
      <c r="C2400" t="s">
        <v>18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 t="shared" si="70"/>
        <v>28</v>
      </c>
      <c r="J2400" s="3">
        <f t="shared" si="71"/>
        <v>21</v>
      </c>
      <c r="K2400" s="3">
        <f t="shared" si="72"/>
        <v>7</v>
      </c>
      <c r="L2400" s="3" t="str">
        <f t="shared" si="73"/>
        <v>EXCELENTE</v>
      </c>
      <c r="N2400">
        <v>98.81</v>
      </c>
      <c r="O2400">
        <v>30.712979890310791</v>
      </c>
    </row>
    <row r="2401" spans="1:15" x14ac:dyDescent="0.25">
      <c r="A2401" s="11">
        <v>46076</v>
      </c>
      <c r="B2401" t="s">
        <v>62</v>
      </c>
      <c r="C2401" t="s">
        <v>20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 t="shared" si="70"/>
        <v>11</v>
      </c>
      <c r="J2401" s="3">
        <f t="shared" si="71"/>
        <v>14</v>
      </c>
      <c r="K2401" s="3">
        <f t="shared" si="72"/>
        <v>-3</v>
      </c>
      <c r="L2401" s="3" t="str">
        <f t="shared" si="73"/>
        <v>ATENÇÃO</v>
      </c>
      <c r="N2401">
        <v>98.48</v>
      </c>
      <c r="O2401">
        <v>29.35323383084577</v>
      </c>
    </row>
    <row r="2402" spans="1:15" x14ac:dyDescent="0.25">
      <c r="A2402" s="11">
        <v>46076</v>
      </c>
      <c r="B2402" t="s">
        <v>63</v>
      </c>
      <c r="C2402" t="s">
        <v>18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 t="shared" si="70"/>
        <v>28</v>
      </c>
      <c r="J2402" s="3">
        <f t="shared" si="71"/>
        <v>21</v>
      </c>
      <c r="K2402" s="3">
        <f t="shared" si="72"/>
        <v>7</v>
      </c>
      <c r="L2402" s="3" t="str">
        <f t="shared" si="73"/>
        <v>EXCELENTE</v>
      </c>
      <c r="N2402">
        <v>98.56</v>
      </c>
      <c r="O2402">
        <v>29.373650107991359</v>
      </c>
    </row>
    <row r="2403" spans="1:15" x14ac:dyDescent="0.25">
      <c r="A2403" s="11">
        <v>46077</v>
      </c>
      <c r="B2403" t="s">
        <v>15</v>
      </c>
      <c r="C2403" t="s">
        <v>16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 t="shared" ref="I2403:I2466" si="74">E2403+G2403+H2403</f>
        <v>19</v>
      </c>
      <c r="J2403" s="3">
        <f t="shared" ref="J2403:J2466" si="75"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15</v>
      </c>
      <c r="K2403" s="3">
        <f t="shared" ref="K2403:K2466" si="76">I2403-J2403</f>
        <v>4</v>
      </c>
      <c r="L2403" s="3" t="str">
        <f t="shared" ref="L2403:L2466" si="77">IF(K2403&lt;-5,"CRÍTICO",IF(K2403&lt;0,"ATENÇÃO",IF(K2403&lt;=5,"BOM","EXCELENTE")))</f>
        <v>BOM</v>
      </c>
      <c r="N2403">
        <v>98.32</v>
      </c>
      <c r="O2403">
        <v>30.303030303030301</v>
      </c>
    </row>
    <row r="2404" spans="1:15" x14ac:dyDescent="0.25">
      <c r="A2404" s="11">
        <v>46077</v>
      </c>
      <c r="B2404" t="s">
        <v>17</v>
      </c>
      <c r="C2404" t="s">
        <v>18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f t="shared" si="74"/>
        <v>0</v>
      </c>
      <c r="J2404" s="3">
        <f t="shared" si="75"/>
        <v>19</v>
      </c>
      <c r="K2404" s="3">
        <f t="shared" si="76"/>
        <v>-19</v>
      </c>
      <c r="L2404" s="3" t="str">
        <f t="shared" si="77"/>
        <v>CRÍTICO</v>
      </c>
      <c r="N2404">
        <v>98.68</v>
      </c>
      <c r="O2404">
        <v>26.219512195121951</v>
      </c>
    </row>
    <row r="2405" spans="1:15" x14ac:dyDescent="0.25">
      <c r="A2405" s="11">
        <v>46077</v>
      </c>
      <c r="B2405" t="s">
        <v>19</v>
      </c>
      <c r="C2405" t="s">
        <v>20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 t="shared" si="74"/>
        <v>17</v>
      </c>
      <c r="J2405" s="3">
        <f t="shared" si="75"/>
        <v>12</v>
      </c>
      <c r="K2405" s="3">
        <f t="shared" si="76"/>
        <v>5</v>
      </c>
      <c r="L2405" s="3" t="str">
        <f t="shared" si="77"/>
        <v>BOM</v>
      </c>
      <c r="N2405">
        <v>100</v>
      </c>
      <c r="O2405">
        <v>31.74224343675418</v>
      </c>
    </row>
    <row r="2406" spans="1:15" x14ac:dyDescent="0.25">
      <c r="A2406" s="11">
        <v>46077</v>
      </c>
      <c r="B2406" t="s">
        <v>21</v>
      </c>
      <c r="C2406" t="s">
        <v>18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 t="shared" si="74"/>
        <v>17</v>
      </c>
      <c r="J2406" s="3">
        <f t="shared" si="75"/>
        <v>19</v>
      </c>
      <c r="K2406" s="3">
        <f t="shared" si="76"/>
        <v>-2</v>
      </c>
      <c r="L2406" s="3" t="str">
        <f t="shared" si="77"/>
        <v>ATENÇÃO</v>
      </c>
      <c r="N2406">
        <v>98.25</v>
      </c>
      <c r="O2406">
        <v>25.83518930957684</v>
      </c>
    </row>
    <row r="2407" spans="1:15" x14ac:dyDescent="0.25">
      <c r="A2407" s="11">
        <v>46077</v>
      </c>
      <c r="B2407" t="s">
        <v>22</v>
      </c>
      <c r="C2407" t="s">
        <v>23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 t="shared" si="74"/>
        <v>15</v>
      </c>
      <c r="J2407" s="3">
        <f t="shared" si="75"/>
        <v>5</v>
      </c>
      <c r="K2407" s="3">
        <f t="shared" si="76"/>
        <v>10</v>
      </c>
      <c r="L2407" s="3" t="str">
        <f t="shared" si="77"/>
        <v>EXCELENTE</v>
      </c>
      <c r="N2407">
        <v>97.5</v>
      </c>
      <c r="O2407">
        <v>30.075187969924809</v>
      </c>
    </row>
    <row r="2408" spans="1:15" x14ac:dyDescent="0.25">
      <c r="A2408" s="11">
        <v>46077</v>
      </c>
      <c r="B2408" t="s">
        <v>24</v>
      </c>
      <c r="C2408" t="s">
        <v>16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 t="shared" si="74"/>
        <v>17</v>
      </c>
      <c r="J2408" s="3">
        <f t="shared" si="75"/>
        <v>15</v>
      </c>
      <c r="K2408" s="3">
        <f t="shared" si="76"/>
        <v>2</v>
      </c>
      <c r="L2408" s="3" t="str">
        <f t="shared" si="77"/>
        <v>BOM</v>
      </c>
      <c r="N2408">
        <v>100</v>
      </c>
      <c r="O2408">
        <v>29.71311475409836</v>
      </c>
    </row>
    <row r="2409" spans="1:15" x14ac:dyDescent="0.25">
      <c r="A2409" s="11">
        <v>46077</v>
      </c>
      <c r="B2409" t="s">
        <v>25</v>
      </c>
      <c r="C2409" t="s">
        <v>16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 t="shared" si="74"/>
        <v>5</v>
      </c>
      <c r="J2409" s="3">
        <f t="shared" si="75"/>
        <v>15</v>
      </c>
      <c r="K2409" s="3">
        <f t="shared" si="76"/>
        <v>-10</v>
      </c>
      <c r="L2409" s="3" t="str">
        <f t="shared" si="77"/>
        <v>CRÍTICO</v>
      </c>
      <c r="N2409">
        <v>99.22</v>
      </c>
      <c r="O2409">
        <v>35.256410256410263</v>
      </c>
    </row>
    <row r="2410" spans="1:15" x14ac:dyDescent="0.25">
      <c r="A2410" s="11">
        <v>46077</v>
      </c>
      <c r="B2410" t="s">
        <v>26</v>
      </c>
      <c r="C2410" t="s">
        <v>23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f t="shared" si="74"/>
        <v>0</v>
      </c>
      <c r="J2410" s="3">
        <f t="shared" si="75"/>
        <v>5</v>
      </c>
      <c r="K2410" s="3">
        <f t="shared" si="76"/>
        <v>-5</v>
      </c>
      <c r="L2410" s="3" t="str">
        <f t="shared" si="77"/>
        <v>ATENÇÃO</v>
      </c>
      <c r="N2410">
        <v>0</v>
      </c>
      <c r="O2410">
        <v>0</v>
      </c>
    </row>
    <row r="2411" spans="1:15" x14ac:dyDescent="0.25">
      <c r="A2411" s="11">
        <v>46077</v>
      </c>
      <c r="B2411" t="s">
        <v>27</v>
      </c>
      <c r="C2411" t="s">
        <v>20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 t="shared" si="74"/>
        <v>23</v>
      </c>
      <c r="J2411" s="3">
        <f t="shared" si="75"/>
        <v>12</v>
      </c>
      <c r="K2411" s="3">
        <f t="shared" si="76"/>
        <v>11</v>
      </c>
      <c r="L2411" s="3" t="str">
        <f t="shared" si="77"/>
        <v>EXCELENTE</v>
      </c>
      <c r="N2411">
        <v>98.75</v>
      </c>
      <c r="O2411">
        <v>24.32432432432433</v>
      </c>
    </row>
    <row r="2412" spans="1:15" x14ac:dyDescent="0.25">
      <c r="A2412" s="11">
        <v>46077</v>
      </c>
      <c r="B2412" t="s">
        <v>28</v>
      </c>
      <c r="C2412" t="s">
        <v>18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f t="shared" si="74"/>
        <v>0</v>
      </c>
      <c r="J2412" s="3">
        <f t="shared" si="75"/>
        <v>19</v>
      </c>
      <c r="K2412" s="3">
        <f t="shared" si="76"/>
        <v>-19</v>
      </c>
      <c r="L2412" s="3" t="str">
        <f t="shared" si="77"/>
        <v>CRÍTICO</v>
      </c>
      <c r="N2412">
        <v>93.48</v>
      </c>
      <c r="O2412">
        <v>31.334622823984521</v>
      </c>
    </row>
    <row r="2413" spans="1:15" x14ac:dyDescent="0.25">
      <c r="A2413" s="11">
        <v>46077</v>
      </c>
      <c r="B2413" t="s">
        <v>29</v>
      </c>
      <c r="C2413" t="s">
        <v>16</v>
      </c>
      <c r="D2413">
        <v>0</v>
      </c>
      <c r="E2413">
        <v>0</v>
      </c>
      <c r="F2413">
        <v>0</v>
      </c>
      <c r="G2413">
        <v>0</v>
      </c>
      <c r="H2413">
        <v>0</v>
      </c>
      <c r="I2413" s="3">
        <f t="shared" si="74"/>
        <v>0</v>
      </c>
      <c r="J2413" s="3">
        <f t="shared" si="75"/>
        <v>15</v>
      </c>
      <c r="K2413" s="3">
        <f t="shared" si="76"/>
        <v>-15</v>
      </c>
      <c r="L2413" s="3" t="str">
        <f t="shared" si="77"/>
        <v>CRÍTICO</v>
      </c>
      <c r="N2413">
        <v>99.16</v>
      </c>
      <c r="O2413">
        <v>26.13908872901678</v>
      </c>
    </row>
    <row r="2414" spans="1:15" x14ac:dyDescent="0.25">
      <c r="A2414" s="11">
        <v>46077</v>
      </c>
      <c r="B2414" t="s">
        <v>30</v>
      </c>
      <c r="C2414" t="s">
        <v>20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 t="shared" si="74"/>
        <v>17</v>
      </c>
      <c r="J2414" s="3">
        <f t="shared" si="75"/>
        <v>12</v>
      </c>
      <c r="K2414" s="3">
        <f t="shared" si="76"/>
        <v>5</v>
      </c>
      <c r="L2414" s="3" t="str">
        <f t="shared" si="77"/>
        <v>BOM</v>
      </c>
      <c r="N2414">
        <v>100</v>
      </c>
      <c r="O2414">
        <v>31.089743589743591</v>
      </c>
    </row>
    <row r="2415" spans="1:15" x14ac:dyDescent="0.25">
      <c r="A2415" s="11">
        <v>46077</v>
      </c>
      <c r="B2415" t="s">
        <v>31</v>
      </c>
      <c r="C2415" t="s">
        <v>18</v>
      </c>
      <c r="D2415">
        <v>0</v>
      </c>
      <c r="E2415">
        <v>0</v>
      </c>
      <c r="F2415">
        <v>0</v>
      </c>
      <c r="G2415">
        <v>0</v>
      </c>
      <c r="H2415">
        <v>0</v>
      </c>
      <c r="I2415" s="3">
        <f t="shared" si="74"/>
        <v>0</v>
      </c>
      <c r="J2415" s="3">
        <f t="shared" si="75"/>
        <v>19</v>
      </c>
      <c r="K2415" s="3">
        <f t="shared" si="76"/>
        <v>-19</v>
      </c>
      <c r="L2415" s="3" t="str">
        <f t="shared" si="77"/>
        <v>CRÍTICO</v>
      </c>
      <c r="N2415">
        <v>98.11</v>
      </c>
      <c r="O2415">
        <v>33.033707865168537</v>
      </c>
    </row>
    <row r="2416" spans="1:15" x14ac:dyDescent="0.25">
      <c r="A2416" s="11">
        <v>46077</v>
      </c>
      <c r="B2416" t="s">
        <v>32</v>
      </c>
      <c r="C2416" t="s">
        <v>23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 t="shared" si="74"/>
        <v>8</v>
      </c>
      <c r="J2416" s="3">
        <f t="shared" si="75"/>
        <v>5</v>
      </c>
      <c r="K2416" s="3">
        <f t="shared" si="76"/>
        <v>3</v>
      </c>
      <c r="L2416" s="3" t="str">
        <f t="shared" si="77"/>
        <v>BOM</v>
      </c>
      <c r="N2416">
        <v>78.95</v>
      </c>
      <c r="O2416">
        <v>38.983050847457633</v>
      </c>
    </row>
    <row r="2417" spans="1:15" x14ac:dyDescent="0.25">
      <c r="A2417" s="11">
        <v>46077</v>
      </c>
      <c r="B2417" t="s">
        <v>33</v>
      </c>
      <c r="C2417" t="s">
        <v>16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 t="shared" si="74"/>
        <v>12</v>
      </c>
      <c r="J2417" s="3">
        <f t="shared" si="75"/>
        <v>15</v>
      </c>
      <c r="K2417" s="3">
        <f t="shared" si="76"/>
        <v>-3</v>
      </c>
      <c r="L2417" s="3" t="str">
        <f t="shared" si="77"/>
        <v>ATENÇÃO</v>
      </c>
      <c r="N2417">
        <v>98.45</v>
      </c>
      <c r="O2417">
        <v>29.281767955801101</v>
      </c>
    </row>
    <row r="2418" spans="1:15" x14ac:dyDescent="0.25">
      <c r="A2418" s="11">
        <v>46077</v>
      </c>
      <c r="B2418" t="s">
        <v>34</v>
      </c>
      <c r="C2418" t="s">
        <v>18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 t="shared" si="74"/>
        <v>26</v>
      </c>
      <c r="J2418" s="3">
        <f t="shared" si="75"/>
        <v>19</v>
      </c>
      <c r="K2418" s="3">
        <f t="shared" si="76"/>
        <v>7</v>
      </c>
      <c r="L2418" s="3" t="str">
        <f t="shared" si="77"/>
        <v>EXCELENTE</v>
      </c>
      <c r="N2418">
        <v>97.84</v>
      </c>
      <c r="O2418">
        <v>26.282051282051281</v>
      </c>
    </row>
    <row r="2419" spans="1:15" x14ac:dyDescent="0.25">
      <c r="A2419" s="11">
        <v>46077</v>
      </c>
      <c r="B2419" t="s">
        <v>35</v>
      </c>
      <c r="C2419" t="s">
        <v>16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 t="shared" si="74"/>
        <v>30</v>
      </c>
      <c r="J2419" s="3">
        <f t="shared" si="75"/>
        <v>15</v>
      </c>
      <c r="K2419" s="3">
        <f t="shared" si="76"/>
        <v>15</v>
      </c>
      <c r="L2419" s="3" t="str">
        <f t="shared" si="77"/>
        <v>EXCELENTE</v>
      </c>
      <c r="N2419">
        <v>98.5</v>
      </c>
      <c r="O2419">
        <v>23.97769516728625</v>
      </c>
    </row>
    <row r="2420" spans="1:15" x14ac:dyDescent="0.25">
      <c r="A2420" s="11">
        <v>46111</v>
      </c>
      <c r="B2420" t="s">
        <v>36</v>
      </c>
      <c r="C2420" t="s">
        <v>20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 t="shared" si="74"/>
        <v>25</v>
      </c>
      <c r="J2420" s="3">
        <f t="shared" si="75"/>
        <v>16</v>
      </c>
      <c r="K2420" s="3">
        <f t="shared" si="76"/>
        <v>9</v>
      </c>
      <c r="L2420" s="3" t="str">
        <f t="shared" si="77"/>
        <v>EXCELENTE</v>
      </c>
      <c r="N2420">
        <v>99.05</v>
      </c>
      <c r="O2420">
        <v>26.621923937360179</v>
      </c>
    </row>
    <row r="2421" spans="1:15" x14ac:dyDescent="0.25">
      <c r="A2421" s="11">
        <v>46077</v>
      </c>
      <c r="B2421" t="s">
        <v>37</v>
      </c>
      <c r="C2421" t="s">
        <v>16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 t="shared" si="74"/>
        <v>19</v>
      </c>
      <c r="J2421" s="3">
        <f t="shared" si="75"/>
        <v>15</v>
      </c>
      <c r="K2421" s="3">
        <f t="shared" si="76"/>
        <v>4</v>
      </c>
      <c r="L2421" s="3" t="str">
        <f t="shared" si="77"/>
        <v>BOM</v>
      </c>
      <c r="N2421">
        <v>98.53</v>
      </c>
      <c r="O2421">
        <v>31.578947368421051</v>
      </c>
    </row>
    <row r="2422" spans="1:15" x14ac:dyDescent="0.25">
      <c r="A2422" s="11">
        <v>46077</v>
      </c>
      <c r="B2422" t="s">
        <v>38</v>
      </c>
      <c r="C2422" t="s">
        <v>18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 t="shared" si="74"/>
        <v>35</v>
      </c>
      <c r="J2422" s="3">
        <f t="shared" si="75"/>
        <v>19</v>
      </c>
      <c r="K2422" s="3">
        <f t="shared" si="76"/>
        <v>16</v>
      </c>
      <c r="L2422" s="3" t="str">
        <f t="shared" si="77"/>
        <v>EXCELENTE</v>
      </c>
      <c r="N2422">
        <v>100</v>
      </c>
      <c r="O2422">
        <v>25.72214580467676</v>
      </c>
    </row>
    <row r="2423" spans="1:15" x14ac:dyDescent="0.25">
      <c r="A2423" s="11">
        <v>46077</v>
      </c>
      <c r="B2423" t="s">
        <v>39</v>
      </c>
      <c r="C2423" t="s">
        <v>18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 t="shared" si="74"/>
        <v>24</v>
      </c>
      <c r="J2423" s="3">
        <f t="shared" si="75"/>
        <v>19</v>
      </c>
      <c r="K2423" s="3">
        <f t="shared" si="76"/>
        <v>5</v>
      </c>
      <c r="L2423" s="3" t="str">
        <f t="shared" si="77"/>
        <v>BOM</v>
      </c>
      <c r="N2423">
        <v>94.64</v>
      </c>
      <c r="O2423">
        <v>27.52941176470588</v>
      </c>
    </row>
    <row r="2424" spans="1:15" x14ac:dyDescent="0.25">
      <c r="A2424" s="11">
        <v>46077</v>
      </c>
      <c r="B2424" t="s">
        <v>40</v>
      </c>
      <c r="C2424" t="s">
        <v>16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 t="shared" si="74"/>
        <v>8</v>
      </c>
      <c r="J2424" s="3">
        <f t="shared" si="75"/>
        <v>15</v>
      </c>
      <c r="K2424" s="3">
        <f t="shared" si="76"/>
        <v>-7</v>
      </c>
      <c r="L2424" s="3" t="str">
        <f t="shared" si="77"/>
        <v>CRÍTICO</v>
      </c>
      <c r="N2424">
        <v>99.07</v>
      </c>
      <c r="O2424">
        <v>26.376811594202898</v>
      </c>
    </row>
    <row r="2425" spans="1:15" x14ac:dyDescent="0.25">
      <c r="A2425" s="11">
        <v>46077</v>
      </c>
      <c r="B2425" t="s">
        <v>41</v>
      </c>
      <c r="C2425" t="s">
        <v>18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f t="shared" si="74"/>
        <v>0</v>
      </c>
      <c r="J2425" s="3">
        <f t="shared" si="75"/>
        <v>19</v>
      </c>
      <c r="K2425" s="3">
        <f t="shared" si="76"/>
        <v>-19</v>
      </c>
      <c r="L2425" s="3" t="str">
        <f t="shared" si="77"/>
        <v>CRÍTICO</v>
      </c>
      <c r="N2425">
        <v>100</v>
      </c>
      <c r="O2425">
        <v>0</v>
      </c>
    </row>
    <row r="2426" spans="1:15" x14ac:dyDescent="0.25">
      <c r="A2426" s="11">
        <v>46077</v>
      </c>
      <c r="B2426" t="s">
        <v>42</v>
      </c>
      <c r="C2426" t="s">
        <v>43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 t="shared" si="74"/>
        <v>15</v>
      </c>
      <c r="J2426" s="3">
        <f t="shared" si="75"/>
        <v>11</v>
      </c>
      <c r="K2426" s="3">
        <f t="shared" si="76"/>
        <v>4</v>
      </c>
      <c r="L2426" s="3" t="str">
        <f t="shared" si="77"/>
        <v>BOM</v>
      </c>
      <c r="N2426">
        <v>98.48</v>
      </c>
      <c r="O2426">
        <v>27.853881278538811</v>
      </c>
    </row>
    <row r="2427" spans="1:15" x14ac:dyDescent="0.25">
      <c r="A2427" s="11">
        <v>46077</v>
      </c>
      <c r="B2427" t="s">
        <v>44</v>
      </c>
      <c r="C2427" t="s">
        <v>18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 t="shared" si="74"/>
        <v>3</v>
      </c>
      <c r="J2427" s="3">
        <f t="shared" si="75"/>
        <v>19</v>
      </c>
      <c r="K2427" s="3">
        <f t="shared" si="76"/>
        <v>-16</v>
      </c>
      <c r="L2427" s="3" t="str">
        <f t="shared" si="77"/>
        <v>CRÍTICO</v>
      </c>
      <c r="N2427">
        <v>95.15</v>
      </c>
      <c r="O2427">
        <v>34.131736526946113</v>
      </c>
    </row>
    <row r="2428" spans="1:15" x14ac:dyDescent="0.25">
      <c r="A2428" s="11">
        <v>46077</v>
      </c>
      <c r="B2428" t="s">
        <v>45</v>
      </c>
      <c r="C2428" t="s">
        <v>43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f t="shared" si="74"/>
        <v>0</v>
      </c>
      <c r="J2428" s="3">
        <f t="shared" si="75"/>
        <v>11</v>
      </c>
      <c r="K2428" s="3">
        <f t="shared" si="76"/>
        <v>-11</v>
      </c>
      <c r="L2428" s="3" t="str">
        <f t="shared" si="77"/>
        <v>CRÍTICO</v>
      </c>
      <c r="N2428">
        <v>0</v>
      </c>
      <c r="O2428">
        <v>0</v>
      </c>
    </row>
    <row r="2429" spans="1:15" x14ac:dyDescent="0.25">
      <c r="A2429" s="11">
        <v>46077</v>
      </c>
      <c r="B2429" t="s">
        <v>46</v>
      </c>
      <c r="C2429" t="s">
        <v>18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 t="shared" si="74"/>
        <v>20</v>
      </c>
      <c r="J2429" s="3">
        <f t="shared" si="75"/>
        <v>19</v>
      </c>
      <c r="K2429" s="3">
        <f t="shared" si="76"/>
        <v>1</v>
      </c>
      <c r="L2429" s="3" t="str">
        <f t="shared" si="77"/>
        <v>BOM</v>
      </c>
      <c r="N2429">
        <v>99.26</v>
      </c>
      <c r="O2429">
        <v>30.84832904884319</v>
      </c>
    </row>
    <row r="2430" spans="1:15" x14ac:dyDescent="0.25">
      <c r="A2430" s="11">
        <v>46077</v>
      </c>
      <c r="B2430" t="s">
        <v>47</v>
      </c>
      <c r="C2430" t="s">
        <v>16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 t="shared" si="74"/>
        <v>27</v>
      </c>
      <c r="J2430" s="3">
        <f t="shared" si="75"/>
        <v>15</v>
      </c>
      <c r="K2430" s="3">
        <f t="shared" si="76"/>
        <v>12</v>
      </c>
      <c r="L2430" s="3" t="str">
        <f t="shared" si="77"/>
        <v>EXCELENTE</v>
      </c>
      <c r="N2430">
        <v>97.48</v>
      </c>
      <c r="O2430">
        <v>27.764705882352938</v>
      </c>
    </row>
    <row r="2431" spans="1:15" x14ac:dyDescent="0.25">
      <c r="A2431" s="11">
        <v>46077</v>
      </c>
      <c r="B2431" t="s">
        <v>48</v>
      </c>
      <c r="C2431" t="s">
        <v>16</v>
      </c>
      <c r="D2431">
        <v>0</v>
      </c>
      <c r="E2431">
        <v>0</v>
      </c>
      <c r="F2431">
        <v>0</v>
      </c>
      <c r="G2431">
        <v>0</v>
      </c>
      <c r="H2431">
        <v>0</v>
      </c>
      <c r="I2431" s="3">
        <f t="shared" si="74"/>
        <v>0</v>
      </c>
      <c r="J2431" s="3">
        <f t="shared" si="75"/>
        <v>15</v>
      </c>
      <c r="K2431" s="3">
        <f t="shared" si="76"/>
        <v>-15</v>
      </c>
      <c r="L2431" s="3" t="str">
        <f t="shared" si="77"/>
        <v>CRÍTICO</v>
      </c>
      <c r="N2431">
        <v>99.34</v>
      </c>
      <c r="O2431">
        <v>30.04291845493562</v>
      </c>
    </row>
    <row r="2432" spans="1:15" x14ac:dyDescent="0.25">
      <c r="A2432" s="11">
        <v>46077</v>
      </c>
      <c r="B2432" t="s">
        <v>49</v>
      </c>
      <c r="C2432" t="s">
        <v>18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 t="shared" si="74"/>
        <v>37</v>
      </c>
      <c r="J2432" s="3">
        <f t="shared" si="75"/>
        <v>19</v>
      </c>
      <c r="K2432" s="3">
        <f t="shared" si="76"/>
        <v>18</v>
      </c>
      <c r="L2432" s="3" t="str">
        <f t="shared" si="77"/>
        <v>EXCELENTE</v>
      </c>
      <c r="N2432">
        <v>96.3</v>
      </c>
      <c r="O2432">
        <v>24.29378531073446</v>
      </c>
    </row>
    <row r="2433" spans="1:15" x14ac:dyDescent="0.25">
      <c r="A2433" s="11">
        <v>46077</v>
      </c>
      <c r="B2433" t="s">
        <v>50</v>
      </c>
      <c r="C2433" t="s">
        <v>20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 t="shared" si="74"/>
        <v>15</v>
      </c>
      <c r="J2433" s="3">
        <f t="shared" si="75"/>
        <v>12</v>
      </c>
      <c r="K2433" s="3">
        <f t="shared" si="76"/>
        <v>3</v>
      </c>
      <c r="L2433" s="3" t="str">
        <f t="shared" si="77"/>
        <v>BOM</v>
      </c>
      <c r="N2433">
        <v>100</v>
      </c>
      <c r="O2433">
        <v>26.543209876543209</v>
      </c>
    </row>
    <row r="2434" spans="1:15" x14ac:dyDescent="0.25">
      <c r="A2434" s="11">
        <v>46077</v>
      </c>
      <c r="B2434" t="s">
        <v>51</v>
      </c>
      <c r="C2434" t="s">
        <v>23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 t="shared" si="74"/>
        <v>5</v>
      </c>
      <c r="J2434" s="3">
        <f t="shared" si="75"/>
        <v>5</v>
      </c>
      <c r="K2434" s="3">
        <f t="shared" si="76"/>
        <v>0</v>
      </c>
      <c r="L2434" s="3" t="str">
        <f t="shared" si="77"/>
        <v>BOM</v>
      </c>
      <c r="N2434">
        <v>100</v>
      </c>
      <c r="O2434">
        <v>35.483870967741943</v>
      </c>
    </row>
    <row r="2435" spans="1:15" x14ac:dyDescent="0.25">
      <c r="A2435" s="11">
        <v>46077</v>
      </c>
      <c r="B2435" t="s">
        <v>52</v>
      </c>
      <c r="C2435" t="s">
        <v>18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 t="shared" si="74"/>
        <v>22</v>
      </c>
      <c r="J2435" s="3">
        <f t="shared" si="75"/>
        <v>19</v>
      </c>
      <c r="K2435" s="3">
        <f t="shared" si="76"/>
        <v>3</v>
      </c>
      <c r="L2435" s="3" t="str">
        <f t="shared" si="77"/>
        <v>BOM</v>
      </c>
      <c r="N2435">
        <v>99.27</v>
      </c>
      <c r="O2435">
        <v>31.163708086785011</v>
      </c>
    </row>
    <row r="2436" spans="1:15" x14ac:dyDescent="0.25">
      <c r="A2436" s="11">
        <v>46077</v>
      </c>
      <c r="B2436" t="s">
        <v>53</v>
      </c>
      <c r="C2436" t="s">
        <v>18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 t="shared" si="74"/>
        <v>33</v>
      </c>
      <c r="J2436" s="3">
        <f t="shared" si="75"/>
        <v>19</v>
      </c>
      <c r="K2436" s="3">
        <f t="shared" si="76"/>
        <v>14</v>
      </c>
      <c r="L2436" s="3" t="str">
        <f t="shared" si="77"/>
        <v>EXCELENTE</v>
      </c>
      <c r="N2436">
        <v>94.16</v>
      </c>
      <c r="O2436">
        <v>27.038626609442058</v>
      </c>
    </row>
    <row r="2437" spans="1:15" x14ac:dyDescent="0.25">
      <c r="A2437" s="11">
        <v>46077</v>
      </c>
      <c r="B2437" t="s">
        <v>54</v>
      </c>
      <c r="C2437" t="s">
        <v>23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 t="shared" si="74"/>
        <v>14</v>
      </c>
      <c r="J2437" s="3">
        <f t="shared" si="75"/>
        <v>5</v>
      </c>
      <c r="K2437" s="3">
        <f t="shared" si="76"/>
        <v>9</v>
      </c>
      <c r="L2437" s="3" t="str">
        <f t="shared" si="77"/>
        <v>EXCELENTE</v>
      </c>
      <c r="N2437">
        <v>93.75</v>
      </c>
      <c r="O2437">
        <v>19.31818181818182</v>
      </c>
    </row>
    <row r="2438" spans="1:15" x14ac:dyDescent="0.25">
      <c r="A2438" s="11">
        <v>46077</v>
      </c>
      <c r="B2438" t="s">
        <v>55</v>
      </c>
      <c r="C2438" t="s">
        <v>43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f t="shared" si="74"/>
        <v>0</v>
      </c>
      <c r="J2438" s="3">
        <f t="shared" si="75"/>
        <v>11</v>
      </c>
      <c r="K2438" s="3">
        <f t="shared" si="76"/>
        <v>-11</v>
      </c>
      <c r="L2438" s="3" t="str">
        <f t="shared" si="77"/>
        <v>CRÍTICO</v>
      </c>
      <c r="N2438">
        <v>0</v>
      </c>
      <c r="O2438">
        <v>0</v>
      </c>
    </row>
    <row r="2439" spans="1:15" x14ac:dyDescent="0.25">
      <c r="A2439" s="11">
        <v>46077</v>
      </c>
      <c r="B2439" t="s">
        <v>56</v>
      </c>
      <c r="C2439" t="s">
        <v>16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f t="shared" si="74"/>
        <v>0</v>
      </c>
      <c r="J2439" s="3">
        <f t="shared" si="75"/>
        <v>15</v>
      </c>
      <c r="K2439" s="3">
        <f t="shared" si="76"/>
        <v>-15</v>
      </c>
      <c r="L2439" s="3" t="str">
        <f t="shared" si="77"/>
        <v>CRÍTICO</v>
      </c>
      <c r="N2439">
        <v>97.92</v>
      </c>
      <c r="O2439">
        <v>32.87671232876712</v>
      </c>
    </row>
    <row r="2440" spans="1:15" x14ac:dyDescent="0.25">
      <c r="A2440" s="11">
        <v>46077</v>
      </c>
      <c r="B2440" t="s">
        <v>57</v>
      </c>
      <c r="C2440" t="s">
        <v>43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f t="shared" si="74"/>
        <v>0</v>
      </c>
      <c r="J2440" s="3">
        <f t="shared" si="75"/>
        <v>11</v>
      </c>
      <c r="K2440" s="3">
        <f t="shared" si="76"/>
        <v>-11</v>
      </c>
      <c r="L2440" s="3" t="str">
        <f t="shared" si="77"/>
        <v>CRÍTICO</v>
      </c>
      <c r="N2440">
        <v>0</v>
      </c>
      <c r="O2440">
        <v>0</v>
      </c>
    </row>
    <row r="2441" spans="1:15" x14ac:dyDescent="0.25">
      <c r="A2441" s="11">
        <v>46077</v>
      </c>
      <c r="B2441" t="s">
        <v>58</v>
      </c>
      <c r="C2441" t="s">
        <v>43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f t="shared" si="74"/>
        <v>0</v>
      </c>
      <c r="J2441" s="3">
        <f t="shared" si="75"/>
        <v>11</v>
      </c>
      <c r="K2441" s="3">
        <f t="shared" si="76"/>
        <v>-11</v>
      </c>
      <c r="L2441" s="3" t="str">
        <f t="shared" si="77"/>
        <v>CRÍTICO</v>
      </c>
      <c r="N2441">
        <v>0</v>
      </c>
      <c r="O2441">
        <v>0</v>
      </c>
    </row>
    <row r="2442" spans="1:15" x14ac:dyDescent="0.25">
      <c r="A2442" s="11">
        <v>46077</v>
      </c>
      <c r="B2442" t="s">
        <v>59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f t="shared" si="74"/>
        <v>0</v>
      </c>
      <c r="J2442" s="3">
        <f t="shared" si="75"/>
        <v>5</v>
      </c>
      <c r="K2442" s="3">
        <f t="shared" si="76"/>
        <v>-5</v>
      </c>
      <c r="L2442" s="3" t="str">
        <f t="shared" si="77"/>
        <v>ATENÇÃO</v>
      </c>
      <c r="N2442">
        <v>0</v>
      </c>
      <c r="O2442">
        <v>0</v>
      </c>
    </row>
    <row r="2443" spans="1:15" x14ac:dyDescent="0.25">
      <c r="A2443" s="11">
        <v>46077</v>
      </c>
      <c r="B2443" t="s">
        <v>60</v>
      </c>
      <c r="C2443" t="s">
        <v>20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f t="shared" si="74"/>
        <v>0</v>
      </c>
      <c r="J2443" s="3">
        <f t="shared" si="75"/>
        <v>12</v>
      </c>
      <c r="K2443" s="3">
        <f t="shared" si="76"/>
        <v>-12</v>
      </c>
      <c r="L2443" s="3" t="str">
        <f t="shared" si="77"/>
        <v>CRÍTICO</v>
      </c>
      <c r="N2443">
        <v>98.51</v>
      </c>
      <c r="O2443">
        <v>29.710144927536231</v>
      </c>
    </row>
    <row r="2444" spans="1:15" x14ac:dyDescent="0.25">
      <c r="A2444" s="11">
        <v>46077</v>
      </c>
      <c r="B2444" t="s">
        <v>61</v>
      </c>
      <c r="C2444" t="s">
        <v>18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 t="shared" si="74"/>
        <v>32</v>
      </c>
      <c r="J2444" s="3">
        <f t="shared" si="75"/>
        <v>19</v>
      </c>
      <c r="K2444" s="3">
        <f t="shared" si="76"/>
        <v>13</v>
      </c>
      <c r="L2444" s="3" t="str">
        <f t="shared" si="77"/>
        <v>EXCELENTE</v>
      </c>
      <c r="N2444">
        <v>98.81</v>
      </c>
      <c r="O2444">
        <v>30.712979890310791</v>
      </c>
    </row>
    <row r="2445" spans="1:15" x14ac:dyDescent="0.25">
      <c r="A2445" s="11">
        <v>46077</v>
      </c>
      <c r="B2445" t="s">
        <v>62</v>
      </c>
      <c r="C2445" t="s">
        <v>20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 t="shared" si="74"/>
        <v>7</v>
      </c>
      <c r="J2445" s="3">
        <f t="shared" si="75"/>
        <v>12</v>
      </c>
      <c r="K2445" s="3">
        <f t="shared" si="76"/>
        <v>-5</v>
      </c>
      <c r="L2445" s="3" t="str">
        <f t="shared" si="77"/>
        <v>ATENÇÃO</v>
      </c>
      <c r="N2445">
        <v>98.48</v>
      </c>
      <c r="O2445">
        <v>29.35323383084577</v>
      </c>
    </row>
    <row r="2446" spans="1:15" x14ac:dyDescent="0.25">
      <c r="A2446" s="11">
        <v>46077</v>
      </c>
      <c r="B2446" t="s">
        <v>63</v>
      </c>
      <c r="C2446" t="s">
        <v>18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 t="shared" si="74"/>
        <v>20</v>
      </c>
      <c r="J2446" s="3">
        <f t="shared" si="75"/>
        <v>19</v>
      </c>
      <c r="K2446" s="3">
        <f t="shared" si="76"/>
        <v>1</v>
      </c>
      <c r="L2446" s="3" t="str">
        <f t="shared" si="77"/>
        <v>BOM</v>
      </c>
      <c r="N2446">
        <v>98.56</v>
      </c>
      <c r="O2446">
        <v>29.373650107991359</v>
      </c>
    </row>
    <row r="2447" spans="1:15" x14ac:dyDescent="0.25">
      <c r="A2447" s="11">
        <v>46078</v>
      </c>
      <c r="B2447" t="s">
        <v>15</v>
      </c>
      <c r="C2447" t="s">
        <v>16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 t="shared" si="74"/>
        <v>6</v>
      </c>
      <c r="J2447" s="3">
        <f t="shared" si="75"/>
        <v>15</v>
      </c>
      <c r="K2447" s="3">
        <f t="shared" si="76"/>
        <v>-9</v>
      </c>
      <c r="L2447" s="3" t="str">
        <f t="shared" si="77"/>
        <v>CRÍTICO</v>
      </c>
      <c r="N2447">
        <v>98.32</v>
      </c>
      <c r="O2447">
        <v>30.303030303030301</v>
      </c>
    </row>
    <row r="2448" spans="1:15" x14ac:dyDescent="0.25">
      <c r="A2448" s="11">
        <v>46078</v>
      </c>
      <c r="B2448" t="s">
        <v>17</v>
      </c>
      <c r="C2448" t="s">
        <v>18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f t="shared" si="74"/>
        <v>0</v>
      </c>
      <c r="J2448" s="3">
        <f t="shared" si="75"/>
        <v>18</v>
      </c>
      <c r="K2448" s="3">
        <f t="shared" si="76"/>
        <v>-18</v>
      </c>
      <c r="L2448" s="3" t="str">
        <f t="shared" si="77"/>
        <v>CRÍTICO</v>
      </c>
      <c r="N2448">
        <v>98.68</v>
      </c>
      <c r="O2448">
        <v>26.219512195121951</v>
      </c>
    </row>
    <row r="2449" spans="1:15" x14ac:dyDescent="0.25">
      <c r="A2449" s="11">
        <v>46078</v>
      </c>
      <c r="B2449" t="s">
        <v>19</v>
      </c>
      <c r="C2449" t="s">
        <v>20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 t="shared" si="74"/>
        <v>27</v>
      </c>
      <c r="J2449" s="3">
        <f t="shared" si="75"/>
        <v>12</v>
      </c>
      <c r="K2449" s="3">
        <f t="shared" si="76"/>
        <v>15</v>
      </c>
      <c r="L2449" s="3" t="str">
        <f t="shared" si="77"/>
        <v>EXCELENTE</v>
      </c>
      <c r="N2449">
        <v>100</v>
      </c>
      <c r="O2449">
        <v>31.74224343675418</v>
      </c>
    </row>
    <row r="2450" spans="1:15" x14ac:dyDescent="0.25">
      <c r="A2450" s="11">
        <v>46078</v>
      </c>
      <c r="B2450" t="s">
        <v>21</v>
      </c>
      <c r="C2450" t="s">
        <v>18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 t="shared" si="74"/>
        <v>17</v>
      </c>
      <c r="J2450" s="3">
        <f t="shared" si="75"/>
        <v>18</v>
      </c>
      <c r="K2450" s="3">
        <f t="shared" si="76"/>
        <v>-1</v>
      </c>
      <c r="L2450" s="3" t="str">
        <f t="shared" si="77"/>
        <v>ATENÇÃO</v>
      </c>
      <c r="N2450">
        <v>98.25</v>
      </c>
      <c r="O2450">
        <v>25.83518930957684</v>
      </c>
    </row>
    <row r="2451" spans="1:15" x14ac:dyDescent="0.25">
      <c r="A2451" s="11">
        <v>46078</v>
      </c>
      <c r="B2451" t="s">
        <v>22</v>
      </c>
      <c r="C2451" t="s">
        <v>23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 t="shared" si="74"/>
        <v>12</v>
      </c>
      <c r="J2451" s="3">
        <f t="shared" si="75"/>
        <v>5</v>
      </c>
      <c r="K2451" s="3">
        <f t="shared" si="76"/>
        <v>7</v>
      </c>
      <c r="L2451" s="3" t="str">
        <f t="shared" si="77"/>
        <v>EXCELENTE</v>
      </c>
      <c r="N2451">
        <v>97.5</v>
      </c>
      <c r="O2451">
        <v>30.075187969924809</v>
      </c>
    </row>
    <row r="2452" spans="1:15" x14ac:dyDescent="0.25">
      <c r="A2452" s="11">
        <v>46078</v>
      </c>
      <c r="B2452" t="s">
        <v>24</v>
      </c>
      <c r="C2452" t="s">
        <v>16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 t="shared" si="74"/>
        <v>29</v>
      </c>
      <c r="J2452" s="3">
        <f t="shared" si="75"/>
        <v>15</v>
      </c>
      <c r="K2452" s="3">
        <f t="shared" si="76"/>
        <v>14</v>
      </c>
      <c r="L2452" s="3" t="str">
        <f t="shared" si="77"/>
        <v>EXCELENTE</v>
      </c>
      <c r="N2452">
        <v>100</v>
      </c>
      <c r="O2452">
        <v>29.71311475409836</v>
      </c>
    </row>
    <row r="2453" spans="1:15" x14ac:dyDescent="0.25">
      <c r="A2453" s="11">
        <v>46078</v>
      </c>
      <c r="B2453" t="s">
        <v>25</v>
      </c>
      <c r="C2453" t="s">
        <v>16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 t="shared" si="74"/>
        <v>10</v>
      </c>
      <c r="J2453" s="3">
        <f t="shared" si="75"/>
        <v>15</v>
      </c>
      <c r="K2453" s="3">
        <f t="shared" si="76"/>
        <v>-5</v>
      </c>
      <c r="L2453" s="3" t="str">
        <f t="shared" si="77"/>
        <v>ATENÇÃO</v>
      </c>
      <c r="N2453">
        <v>99.22</v>
      </c>
      <c r="O2453">
        <v>35.256410256410263</v>
      </c>
    </row>
    <row r="2454" spans="1:15" x14ac:dyDescent="0.25">
      <c r="A2454" s="11">
        <v>46078</v>
      </c>
      <c r="B2454" t="s">
        <v>26</v>
      </c>
      <c r="C2454" t="s">
        <v>23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f t="shared" si="74"/>
        <v>0</v>
      </c>
      <c r="J2454" s="3">
        <f t="shared" si="75"/>
        <v>5</v>
      </c>
      <c r="K2454" s="3">
        <f t="shared" si="76"/>
        <v>-5</v>
      </c>
      <c r="L2454" s="3" t="str">
        <f t="shared" si="77"/>
        <v>ATENÇÃO</v>
      </c>
      <c r="N2454">
        <v>0</v>
      </c>
      <c r="O2454">
        <v>0</v>
      </c>
    </row>
    <row r="2455" spans="1:15" x14ac:dyDescent="0.25">
      <c r="A2455" s="11">
        <v>46078</v>
      </c>
      <c r="B2455" t="s">
        <v>27</v>
      </c>
      <c r="C2455" t="s">
        <v>20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 t="shared" si="74"/>
        <v>14</v>
      </c>
      <c r="J2455" s="3">
        <f t="shared" si="75"/>
        <v>12</v>
      </c>
      <c r="K2455" s="3">
        <f t="shared" si="76"/>
        <v>2</v>
      </c>
      <c r="L2455" s="3" t="str">
        <f t="shared" si="77"/>
        <v>BOM</v>
      </c>
      <c r="N2455">
        <v>98.75</v>
      </c>
      <c r="O2455">
        <v>24.32432432432433</v>
      </c>
    </row>
    <row r="2456" spans="1:15" x14ac:dyDescent="0.25">
      <c r="A2456" s="11">
        <v>46078</v>
      </c>
      <c r="B2456" t="s">
        <v>28</v>
      </c>
      <c r="C2456" t="s">
        <v>18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 t="shared" si="74"/>
        <v>21</v>
      </c>
      <c r="J2456" s="3">
        <f t="shared" si="75"/>
        <v>18</v>
      </c>
      <c r="K2456" s="3">
        <f t="shared" si="76"/>
        <v>3</v>
      </c>
      <c r="L2456" s="3" t="str">
        <f t="shared" si="77"/>
        <v>BOM</v>
      </c>
      <c r="N2456">
        <v>93.48</v>
      </c>
      <c r="O2456">
        <v>31.334622823984521</v>
      </c>
    </row>
    <row r="2457" spans="1:15" x14ac:dyDescent="0.25">
      <c r="A2457" s="11">
        <v>46078</v>
      </c>
      <c r="B2457" t="s">
        <v>29</v>
      </c>
      <c r="C2457" t="s">
        <v>16</v>
      </c>
      <c r="D2457">
        <v>0</v>
      </c>
      <c r="E2457">
        <v>0</v>
      </c>
      <c r="F2457">
        <v>0</v>
      </c>
      <c r="G2457">
        <v>0</v>
      </c>
      <c r="H2457">
        <v>0</v>
      </c>
      <c r="I2457" s="3">
        <f t="shared" si="74"/>
        <v>0</v>
      </c>
      <c r="J2457" s="3">
        <f t="shared" si="75"/>
        <v>15</v>
      </c>
      <c r="K2457" s="3">
        <f t="shared" si="76"/>
        <v>-15</v>
      </c>
      <c r="L2457" s="3" t="str">
        <f t="shared" si="77"/>
        <v>CRÍTICO</v>
      </c>
      <c r="N2457">
        <v>99.16</v>
      </c>
      <c r="O2457">
        <v>26.13908872901678</v>
      </c>
    </row>
    <row r="2458" spans="1:15" x14ac:dyDescent="0.25">
      <c r="A2458" s="11">
        <v>46078</v>
      </c>
      <c r="B2458" t="s">
        <v>30</v>
      </c>
      <c r="C2458" t="s">
        <v>20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 t="shared" si="74"/>
        <v>14</v>
      </c>
      <c r="J2458" s="3">
        <f t="shared" si="75"/>
        <v>12</v>
      </c>
      <c r="K2458" s="3">
        <f t="shared" si="76"/>
        <v>2</v>
      </c>
      <c r="L2458" s="3" t="str">
        <f t="shared" si="77"/>
        <v>BOM</v>
      </c>
      <c r="N2458">
        <v>100</v>
      </c>
      <c r="O2458">
        <v>31.089743589743591</v>
      </c>
    </row>
    <row r="2459" spans="1:15" x14ac:dyDescent="0.25">
      <c r="A2459" s="11">
        <v>46078</v>
      </c>
      <c r="B2459" t="s">
        <v>31</v>
      </c>
      <c r="C2459" t="s">
        <v>18</v>
      </c>
      <c r="D2459">
        <v>0</v>
      </c>
      <c r="E2459">
        <v>0</v>
      </c>
      <c r="F2459">
        <v>0</v>
      </c>
      <c r="G2459">
        <v>0</v>
      </c>
      <c r="H2459">
        <v>0</v>
      </c>
      <c r="I2459" s="3">
        <f t="shared" si="74"/>
        <v>0</v>
      </c>
      <c r="J2459" s="3">
        <f t="shared" si="75"/>
        <v>18</v>
      </c>
      <c r="K2459" s="3">
        <f t="shared" si="76"/>
        <v>-18</v>
      </c>
      <c r="L2459" s="3" t="str">
        <f t="shared" si="77"/>
        <v>CRÍTICO</v>
      </c>
      <c r="N2459">
        <v>98.11</v>
      </c>
      <c r="O2459">
        <v>33.033707865168537</v>
      </c>
    </row>
    <row r="2460" spans="1:15" x14ac:dyDescent="0.25">
      <c r="A2460" s="11">
        <v>46078</v>
      </c>
      <c r="B2460" t="s">
        <v>32</v>
      </c>
      <c r="C2460" t="s">
        <v>23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 t="shared" si="74"/>
        <v>10</v>
      </c>
      <c r="J2460" s="3">
        <f t="shared" si="75"/>
        <v>5</v>
      </c>
      <c r="K2460" s="3">
        <f t="shared" si="76"/>
        <v>5</v>
      </c>
      <c r="L2460" s="3" t="str">
        <f t="shared" si="77"/>
        <v>BOM</v>
      </c>
      <c r="N2460">
        <v>78.95</v>
      </c>
      <c r="O2460">
        <v>38.983050847457633</v>
      </c>
    </row>
    <row r="2461" spans="1:15" x14ac:dyDescent="0.25">
      <c r="A2461" s="11">
        <v>46078</v>
      </c>
      <c r="B2461" t="s">
        <v>33</v>
      </c>
      <c r="C2461" t="s">
        <v>16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 t="shared" si="74"/>
        <v>17</v>
      </c>
      <c r="J2461" s="3">
        <f t="shared" si="75"/>
        <v>15</v>
      </c>
      <c r="K2461" s="3">
        <f t="shared" si="76"/>
        <v>2</v>
      </c>
      <c r="L2461" s="3" t="str">
        <f t="shared" si="77"/>
        <v>BOM</v>
      </c>
      <c r="N2461">
        <v>98.45</v>
      </c>
      <c r="O2461">
        <v>29.281767955801101</v>
      </c>
    </row>
    <row r="2462" spans="1:15" x14ac:dyDescent="0.25">
      <c r="A2462" s="11">
        <v>46078</v>
      </c>
      <c r="B2462" t="s">
        <v>34</v>
      </c>
      <c r="C2462" t="s">
        <v>18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 t="shared" si="74"/>
        <v>18</v>
      </c>
      <c r="J2462" s="3">
        <f t="shared" si="75"/>
        <v>18</v>
      </c>
      <c r="K2462" s="3">
        <f t="shared" si="76"/>
        <v>0</v>
      </c>
      <c r="L2462" s="3" t="str">
        <f t="shared" si="77"/>
        <v>BOM</v>
      </c>
      <c r="N2462">
        <v>97.84</v>
      </c>
      <c r="O2462">
        <v>26.282051282051281</v>
      </c>
    </row>
    <row r="2463" spans="1:15" x14ac:dyDescent="0.25">
      <c r="A2463" s="11">
        <v>46078</v>
      </c>
      <c r="B2463" t="s">
        <v>35</v>
      </c>
      <c r="C2463" t="s">
        <v>16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 t="shared" si="74"/>
        <v>21</v>
      </c>
      <c r="J2463" s="3">
        <f t="shared" si="75"/>
        <v>15</v>
      </c>
      <c r="K2463" s="3">
        <f t="shared" si="76"/>
        <v>6</v>
      </c>
      <c r="L2463" s="3" t="str">
        <f t="shared" si="77"/>
        <v>EXCELENTE</v>
      </c>
      <c r="N2463">
        <v>98.5</v>
      </c>
      <c r="O2463">
        <v>23.97769516728625</v>
      </c>
    </row>
    <row r="2464" spans="1:15" x14ac:dyDescent="0.25">
      <c r="A2464" s="11">
        <v>46112</v>
      </c>
      <c r="B2464" t="s">
        <v>36</v>
      </c>
      <c r="C2464" t="s">
        <v>20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 t="shared" si="74"/>
        <v>27</v>
      </c>
      <c r="J2464" s="3">
        <f t="shared" si="75"/>
        <v>18</v>
      </c>
      <c r="K2464" s="3">
        <f t="shared" si="76"/>
        <v>9</v>
      </c>
      <c r="L2464" s="3" t="str">
        <f t="shared" si="77"/>
        <v>EXCELENTE</v>
      </c>
      <c r="N2464">
        <v>99.05</v>
      </c>
      <c r="O2464">
        <v>26.621923937360179</v>
      </c>
    </row>
    <row r="2465" spans="1:15" x14ac:dyDescent="0.25">
      <c r="A2465" s="11">
        <v>46078</v>
      </c>
      <c r="B2465" t="s">
        <v>37</v>
      </c>
      <c r="C2465" t="s">
        <v>16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 t="shared" si="74"/>
        <v>19</v>
      </c>
      <c r="J2465" s="3">
        <f t="shared" si="75"/>
        <v>15</v>
      </c>
      <c r="K2465" s="3">
        <f t="shared" si="76"/>
        <v>4</v>
      </c>
      <c r="L2465" s="3" t="str">
        <f t="shared" si="77"/>
        <v>BOM</v>
      </c>
      <c r="N2465">
        <v>98.53</v>
      </c>
      <c r="O2465">
        <v>31.578947368421051</v>
      </c>
    </row>
    <row r="2466" spans="1:15" x14ac:dyDescent="0.25">
      <c r="A2466" s="11">
        <v>46078</v>
      </c>
      <c r="B2466" t="s">
        <v>38</v>
      </c>
      <c r="C2466" t="s">
        <v>18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 t="shared" si="74"/>
        <v>35</v>
      </c>
      <c r="J2466" s="3">
        <f t="shared" si="75"/>
        <v>18</v>
      </c>
      <c r="K2466" s="3">
        <f t="shared" si="76"/>
        <v>17</v>
      </c>
      <c r="L2466" s="3" t="str">
        <f t="shared" si="77"/>
        <v>EXCELENTE</v>
      </c>
      <c r="N2466">
        <v>100</v>
      </c>
      <c r="O2466">
        <v>25.72214580467676</v>
      </c>
    </row>
    <row r="2467" spans="1:15" x14ac:dyDescent="0.25">
      <c r="A2467" s="11">
        <v>46078</v>
      </c>
      <c r="B2467" t="s">
        <v>39</v>
      </c>
      <c r="C2467" t="s">
        <v>18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 t="shared" ref="I2467:I2507" si="78">E2467+G2467+H2467</f>
        <v>17</v>
      </c>
      <c r="J2467" s="3">
        <f t="shared" ref="J2467:J2507" si="79"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18</v>
      </c>
      <c r="K2467" s="3">
        <f t="shared" ref="K2467:K2507" si="80">I2467-J2467</f>
        <v>-1</v>
      </c>
      <c r="L2467" s="3" t="str">
        <f t="shared" ref="L2467:L2507" si="81">IF(K2467&lt;-5,"CRÍTICO",IF(K2467&lt;0,"ATENÇÃO",IF(K2467&lt;=5,"BOM","EXCELENTE")))</f>
        <v>ATENÇÃO</v>
      </c>
      <c r="N2467">
        <v>94.64</v>
      </c>
      <c r="O2467">
        <v>27.52941176470588</v>
      </c>
    </row>
    <row r="2468" spans="1:15" x14ac:dyDescent="0.25">
      <c r="A2468" s="11">
        <v>46078</v>
      </c>
      <c r="B2468" t="s">
        <v>40</v>
      </c>
      <c r="C2468" t="s">
        <v>16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f t="shared" si="78"/>
        <v>0</v>
      </c>
      <c r="J2468" s="3">
        <f t="shared" si="79"/>
        <v>15</v>
      </c>
      <c r="K2468" s="3">
        <f t="shared" si="80"/>
        <v>-15</v>
      </c>
      <c r="L2468" s="3" t="str">
        <f t="shared" si="81"/>
        <v>CRÍTICO</v>
      </c>
      <c r="N2468">
        <v>99.07</v>
      </c>
      <c r="O2468">
        <v>26.376811594202898</v>
      </c>
    </row>
    <row r="2469" spans="1:15" x14ac:dyDescent="0.25">
      <c r="A2469" s="11">
        <v>46078</v>
      </c>
      <c r="B2469" t="s">
        <v>41</v>
      </c>
      <c r="C2469" t="s">
        <v>18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f t="shared" si="78"/>
        <v>0</v>
      </c>
      <c r="J2469" s="3">
        <f t="shared" si="79"/>
        <v>18</v>
      </c>
      <c r="K2469" s="3">
        <f t="shared" si="80"/>
        <v>-18</v>
      </c>
      <c r="L2469" s="3" t="str">
        <f t="shared" si="81"/>
        <v>CRÍTICO</v>
      </c>
      <c r="N2469">
        <v>100</v>
      </c>
      <c r="O2469">
        <v>0</v>
      </c>
    </row>
    <row r="2470" spans="1:15" x14ac:dyDescent="0.25">
      <c r="A2470" s="11">
        <v>46078</v>
      </c>
      <c r="B2470" t="s">
        <v>42</v>
      </c>
      <c r="C2470" t="s">
        <v>43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 t="shared" si="78"/>
        <v>10</v>
      </c>
      <c r="J2470" s="3">
        <f t="shared" si="79"/>
        <v>11</v>
      </c>
      <c r="K2470" s="3">
        <f t="shared" si="80"/>
        <v>-1</v>
      </c>
      <c r="L2470" s="3" t="str">
        <f t="shared" si="81"/>
        <v>ATENÇÃO</v>
      </c>
      <c r="N2470">
        <v>98.48</v>
      </c>
      <c r="O2470">
        <v>27.853881278538811</v>
      </c>
    </row>
    <row r="2471" spans="1:15" x14ac:dyDescent="0.25">
      <c r="A2471" s="11">
        <v>46078</v>
      </c>
      <c r="B2471" t="s">
        <v>44</v>
      </c>
      <c r="C2471" t="s">
        <v>18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f t="shared" si="78"/>
        <v>0</v>
      </c>
      <c r="J2471" s="3">
        <f t="shared" si="79"/>
        <v>18</v>
      </c>
      <c r="K2471" s="3">
        <f t="shared" si="80"/>
        <v>-18</v>
      </c>
      <c r="L2471" s="3" t="str">
        <f t="shared" si="81"/>
        <v>CRÍTICO</v>
      </c>
      <c r="N2471">
        <v>95.15</v>
      </c>
      <c r="O2471">
        <v>34.131736526946113</v>
      </c>
    </row>
    <row r="2472" spans="1:15" x14ac:dyDescent="0.25">
      <c r="A2472" s="11">
        <v>46078</v>
      </c>
      <c r="B2472" t="s">
        <v>45</v>
      </c>
      <c r="C2472" t="s">
        <v>43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f t="shared" si="78"/>
        <v>0</v>
      </c>
      <c r="J2472" s="3">
        <f t="shared" si="79"/>
        <v>11</v>
      </c>
      <c r="K2472" s="3">
        <f t="shared" si="80"/>
        <v>-11</v>
      </c>
      <c r="L2472" s="3" t="str">
        <f t="shared" si="81"/>
        <v>CRÍTICO</v>
      </c>
      <c r="N2472">
        <v>0</v>
      </c>
      <c r="O2472">
        <v>0</v>
      </c>
    </row>
    <row r="2473" spans="1:15" x14ac:dyDescent="0.25">
      <c r="A2473" s="11">
        <v>46078</v>
      </c>
      <c r="B2473" t="s">
        <v>46</v>
      </c>
      <c r="C2473" t="s">
        <v>18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 t="shared" si="78"/>
        <v>17</v>
      </c>
      <c r="J2473" s="3">
        <f t="shared" si="79"/>
        <v>18</v>
      </c>
      <c r="K2473" s="3">
        <f t="shared" si="80"/>
        <v>-1</v>
      </c>
      <c r="L2473" s="3" t="str">
        <f t="shared" si="81"/>
        <v>ATENÇÃO</v>
      </c>
      <c r="N2473">
        <v>99.26</v>
      </c>
      <c r="O2473">
        <v>30.84832904884319</v>
      </c>
    </row>
    <row r="2474" spans="1:15" x14ac:dyDescent="0.25">
      <c r="A2474" s="11">
        <v>46078</v>
      </c>
      <c r="B2474" t="s">
        <v>47</v>
      </c>
      <c r="C2474" t="s">
        <v>16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 t="shared" si="78"/>
        <v>27</v>
      </c>
      <c r="J2474" s="3">
        <f t="shared" si="79"/>
        <v>15</v>
      </c>
      <c r="K2474" s="3">
        <f t="shared" si="80"/>
        <v>12</v>
      </c>
      <c r="L2474" s="3" t="str">
        <f t="shared" si="81"/>
        <v>EXCELENTE</v>
      </c>
      <c r="N2474">
        <v>97.48</v>
      </c>
      <c r="O2474">
        <v>27.764705882352938</v>
      </c>
    </row>
    <row r="2475" spans="1:15" x14ac:dyDescent="0.25">
      <c r="A2475" s="11">
        <v>46078</v>
      </c>
      <c r="B2475" t="s">
        <v>48</v>
      </c>
      <c r="C2475" t="s">
        <v>16</v>
      </c>
      <c r="D2475">
        <v>0</v>
      </c>
      <c r="E2475">
        <v>0</v>
      </c>
      <c r="F2475">
        <v>0</v>
      </c>
      <c r="G2475">
        <v>0</v>
      </c>
      <c r="H2475">
        <v>0</v>
      </c>
      <c r="I2475" s="3">
        <f t="shared" si="78"/>
        <v>0</v>
      </c>
      <c r="J2475" s="3">
        <f t="shared" si="79"/>
        <v>15</v>
      </c>
      <c r="K2475" s="3">
        <f t="shared" si="80"/>
        <v>-15</v>
      </c>
      <c r="L2475" s="3" t="str">
        <f t="shared" si="81"/>
        <v>CRÍTICO</v>
      </c>
      <c r="N2475">
        <v>99.34</v>
      </c>
      <c r="O2475">
        <v>30.04291845493562</v>
      </c>
    </row>
    <row r="2476" spans="1:15" x14ac:dyDescent="0.25">
      <c r="A2476" s="11">
        <v>46078</v>
      </c>
      <c r="B2476" t="s">
        <v>49</v>
      </c>
      <c r="C2476" t="s">
        <v>18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 t="shared" si="78"/>
        <v>44</v>
      </c>
      <c r="J2476" s="3">
        <f t="shared" si="79"/>
        <v>18</v>
      </c>
      <c r="K2476" s="3">
        <f t="shared" si="80"/>
        <v>26</v>
      </c>
      <c r="L2476" s="3" t="str">
        <f t="shared" si="81"/>
        <v>EXCELENTE</v>
      </c>
      <c r="N2476">
        <v>96.3</v>
      </c>
      <c r="O2476">
        <v>24.29378531073446</v>
      </c>
    </row>
    <row r="2477" spans="1:15" x14ac:dyDescent="0.25">
      <c r="A2477" s="11">
        <v>46078</v>
      </c>
      <c r="B2477" t="s">
        <v>50</v>
      </c>
      <c r="C2477" t="s">
        <v>20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 t="shared" si="78"/>
        <v>15</v>
      </c>
      <c r="J2477" s="3">
        <f t="shared" si="79"/>
        <v>12</v>
      </c>
      <c r="K2477" s="3">
        <f t="shared" si="80"/>
        <v>3</v>
      </c>
      <c r="L2477" s="3" t="str">
        <f t="shared" si="81"/>
        <v>BOM</v>
      </c>
      <c r="N2477">
        <v>100</v>
      </c>
      <c r="O2477">
        <v>26.543209876543209</v>
      </c>
    </row>
    <row r="2478" spans="1:15" x14ac:dyDescent="0.25">
      <c r="A2478" s="11">
        <v>46078</v>
      </c>
      <c r="B2478" t="s">
        <v>51</v>
      </c>
      <c r="C2478" t="s">
        <v>23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 t="shared" si="78"/>
        <v>7</v>
      </c>
      <c r="J2478" s="3">
        <f t="shared" si="79"/>
        <v>5</v>
      </c>
      <c r="K2478" s="3">
        <f t="shared" si="80"/>
        <v>2</v>
      </c>
      <c r="L2478" s="3" t="str">
        <f t="shared" si="81"/>
        <v>BOM</v>
      </c>
      <c r="N2478">
        <v>100</v>
      </c>
      <c r="O2478">
        <v>35.483870967741943</v>
      </c>
    </row>
    <row r="2479" spans="1:15" x14ac:dyDescent="0.25">
      <c r="A2479" s="11">
        <v>46078</v>
      </c>
      <c r="B2479" t="s">
        <v>52</v>
      </c>
      <c r="C2479" t="s">
        <v>18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 t="shared" si="78"/>
        <v>23</v>
      </c>
      <c r="J2479" s="3">
        <f t="shared" si="79"/>
        <v>18</v>
      </c>
      <c r="K2479" s="3">
        <f t="shared" si="80"/>
        <v>5</v>
      </c>
      <c r="L2479" s="3" t="str">
        <f t="shared" si="81"/>
        <v>BOM</v>
      </c>
      <c r="N2479">
        <v>99.27</v>
      </c>
      <c r="O2479">
        <v>31.163708086785011</v>
      </c>
    </row>
    <row r="2480" spans="1:15" x14ac:dyDescent="0.25">
      <c r="A2480" s="11">
        <v>46078</v>
      </c>
      <c r="B2480" t="s">
        <v>53</v>
      </c>
      <c r="C2480" t="s">
        <v>18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 t="shared" si="78"/>
        <v>18</v>
      </c>
      <c r="J2480" s="3">
        <f t="shared" si="79"/>
        <v>18</v>
      </c>
      <c r="K2480" s="3">
        <f t="shared" si="80"/>
        <v>0</v>
      </c>
      <c r="L2480" s="3" t="str">
        <f t="shared" si="81"/>
        <v>BOM</v>
      </c>
      <c r="N2480">
        <v>94.16</v>
      </c>
      <c r="O2480">
        <v>27.038626609442058</v>
      </c>
    </row>
    <row r="2481" spans="1:15" x14ac:dyDescent="0.25">
      <c r="A2481" s="11">
        <v>46078</v>
      </c>
      <c r="B2481" t="s">
        <v>54</v>
      </c>
      <c r="C2481" t="s">
        <v>23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 t="shared" si="78"/>
        <v>13</v>
      </c>
      <c r="J2481" s="3">
        <f t="shared" si="79"/>
        <v>5</v>
      </c>
      <c r="K2481" s="3">
        <f t="shared" si="80"/>
        <v>8</v>
      </c>
      <c r="L2481" s="3" t="str">
        <f t="shared" si="81"/>
        <v>EXCELENTE</v>
      </c>
      <c r="N2481">
        <v>93.75</v>
      </c>
      <c r="O2481">
        <v>19.31818181818182</v>
      </c>
    </row>
    <row r="2482" spans="1:15" x14ac:dyDescent="0.25">
      <c r="A2482" s="11">
        <v>46078</v>
      </c>
      <c r="B2482" t="s">
        <v>55</v>
      </c>
      <c r="C2482" t="s">
        <v>43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f t="shared" si="78"/>
        <v>0</v>
      </c>
      <c r="J2482" s="3">
        <f t="shared" si="79"/>
        <v>11</v>
      </c>
      <c r="K2482" s="3">
        <f t="shared" si="80"/>
        <v>-11</v>
      </c>
      <c r="L2482" s="3" t="str">
        <f t="shared" si="81"/>
        <v>CRÍTICO</v>
      </c>
      <c r="N2482">
        <v>0</v>
      </c>
      <c r="O2482">
        <v>0</v>
      </c>
    </row>
    <row r="2483" spans="1:15" x14ac:dyDescent="0.25">
      <c r="A2483" s="11">
        <v>46078</v>
      </c>
      <c r="B2483" t="s">
        <v>56</v>
      </c>
      <c r="C2483" t="s">
        <v>16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f t="shared" si="78"/>
        <v>0</v>
      </c>
      <c r="J2483" s="3">
        <f t="shared" si="79"/>
        <v>15</v>
      </c>
      <c r="K2483" s="3">
        <f t="shared" si="80"/>
        <v>-15</v>
      </c>
      <c r="L2483" s="3" t="str">
        <f t="shared" si="81"/>
        <v>CRÍTICO</v>
      </c>
      <c r="N2483">
        <v>97.92</v>
      </c>
      <c r="O2483">
        <v>32.87671232876712</v>
      </c>
    </row>
    <row r="2484" spans="1:15" x14ac:dyDescent="0.25">
      <c r="A2484" s="11">
        <v>46078</v>
      </c>
      <c r="B2484" t="s">
        <v>57</v>
      </c>
      <c r="C2484" t="s">
        <v>43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f t="shared" si="78"/>
        <v>0</v>
      </c>
      <c r="J2484" s="3">
        <f t="shared" si="79"/>
        <v>11</v>
      </c>
      <c r="K2484" s="3">
        <f t="shared" si="80"/>
        <v>-11</v>
      </c>
      <c r="L2484" s="3" t="str">
        <f t="shared" si="81"/>
        <v>CRÍTICO</v>
      </c>
      <c r="N2484">
        <v>0</v>
      </c>
      <c r="O2484">
        <v>0</v>
      </c>
    </row>
    <row r="2485" spans="1:15" x14ac:dyDescent="0.25">
      <c r="A2485" s="11">
        <v>46078</v>
      </c>
      <c r="B2485" t="s">
        <v>58</v>
      </c>
      <c r="C2485" t="s">
        <v>43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f t="shared" si="78"/>
        <v>0</v>
      </c>
      <c r="J2485" s="3">
        <f t="shared" si="79"/>
        <v>11</v>
      </c>
      <c r="K2485" s="3">
        <f t="shared" si="80"/>
        <v>-11</v>
      </c>
      <c r="L2485" s="3" t="str">
        <f t="shared" si="81"/>
        <v>CRÍTICO</v>
      </c>
      <c r="N2485">
        <v>0</v>
      </c>
      <c r="O2485">
        <v>0</v>
      </c>
    </row>
    <row r="2486" spans="1:15" x14ac:dyDescent="0.25">
      <c r="A2486" s="11">
        <v>46078</v>
      </c>
      <c r="B2486" t="s">
        <v>59</v>
      </c>
      <c r="C2486" t="s">
        <v>23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f t="shared" si="78"/>
        <v>0</v>
      </c>
      <c r="J2486" s="3">
        <f t="shared" si="79"/>
        <v>5</v>
      </c>
      <c r="K2486" s="3">
        <f t="shared" si="80"/>
        <v>-5</v>
      </c>
      <c r="L2486" s="3" t="str">
        <f t="shared" si="81"/>
        <v>ATENÇÃO</v>
      </c>
      <c r="N2486">
        <v>0</v>
      </c>
      <c r="O2486">
        <v>0</v>
      </c>
    </row>
    <row r="2487" spans="1:15" x14ac:dyDescent="0.25">
      <c r="A2487" s="11">
        <v>46078</v>
      </c>
      <c r="B2487" t="s">
        <v>60</v>
      </c>
      <c r="C2487" t="s">
        <v>20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 t="shared" si="78"/>
        <v>21</v>
      </c>
      <c r="J2487" s="3">
        <f t="shared" si="79"/>
        <v>12</v>
      </c>
      <c r="K2487" s="3">
        <f t="shared" si="80"/>
        <v>9</v>
      </c>
      <c r="L2487" s="3" t="str">
        <f t="shared" si="81"/>
        <v>EXCELENTE</v>
      </c>
      <c r="N2487">
        <v>98.51</v>
      </c>
      <c r="O2487">
        <v>29.710144927536231</v>
      </c>
    </row>
    <row r="2488" spans="1:15" x14ac:dyDescent="0.25">
      <c r="A2488" s="11">
        <v>46078</v>
      </c>
      <c r="B2488" t="s">
        <v>61</v>
      </c>
      <c r="C2488" t="s">
        <v>18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 t="shared" si="78"/>
        <v>33</v>
      </c>
      <c r="J2488" s="3">
        <f t="shared" si="79"/>
        <v>18</v>
      </c>
      <c r="K2488" s="3">
        <f t="shared" si="80"/>
        <v>15</v>
      </c>
      <c r="L2488" s="3" t="str">
        <f t="shared" si="81"/>
        <v>EXCELENTE</v>
      </c>
      <c r="N2488">
        <v>98.81</v>
      </c>
      <c r="O2488">
        <v>30.712979890310791</v>
      </c>
    </row>
    <row r="2489" spans="1:15" x14ac:dyDescent="0.25">
      <c r="A2489" s="11">
        <v>46078</v>
      </c>
      <c r="B2489" t="s">
        <v>62</v>
      </c>
      <c r="C2489" t="s">
        <v>20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 t="shared" si="78"/>
        <v>5</v>
      </c>
      <c r="J2489" s="3">
        <f t="shared" si="79"/>
        <v>12</v>
      </c>
      <c r="K2489" s="3">
        <f t="shared" si="80"/>
        <v>-7</v>
      </c>
      <c r="L2489" s="3" t="str">
        <f t="shared" si="81"/>
        <v>CRÍTICO</v>
      </c>
      <c r="N2489">
        <v>98.48</v>
      </c>
      <c r="O2489">
        <v>29.35323383084577</v>
      </c>
    </row>
    <row r="2490" spans="1:15" x14ac:dyDescent="0.25">
      <c r="A2490" s="11">
        <v>46078</v>
      </c>
      <c r="B2490" t="s">
        <v>63</v>
      </c>
      <c r="C2490" t="s">
        <v>18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 t="shared" si="78"/>
        <v>26</v>
      </c>
      <c r="J2490" s="3">
        <f t="shared" si="79"/>
        <v>18</v>
      </c>
      <c r="K2490" s="3">
        <f t="shared" si="80"/>
        <v>8</v>
      </c>
      <c r="L2490" s="3" t="str">
        <f t="shared" si="81"/>
        <v>EXCELENTE</v>
      </c>
      <c r="N2490">
        <v>98.56</v>
      </c>
      <c r="O2490">
        <v>29.373650107991359</v>
      </c>
    </row>
    <row r="2491" spans="1:15" x14ac:dyDescent="0.25">
      <c r="A2491" s="11">
        <v>46079</v>
      </c>
      <c r="B2491" t="s">
        <v>15</v>
      </c>
      <c r="C2491" t="s">
        <v>16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 t="shared" si="78"/>
        <v>19</v>
      </c>
      <c r="J2491" s="3">
        <f t="shared" si="79"/>
        <v>15</v>
      </c>
      <c r="K2491" s="3">
        <f t="shared" si="80"/>
        <v>4</v>
      </c>
      <c r="L2491" s="3" t="str">
        <f t="shared" si="81"/>
        <v>BOM</v>
      </c>
      <c r="N2491">
        <v>98.32</v>
      </c>
      <c r="O2491">
        <v>30.303030303030301</v>
      </c>
    </row>
    <row r="2492" spans="1:15" x14ac:dyDescent="0.25">
      <c r="A2492" s="11">
        <v>46079</v>
      </c>
      <c r="B2492" t="s">
        <v>17</v>
      </c>
      <c r="C2492" t="s">
        <v>18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f t="shared" si="78"/>
        <v>0</v>
      </c>
      <c r="J2492" s="3">
        <f t="shared" si="79"/>
        <v>19</v>
      </c>
      <c r="K2492" s="3">
        <f t="shared" si="80"/>
        <v>-19</v>
      </c>
      <c r="L2492" s="3" t="str">
        <f t="shared" si="81"/>
        <v>CRÍTICO</v>
      </c>
      <c r="N2492">
        <v>98.68</v>
      </c>
      <c r="O2492">
        <v>26.219512195121951</v>
      </c>
    </row>
    <row r="2493" spans="1:15" x14ac:dyDescent="0.25">
      <c r="A2493" s="11">
        <v>46079</v>
      </c>
      <c r="B2493" t="s">
        <v>19</v>
      </c>
      <c r="C2493" t="s">
        <v>20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 t="shared" si="78"/>
        <v>24</v>
      </c>
      <c r="J2493" s="3">
        <f t="shared" si="79"/>
        <v>13</v>
      </c>
      <c r="K2493" s="3">
        <f t="shared" si="80"/>
        <v>11</v>
      </c>
      <c r="L2493" s="3" t="str">
        <f t="shared" si="81"/>
        <v>EXCELENTE</v>
      </c>
      <c r="N2493">
        <v>100</v>
      </c>
      <c r="O2493">
        <v>31.74224343675418</v>
      </c>
    </row>
    <row r="2494" spans="1:15" x14ac:dyDescent="0.25">
      <c r="A2494" s="11">
        <v>46079</v>
      </c>
      <c r="B2494" t="s">
        <v>21</v>
      </c>
      <c r="C2494" t="s">
        <v>18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 t="shared" si="78"/>
        <v>20</v>
      </c>
      <c r="J2494" s="3">
        <f t="shared" si="79"/>
        <v>19</v>
      </c>
      <c r="K2494" s="3">
        <f t="shared" si="80"/>
        <v>1</v>
      </c>
      <c r="L2494" s="3" t="str">
        <f t="shared" si="81"/>
        <v>BOM</v>
      </c>
      <c r="N2494">
        <v>98.25</v>
      </c>
      <c r="O2494">
        <v>25.83518930957684</v>
      </c>
    </row>
    <row r="2495" spans="1:15" x14ac:dyDescent="0.25">
      <c r="A2495" s="11">
        <v>46079</v>
      </c>
      <c r="B2495" t="s">
        <v>22</v>
      </c>
      <c r="C2495" t="s">
        <v>23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 t="shared" si="78"/>
        <v>9</v>
      </c>
      <c r="J2495" s="3">
        <f t="shared" si="79"/>
        <v>5</v>
      </c>
      <c r="K2495" s="3">
        <f t="shared" si="80"/>
        <v>4</v>
      </c>
      <c r="L2495" s="3" t="str">
        <f t="shared" si="81"/>
        <v>BOM</v>
      </c>
      <c r="N2495">
        <v>97.5</v>
      </c>
      <c r="O2495">
        <v>30.075187969924809</v>
      </c>
    </row>
    <row r="2496" spans="1:15" x14ac:dyDescent="0.25">
      <c r="A2496" s="11">
        <v>46079</v>
      </c>
      <c r="B2496" t="s">
        <v>24</v>
      </c>
      <c r="C2496" t="s">
        <v>16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 t="shared" si="78"/>
        <v>26</v>
      </c>
      <c r="J2496" s="3">
        <f t="shared" si="79"/>
        <v>15</v>
      </c>
      <c r="K2496" s="3">
        <f t="shared" si="80"/>
        <v>11</v>
      </c>
      <c r="L2496" s="3" t="str">
        <f t="shared" si="81"/>
        <v>EXCELENTE</v>
      </c>
      <c r="N2496">
        <v>100</v>
      </c>
      <c r="O2496">
        <v>29.71311475409836</v>
      </c>
    </row>
    <row r="2497" spans="1:15" x14ac:dyDescent="0.25">
      <c r="A2497" s="11">
        <v>46079</v>
      </c>
      <c r="B2497" t="s">
        <v>25</v>
      </c>
      <c r="C2497" t="s">
        <v>16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 t="shared" si="78"/>
        <v>11</v>
      </c>
      <c r="J2497" s="3">
        <f t="shared" si="79"/>
        <v>15</v>
      </c>
      <c r="K2497" s="3">
        <f t="shared" si="80"/>
        <v>-4</v>
      </c>
      <c r="L2497" s="3" t="str">
        <f t="shared" si="81"/>
        <v>ATENÇÃO</v>
      </c>
      <c r="N2497">
        <v>99.22</v>
      </c>
      <c r="O2497">
        <v>35.256410256410263</v>
      </c>
    </row>
    <row r="2498" spans="1:15" x14ac:dyDescent="0.25">
      <c r="A2498" s="11">
        <v>46079</v>
      </c>
      <c r="B2498" t="s">
        <v>26</v>
      </c>
      <c r="C2498" t="s">
        <v>23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f t="shared" si="78"/>
        <v>0</v>
      </c>
      <c r="J2498" s="3">
        <f t="shared" si="79"/>
        <v>5</v>
      </c>
      <c r="K2498" s="3">
        <f t="shared" si="80"/>
        <v>-5</v>
      </c>
      <c r="L2498" s="3" t="str">
        <f t="shared" si="81"/>
        <v>ATENÇÃO</v>
      </c>
      <c r="N2498">
        <v>0</v>
      </c>
      <c r="O2498">
        <v>0</v>
      </c>
    </row>
    <row r="2499" spans="1:15" x14ac:dyDescent="0.25">
      <c r="A2499" s="11">
        <v>46079</v>
      </c>
      <c r="B2499" t="s">
        <v>27</v>
      </c>
      <c r="C2499" t="s">
        <v>20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 t="shared" si="78"/>
        <v>15</v>
      </c>
      <c r="J2499" s="3">
        <f t="shared" si="79"/>
        <v>13</v>
      </c>
      <c r="K2499" s="3">
        <f t="shared" si="80"/>
        <v>2</v>
      </c>
      <c r="L2499" s="3" t="str">
        <f t="shared" si="81"/>
        <v>BOM</v>
      </c>
      <c r="N2499">
        <v>98.75</v>
      </c>
      <c r="O2499">
        <v>24.32432432432433</v>
      </c>
    </row>
    <row r="2500" spans="1:15" x14ac:dyDescent="0.25">
      <c r="A2500" s="11">
        <v>46079</v>
      </c>
      <c r="B2500" t="s">
        <v>28</v>
      </c>
      <c r="C2500" t="s">
        <v>18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 t="shared" si="78"/>
        <v>21</v>
      </c>
      <c r="J2500" s="3">
        <f t="shared" si="79"/>
        <v>19</v>
      </c>
      <c r="K2500" s="3">
        <f t="shared" si="80"/>
        <v>2</v>
      </c>
      <c r="L2500" s="3" t="str">
        <f t="shared" si="81"/>
        <v>BOM</v>
      </c>
      <c r="N2500">
        <v>93.48</v>
      </c>
      <c r="O2500">
        <v>31.334622823984521</v>
      </c>
    </row>
    <row r="2501" spans="1:15" x14ac:dyDescent="0.25">
      <c r="A2501" s="11">
        <v>46079</v>
      </c>
      <c r="B2501" t="s">
        <v>29</v>
      </c>
      <c r="C2501" t="s">
        <v>16</v>
      </c>
      <c r="D2501">
        <v>0</v>
      </c>
      <c r="E2501">
        <v>0</v>
      </c>
      <c r="F2501">
        <v>0</v>
      </c>
      <c r="G2501">
        <v>0</v>
      </c>
      <c r="H2501">
        <v>0</v>
      </c>
      <c r="I2501" s="3">
        <f t="shared" si="78"/>
        <v>0</v>
      </c>
      <c r="J2501" s="3">
        <f t="shared" si="79"/>
        <v>15</v>
      </c>
      <c r="K2501" s="3">
        <f t="shared" si="80"/>
        <v>-15</v>
      </c>
      <c r="L2501" s="3" t="str">
        <f t="shared" si="81"/>
        <v>CRÍTICO</v>
      </c>
      <c r="N2501">
        <v>99.16</v>
      </c>
      <c r="O2501">
        <v>26.13908872901678</v>
      </c>
    </row>
    <row r="2502" spans="1:15" x14ac:dyDescent="0.25">
      <c r="A2502" s="11">
        <v>46079</v>
      </c>
      <c r="B2502" t="s">
        <v>30</v>
      </c>
      <c r="C2502" t="s">
        <v>20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 t="shared" si="78"/>
        <v>13</v>
      </c>
      <c r="J2502" s="3">
        <f t="shared" si="79"/>
        <v>13</v>
      </c>
      <c r="K2502" s="3">
        <f t="shared" si="80"/>
        <v>0</v>
      </c>
      <c r="L2502" s="3" t="str">
        <f t="shared" si="81"/>
        <v>BOM</v>
      </c>
      <c r="N2502">
        <v>100</v>
      </c>
      <c r="O2502">
        <v>31.089743589743591</v>
      </c>
    </row>
    <row r="2503" spans="1:15" x14ac:dyDescent="0.25">
      <c r="A2503" s="11">
        <v>46079</v>
      </c>
      <c r="B2503" t="s">
        <v>31</v>
      </c>
      <c r="C2503" t="s">
        <v>18</v>
      </c>
      <c r="D2503">
        <v>0</v>
      </c>
      <c r="E2503">
        <v>0</v>
      </c>
      <c r="F2503">
        <v>0</v>
      </c>
      <c r="G2503">
        <v>0</v>
      </c>
      <c r="H2503">
        <v>0</v>
      </c>
      <c r="I2503" s="3">
        <f t="shared" si="78"/>
        <v>0</v>
      </c>
      <c r="J2503" s="3">
        <f t="shared" si="79"/>
        <v>19</v>
      </c>
      <c r="K2503" s="3">
        <f t="shared" si="80"/>
        <v>-19</v>
      </c>
      <c r="L2503" s="3" t="str">
        <f t="shared" si="81"/>
        <v>CRÍTICO</v>
      </c>
      <c r="N2503">
        <v>98.11</v>
      </c>
      <c r="O2503">
        <v>33.033707865168537</v>
      </c>
    </row>
    <row r="2504" spans="1:15" x14ac:dyDescent="0.25">
      <c r="A2504" s="11">
        <v>46079</v>
      </c>
      <c r="B2504" t="s">
        <v>32</v>
      </c>
      <c r="C2504" t="s">
        <v>23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 t="shared" si="78"/>
        <v>8</v>
      </c>
      <c r="J2504" s="3">
        <f t="shared" si="79"/>
        <v>5</v>
      </c>
      <c r="K2504" s="3">
        <f t="shared" si="80"/>
        <v>3</v>
      </c>
      <c r="L2504" s="3" t="str">
        <f t="shared" si="81"/>
        <v>BOM</v>
      </c>
      <c r="N2504">
        <v>78.95</v>
      </c>
      <c r="O2504">
        <v>38.983050847457633</v>
      </c>
    </row>
    <row r="2505" spans="1:15" x14ac:dyDescent="0.25">
      <c r="A2505" s="11">
        <v>46079</v>
      </c>
      <c r="B2505" t="s">
        <v>33</v>
      </c>
      <c r="C2505" t="s">
        <v>16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 t="shared" si="78"/>
        <v>22</v>
      </c>
      <c r="J2505" s="3">
        <f t="shared" si="79"/>
        <v>15</v>
      </c>
      <c r="K2505" s="3">
        <f t="shared" si="80"/>
        <v>7</v>
      </c>
      <c r="L2505" s="3" t="str">
        <f t="shared" si="81"/>
        <v>EXCELENTE</v>
      </c>
      <c r="N2505">
        <v>98.45</v>
      </c>
      <c r="O2505">
        <v>29.281767955801101</v>
      </c>
    </row>
    <row r="2506" spans="1:15" x14ac:dyDescent="0.25">
      <c r="A2506" s="11">
        <v>46079</v>
      </c>
      <c r="B2506" t="s">
        <v>34</v>
      </c>
      <c r="C2506" t="s">
        <v>18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 t="shared" si="78"/>
        <v>21</v>
      </c>
      <c r="J2506" s="3">
        <f t="shared" si="79"/>
        <v>19</v>
      </c>
      <c r="K2506" s="3">
        <f t="shared" si="80"/>
        <v>2</v>
      </c>
      <c r="L2506" s="3" t="str">
        <f t="shared" si="81"/>
        <v>BOM</v>
      </c>
      <c r="N2506">
        <v>97.84</v>
      </c>
      <c r="O2506">
        <v>26.282051282051281</v>
      </c>
    </row>
    <row r="2507" spans="1:15" x14ac:dyDescent="0.25">
      <c r="A2507" s="11">
        <v>46079</v>
      </c>
      <c r="B2507" t="s">
        <v>35</v>
      </c>
      <c r="C2507" t="s">
        <v>16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 t="shared" si="78"/>
        <v>22</v>
      </c>
      <c r="J2507" s="3">
        <f t="shared" si="79"/>
        <v>15</v>
      </c>
      <c r="K2507" s="3">
        <f t="shared" si="80"/>
        <v>7</v>
      </c>
      <c r="L2507" s="3" t="str">
        <f t="shared" si="81"/>
        <v>EXCELENTE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36</v>
      </c>
      <c r="C2508" t="s">
        <v>20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>E2508+G2508+H2508</f>
        <v>25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19</v>
      </c>
      <c r="K2508" s="3">
        <f>I2508-J2508</f>
        <v>6</v>
      </c>
      <c r="L2508" s="3" t="str">
        <f>IF(K2508&lt;-5,"CRÍTICO",IF(K2508&lt;0,"ATENÇÃO",IF(K2508&lt;=5,"OPORTUNO","MUITO BOM")))</f>
        <v>MUITO BOM</v>
      </c>
      <c r="N2508">
        <v>99.28</v>
      </c>
      <c r="O2508">
        <v>27.689243027888441</v>
      </c>
    </row>
    <row r="2509" spans="1:15" x14ac:dyDescent="0.25">
      <c r="A2509" s="11">
        <v>46079</v>
      </c>
      <c r="B2509" t="s">
        <v>37</v>
      </c>
      <c r="C2509" t="s">
        <v>16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 t="shared" ref="I2509:I2551" si="82">E2509+G2509+H2509</f>
        <v>26</v>
      </c>
      <c r="J2509" s="3">
        <f t="shared" ref="J2509:J2551" si="83"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15</v>
      </c>
      <c r="K2509" s="3">
        <f t="shared" ref="K2509:K2551" si="84">I2509-J2509</f>
        <v>11</v>
      </c>
      <c r="L2509" s="3" t="str">
        <f t="shared" ref="L2509:L2551" si="85">IF(K2509&lt;-5,"CRÍTICO",IF(K2509&lt;0,"ATENÇÃO",IF(K2509&lt;=5,"BOM","EXCELENTE")))</f>
        <v>EXCELENTE</v>
      </c>
      <c r="N2509">
        <v>98.53</v>
      </c>
      <c r="O2509">
        <v>31.578947368421051</v>
      </c>
    </row>
    <row r="2510" spans="1:15" x14ac:dyDescent="0.25">
      <c r="A2510" s="11">
        <v>46079</v>
      </c>
      <c r="B2510" t="s">
        <v>38</v>
      </c>
      <c r="C2510" t="s">
        <v>18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 t="shared" si="82"/>
        <v>43</v>
      </c>
      <c r="J2510" s="3">
        <f t="shared" si="83"/>
        <v>19</v>
      </c>
      <c r="K2510" s="3">
        <f t="shared" si="84"/>
        <v>24</v>
      </c>
      <c r="L2510" s="3" t="str">
        <f t="shared" si="85"/>
        <v>EXCELENTE</v>
      </c>
      <c r="N2510">
        <v>100</v>
      </c>
      <c r="O2510">
        <v>25.72214580467676</v>
      </c>
    </row>
    <row r="2511" spans="1:15" x14ac:dyDescent="0.25">
      <c r="A2511" s="11">
        <v>46079</v>
      </c>
      <c r="B2511" t="s">
        <v>39</v>
      </c>
      <c r="C2511" t="s">
        <v>18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 t="shared" si="82"/>
        <v>18</v>
      </c>
      <c r="J2511" s="3">
        <f t="shared" si="83"/>
        <v>19</v>
      </c>
      <c r="K2511" s="3">
        <f t="shared" si="84"/>
        <v>-1</v>
      </c>
      <c r="L2511" s="3" t="str">
        <f t="shared" si="85"/>
        <v>ATENÇÃO</v>
      </c>
      <c r="N2511">
        <v>94.64</v>
      </c>
      <c r="O2511">
        <v>27.52941176470588</v>
      </c>
    </row>
    <row r="2512" spans="1:15" x14ac:dyDescent="0.25">
      <c r="A2512" s="11">
        <v>46079</v>
      </c>
      <c r="B2512" t="s">
        <v>40</v>
      </c>
      <c r="C2512" t="s">
        <v>16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 t="shared" si="82"/>
        <v>12</v>
      </c>
      <c r="J2512" s="3">
        <f t="shared" si="83"/>
        <v>15</v>
      </c>
      <c r="K2512" s="3">
        <f t="shared" si="84"/>
        <v>-3</v>
      </c>
      <c r="L2512" s="3" t="str">
        <f t="shared" si="85"/>
        <v>ATENÇÃO</v>
      </c>
      <c r="N2512">
        <v>99.07</v>
      </c>
      <c r="O2512">
        <v>26.376811594202898</v>
      </c>
    </row>
    <row r="2513" spans="1:15" x14ac:dyDescent="0.25">
      <c r="A2513" s="11">
        <v>46079</v>
      </c>
      <c r="B2513" t="s">
        <v>41</v>
      </c>
      <c r="C2513" t="s">
        <v>18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f t="shared" si="82"/>
        <v>0</v>
      </c>
      <c r="J2513" s="3">
        <f t="shared" si="83"/>
        <v>19</v>
      </c>
      <c r="K2513" s="3">
        <f t="shared" si="84"/>
        <v>-19</v>
      </c>
      <c r="L2513" s="3" t="str">
        <f t="shared" si="85"/>
        <v>CRÍTICO</v>
      </c>
      <c r="N2513">
        <v>100</v>
      </c>
      <c r="O2513">
        <v>0</v>
      </c>
    </row>
    <row r="2514" spans="1:15" x14ac:dyDescent="0.25">
      <c r="A2514" s="11">
        <v>46079</v>
      </c>
      <c r="B2514" t="s">
        <v>42</v>
      </c>
      <c r="C2514" t="s">
        <v>43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 t="shared" si="82"/>
        <v>17</v>
      </c>
      <c r="J2514" s="3">
        <f t="shared" si="83"/>
        <v>11</v>
      </c>
      <c r="K2514" s="3">
        <f t="shared" si="84"/>
        <v>6</v>
      </c>
      <c r="L2514" s="3" t="str">
        <f t="shared" si="85"/>
        <v>EXCELENTE</v>
      </c>
      <c r="N2514">
        <v>98.48</v>
      </c>
      <c r="O2514">
        <v>27.853881278538811</v>
      </c>
    </row>
    <row r="2515" spans="1:15" x14ac:dyDescent="0.25">
      <c r="A2515" s="11">
        <v>46079</v>
      </c>
      <c r="B2515" t="s">
        <v>44</v>
      </c>
      <c r="C2515" t="s">
        <v>18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f t="shared" si="82"/>
        <v>0</v>
      </c>
      <c r="J2515" s="3">
        <f t="shared" si="83"/>
        <v>19</v>
      </c>
      <c r="K2515" s="3">
        <f t="shared" si="84"/>
        <v>-19</v>
      </c>
      <c r="L2515" s="3" t="str">
        <f t="shared" si="85"/>
        <v>CRÍTICO</v>
      </c>
      <c r="N2515">
        <v>95.15</v>
      </c>
      <c r="O2515">
        <v>34.131736526946113</v>
      </c>
    </row>
    <row r="2516" spans="1:15" x14ac:dyDescent="0.25">
      <c r="A2516" s="11">
        <v>46079</v>
      </c>
      <c r="B2516" t="s">
        <v>45</v>
      </c>
      <c r="C2516" t="s">
        <v>43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f t="shared" si="82"/>
        <v>0</v>
      </c>
      <c r="J2516" s="3">
        <f t="shared" si="83"/>
        <v>11</v>
      </c>
      <c r="K2516" s="3">
        <f t="shared" si="84"/>
        <v>-11</v>
      </c>
      <c r="L2516" s="3" t="str">
        <f t="shared" si="85"/>
        <v>CRÍTICO</v>
      </c>
      <c r="N2516">
        <v>0</v>
      </c>
      <c r="O2516">
        <v>0</v>
      </c>
    </row>
    <row r="2517" spans="1:15" x14ac:dyDescent="0.25">
      <c r="A2517" s="11">
        <v>46079</v>
      </c>
      <c r="B2517" t="s">
        <v>46</v>
      </c>
      <c r="C2517" t="s">
        <v>18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 t="shared" si="82"/>
        <v>24</v>
      </c>
      <c r="J2517" s="3">
        <f t="shared" si="83"/>
        <v>19</v>
      </c>
      <c r="K2517" s="3">
        <f t="shared" si="84"/>
        <v>5</v>
      </c>
      <c r="L2517" s="3" t="str">
        <f t="shared" si="85"/>
        <v>BOM</v>
      </c>
      <c r="N2517">
        <v>99.26</v>
      </c>
      <c r="O2517">
        <v>30.84832904884319</v>
      </c>
    </row>
    <row r="2518" spans="1:15" x14ac:dyDescent="0.25">
      <c r="A2518" s="11">
        <v>46079</v>
      </c>
      <c r="B2518" t="s">
        <v>47</v>
      </c>
      <c r="C2518" t="s">
        <v>16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 t="shared" si="82"/>
        <v>22</v>
      </c>
      <c r="J2518" s="3">
        <f t="shared" si="83"/>
        <v>15</v>
      </c>
      <c r="K2518" s="3">
        <f t="shared" si="84"/>
        <v>7</v>
      </c>
      <c r="L2518" s="3" t="str">
        <f t="shared" si="85"/>
        <v>EXCELENTE</v>
      </c>
      <c r="N2518">
        <v>97.48</v>
      </c>
      <c r="O2518">
        <v>27.764705882352938</v>
      </c>
    </row>
    <row r="2519" spans="1:15" x14ac:dyDescent="0.25">
      <c r="A2519" s="11">
        <v>46079</v>
      </c>
      <c r="B2519" t="s">
        <v>48</v>
      </c>
      <c r="C2519" t="s">
        <v>16</v>
      </c>
      <c r="D2519">
        <v>0</v>
      </c>
      <c r="E2519">
        <v>0</v>
      </c>
      <c r="F2519">
        <v>0</v>
      </c>
      <c r="G2519">
        <v>0</v>
      </c>
      <c r="H2519">
        <v>0</v>
      </c>
      <c r="I2519" s="3">
        <f t="shared" si="82"/>
        <v>0</v>
      </c>
      <c r="J2519" s="3">
        <f t="shared" si="83"/>
        <v>15</v>
      </c>
      <c r="K2519" s="3">
        <f t="shared" si="84"/>
        <v>-15</v>
      </c>
      <c r="L2519" s="3" t="str">
        <f t="shared" si="85"/>
        <v>CRÍTICO</v>
      </c>
      <c r="N2519">
        <v>99.34</v>
      </c>
      <c r="O2519">
        <v>30.04291845493562</v>
      </c>
    </row>
    <row r="2520" spans="1:15" x14ac:dyDescent="0.25">
      <c r="A2520" s="11">
        <v>46079</v>
      </c>
      <c r="B2520" t="s">
        <v>49</v>
      </c>
      <c r="C2520" t="s">
        <v>18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 t="shared" si="82"/>
        <v>35</v>
      </c>
      <c r="J2520" s="3">
        <f t="shared" si="83"/>
        <v>19</v>
      </c>
      <c r="K2520" s="3">
        <f t="shared" si="84"/>
        <v>16</v>
      </c>
      <c r="L2520" s="3" t="str">
        <f t="shared" si="85"/>
        <v>EXCELENTE</v>
      </c>
      <c r="N2520">
        <v>96.3</v>
      </c>
      <c r="O2520">
        <v>24.29378531073446</v>
      </c>
    </row>
    <row r="2521" spans="1:15" x14ac:dyDescent="0.25">
      <c r="A2521" s="11">
        <v>46079</v>
      </c>
      <c r="B2521" t="s">
        <v>50</v>
      </c>
      <c r="C2521" t="s">
        <v>20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 t="shared" si="82"/>
        <v>14</v>
      </c>
      <c r="J2521" s="3">
        <f t="shared" si="83"/>
        <v>13</v>
      </c>
      <c r="K2521" s="3">
        <f t="shared" si="84"/>
        <v>1</v>
      </c>
      <c r="L2521" s="3" t="str">
        <f t="shared" si="85"/>
        <v>BOM</v>
      </c>
      <c r="N2521">
        <v>100</v>
      </c>
      <c r="O2521">
        <v>26.543209876543209</v>
      </c>
    </row>
    <row r="2522" spans="1:15" x14ac:dyDescent="0.25">
      <c r="A2522" s="11">
        <v>46079</v>
      </c>
      <c r="B2522" t="s">
        <v>51</v>
      </c>
      <c r="C2522" t="s">
        <v>23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 t="shared" si="82"/>
        <v>2</v>
      </c>
      <c r="J2522" s="3">
        <f t="shared" si="83"/>
        <v>5</v>
      </c>
      <c r="K2522" s="3">
        <f t="shared" si="84"/>
        <v>-3</v>
      </c>
      <c r="L2522" s="3" t="str">
        <f t="shared" si="85"/>
        <v>ATENÇÃO</v>
      </c>
      <c r="N2522">
        <v>100</v>
      </c>
      <c r="O2522">
        <v>35.483870967741943</v>
      </c>
    </row>
    <row r="2523" spans="1:15" x14ac:dyDescent="0.25">
      <c r="A2523" s="11">
        <v>46079</v>
      </c>
      <c r="B2523" t="s">
        <v>52</v>
      </c>
      <c r="C2523" t="s">
        <v>18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 t="shared" si="82"/>
        <v>26</v>
      </c>
      <c r="J2523" s="3">
        <f t="shared" si="83"/>
        <v>19</v>
      </c>
      <c r="K2523" s="3">
        <f t="shared" si="84"/>
        <v>7</v>
      </c>
      <c r="L2523" s="3" t="str">
        <f t="shared" si="85"/>
        <v>EXCELENTE</v>
      </c>
      <c r="N2523">
        <v>99.27</v>
      </c>
      <c r="O2523">
        <v>31.163708086785011</v>
      </c>
    </row>
    <row r="2524" spans="1:15" x14ac:dyDescent="0.25">
      <c r="A2524" s="11">
        <v>46079</v>
      </c>
      <c r="B2524" t="s">
        <v>53</v>
      </c>
      <c r="C2524" t="s">
        <v>18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 t="shared" si="82"/>
        <v>28</v>
      </c>
      <c r="J2524" s="3">
        <f t="shared" si="83"/>
        <v>19</v>
      </c>
      <c r="K2524" s="3">
        <f t="shared" si="84"/>
        <v>9</v>
      </c>
      <c r="L2524" s="3" t="str">
        <f t="shared" si="85"/>
        <v>EXCELENTE</v>
      </c>
      <c r="N2524">
        <v>94.16</v>
      </c>
      <c r="O2524">
        <v>27.038626609442058</v>
      </c>
    </row>
    <row r="2525" spans="1:15" x14ac:dyDescent="0.25">
      <c r="A2525" s="11">
        <v>46079</v>
      </c>
      <c r="B2525" t="s">
        <v>54</v>
      </c>
      <c r="C2525" t="s">
        <v>23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 t="shared" si="82"/>
        <v>7</v>
      </c>
      <c r="J2525" s="3">
        <f t="shared" si="83"/>
        <v>5</v>
      </c>
      <c r="K2525" s="3">
        <f t="shared" si="84"/>
        <v>2</v>
      </c>
      <c r="L2525" s="3" t="str">
        <f t="shared" si="85"/>
        <v>BOM</v>
      </c>
      <c r="N2525">
        <v>93.75</v>
      </c>
      <c r="O2525">
        <v>19.31818181818182</v>
      </c>
    </row>
    <row r="2526" spans="1:15" x14ac:dyDescent="0.25">
      <c r="A2526" s="11">
        <v>46079</v>
      </c>
      <c r="B2526" t="s">
        <v>55</v>
      </c>
      <c r="C2526" t="s">
        <v>43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f t="shared" si="82"/>
        <v>0</v>
      </c>
      <c r="J2526" s="3">
        <f t="shared" si="83"/>
        <v>11</v>
      </c>
      <c r="K2526" s="3">
        <f t="shared" si="84"/>
        <v>-11</v>
      </c>
      <c r="L2526" s="3" t="str">
        <f t="shared" si="85"/>
        <v>CRÍTICO</v>
      </c>
      <c r="N2526">
        <v>0</v>
      </c>
      <c r="O2526">
        <v>0</v>
      </c>
    </row>
    <row r="2527" spans="1:15" x14ac:dyDescent="0.25">
      <c r="A2527" s="11">
        <v>46079</v>
      </c>
      <c r="B2527" t="s">
        <v>56</v>
      </c>
      <c r="C2527" t="s">
        <v>16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f t="shared" si="82"/>
        <v>0</v>
      </c>
      <c r="J2527" s="3">
        <f t="shared" si="83"/>
        <v>15</v>
      </c>
      <c r="K2527" s="3">
        <f t="shared" si="84"/>
        <v>-15</v>
      </c>
      <c r="L2527" s="3" t="str">
        <f t="shared" si="85"/>
        <v>CRÍTICO</v>
      </c>
      <c r="N2527">
        <v>97.92</v>
      </c>
      <c r="O2527">
        <v>32.87671232876712</v>
      </c>
    </row>
    <row r="2528" spans="1:15" x14ac:dyDescent="0.25">
      <c r="A2528" s="11">
        <v>46079</v>
      </c>
      <c r="B2528" t="s">
        <v>57</v>
      </c>
      <c r="C2528" t="s">
        <v>43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f t="shared" si="82"/>
        <v>0</v>
      </c>
      <c r="J2528" s="3">
        <f t="shared" si="83"/>
        <v>11</v>
      </c>
      <c r="K2528" s="3">
        <f t="shared" si="84"/>
        <v>-11</v>
      </c>
      <c r="L2528" s="3" t="str">
        <f t="shared" si="85"/>
        <v>CRÍTICO</v>
      </c>
      <c r="N2528">
        <v>0</v>
      </c>
      <c r="O2528">
        <v>0</v>
      </c>
    </row>
    <row r="2529" spans="1:15" x14ac:dyDescent="0.25">
      <c r="A2529" s="11">
        <v>46079</v>
      </c>
      <c r="B2529" t="s">
        <v>58</v>
      </c>
      <c r="C2529" t="s">
        <v>43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f t="shared" si="82"/>
        <v>0</v>
      </c>
      <c r="J2529" s="3">
        <f t="shared" si="83"/>
        <v>11</v>
      </c>
      <c r="K2529" s="3">
        <f t="shared" si="84"/>
        <v>-11</v>
      </c>
      <c r="L2529" s="3" t="str">
        <f t="shared" si="85"/>
        <v>CRÍTICO</v>
      </c>
      <c r="N2529">
        <v>0</v>
      </c>
      <c r="O2529">
        <v>0</v>
      </c>
    </row>
    <row r="2530" spans="1:15" x14ac:dyDescent="0.25">
      <c r="A2530" s="11">
        <v>46079</v>
      </c>
      <c r="B2530" t="s">
        <v>59</v>
      </c>
      <c r="C2530" t="s">
        <v>23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f t="shared" si="82"/>
        <v>0</v>
      </c>
      <c r="J2530" s="3">
        <f t="shared" si="83"/>
        <v>5</v>
      </c>
      <c r="K2530" s="3">
        <f t="shared" si="84"/>
        <v>-5</v>
      </c>
      <c r="L2530" s="3" t="str">
        <f t="shared" si="85"/>
        <v>ATENÇÃO</v>
      </c>
      <c r="N2530">
        <v>0</v>
      </c>
      <c r="O2530">
        <v>0</v>
      </c>
    </row>
    <row r="2531" spans="1:15" x14ac:dyDescent="0.25">
      <c r="A2531" s="11">
        <v>46079</v>
      </c>
      <c r="B2531" t="s">
        <v>60</v>
      </c>
      <c r="C2531" t="s">
        <v>20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 t="shared" si="82"/>
        <v>17</v>
      </c>
      <c r="J2531" s="3">
        <f t="shared" si="83"/>
        <v>13</v>
      </c>
      <c r="K2531" s="3">
        <f t="shared" si="84"/>
        <v>4</v>
      </c>
      <c r="L2531" s="3" t="str">
        <f t="shared" si="85"/>
        <v>BOM</v>
      </c>
      <c r="N2531">
        <v>98.51</v>
      </c>
      <c r="O2531">
        <v>29.710144927536231</v>
      </c>
    </row>
    <row r="2532" spans="1:15" x14ac:dyDescent="0.25">
      <c r="A2532" s="11">
        <v>46079</v>
      </c>
      <c r="B2532" t="s">
        <v>61</v>
      </c>
      <c r="C2532" t="s">
        <v>18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 t="shared" si="82"/>
        <v>29</v>
      </c>
      <c r="J2532" s="3">
        <f t="shared" si="83"/>
        <v>19</v>
      </c>
      <c r="K2532" s="3">
        <f t="shared" si="84"/>
        <v>10</v>
      </c>
      <c r="L2532" s="3" t="str">
        <f t="shared" si="85"/>
        <v>EXCELENTE</v>
      </c>
      <c r="N2532">
        <v>98.81</v>
      </c>
      <c r="O2532">
        <v>30.712979890310791</v>
      </c>
    </row>
    <row r="2533" spans="1:15" x14ac:dyDescent="0.25">
      <c r="A2533" s="11">
        <v>46079</v>
      </c>
      <c r="B2533" t="s">
        <v>62</v>
      </c>
      <c r="C2533" t="s">
        <v>20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 t="shared" si="82"/>
        <v>11</v>
      </c>
      <c r="J2533" s="3">
        <f t="shared" si="83"/>
        <v>13</v>
      </c>
      <c r="K2533" s="3">
        <f t="shared" si="84"/>
        <v>-2</v>
      </c>
      <c r="L2533" s="3" t="str">
        <f t="shared" si="85"/>
        <v>ATENÇÃO</v>
      </c>
      <c r="N2533">
        <v>98.48</v>
      </c>
      <c r="O2533">
        <v>29.35323383084577</v>
      </c>
    </row>
    <row r="2534" spans="1:15" x14ac:dyDescent="0.25">
      <c r="A2534" s="11">
        <v>46079</v>
      </c>
      <c r="B2534" t="s">
        <v>63</v>
      </c>
      <c r="C2534" t="s">
        <v>18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 t="shared" si="82"/>
        <v>20</v>
      </c>
      <c r="J2534" s="3">
        <f t="shared" si="83"/>
        <v>19</v>
      </c>
      <c r="K2534" s="3">
        <f t="shared" si="84"/>
        <v>1</v>
      </c>
      <c r="L2534" s="3" t="str">
        <f t="shared" si="85"/>
        <v>BOM</v>
      </c>
      <c r="N2534">
        <v>98.56</v>
      </c>
      <c r="O2534">
        <v>29.373650107991359</v>
      </c>
    </row>
    <row r="2535" spans="1:15" x14ac:dyDescent="0.25">
      <c r="A2535" s="11">
        <v>46080</v>
      </c>
      <c r="B2535" t="s">
        <v>15</v>
      </c>
      <c r="C2535" t="s">
        <v>16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 t="shared" si="82"/>
        <v>26</v>
      </c>
      <c r="J2535" s="3">
        <f t="shared" si="83"/>
        <v>14</v>
      </c>
      <c r="K2535" s="3">
        <f t="shared" si="84"/>
        <v>12</v>
      </c>
      <c r="L2535" s="3" t="str">
        <f t="shared" si="85"/>
        <v>EXCELENTE</v>
      </c>
      <c r="N2535">
        <v>98.32</v>
      </c>
      <c r="O2535">
        <v>30.303030303030301</v>
      </c>
    </row>
    <row r="2536" spans="1:15" x14ac:dyDescent="0.25">
      <c r="A2536" s="11">
        <v>46080</v>
      </c>
      <c r="B2536" t="s">
        <v>17</v>
      </c>
      <c r="C2536" t="s">
        <v>18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f t="shared" si="82"/>
        <v>0</v>
      </c>
      <c r="J2536" s="3">
        <f t="shared" si="83"/>
        <v>18</v>
      </c>
      <c r="K2536" s="3">
        <f t="shared" si="84"/>
        <v>-18</v>
      </c>
      <c r="L2536" s="3" t="str">
        <f t="shared" si="85"/>
        <v>CRÍTICO</v>
      </c>
      <c r="N2536">
        <v>98.68</v>
      </c>
      <c r="O2536">
        <v>26.219512195121951</v>
      </c>
    </row>
    <row r="2537" spans="1:15" x14ac:dyDescent="0.25">
      <c r="A2537" s="11">
        <v>46080</v>
      </c>
      <c r="B2537" t="s">
        <v>19</v>
      </c>
      <c r="C2537" t="s">
        <v>20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 t="shared" si="82"/>
        <v>20</v>
      </c>
      <c r="J2537" s="3">
        <f t="shared" si="83"/>
        <v>12</v>
      </c>
      <c r="K2537" s="3">
        <f t="shared" si="84"/>
        <v>8</v>
      </c>
      <c r="L2537" s="3" t="str">
        <f t="shared" si="85"/>
        <v>EXCELENTE</v>
      </c>
      <c r="N2537">
        <v>100</v>
      </c>
      <c r="O2537">
        <v>31.74224343675418</v>
      </c>
    </row>
    <row r="2538" spans="1:15" x14ac:dyDescent="0.25">
      <c r="A2538" s="11">
        <v>46080</v>
      </c>
      <c r="B2538" t="s">
        <v>21</v>
      </c>
      <c r="C2538" t="s">
        <v>18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 t="shared" si="82"/>
        <v>19</v>
      </c>
      <c r="J2538" s="3">
        <f t="shared" si="83"/>
        <v>18</v>
      </c>
      <c r="K2538" s="3">
        <f t="shared" si="84"/>
        <v>1</v>
      </c>
      <c r="L2538" s="3" t="str">
        <f t="shared" si="85"/>
        <v>BOM</v>
      </c>
      <c r="N2538">
        <v>98.25</v>
      </c>
      <c r="O2538">
        <v>25.83518930957684</v>
      </c>
    </row>
    <row r="2539" spans="1:15" x14ac:dyDescent="0.25">
      <c r="A2539" s="11">
        <v>46080</v>
      </c>
      <c r="B2539" t="s">
        <v>22</v>
      </c>
      <c r="C2539" t="s">
        <v>23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 t="shared" si="82"/>
        <v>11</v>
      </c>
      <c r="J2539" s="3">
        <f t="shared" si="83"/>
        <v>5</v>
      </c>
      <c r="K2539" s="3">
        <f t="shared" si="84"/>
        <v>6</v>
      </c>
      <c r="L2539" s="3" t="str">
        <f t="shared" si="85"/>
        <v>EXCELENTE</v>
      </c>
      <c r="N2539">
        <v>97.5</v>
      </c>
      <c r="O2539">
        <v>30.075187969924809</v>
      </c>
    </row>
    <row r="2540" spans="1:15" x14ac:dyDescent="0.25">
      <c r="A2540" s="11">
        <v>46080</v>
      </c>
      <c r="B2540" t="s">
        <v>24</v>
      </c>
      <c r="C2540" t="s">
        <v>16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 t="shared" si="82"/>
        <v>32</v>
      </c>
      <c r="J2540" s="3">
        <f t="shared" si="83"/>
        <v>14</v>
      </c>
      <c r="K2540" s="3">
        <f t="shared" si="84"/>
        <v>18</v>
      </c>
      <c r="L2540" s="3" t="str">
        <f t="shared" si="85"/>
        <v>EXCELENTE</v>
      </c>
      <c r="N2540">
        <v>100</v>
      </c>
      <c r="O2540">
        <v>29.71311475409836</v>
      </c>
    </row>
    <row r="2541" spans="1:15" x14ac:dyDescent="0.25">
      <c r="A2541" s="11">
        <v>46080</v>
      </c>
      <c r="B2541" t="s">
        <v>25</v>
      </c>
      <c r="C2541" t="s">
        <v>16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 t="shared" si="82"/>
        <v>7</v>
      </c>
      <c r="J2541" s="3">
        <f t="shared" si="83"/>
        <v>14</v>
      </c>
      <c r="K2541" s="3">
        <f t="shared" si="84"/>
        <v>-7</v>
      </c>
      <c r="L2541" s="3" t="str">
        <f t="shared" si="85"/>
        <v>CRÍTICO</v>
      </c>
      <c r="N2541">
        <v>99.22</v>
      </c>
      <c r="O2541">
        <v>35.256410256410263</v>
      </c>
    </row>
    <row r="2542" spans="1:15" x14ac:dyDescent="0.25">
      <c r="A2542" s="11">
        <v>46080</v>
      </c>
      <c r="B2542" t="s">
        <v>26</v>
      </c>
      <c r="C2542" t="s">
        <v>23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f t="shared" si="82"/>
        <v>0</v>
      </c>
      <c r="J2542" s="3">
        <f t="shared" si="83"/>
        <v>5</v>
      </c>
      <c r="K2542" s="3">
        <f t="shared" si="84"/>
        <v>-5</v>
      </c>
      <c r="L2542" s="3" t="str">
        <f t="shared" si="85"/>
        <v>ATENÇÃO</v>
      </c>
      <c r="N2542">
        <v>0</v>
      </c>
      <c r="O2542">
        <v>0</v>
      </c>
    </row>
    <row r="2543" spans="1:15" x14ac:dyDescent="0.25">
      <c r="A2543" s="11">
        <v>46080</v>
      </c>
      <c r="B2543" t="s">
        <v>27</v>
      </c>
      <c r="C2543" t="s">
        <v>20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 t="shared" si="82"/>
        <v>13</v>
      </c>
      <c r="J2543" s="3">
        <f t="shared" si="83"/>
        <v>12</v>
      </c>
      <c r="K2543" s="3">
        <f t="shared" si="84"/>
        <v>1</v>
      </c>
      <c r="L2543" s="3" t="str">
        <f t="shared" si="85"/>
        <v>BOM</v>
      </c>
      <c r="N2543">
        <v>98.75</v>
      </c>
      <c r="O2543">
        <v>24.32432432432433</v>
      </c>
    </row>
    <row r="2544" spans="1:15" x14ac:dyDescent="0.25">
      <c r="A2544" s="11">
        <v>46080</v>
      </c>
      <c r="B2544" t="s">
        <v>28</v>
      </c>
      <c r="C2544" t="s">
        <v>18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 t="shared" si="82"/>
        <v>27</v>
      </c>
      <c r="J2544" s="3">
        <f t="shared" si="83"/>
        <v>18</v>
      </c>
      <c r="K2544" s="3">
        <f t="shared" si="84"/>
        <v>9</v>
      </c>
      <c r="L2544" s="3" t="str">
        <f t="shared" si="85"/>
        <v>EXCELENTE</v>
      </c>
      <c r="N2544">
        <v>93.48</v>
      </c>
      <c r="O2544">
        <v>31.334622823984521</v>
      </c>
    </row>
    <row r="2545" spans="1:15" x14ac:dyDescent="0.25">
      <c r="A2545" s="11">
        <v>46080</v>
      </c>
      <c r="B2545" t="s">
        <v>29</v>
      </c>
      <c r="C2545" t="s">
        <v>16</v>
      </c>
      <c r="D2545">
        <v>0</v>
      </c>
      <c r="E2545">
        <v>0</v>
      </c>
      <c r="F2545">
        <v>0</v>
      </c>
      <c r="G2545">
        <v>0</v>
      </c>
      <c r="H2545">
        <v>0</v>
      </c>
      <c r="I2545" s="3">
        <f t="shared" si="82"/>
        <v>0</v>
      </c>
      <c r="J2545" s="3">
        <f t="shared" si="83"/>
        <v>14</v>
      </c>
      <c r="K2545" s="3">
        <f t="shared" si="84"/>
        <v>-14</v>
      </c>
      <c r="L2545" s="3" t="str">
        <f t="shared" si="85"/>
        <v>CRÍTICO</v>
      </c>
      <c r="N2545">
        <v>99.16</v>
      </c>
      <c r="O2545">
        <v>26.13908872901678</v>
      </c>
    </row>
    <row r="2546" spans="1:15" x14ac:dyDescent="0.25">
      <c r="A2546" s="11">
        <v>46080</v>
      </c>
      <c r="B2546" t="s">
        <v>30</v>
      </c>
      <c r="C2546" t="s">
        <v>20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 t="shared" si="82"/>
        <v>7</v>
      </c>
      <c r="J2546" s="3">
        <f t="shared" si="83"/>
        <v>12</v>
      </c>
      <c r="K2546" s="3">
        <f t="shared" si="84"/>
        <v>-5</v>
      </c>
      <c r="L2546" s="3" t="str">
        <f t="shared" si="85"/>
        <v>ATENÇÃO</v>
      </c>
      <c r="N2546">
        <v>100</v>
      </c>
      <c r="O2546">
        <v>31.089743589743591</v>
      </c>
    </row>
    <row r="2547" spans="1:15" x14ac:dyDescent="0.25">
      <c r="A2547" s="11">
        <v>46080</v>
      </c>
      <c r="B2547" t="s">
        <v>31</v>
      </c>
      <c r="C2547" t="s">
        <v>18</v>
      </c>
      <c r="D2547">
        <v>0</v>
      </c>
      <c r="E2547">
        <v>0</v>
      </c>
      <c r="F2547">
        <v>0</v>
      </c>
      <c r="G2547">
        <v>0</v>
      </c>
      <c r="H2547">
        <v>0</v>
      </c>
      <c r="I2547" s="3">
        <f t="shared" si="82"/>
        <v>0</v>
      </c>
      <c r="J2547" s="3">
        <f t="shared" si="83"/>
        <v>18</v>
      </c>
      <c r="K2547" s="3">
        <f t="shared" si="84"/>
        <v>-18</v>
      </c>
      <c r="L2547" s="3" t="str">
        <f t="shared" si="85"/>
        <v>CRÍTICO</v>
      </c>
      <c r="N2547">
        <v>98.11</v>
      </c>
      <c r="O2547">
        <v>33.033707865168537</v>
      </c>
    </row>
    <row r="2548" spans="1:15" x14ac:dyDescent="0.25">
      <c r="A2548" s="11">
        <v>46080</v>
      </c>
      <c r="B2548" t="s">
        <v>32</v>
      </c>
      <c r="C2548" t="s">
        <v>23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 t="shared" si="82"/>
        <v>8</v>
      </c>
      <c r="J2548" s="3">
        <f t="shared" si="83"/>
        <v>5</v>
      </c>
      <c r="K2548" s="3">
        <f t="shared" si="84"/>
        <v>3</v>
      </c>
      <c r="L2548" s="3" t="str">
        <f t="shared" si="85"/>
        <v>BOM</v>
      </c>
      <c r="N2548">
        <v>78.95</v>
      </c>
      <c r="O2548">
        <v>38.983050847457633</v>
      </c>
    </row>
    <row r="2549" spans="1:15" x14ac:dyDescent="0.25">
      <c r="A2549" s="11">
        <v>46080</v>
      </c>
      <c r="B2549" t="s">
        <v>33</v>
      </c>
      <c r="C2549" t="s">
        <v>16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 t="shared" si="82"/>
        <v>13</v>
      </c>
      <c r="J2549" s="3">
        <f t="shared" si="83"/>
        <v>14</v>
      </c>
      <c r="K2549" s="3">
        <f t="shared" si="84"/>
        <v>-1</v>
      </c>
      <c r="L2549" s="3" t="str">
        <f t="shared" si="85"/>
        <v>ATENÇÃO</v>
      </c>
      <c r="N2549">
        <v>98.45</v>
      </c>
      <c r="O2549">
        <v>29.281767955801101</v>
      </c>
    </row>
    <row r="2550" spans="1:15" x14ac:dyDescent="0.25">
      <c r="A2550" s="11">
        <v>46080</v>
      </c>
      <c r="B2550" t="s">
        <v>34</v>
      </c>
      <c r="C2550" t="s">
        <v>18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 t="shared" si="82"/>
        <v>24</v>
      </c>
      <c r="J2550" s="3">
        <f t="shared" si="83"/>
        <v>18</v>
      </c>
      <c r="K2550" s="3">
        <f t="shared" si="84"/>
        <v>6</v>
      </c>
      <c r="L2550" s="3" t="str">
        <f t="shared" si="85"/>
        <v>EXCELENTE</v>
      </c>
      <c r="N2550">
        <v>97.84</v>
      </c>
      <c r="O2550">
        <v>26.282051282051281</v>
      </c>
    </row>
    <row r="2551" spans="1:15" x14ac:dyDescent="0.25">
      <c r="A2551" s="11">
        <v>46080</v>
      </c>
      <c r="B2551" t="s">
        <v>35</v>
      </c>
      <c r="C2551" t="s">
        <v>16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 t="shared" si="82"/>
        <v>19</v>
      </c>
      <c r="J2551" s="3">
        <f t="shared" si="83"/>
        <v>14</v>
      </c>
      <c r="K2551" s="3">
        <f t="shared" si="84"/>
        <v>5</v>
      </c>
      <c r="L2551" s="3" t="str">
        <f t="shared" si="85"/>
        <v>BOM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36</v>
      </c>
      <c r="C2552" t="s">
        <v>20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>E2552+G2552+H2552</f>
        <v>31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21</v>
      </c>
      <c r="K2552" s="3">
        <f>I2552-J2552</f>
        <v>10</v>
      </c>
      <c r="L2552" s="3" t="str">
        <f>IF(K2552&lt;-5,"CRÍTICO",IF(K2552&lt;0,"ATENÇÃO",IF(K2552&lt;=5,"OPORTUNO","MUITO BOM")))</f>
        <v>MUITO BOM</v>
      </c>
      <c r="N2552">
        <v>99.28</v>
      </c>
      <c r="O2552">
        <v>27.689243027888441</v>
      </c>
    </row>
    <row r="2553" spans="1:15" x14ac:dyDescent="0.25">
      <c r="A2553" s="11">
        <v>46080</v>
      </c>
      <c r="B2553" t="s">
        <v>37</v>
      </c>
      <c r="C2553" t="s">
        <v>16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 t="shared" ref="I2553:I2595" si="86">E2553+G2553+H2553</f>
        <v>21</v>
      </c>
      <c r="J2553" s="3">
        <f t="shared" ref="J2553:J2595" si="87"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14</v>
      </c>
      <c r="K2553" s="3">
        <f t="shared" ref="K2553:K2595" si="88">I2553-J2553</f>
        <v>7</v>
      </c>
      <c r="L2553" s="3" t="str">
        <f t="shared" ref="L2553:L2595" si="89">IF(K2553&lt;-5,"CRÍTICO",IF(K2553&lt;0,"ATENÇÃO",IF(K2553&lt;=5,"BOM","EXCELENTE")))</f>
        <v>EXCELENTE</v>
      </c>
      <c r="N2553">
        <v>98.53</v>
      </c>
      <c r="O2553">
        <v>31.578947368421051</v>
      </c>
    </row>
    <row r="2554" spans="1:15" x14ac:dyDescent="0.25">
      <c r="A2554" s="11">
        <v>46080</v>
      </c>
      <c r="B2554" t="s">
        <v>38</v>
      </c>
      <c r="C2554" t="s">
        <v>18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 t="shared" si="86"/>
        <v>23</v>
      </c>
      <c r="J2554" s="3">
        <f t="shared" si="87"/>
        <v>18</v>
      </c>
      <c r="K2554" s="3">
        <f t="shared" si="88"/>
        <v>5</v>
      </c>
      <c r="L2554" s="3" t="str">
        <f t="shared" si="89"/>
        <v>BOM</v>
      </c>
      <c r="N2554">
        <v>100</v>
      </c>
      <c r="O2554">
        <v>25.72214580467676</v>
      </c>
    </row>
    <row r="2555" spans="1:15" x14ac:dyDescent="0.25">
      <c r="A2555" s="11">
        <v>46080</v>
      </c>
      <c r="B2555" t="s">
        <v>39</v>
      </c>
      <c r="C2555" t="s">
        <v>18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 t="shared" si="86"/>
        <v>3</v>
      </c>
      <c r="J2555" s="3">
        <f t="shared" si="87"/>
        <v>18</v>
      </c>
      <c r="K2555" s="3">
        <f t="shared" si="88"/>
        <v>-15</v>
      </c>
      <c r="L2555" s="3" t="str">
        <f t="shared" si="89"/>
        <v>CRÍTICO</v>
      </c>
      <c r="N2555">
        <v>94.64</v>
      </c>
      <c r="O2555">
        <v>27.52941176470588</v>
      </c>
    </row>
    <row r="2556" spans="1:15" x14ac:dyDescent="0.25">
      <c r="A2556" s="11">
        <v>46080</v>
      </c>
      <c r="B2556" t="s">
        <v>40</v>
      </c>
      <c r="C2556" t="s">
        <v>16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 t="shared" si="86"/>
        <v>15</v>
      </c>
      <c r="J2556" s="3">
        <f t="shared" si="87"/>
        <v>14</v>
      </c>
      <c r="K2556" s="3">
        <f t="shared" si="88"/>
        <v>1</v>
      </c>
      <c r="L2556" s="3" t="str">
        <f t="shared" si="89"/>
        <v>BOM</v>
      </c>
      <c r="N2556">
        <v>99.07</v>
      </c>
      <c r="O2556">
        <v>26.376811594202898</v>
      </c>
    </row>
    <row r="2557" spans="1:15" x14ac:dyDescent="0.25">
      <c r="A2557" s="11">
        <v>46080</v>
      </c>
      <c r="B2557" t="s">
        <v>41</v>
      </c>
      <c r="C2557" t="s">
        <v>18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f t="shared" si="86"/>
        <v>0</v>
      </c>
      <c r="J2557" s="3">
        <f t="shared" si="87"/>
        <v>18</v>
      </c>
      <c r="K2557" s="3">
        <f t="shared" si="88"/>
        <v>-18</v>
      </c>
      <c r="L2557" s="3" t="str">
        <f t="shared" si="89"/>
        <v>CRÍTICO</v>
      </c>
      <c r="N2557">
        <v>100</v>
      </c>
      <c r="O2557">
        <v>0</v>
      </c>
    </row>
    <row r="2558" spans="1:15" x14ac:dyDescent="0.25">
      <c r="A2558" s="11">
        <v>46080</v>
      </c>
      <c r="B2558" t="s">
        <v>42</v>
      </c>
      <c r="C2558" t="s">
        <v>43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 t="shared" si="86"/>
        <v>8</v>
      </c>
      <c r="J2558" s="3">
        <f t="shared" si="87"/>
        <v>10</v>
      </c>
      <c r="K2558" s="3">
        <f t="shared" si="88"/>
        <v>-2</v>
      </c>
      <c r="L2558" s="3" t="str">
        <f t="shared" si="89"/>
        <v>ATENÇÃO</v>
      </c>
      <c r="N2558">
        <v>98.48</v>
      </c>
      <c r="O2558">
        <v>27.853881278538811</v>
      </c>
    </row>
    <row r="2559" spans="1:15" x14ac:dyDescent="0.25">
      <c r="A2559" s="11">
        <v>46080</v>
      </c>
      <c r="B2559" t="s">
        <v>44</v>
      </c>
      <c r="C2559" t="s">
        <v>18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f t="shared" si="86"/>
        <v>0</v>
      </c>
      <c r="J2559" s="3">
        <f t="shared" si="87"/>
        <v>18</v>
      </c>
      <c r="K2559" s="3">
        <f t="shared" si="88"/>
        <v>-18</v>
      </c>
      <c r="L2559" s="3" t="str">
        <f t="shared" si="89"/>
        <v>CRÍTICO</v>
      </c>
      <c r="N2559">
        <v>95.15</v>
      </c>
      <c r="O2559">
        <v>34.131736526946113</v>
      </c>
    </row>
    <row r="2560" spans="1:15" x14ac:dyDescent="0.25">
      <c r="A2560" s="11">
        <v>46080</v>
      </c>
      <c r="B2560" t="s">
        <v>45</v>
      </c>
      <c r="C2560" t="s">
        <v>43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f t="shared" si="86"/>
        <v>0</v>
      </c>
      <c r="J2560" s="3">
        <f t="shared" si="87"/>
        <v>10</v>
      </c>
      <c r="K2560" s="3">
        <f t="shared" si="88"/>
        <v>-10</v>
      </c>
      <c r="L2560" s="3" t="str">
        <f t="shared" si="89"/>
        <v>CRÍTICO</v>
      </c>
      <c r="N2560">
        <v>0</v>
      </c>
      <c r="O2560">
        <v>0</v>
      </c>
    </row>
    <row r="2561" spans="1:15" x14ac:dyDescent="0.25">
      <c r="A2561" s="11">
        <v>46080</v>
      </c>
      <c r="B2561" t="s">
        <v>46</v>
      </c>
      <c r="C2561" t="s">
        <v>18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 t="shared" si="86"/>
        <v>16</v>
      </c>
      <c r="J2561" s="3">
        <f t="shared" si="87"/>
        <v>18</v>
      </c>
      <c r="K2561" s="3">
        <f t="shared" si="88"/>
        <v>-2</v>
      </c>
      <c r="L2561" s="3" t="str">
        <f t="shared" si="89"/>
        <v>ATENÇÃO</v>
      </c>
      <c r="N2561">
        <v>99.26</v>
      </c>
      <c r="O2561">
        <v>30.84832904884319</v>
      </c>
    </row>
    <row r="2562" spans="1:15" x14ac:dyDescent="0.25">
      <c r="A2562" s="11">
        <v>46080</v>
      </c>
      <c r="B2562" t="s">
        <v>47</v>
      </c>
      <c r="C2562" t="s">
        <v>16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 t="shared" si="86"/>
        <v>30</v>
      </c>
      <c r="J2562" s="3">
        <f t="shared" si="87"/>
        <v>14</v>
      </c>
      <c r="K2562" s="3">
        <f t="shared" si="88"/>
        <v>16</v>
      </c>
      <c r="L2562" s="3" t="str">
        <f t="shared" si="89"/>
        <v>EXCELENTE</v>
      </c>
      <c r="N2562">
        <v>97.48</v>
      </c>
      <c r="O2562">
        <v>27.764705882352938</v>
      </c>
    </row>
    <row r="2563" spans="1:15" x14ac:dyDescent="0.25">
      <c r="A2563" s="11">
        <v>46080</v>
      </c>
      <c r="B2563" t="s">
        <v>48</v>
      </c>
      <c r="C2563" t="s">
        <v>16</v>
      </c>
      <c r="D2563">
        <v>0</v>
      </c>
      <c r="E2563">
        <v>0</v>
      </c>
      <c r="F2563">
        <v>0</v>
      </c>
      <c r="G2563">
        <v>0</v>
      </c>
      <c r="H2563">
        <v>0</v>
      </c>
      <c r="I2563" s="3">
        <f t="shared" si="86"/>
        <v>0</v>
      </c>
      <c r="J2563" s="3">
        <f t="shared" si="87"/>
        <v>14</v>
      </c>
      <c r="K2563" s="3">
        <f t="shared" si="88"/>
        <v>-14</v>
      </c>
      <c r="L2563" s="3" t="str">
        <f t="shared" si="89"/>
        <v>CRÍTICO</v>
      </c>
      <c r="N2563">
        <v>99.34</v>
      </c>
      <c r="O2563">
        <v>30.04291845493562</v>
      </c>
    </row>
    <row r="2564" spans="1:15" x14ac:dyDescent="0.25">
      <c r="A2564" s="11">
        <v>46080</v>
      </c>
      <c r="B2564" t="s">
        <v>49</v>
      </c>
      <c r="C2564" t="s">
        <v>18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 t="shared" si="86"/>
        <v>21</v>
      </c>
      <c r="J2564" s="3">
        <f t="shared" si="87"/>
        <v>18</v>
      </c>
      <c r="K2564" s="3">
        <f t="shared" si="88"/>
        <v>3</v>
      </c>
      <c r="L2564" s="3" t="str">
        <f t="shared" si="89"/>
        <v>BOM</v>
      </c>
      <c r="N2564">
        <v>96.3</v>
      </c>
      <c r="O2564">
        <v>24.29378531073446</v>
      </c>
    </row>
    <row r="2565" spans="1:15" x14ac:dyDescent="0.25">
      <c r="A2565" s="11">
        <v>46080</v>
      </c>
      <c r="B2565" t="s">
        <v>50</v>
      </c>
      <c r="C2565" t="s">
        <v>20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 t="shared" si="86"/>
        <v>13</v>
      </c>
      <c r="J2565" s="3">
        <f t="shared" si="87"/>
        <v>12</v>
      </c>
      <c r="K2565" s="3">
        <f t="shared" si="88"/>
        <v>1</v>
      </c>
      <c r="L2565" s="3" t="str">
        <f t="shared" si="89"/>
        <v>BOM</v>
      </c>
      <c r="N2565">
        <v>100</v>
      </c>
      <c r="O2565">
        <v>26.543209876543209</v>
      </c>
    </row>
    <row r="2566" spans="1:15" x14ac:dyDescent="0.25">
      <c r="A2566" s="11">
        <v>46080</v>
      </c>
      <c r="B2566" t="s">
        <v>51</v>
      </c>
      <c r="C2566" t="s">
        <v>23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 t="shared" si="86"/>
        <v>14</v>
      </c>
      <c r="J2566" s="3">
        <f t="shared" si="87"/>
        <v>5</v>
      </c>
      <c r="K2566" s="3">
        <f t="shared" si="88"/>
        <v>9</v>
      </c>
      <c r="L2566" s="3" t="str">
        <f t="shared" si="89"/>
        <v>EXCELENTE</v>
      </c>
      <c r="N2566">
        <v>100</v>
      </c>
      <c r="O2566">
        <v>35.483870967741943</v>
      </c>
    </row>
    <row r="2567" spans="1:15" x14ac:dyDescent="0.25">
      <c r="A2567" s="11">
        <v>46080</v>
      </c>
      <c r="B2567" t="s">
        <v>52</v>
      </c>
      <c r="C2567" t="s">
        <v>18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 t="shared" si="86"/>
        <v>20</v>
      </c>
      <c r="J2567" s="3">
        <f t="shared" si="87"/>
        <v>18</v>
      </c>
      <c r="K2567" s="3">
        <f t="shared" si="88"/>
        <v>2</v>
      </c>
      <c r="L2567" s="3" t="str">
        <f t="shared" si="89"/>
        <v>BOM</v>
      </c>
      <c r="N2567">
        <v>99.27</v>
      </c>
      <c r="O2567">
        <v>31.163708086785011</v>
      </c>
    </row>
    <row r="2568" spans="1:15" x14ac:dyDescent="0.25">
      <c r="A2568" s="11">
        <v>46080</v>
      </c>
      <c r="B2568" t="s">
        <v>53</v>
      </c>
      <c r="C2568" t="s">
        <v>18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 t="shared" si="86"/>
        <v>23</v>
      </c>
      <c r="J2568" s="3">
        <f t="shared" si="87"/>
        <v>18</v>
      </c>
      <c r="K2568" s="3">
        <f t="shared" si="88"/>
        <v>5</v>
      </c>
      <c r="L2568" s="3" t="str">
        <f t="shared" si="89"/>
        <v>BOM</v>
      </c>
      <c r="N2568">
        <v>94.16</v>
      </c>
      <c r="O2568">
        <v>27.038626609442058</v>
      </c>
    </row>
    <row r="2569" spans="1:15" x14ac:dyDescent="0.25">
      <c r="A2569" s="11">
        <v>46080</v>
      </c>
      <c r="B2569" t="s">
        <v>54</v>
      </c>
      <c r="C2569" t="s">
        <v>23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 t="shared" si="86"/>
        <v>14</v>
      </c>
      <c r="J2569" s="3">
        <f t="shared" si="87"/>
        <v>5</v>
      </c>
      <c r="K2569" s="3">
        <f t="shared" si="88"/>
        <v>9</v>
      </c>
      <c r="L2569" s="3" t="str">
        <f t="shared" si="89"/>
        <v>EXCELENTE</v>
      </c>
      <c r="N2569">
        <v>93.75</v>
      </c>
      <c r="O2569">
        <v>19.31818181818182</v>
      </c>
    </row>
    <row r="2570" spans="1:15" x14ac:dyDescent="0.25">
      <c r="A2570" s="11">
        <v>46080</v>
      </c>
      <c r="B2570" t="s">
        <v>55</v>
      </c>
      <c r="C2570" t="s">
        <v>43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f t="shared" si="86"/>
        <v>0</v>
      </c>
      <c r="J2570" s="3">
        <f t="shared" si="87"/>
        <v>10</v>
      </c>
      <c r="K2570" s="3">
        <f t="shared" si="88"/>
        <v>-10</v>
      </c>
      <c r="L2570" s="3" t="str">
        <f t="shared" si="89"/>
        <v>CRÍTICO</v>
      </c>
      <c r="N2570">
        <v>0</v>
      </c>
      <c r="O2570">
        <v>0</v>
      </c>
    </row>
    <row r="2571" spans="1:15" x14ac:dyDescent="0.25">
      <c r="A2571" s="11">
        <v>46080</v>
      </c>
      <c r="B2571" t="s">
        <v>56</v>
      </c>
      <c r="C2571" t="s">
        <v>16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f t="shared" si="86"/>
        <v>0</v>
      </c>
      <c r="J2571" s="3">
        <f t="shared" si="87"/>
        <v>14</v>
      </c>
      <c r="K2571" s="3">
        <f t="shared" si="88"/>
        <v>-14</v>
      </c>
      <c r="L2571" s="3" t="str">
        <f t="shared" si="89"/>
        <v>CRÍTICO</v>
      </c>
      <c r="N2571">
        <v>97.92</v>
      </c>
      <c r="O2571">
        <v>32.87671232876712</v>
      </c>
    </row>
    <row r="2572" spans="1:15" x14ac:dyDescent="0.25">
      <c r="A2572" s="11">
        <v>46080</v>
      </c>
      <c r="B2572" t="s">
        <v>57</v>
      </c>
      <c r="C2572" t="s">
        <v>43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f t="shared" si="86"/>
        <v>0</v>
      </c>
      <c r="J2572" s="3">
        <f t="shared" si="87"/>
        <v>10</v>
      </c>
      <c r="K2572" s="3">
        <f t="shared" si="88"/>
        <v>-10</v>
      </c>
      <c r="L2572" s="3" t="str">
        <f t="shared" si="89"/>
        <v>CRÍTICO</v>
      </c>
      <c r="N2572">
        <v>0</v>
      </c>
      <c r="O2572">
        <v>0</v>
      </c>
    </row>
    <row r="2573" spans="1:15" x14ac:dyDescent="0.25">
      <c r="A2573" s="11">
        <v>46080</v>
      </c>
      <c r="B2573" t="s">
        <v>58</v>
      </c>
      <c r="C2573" t="s">
        <v>43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f t="shared" si="86"/>
        <v>0</v>
      </c>
      <c r="J2573" s="3">
        <f t="shared" si="87"/>
        <v>10</v>
      </c>
      <c r="K2573" s="3">
        <f t="shared" si="88"/>
        <v>-10</v>
      </c>
      <c r="L2573" s="3" t="str">
        <f t="shared" si="89"/>
        <v>CRÍTICO</v>
      </c>
      <c r="N2573">
        <v>0</v>
      </c>
      <c r="O2573">
        <v>0</v>
      </c>
    </row>
    <row r="2574" spans="1:15" x14ac:dyDescent="0.25">
      <c r="A2574" s="11">
        <v>46080</v>
      </c>
      <c r="B2574" t="s">
        <v>59</v>
      </c>
      <c r="C2574" t="s">
        <v>23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f t="shared" si="86"/>
        <v>0</v>
      </c>
      <c r="J2574" s="3">
        <f t="shared" si="87"/>
        <v>5</v>
      </c>
      <c r="K2574" s="3">
        <f t="shared" si="88"/>
        <v>-5</v>
      </c>
      <c r="L2574" s="3" t="str">
        <f t="shared" si="89"/>
        <v>ATENÇÃO</v>
      </c>
      <c r="N2574">
        <v>0</v>
      </c>
      <c r="O2574">
        <v>0</v>
      </c>
    </row>
    <row r="2575" spans="1:15" x14ac:dyDescent="0.25">
      <c r="A2575" s="11">
        <v>46080</v>
      </c>
      <c r="B2575" t="s">
        <v>60</v>
      </c>
      <c r="C2575" t="s">
        <v>20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 t="shared" si="86"/>
        <v>22</v>
      </c>
      <c r="J2575" s="3">
        <f t="shared" si="87"/>
        <v>12</v>
      </c>
      <c r="K2575" s="3">
        <f t="shared" si="88"/>
        <v>10</v>
      </c>
      <c r="L2575" s="3" t="str">
        <f t="shared" si="89"/>
        <v>EXCELENTE</v>
      </c>
      <c r="N2575">
        <v>98.51</v>
      </c>
      <c r="O2575">
        <v>29.710144927536231</v>
      </c>
    </row>
    <row r="2576" spans="1:15" x14ac:dyDescent="0.25">
      <c r="A2576" s="11">
        <v>46080</v>
      </c>
      <c r="B2576" t="s">
        <v>61</v>
      </c>
      <c r="C2576" t="s">
        <v>18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 t="shared" si="86"/>
        <v>28</v>
      </c>
      <c r="J2576" s="3">
        <f t="shared" si="87"/>
        <v>18</v>
      </c>
      <c r="K2576" s="3">
        <f t="shared" si="88"/>
        <v>10</v>
      </c>
      <c r="L2576" s="3" t="str">
        <f t="shared" si="89"/>
        <v>EXCELENTE</v>
      </c>
      <c r="N2576">
        <v>98.81</v>
      </c>
      <c r="O2576">
        <v>30.712979890310791</v>
      </c>
    </row>
    <row r="2577" spans="1:15" x14ac:dyDescent="0.25">
      <c r="A2577" s="11">
        <v>46080</v>
      </c>
      <c r="B2577" t="s">
        <v>62</v>
      </c>
      <c r="C2577" t="s">
        <v>20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 t="shared" si="86"/>
        <v>10</v>
      </c>
      <c r="J2577" s="3">
        <f t="shared" si="87"/>
        <v>12</v>
      </c>
      <c r="K2577" s="3">
        <f t="shared" si="88"/>
        <v>-2</v>
      </c>
      <c r="L2577" s="3" t="str">
        <f t="shared" si="89"/>
        <v>ATENÇÃO</v>
      </c>
      <c r="N2577">
        <v>98.48</v>
      </c>
      <c r="O2577">
        <v>29.35323383084577</v>
      </c>
    </row>
    <row r="2578" spans="1:15" x14ac:dyDescent="0.25">
      <c r="A2578" s="11">
        <v>46080</v>
      </c>
      <c r="B2578" t="s">
        <v>63</v>
      </c>
      <c r="C2578" t="s">
        <v>18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 t="shared" si="86"/>
        <v>17</v>
      </c>
      <c r="J2578" s="3">
        <f t="shared" si="87"/>
        <v>18</v>
      </c>
      <c r="K2578" s="3">
        <f t="shared" si="88"/>
        <v>-1</v>
      </c>
      <c r="L2578" s="3" t="str">
        <f t="shared" si="89"/>
        <v>ATENÇÃO</v>
      </c>
      <c r="N2578">
        <v>98.56</v>
      </c>
      <c r="O2578">
        <v>29.373650107991359</v>
      </c>
    </row>
    <row r="2579" spans="1:15" x14ac:dyDescent="0.25">
      <c r="A2579" s="11">
        <v>46083</v>
      </c>
      <c r="B2579" t="s">
        <v>15</v>
      </c>
      <c r="C2579" t="s">
        <v>16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 t="shared" si="86"/>
        <v>30</v>
      </c>
      <c r="J2579" s="3">
        <f t="shared" si="87"/>
        <v>20</v>
      </c>
      <c r="K2579" s="3">
        <f t="shared" si="88"/>
        <v>10</v>
      </c>
      <c r="L2579" s="3" t="str">
        <f t="shared" si="89"/>
        <v>EXCELENTE</v>
      </c>
      <c r="N2579">
        <v>94.29</v>
      </c>
      <c r="O2579">
        <v>25.647668393782389</v>
      </c>
    </row>
    <row r="2580" spans="1:15" x14ac:dyDescent="0.25">
      <c r="A2580" s="11">
        <v>46083</v>
      </c>
      <c r="B2580" t="s">
        <v>17</v>
      </c>
      <c r="C2580" t="s">
        <v>18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f t="shared" si="86"/>
        <v>0</v>
      </c>
      <c r="J2580" s="3">
        <f t="shared" si="87"/>
        <v>25</v>
      </c>
      <c r="K2580" s="3">
        <f t="shared" si="88"/>
        <v>-25</v>
      </c>
      <c r="L2580" s="3" t="str">
        <f t="shared" si="89"/>
        <v>CRÍTICO</v>
      </c>
      <c r="N2580">
        <v>98.26</v>
      </c>
      <c r="O2580">
        <v>26.666666666666671</v>
      </c>
    </row>
    <row r="2581" spans="1:15" x14ac:dyDescent="0.25">
      <c r="A2581" s="11">
        <v>46083</v>
      </c>
      <c r="B2581" t="s">
        <v>19</v>
      </c>
      <c r="C2581" t="s">
        <v>20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 t="shared" si="86"/>
        <v>20</v>
      </c>
      <c r="J2581" s="3">
        <f t="shared" si="87"/>
        <v>16</v>
      </c>
      <c r="K2581" s="3">
        <f t="shared" si="88"/>
        <v>4</v>
      </c>
      <c r="L2581" s="3" t="str">
        <f t="shared" si="89"/>
        <v>BOM</v>
      </c>
      <c r="N2581">
        <v>98.2</v>
      </c>
      <c r="O2581">
        <v>23.37962962962963</v>
      </c>
    </row>
    <row r="2582" spans="1:15" x14ac:dyDescent="0.25">
      <c r="A2582" s="11">
        <v>46083</v>
      </c>
      <c r="B2582" t="s">
        <v>21</v>
      </c>
      <c r="C2582" t="s">
        <v>18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 t="shared" si="86"/>
        <v>24</v>
      </c>
      <c r="J2582" s="3">
        <f t="shared" si="87"/>
        <v>25</v>
      </c>
      <c r="K2582" s="3">
        <f t="shared" si="88"/>
        <v>-1</v>
      </c>
      <c r="L2582" s="3" t="str">
        <f t="shared" si="89"/>
        <v>ATENÇÃO</v>
      </c>
      <c r="N2582">
        <v>97.3</v>
      </c>
      <c r="O2582">
        <v>23.84769539078156</v>
      </c>
    </row>
    <row r="2583" spans="1:15" x14ac:dyDescent="0.25">
      <c r="A2583" s="11">
        <v>46083</v>
      </c>
      <c r="B2583" t="s">
        <v>22</v>
      </c>
      <c r="C2583" t="s">
        <v>23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f t="shared" si="86"/>
        <v>0</v>
      </c>
      <c r="J2583" s="3">
        <f t="shared" si="87"/>
        <v>7</v>
      </c>
      <c r="K2583" s="3">
        <f t="shared" si="88"/>
        <v>-7</v>
      </c>
      <c r="L2583" s="3" t="str">
        <f t="shared" si="89"/>
        <v>CRÍTICO</v>
      </c>
      <c r="N2583">
        <v>100</v>
      </c>
      <c r="O2583">
        <v>25.268817204301079</v>
      </c>
    </row>
    <row r="2584" spans="1:15" x14ac:dyDescent="0.25">
      <c r="A2584" s="11">
        <v>46083</v>
      </c>
      <c r="B2584" t="s">
        <v>24</v>
      </c>
      <c r="C2584" t="s">
        <v>16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 t="shared" si="86"/>
        <v>48</v>
      </c>
      <c r="J2584" s="3">
        <f t="shared" si="87"/>
        <v>20</v>
      </c>
      <c r="K2584" s="3">
        <f t="shared" si="88"/>
        <v>28</v>
      </c>
      <c r="L2584" s="3" t="str">
        <f t="shared" si="89"/>
        <v>EXCELENTE</v>
      </c>
      <c r="N2584">
        <v>99.32</v>
      </c>
      <c r="O2584">
        <v>22.822822822822818</v>
      </c>
    </row>
    <row r="2585" spans="1:15" x14ac:dyDescent="0.25">
      <c r="A2585" s="11">
        <v>46083</v>
      </c>
      <c r="B2585" t="s">
        <v>25</v>
      </c>
      <c r="C2585" t="s">
        <v>16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 t="shared" si="86"/>
        <v>20</v>
      </c>
      <c r="J2585" s="3">
        <f t="shared" si="87"/>
        <v>20</v>
      </c>
      <c r="K2585" s="3">
        <f t="shared" si="88"/>
        <v>0</v>
      </c>
      <c r="L2585" s="3" t="str">
        <f t="shared" si="89"/>
        <v>BOM</v>
      </c>
      <c r="N2585">
        <v>100</v>
      </c>
      <c r="O2585">
        <v>27.966101694915249</v>
      </c>
    </row>
    <row r="2586" spans="1:15" x14ac:dyDescent="0.25">
      <c r="A2586" s="11">
        <v>46083</v>
      </c>
      <c r="B2586" t="s">
        <v>26</v>
      </c>
      <c r="C2586" t="s">
        <v>23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f t="shared" si="86"/>
        <v>0</v>
      </c>
      <c r="J2586" s="3">
        <f t="shared" si="87"/>
        <v>7</v>
      </c>
      <c r="K2586" s="3">
        <f t="shared" si="88"/>
        <v>-7</v>
      </c>
      <c r="L2586" s="3" t="str">
        <f t="shared" si="89"/>
        <v>CRÍTICO</v>
      </c>
      <c r="N2586">
        <v>100</v>
      </c>
      <c r="O2586">
        <v>30.434782608695659</v>
      </c>
    </row>
    <row r="2587" spans="1:15" x14ac:dyDescent="0.25">
      <c r="A2587" s="11">
        <v>46083</v>
      </c>
      <c r="B2587" t="s">
        <v>27</v>
      </c>
      <c r="C2587" t="s">
        <v>20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 t="shared" si="86"/>
        <v>21</v>
      </c>
      <c r="J2587" s="3">
        <f t="shared" si="87"/>
        <v>16</v>
      </c>
      <c r="K2587" s="3">
        <f t="shared" si="88"/>
        <v>5</v>
      </c>
      <c r="L2587" s="3" t="str">
        <f t="shared" si="89"/>
        <v>BOM</v>
      </c>
      <c r="N2587">
        <v>96.51</v>
      </c>
      <c r="O2587">
        <v>22.802850356294542</v>
      </c>
    </row>
    <row r="2588" spans="1:15" x14ac:dyDescent="0.25">
      <c r="A2588" s="11">
        <v>46083</v>
      </c>
      <c r="B2588" t="s">
        <v>28</v>
      </c>
      <c r="C2588" t="s">
        <v>18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 t="shared" si="86"/>
        <v>37</v>
      </c>
      <c r="J2588" s="3">
        <f t="shared" si="87"/>
        <v>25</v>
      </c>
      <c r="K2588" s="3">
        <f t="shared" si="88"/>
        <v>12</v>
      </c>
      <c r="L2588" s="3" t="str">
        <f t="shared" si="89"/>
        <v>EXCELENTE</v>
      </c>
      <c r="N2588">
        <v>92.68</v>
      </c>
      <c r="O2588">
        <v>27.777777777777779</v>
      </c>
    </row>
    <row r="2589" spans="1:15" x14ac:dyDescent="0.25">
      <c r="A2589" s="11">
        <v>46083</v>
      </c>
      <c r="B2589" t="s">
        <v>29</v>
      </c>
      <c r="C2589" t="s">
        <v>16</v>
      </c>
      <c r="D2589">
        <v>0</v>
      </c>
      <c r="E2589">
        <v>0</v>
      </c>
      <c r="F2589">
        <v>0</v>
      </c>
      <c r="G2589">
        <v>0</v>
      </c>
      <c r="H2589">
        <v>0</v>
      </c>
      <c r="I2589" s="3">
        <f t="shared" si="86"/>
        <v>0</v>
      </c>
      <c r="J2589" s="3">
        <f t="shared" si="87"/>
        <v>20</v>
      </c>
      <c r="K2589" s="3">
        <f t="shared" si="88"/>
        <v>-20</v>
      </c>
      <c r="L2589" s="3" t="str">
        <f t="shared" si="89"/>
        <v>CRÍTICO</v>
      </c>
      <c r="N2589">
        <v>99.03</v>
      </c>
      <c r="O2589">
        <v>23.991507430997881</v>
      </c>
    </row>
    <row r="2590" spans="1:15" x14ac:dyDescent="0.25">
      <c r="A2590" s="11">
        <v>46083</v>
      </c>
      <c r="B2590" t="s">
        <v>30</v>
      </c>
      <c r="C2590" t="s">
        <v>20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 t="shared" si="86"/>
        <v>6</v>
      </c>
      <c r="J2590" s="3">
        <f t="shared" si="87"/>
        <v>16</v>
      </c>
      <c r="K2590" s="3">
        <f t="shared" si="88"/>
        <v>-10</v>
      </c>
      <c r="L2590" s="3" t="str">
        <f t="shared" si="89"/>
        <v>CRÍTICO</v>
      </c>
      <c r="N2590">
        <v>98.41</v>
      </c>
      <c r="O2590">
        <v>28.138528138528141</v>
      </c>
    </row>
    <row r="2591" spans="1:15" x14ac:dyDescent="0.25">
      <c r="A2591" s="11">
        <v>46083</v>
      </c>
      <c r="B2591" t="s">
        <v>31</v>
      </c>
      <c r="C2591" t="s">
        <v>18</v>
      </c>
      <c r="D2591">
        <v>0</v>
      </c>
      <c r="E2591">
        <v>0</v>
      </c>
      <c r="F2591">
        <v>0</v>
      </c>
      <c r="G2591">
        <v>0</v>
      </c>
      <c r="H2591">
        <v>0</v>
      </c>
      <c r="I2591" s="3">
        <f t="shared" si="86"/>
        <v>0</v>
      </c>
      <c r="J2591" s="3">
        <f t="shared" si="87"/>
        <v>25</v>
      </c>
      <c r="K2591" s="3">
        <f t="shared" si="88"/>
        <v>-25</v>
      </c>
      <c r="L2591" s="3" t="str">
        <f t="shared" si="89"/>
        <v>CRÍTICO</v>
      </c>
      <c r="N2591">
        <v>98.73</v>
      </c>
      <c r="O2591">
        <v>29.142857142857139</v>
      </c>
    </row>
    <row r="2592" spans="1:15" x14ac:dyDescent="0.25">
      <c r="A2592" s="11">
        <v>46083</v>
      </c>
      <c r="B2592" t="s">
        <v>32</v>
      </c>
      <c r="C2592" t="s">
        <v>23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 t="shared" si="86"/>
        <v>8</v>
      </c>
      <c r="J2592" s="3">
        <f t="shared" si="87"/>
        <v>7</v>
      </c>
      <c r="K2592" s="3">
        <f t="shared" si="88"/>
        <v>1</v>
      </c>
      <c r="L2592" s="3" t="str">
        <f t="shared" si="89"/>
        <v>BOM</v>
      </c>
      <c r="N2592">
        <v>90.48</v>
      </c>
      <c r="O2592">
        <v>20.68965517241379</v>
      </c>
    </row>
    <row r="2593" spans="1:15" x14ac:dyDescent="0.25">
      <c r="A2593" s="11">
        <v>46083</v>
      </c>
      <c r="B2593" t="s">
        <v>33</v>
      </c>
      <c r="C2593" t="s">
        <v>16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 t="shared" si="86"/>
        <v>38</v>
      </c>
      <c r="J2593" s="3">
        <f t="shared" si="87"/>
        <v>20</v>
      </c>
      <c r="K2593" s="3">
        <f t="shared" si="88"/>
        <v>18</v>
      </c>
      <c r="L2593" s="3" t="str">
        <f t="shared" si="89"/>
        <v>EXCELENTE</v>
      </c>
      <c r="N2593">
        <v>98.06</v>
      </c>
      <c r="O2593">
        <v>24.789915966386559</v>
      </c>
    </row>
    <row r="2594" spans="1:15" x14ac:dyDescent="0.25">
      <c r="A2594" s="11">
        <v>46083</v>
      </c>
      <c r="B2594" t="s">
        <v>34</v>
      </c>
      <c r="C2594" t="s">
        <v>18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 t="shared" si="86"/>
        <v>29</v>
      </c>
      <c r="J2594" s="3">
        <f t="shared" si="87"/>
        <v>25</v>
      </c>
      <c r="K2594" s="3">
        <f t="shared" si="88"/>
        <v>4</v>
      </c>
      <c r="L2594" s="3" t="str">
        <f t="shared" si="89"/>
        <v>BOM</v>
      </c>
      <c r="N2594">
        <v>97.78</v>
      </c>
      <c r="O2594">
        <v>25.494071146245059</v>
      </c>
    </row>
    <row r="2595" spans="1:15" x14ac:dyDescent="0.25">
      <c r="A2595" s="11">
        <v>46083</v>
      </c>
      <c r="B2595" t="s">
        <v>35</v>
      </c>
      <c r="C2595" t="s">
        <v>16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 t="shared" si="86"/>
        <v>25</v>
      </c>
      <c r="J2595" s="3">
        <f t="shared" si="87"/>
        <v>20</v>
      </c>
      <c r="K2595" s="3">
        <f t="shared" si="88"/>
        <v>5</v>
      </c>
      <c r="L2595" s="3" t="str">
        <f t="shared" si="89"/>
        <v>BOM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36</v>
      </c>
      <c r="C2596" t="s">
        <v>20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f t="shared" ref="I2579:I2642" si="90">E2596+G2596+H2596</f>
        <v>0</v>
      </c>
      <c r="J2596" s="3">
        <f t="shared" ref="J2579:J2642" si="91"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0</v>
      </c>
      <c r="K2596" s="3">
        <f t="shared" ref="K2579:K2642" si="92">I2596-J2596</f>
        <v>0</v>
      </c>
      <c r="L2596" s="3" t="str">
        <f t="shared" ref="L2579:L2642" si="93">IF(K2596&lt;-5,"CRÍTICO",IF(K2596&lt;0,"ATENÇÃO",IF(K2596&lt;=5,"OPORTUNO","MUITO BOM")))</f>
        <v>OPORTUNO</v>
      </c>
      <c r="N2596">
        <v>99.28</v>
      </c>
      <c r="O2596">
        <v>27.689243027888441</v>
      </c>
    </row>
    <row r="2597" spans="1:15" x14ac:dyDescent="0.25">
      <c r="A2597" s="11">
        <v>46083</v>
      </c>
      <c r="B2597" t="s">
        <v>37</v>
      </c>
      <c r="C2597" t="s">
        <v>16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 t="shared" si="90"/>
        <v>20</v>
      </c>
      <c r="J2597" s="3">
        <f t="shared" si="91"/>
        <v>20</v>
      </c>
      <c r="K2597" s="3">
        <f t="shared" si="92"/>
        <v>0</v>
      </c>
      <c r="L2597" s="3" t="str">
        <f t="shared" ref="L2597:L2639" si="94">IF(K2597&lt;-5,"CRÍTICO",IF(K2597&lt;0,"ATENÇÃO",IF(K2597&lt;=5,"BOM","EXCELENTE")))</f>
        <v>BOM</v>
      </c>
      <c r="N2597">
        <v>100</v>
      </c>
      <c r="O2597">
        <v>27.04918032786885</v>
      </c>
    </row>
    <row r="2598" spans="1:15" x14ac:dyDescent="0.25">
      <c r="A2598" s="11">
        <v>46083</v>
      </c>
      <c r="B2598" t="s">
        <v>38</v>
      </c>
      <c r="C2598" t="s">
        <v>18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 t="shared" si="90"/>
        <v>35</v>
      </c>
      <c r="J2598" s="3">
        <f t="shared" si="91"/>
        <v>25</v>
      </c>
      <c r="K2598" s="3">
        <f t="shared" si="92"/>
        <v>10</v>
      </c>
      <c r="L2598" s="3" t="str">
        <f t="shared" si="94"/>
        <v>EXCELENTE</v>
      </c>
      <c r="N2598">
        <v>97.83</v>
      </c>
      <c r="O2598">
        <v>26.315789473684209</v>
      </c>
    </row>
    <row r="2599" spans="1:15" x14ac:dyDescent="0.25">
      <c r="A2599" s="11">
        <v>46083</v>
      </c>
      <c r="B2599" t="s">
        <v>39</v>
      </c>
      <c r="C2599" t="s">
        <v>18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 t="shared" si="90"/>
        <v>12</v>
      </c>
      <c r="J2599" s="3">
        <f t="shared" si="91"/>
        <v>25</v>
      </c>
      <c r="K2599" s="3">
        <f t="shared" si="92"/>
        <v>-13</v>
      </c>
      <c r="L2599" s="3" t="str">
        <f t="shared" si="94"/>
        <v>CRÍTICO</v>
      </c>
      <c r="N2599">
        <v>100</v>
      </c>
      <c r="O2599">
        <v>26.701570680628269</v>
      </c>
    </row>
    <row r="2600" spans="1:15" x14ac:dyDescent="0.25">
      <c r="A2600" s="11">
        <v>46083</v>
      </c>
      <c r="B2600" t="s">
        <v>40</v>
      </c>
      <c r="C2600" t="s">
        <v>16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 t="shared" si="90"/>
        <v>19</v>
      </c>
      <c r="J2600" s="3">
        <f t="shared" si="91"/>
        <v>20</v>
      </c>
      <c r="K2600" s="3">
        <f t="shared" si="92"/>
        <v>-1</v>
      </c>
      <c r="L2600" s="3" t="str">
        <f t="shared" si="94"/>
        <v>ATENÇÃO</v>
      </c>
      <c r="N2600">
        <v>97.47</v>
      </c>
      <c r="O2600">
        <v>22.887323943661968</v>
      </c>
    </row>
    <row r="2601" spans="1:15" x14ac:dyDescent="0.25">
      <c r="A2601" s="11">
        <v>46083</v>
      </c>
      <c r="B2601" t="s">
        <v>41</v>
      </c>
      <c r="C2601" t="s">
        <v>18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f t="shared" si="90"/>
        <v>0</v>
      </c>
      <c r="J2601" s="3">
        <f t="shared" si="91"/>
        <v>25</v>
      </c>
      <c r="K2601" s="3">
        <f t="shared" si="92"/>
        <v>-25</v>
      </c>
      <c r="L2601" s="3" t="str">
        <f t="shared" si="94"/>
        <v>CRÍTICO</v>
      </c>
      <c r="N2601">
        <v>0</v>
      </c>
      <c r="O2601">
        <v>0</v>
      </c>
    </row>
    <row r="2602" spans="1:15" x14ac:dyDescent="0.25">
      <c r="A2602" s="11">
        <v>46083</v>
      </c>
      <c r="B2602" t="s">
        <v>42</v>
      </c>
      <c r="C2602" t="s">
        <v>43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 t="shared" si="90"/>
        <v>17</v>
      </c>
      <c r="J2602" s="3">
        <f t="shared" si="91"/>
        <v>14</v>
      </c>
      <c r="K2602" s="3">
        <f t="shared" si="92"/>
        <v>3</v>
      </c>
      <c r="L2602" s="3" t="str">
        <f t="shared" si="94"/>
        <v>BOM</v>
      </c>
      <c r="N2602">
        <v>98.31</v>
      </c>
      <c r="O2602">
        <v>24.920127795527151</v>
      </c>
    </row>
    <row r="2603" spans="1:15" x14ac:dyDescent="0.25">
      <c r="A2603" s="11">
        <v>46083</v>
      </c>
      <c r="B2603" t="s">
        <v>44</v>
      </c>
      <c r="C2603" t="s">
        <v>18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 t="shared" si="90"/>
        <v>20</v>
      </c>
      <c r="J2603" s="3">
        <f t="shared" si="91"/>
        <v>25</v>
      </c>
      <c r="K2603" s="3">
        <f t="shared" si="92"/>
        <v>-5</v>
      </c>
      <c r="L2603" s="3" t="str">
        <f t="shared" si="94"/>
        <v>ATENÇÃO</v>
      </c>
      <c r="N2603">
        <v>96.81</v>
      </c>
      <c r="O2603">
        <v>32.365145228215773</v>
      </c>
    </row>
    <row r="2604" spans="1:15" x14ac:dyDescent="0.25">
      <c r="A2604" s="11">
        <v>46083</v>
      </c>
      <c r="B2604" t="s">
        <v>45</v>
      </c>
      <c r="C2604" t="s">
        <v>43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f t="shared" si="90"/>
        <v>0</v>
      </c>
      <c r="J2604" s="3">
        <f t="shared" si="91"/>
        <v>14</v>
      </c>
      <c r="K2604" s="3">
        <f t="shared" si="92"/>
        <v>-14</v>
      </c>
      <c r="L2604" s="3" t="str">
        <f t="shared" si="94"/>
        <v>CRÍTICO</v>
      </c>
      <c r="N2604">
        <v>100</v>
      </c>
      <c r="O2604">
        <v>26.47058823529412</v>
      </c>
    </row>
    <row r="2605" spans="1:15" x14ac:dyDescent="0.25">
      <c r="A2605" s="11">
        <v>46083</v>
      </c>
      <c r="B2605" t="s">
        <v>46</v>
      </c>
      <c r="C2605" t="s">
        <v>18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 t="shared" si="90"/>
        <v>22</v>
      </c>
      <c r="J2605" s="3">
        <f t="shared" si="91"/>
        <v>25</v>
      </c>
      <c r="K2605" s="3">
        <f t="shared" si="92"/>
        <v>-3</v>
      </c>
      <c r="L2605" s="3" t="str">
        <f t="shared" si="94"/>
        <v>ATENÇÃO</v>
      </c>
      <c r="N2605">
        <v>100</v>
      </c>
      <c r="O2605">
        <v>28.490028490028489</v>
      </c>
    </row>
    <row r="2606" spans="1:15" x14ac:dyDescent="0.25">
      <c r="A2606" s="11">
        <v>46083</v>
      </c>
      <c r="B2606" t="s">
        <v>47</v>
      </c>
      <c r="C2606" t="s">
        <v>16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 t="shared" si="90"/>
        <v>25</v>
      </c>
      <c r="J2606" s="3">
        <f t="shared" si="91"/>
        <v>20</v>
      </c>
      <c r="K2606" s="3">
        <f t="shared" si="92"/>
        <v>5</v>
      </c>
      <c r="L2606" s="3" t="str">
        <f t="shared" si="94"/>
        <v>BOM</v>
      </c>
      <c r="N2606">
        <v>99.14</v>
      </c>
      <c r="O2606">
        <v>27.2289156626506</v>
      </c>
    </row>
    <row r="2607" spans="1:15" x14ac:dyDescent="0.25">
      <c r="A2607" s="11">
        <v>46083</v>
      </c>
      <c r="B2607" t="s">
        <v>48</v>
      </c>
      <c r="C2607" t="s">
        <v>16</v>
      </c>
      <c r="D2607">
        <v>0</v>
      </c>
      <c r="E2607">
        <v>0</v>
      </c>
      <c r="F2607">
        <v>0</v>
      </c>
      <c r="G2607">
        <v>0</v>
      </c>
      <c r="H2607">
        <v>0</v>
      </c>
      <c r="I2607" s="3">
        <f t="shared" si="90"/>
        <v>0</v>
      </c>
      <c r="J2607" s="3">
        <f t="shared" si="91"/>
        <v>20</v>
      </c>
      <c r="K2607" s="3">
        <f t="shared" si="92"/>
        <v>-20</v>
      </c>
      <c r="L2607" s="3" t="str">
        <f t="shared" si="94"/>
        <v>CRÍTICO</v>
      </c>
      <c r="N2607">
        <v>97.52</v>
      </c>
      <c r="O2607">
        <v>28.205128205128201</v>
      </c>
    </row>
    <row r="2608" spans="1:15" x14ac:dyDescent="0.25">
      <c r="A2608" s="11">
        <v>46083</v>
      </c>
      <c r="B2608" t="s">
        <v>49</v>
      </c>
      <c r="C2608" t="s">
        <v>18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 t="shared" si="90"/>
        <v>28</v>
      </c>
      <c r="J2608" s="3">
        <f t="shared" si="91"/>
        <v>25</v>
      </c>
      <c r="K2608" s="3">
        <f t="shared" si="92"/>
        <v>3</v>
      </c>
      <c r="L2608" s="3" t="str">
        <f t="shared" si="94"/>
        <v>BOM</v>
      </c>
      <c r="N2608">
        <v>90</v>
      </c>
      <c r="O2608">
        <v>24.186046511627911</v>
      </c>
    </row>
    <row r="2609" spans="1:15" x14ac:dyDescent="0.25">
      <c r="A2609" s="11">
        <v>46083</v>
      </c>
      <c r="B2609" t="s">
        <v>50</v>
      </c>
      <c r="C2609" t="s">
        <v>20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 t="shared" si="90"/>
        <v>28</v>
      </c>
      <c r="J2609" s="3">
        <f t="shared" si="91"/>
        <v>16</v>
      </c>
      <c r="K2609" s="3">
        <f t="shared" si="92"/>
        <v>12</v>
      </c>
      <c r="L2609" s="3" t="str">
        <f t="shared" si="94"/>
        <v>EXCELENTE</v>
      </c>
      <c r="N2609">
        <v>98.9</v>
      </c>
      <c r="O2609">
        <v>26.763990267639901</v>
      </c>
    </row>
    <row r="2610" spans="1:15" x14ac:dyDescent="0.25">
      <c r="A2610" s="11">
        <v>46083</v>
      </c>
      <c r="B2610" t="s">
        <v>51</v>
      </c>
      <c r="C2610" t="s">
        <v>23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 t="shared" si="90"/>
        <v>14</v>
      </c>
      <c r="J2610" s="3">
        <f t="shared" si="91"/>
        <v>7</v>
      </c>
      <c r="K2610" s="3">
        <f t="shared" si="92"/>
        <v>7</v>
      </c>
      <c r="L2610" s="3" t="str">
        <f t="shared" si="94"/>
        <v>EXCELENTE</v>
      </c>
      <c r="N2610">
        <v>88.89</v>
      </c>
      <c r="O2610">
        <v>25.263157894736839</v>
      </c>
    </row>
    <row r="2611" spans="1:15" x14ac:dyDescent="0.25">
      <c r="A2611" s="11">
        <v>46083</v>
      </c>
      <c r="B2611" t="s">
        <v>52</v>
      </c>
      <c r="C2611" t="s">
        <v>18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 t="shared" si="90"/>
        <v>38</v>
      </c>
      <c r="J2611" s="3">
        <f t="shared" si="91"/>
        <v>25</v>
      </c>
      <c r="K2611" s="3">
        <f t="shared" si="92"/>
        <v>13</v>
      </c>
      <c r="L2611" s="3" t="str">
        <f t="shared" si="94"/>
        <v>EXCELENTE</v>
      </c>
      <c r="N2611">
        <v>98.86</v>
      </c>
      <c r="O2611">
        <v>28.959276018099551</v>
      </c>
    </row>
    <row r="2612" spans="1:15" x14ac:dyDescent="0.25">
      <c r="A2612" s="11">
        <v>46083</v>
      </c>
      <c r="B2612" t="s">
        <v>53</v>
      </c>
      <c r="C2612" t="s">
        <v>18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 t="shared" si="90"/>
        <v>32</v>
      </c>
      <c r="J2612" s="3">
        <f t="shared" si="91"/>
        <v>25</v>
      </c>
      <c r="K2612" s="3">
        <f t="shared" si="92"/>
        <v>7</v>
      </c>
      <c r="L2612" s="3" t="str">
        <f t="shared" si="94"/>
        <v>EXCELENTE</v>
      </c>
      <c r="N2612">
        <v>98.06</v>
      </c>
      <c r="O2612">
        <v>22.40566037735849</v>
      </c>
    </row>
    <row r="2613" spans="1:15" x14ac:dyDescent="0.25">
      <c r="A2613" s="11">
        <v>46083</v>
      </c>
      <c r="B2613" t="s">
        <v>54</v>
      </c>
      <c r="C2613" t="s">
        <v>23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 t="shared" si="90"/>
        <v>6</v>
      </c>
      <c r="J2613" s="3">
        <f t="shared" si="91"/>
        <v>7</v>
      </c>
      <c r="K2613" s="3">
        <f t="shared" si="92"/>
        <v>-1</v>
      </c>
      <c r="L2613" s="3" t="str">
        <f t="shared" si="94"/>
        <v>ATENÇÃO</v>
      </c>
      <c r="N2613">
        <v>95.83</v>
      </c>
      <c r="O2613">
        <v>25.773195876288661</v>
      </c>
    </row>
    <row r="2614" spans="1:15" x14ac:dyDescent="0.25">
      <c r="A2614" s="11">
        <v>46083</v>
      </c>
      <c r="B2614" t="s">
        <v>55</v>
      </c>
      <c r="C2614" t="s">
        <v>43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f t="shared" si="90"/>
        <v>0</v>
      </c>
      <c r="J2614" s="3">
        <f t="shared" si="91"/>
        <v>14</v>
      </c>
      <c r="K2614" s="3">
        <f t="shared" si="92"/>
        <v>-14</v>
      </c>
      <c r="L2614" s="3" t="str">
        <f t="shared" si="94"/>
        <v>CRÍTICO</v>
      </c>
      <c r="N2614">
        <v>100</v>
      </c>
      <c r="O2614">
        <v>15.38461538461539</v>
      </c>
    </row>
    <row r="2615" spans="1:15" x14ac:dyDescent="0.25">
      <c r="A2615" s="11">
        <v>46083</v>
      </c>
      <c r="B2615" t="s">
        <v>56</v>
      </c>
      <c r="C2615" t="s">
        <v>16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 t="shared" si="90"/>
        <v>18</v>
      </c>
      <c r="J2615" s="3">
        <f t="shared" si="91"/>
        <v>20</v>
      </c>
      <c r="K2615" s="3">
        <f t="shared" si="92"/>
        <v>-2</v>
      </c>
      <c r="L2615" s="3" t="str">
        <f t="shared" si="94"/>
        <v>ATENÇÃO</v>
      </c>
      <c r="N2615">
        <v>100</v>
      </c>
      <c r="O2615">
        <v>27.514792899408281</v>
      </c>
    </row>
    <row r="2616" spans="1:15" x14ac:dyDescent="0.25">
      <c r="A2616" s="11">
        <v>46083</v>
      </c>
      <c r="B2616" t="s">
        <v>57</v>
      </c>
      <c r="C2616" t="s">
        <v>43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f t="shared" si="90"/>
        <v>0</v>
      </c>
      <c r="J2616" s="3">
        <f t="shared" si="91"/>
        <v>14</v>
      </c>
      <c r="K2616" s="3">
        <f t="shared" si="92"/>
        <v>-14</v>
      </c>
      <c r="L2616" s="3" t="str">
        <f t="shared" si="94"/>
        <v>CRÍTICO</v>
      </c>
      <c r="N2616">
        <v>100</v>
      </c>
      <c r="O2616">
        <v>24.875621890547269</v>
      </c>
    </row>
    <row r="2617" spans="1:15" x14ac:dyDescent="0.25">
      <c r="A2617" s="11">
        <v>46083</v>
      </c>
      <c r="B2617" t="s">
        <v>58</v>
      </c>
      <c r="C2617" t="s">
        <v>43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f t="shared" si="90"/>
        <v>0</v>
      </c>
      <c r="J2617" s="3">
        <f t="shared" si="91"/>
        <v>14</v>
      </c>
      <c r="K2617" s="3">
        <f t="shared" si="92"/>
        <v>-14</v>
      </c>
      <c r="L2617" s="3" t="str">
        <f t="shared" si="94"/>
        <v>CRÍTICO</v>
      </c>
      <c r="N2617">
        <v>100</v>
      </c>
      <c r="O2617">
        <v>28.108108108108109</v>
      </c>
    </row>
    <row r="2618" spans="1:15" x14ac:dyDescent="0.25">
      <c r="A2618" s="11">
        <v>46083</v>
      </c>
      <c r="B2618" t="s">
        <v>59</v>
      </c>
      <c r="C2618" t="s">
        <v>23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f t="shared" si="90"/>
        <v>0</v>
      </c>
      <c r="J2618" s="3">
        <f t="shared" si="91"/>
        <v>7</v>
      </c>
      <c r="K2618" s="3">
        <f t="shared" si="92"/>
        <v>-7</v>
      </c>
      <c r="L2618" s="3" t="str">
        <f t="shared" si="94"/>
        <v>CRÍTICO</v>
      </c>
      <c r="N2618">
        <v>100</v>
      </c>
      <c r="O2618">
        <v>35</v>
      </c>
    </row>
    <row r="2619" spans="1:15" x14ac:dyDescent="0.25">
      <c r="A2619" s="11">
        <v>46083</v>
      </c>
      <c r="B2619" t="s">
        <v>60</v>
      </c>
      <c r="C2619" t="s">
        <v>20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 t="shared" si="90"/>
        <v>25</v>
      </c>
      <c r="J2619" s="3">
        <f t="shared" si="91"/>
        <v>16</v>
      </c>
      <c r="K2619" s="3">
        <f t="shared" si="92"/>
        <v>9</v>
      </c>
      <c r="L2619" s="3" t="str">
        <f t="shared" si="94"/>
        <v>EXCELENTE</v>
      </c>
      <c r="N2619">
        <v>95.35</v>
      </c>
      <c r="O2619">
        <v>28.61538461538461</v>
      </c>
    </row>
    <row r="2620" spans="1:15" x14ac:dyDescent="0.25">
      <c r="A2620" s="11">
        <v>46083</v>
      </c>
      <c r="B2620" t="s">
        <v>61</v>
      </c>
      <c r="C2620" t="s">
        <v>18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 t="shared" si="90"/>
        <v>44</v>
      </c>
      <c r="J2620" s="3">
        <f t="shared" si="91"/>
        <v>25</v>
      </c>
      <c r="K2620" s="3">
        <f t="shared" si="92"/>
        <v>19</v>
      </c>
      <c r="L2620" s="3" t="str">
        <f t="shared" si="94"/>
        <v>EXCELENTE</v>
      </c>
      <c r="N2620">
        <v>98.26</v>
      </c>
      <c r="O2620">
        <v>27.54491017964072</v>
      </c>
    </row>
    <row r="2621" spans="1:15" x14ac:dyDescent="0.25">
      <c r="A2621" s="11">
        <v>46083</v>
      </c>
      <c r="B2621" t="s">
        <v>62</v>
      </c>
      <c r="C2621" t="s">
        <v>20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 t="shared" si="90"/>
        <v>9</v>
      </c>
      <c r="J2621" s="3">
        <f t="shared" si="91"/>
        <v>16</v>
      </c>
      <c r="K2621" s="3">
        <f t="shared" si="92"/>
        <v>-7</v>
      </c>
      <c r="L2621" s="3" t="str">
        <f t="shared" si="94"/>
        <v>CRÍTICO</v>
      </c>
      <c r="N2621">
        <v>98.55</v>
      </c>
      <c r="O2621">
        <v>25.337837837837839</v>
      </c>
    </row>
    <row r="2622" spans="1:15" x14ac:dyDescent="0.25">
      <c r="A2622" s="11">
        <v>46083</v>
      </c>
      <c r="B2622" t="s">
        <v>63</v>
      </c>
      <c r="C2622" t="s">
        <v>18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 t="shared" si="90"/>
        <v>35</v>
      </c>
      <c r="J2622" s="3">
        <f t="shared" si="91"/>
        <v>25</v>
      </c>
      <c r="K2622" s="3">
        <f t="shared" si="92"/>
        <v>10</v>
      </c>
      <c r="L2622" s="3" t="str">
        <f t="shared" si="94"/>
        <v>EXCELENTE</v>
      </c>
      <c r="N2622">
        <v>98.39</v>
      </c>
      <c r="O2622">
        <v>25.563909774436091</v>
      </c>
    </row>
    <row r="2623" spans="1:15" x14ac:dyDescent="0.25">
      <c r="A2623" s="11">
        <v>46084</v>
      </c>
      <c r="B2623" t="s">
        <v>15</v>
      </c>
      <c r="C2623" t="s">
        <v>16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 t="shared" si="90"/>
        <v>30</v>
      </c>
      <c r="J2623" s="3">
        <f t="shared" si="91"/>
        <v>20</v>
      </c>
      <c r="K2623" s="3">
        <f t="shared" si="92"/>
        <v>10</v>
      </c>
      <c r="L2623" s="3" t="str">
        <f t="shared" si="94"/>
        <v>EXCELENTE</v>
      </c>
      <c r="N2623">
        <v>94.29</v>
      </c>
      <c r="O2623">
        <v>25.647668393782389</v>
      </c>
    </row>
    <row r="2624" spans="1:15" x14ac:dyDescent="0.25">
      <c r="A2624" s="11">
        <v>46084</v>
      </c>
      <c r="B2624" t="s">
        <v>17</v>
      </c>
      <c r="C2624" t="s">
        <v>18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f t="shared" si="90"/>
        <v>0</v>
      </c>
      <c r="J2624" s="3">
        <f t="shared" si="91"/>
        <v>25</v>
      </c>
      <c r="K2624" s="3">
        <f t="shared" si="92"/>
        <v>-25</v>
      </c>
      <c r="L2624" s="3" t="str">
        <f t="shared" si="94"/>
        <v>CRÍTICO</v>
      </c>
      <c r="N2624">
        <v>98.26</v>
      </c>
      <c r="O2624">
        <v>26.666666666666671</v>
      </c>
    </row>
    <row r="2625" spans="1:15" x14ac:dyDescent="0.25">
      <c r="A2625" s="11">
        <v>46084</v>
      </c>
      <c r="B2625" t="s">
        <v>19</v>
      </c>
      <c r="C2625" t="s">
        <v>20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 t="shared" si="90"/>
        <v>30</v>
      </c>
      <c r="J2625" s="3">
        <f t="shared" si="91"/>
        <v>16</v>
      </c>
      <c r="K2625" s="3">
        <f t="shared" si="92"/>
        <v>14</v>
      </c>
      <c r="L2625" s="3" t="str">
        <f t="shared" si="94"/>
        <v>EXCELENTE</v>
      </c>
      <c r="N2625">
        <v>98.2</v>
      </c>
      <c r="O2625">
        <v>23.37962962962963</v>
      </c>
    </row>
    <row r="2626" spans="1:15" x14ac:dyDescent="0.25">
      <c r="A2626" s="11">
        <v>46084</v>
      </c>
      <c r="B2626" t="s">
        <v>21</v>
      </c>
      <c r="C2626" t="s">
        <v>18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 t="shared" si="90"/>
        <v>24</v>
      </c>
      <c r="J2626" s="3">
        <f t="shared" si="91"/>
        <v>25</v>
      </c>
      <c r="K2626" s="3">
        <f t="shared" si="92"/>
        <v>-1</v>
      </c>
      <c r="L2626" s="3" t="str">
        <f t="shared" si="94"/>
        <v>ATENÇÃO</v>
      </c>
      <c r="N2626">
        <v>97.3</v>
      </c>
      <c r="O2626">
        <v>23.84769539078156</v>
      </c>
    </row>
    <row r="2627" spans="1:15" x14ac:dyDescent="0.25">
      <c r="A2627" s="11">
        <v>46084</v>
      </c>
      <c r="B2627" t="s">
        <v>22</v>
      </c>
      <c r="C2627" t="s">
        <v>23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 t="shared" si="90"/>
        <v>8</v>
      </c>
      <c r="J2627" s="3">
        <f t="shared" si="91"/>
        <v>7</v>
      </c>
      <c r="K2627" s="3">
        <f t="shared" si="92"/>
        <v>1</v>
      </c>
      <c r="L2627" s="3" t="str">
        <f t="shared" si="94"/>
        <v>BOM</v>
      </c>
      <c r="N2627">
        <v>100</v>
      </c>
      <c r="O2627">
        <v>25.268817204301079</v>
      </c>
    </row>
    <row r="2628" spans="1:15" x14ac:dyDescent="0.25">
      <c r="A2628" s="11">
        <v>46084</v>
      </c>
      <c r="B2628" t="s">
        <v>24</v>
      </c>
      <c r="C2628" t="s">
        <v>16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 t="shared" si="90"/>
        <v>25</v>
      </c>
      <c r="J2628" s="3">
        <f t="shared" si="91"/>
        <v>20</v>
      </c>
      <c r="K2628" s="3">
        <f t="shared" si="92"/>
        <v>5</v>
      </c>
      <c r="L2628" s="3" t="str">
        <f t="shared" si="94"/>
        <v>BOM</v>
      </c>
      <c r="N2628">
        <v>99.32</v>
      </c>
      <c r="O2628">
        <v>22.822822822822818</v>
      </c>
    </row>
    <row r="2629" spans="1:15" x14ac:dyDescent="0.25">
      <c r="A2629" s="11">
        <v>46084</v>
      </c>
      <c r="B2629" t="s">
        <v>25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f t="shared" si="90"/>
        <v>0</v>
      </c>
      <c r="J2629" s="3">
        <f t="shared" si="91"/>
        <v>20</v>
      </c>
      <c r="K2629" s="3">
        <f t="shared" si="92"/>
        <v>-20</v>
      </c>
      <c r="L2629" s="3" t="str">
        <f t="shared" si="94"/>
        <v>CRÍTICO</v>
      </c>
      <c r="N2629">
        <v>100</v>
      </c>
      <c r="O2629">
        <v>27.966101694915249</v>
      </c>
    </row>
    <row r="2630" spans="1:15" x14ac:dyDescent="0.25">
      <c r="A2630" s="11">
        <v>46084</v>
      </c>
      <c r="B2630" t="s">
        <v>26</v>
      </c>
      <c r="C2630" t="s">
        <v>23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f t="shared" si="90"/>
        <v>0</v>
      </c>
      <c r="J2630" s="3">
        <f t="shared" si="91"/>
        <v>7</v>
      </c>
      <c r="K2630" s="3">
        <f t="shared" si="92"/>
        <v>-7</v>
      </c>
      <c r="L2630" s="3" t="str">
        <f t="shared" si="94"/>
        <v>CRÍTICO</v>
      </c>
      <c r="N2630">
        <v>100</v>
      </c>
      <c r="O2630">
        <v>30.434782608695659</v>
      </c>
    </row>
    <row r="2631" spans="1:15" x14ac:dyDescent="0.25">
      <c r="A2631" s="11">
        <v>46084</v>
      </c>
      <c r="B2631" t="s">
        <v>27</v>
      </c>
      <c r="C2631" t="s">
        <v>20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 t="shared" si="90"/>
        <v>22</v>
      </c>
      <c r="J2631" s="3">
        <f t="shared" si="91"/>
        <v>16</v>
      </c>
      <c r="K2631" s="3">
        <f t="shared" si="92"/>
        <v>6</v>
      </c>
      <c r="L2631" s="3" t="str">
        <f t="shared" si="94"/>
        <v>EXCELENTE</v>
      </c>
      <c r="N2631">
        <v>96.51</v>
      </c>
      <c r="O2631">
        <v>22.802850356294542</v>
      </c>
    </row>
    <row r="2632" spans="1:15" x14ac:dyDescent="0.25">
      <c r="A2632" s="11">
        <v>46084</v>
      </c>
      <c r="B2632" t="s">
        <v>28</v>
      </c>
      <c r="C2632" t="s">
        <v>18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 t="shared" si="90"/>
        <v>34</v>
      </c>
      <c r="J2632" s="3">
        <f t="shared" si="91"/>
        <v>25</v>
      </c>
      <c r="K2632" s="3">
        <f t="shared" si="92"/>
        <v>9</v>
      </c>
      <c r="L2632" s="3" t="str">
        <f t="shared" si="94"/>
        <v>EXCELENTE</v>
      </c>
      <c r="N2632">
        <v>92.68</v>
      </c>
      <c r="O2632">
        <v>27.777777777777779</v>
      </c>
    </row>
    <row r="2633" spans="1:15" x14ac:dyDescent="0.25">
      <c r="A2633" s="11">
        <v>46084</v>
      </c>
      <c r="B2633" t="s">
        <v>29</v>
      </c>
      <c r="C2633" t="s">
        <v>16</v>
      </c>
      <c r="D2633">
        <v>0</v>
      </c>
      <c r="E2633">
        <v>0</v>
      </c>
      <c r="F2633">
        <v>0</v>
      </c>
      <c r="G2633">
        <v>0</v>
      </c>
      <c r="H2633">
        <v>0</v>
      </c>
      <c r="I2633" s="3">
        <f t="shared" si="90"/>
        <v>0</v>
      </c>
      <c r="J2633" s="3">
        <f t="shared" si="91"/>
        <v>20</v>
      </c>
      <c r="K2633" s="3">
        <f t="shared" si="92"/>
        <v>-20</v>
      </c>
      <c r="L2633" s="3" t="str">
        <f t="shared" si="94"/>
        <v>CRÍTICO</v>
      </c>
      <c r="N2633">
        <v>99.03</v>
      </c>
      <c r="O2633">
        <v>23.991507430997881</v>
      </c>
    </row>
    <row r="2634" spans="1:15" x14ac:dyDescent="0.25">
      <c r="A2634" s="11">
        <v>46084</v>
      </c>
      <c r="B2634" t="s">
        <v>30</v>
      </c>
      <c r="C2634" t="s">
        <v>20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 t="shared" si="90"/>
        <v>34</v>
      </c>
      <c r="J2634" s="3">
        <f t="shared" si="91"/>
        <v>16</v>
      </c>
      <c r="K2634" s="3">
        <f t="shared" si="92"/>
        <v>18</v>
      </c>
      <c r="L2634" s="3" t="str">
        <f t="shared" si="94"/>
        <v>EXCELENTE</v>
      </c>
      <c r="N2634">
        <v>98.41</v>
      </c>
      <c r="O2634">
        <v>28.138528138528141</v>
      </c>
    </row>
    <row r="2635" spans="1:15" x14ac:dyDescent="0.25">
      <c r="A2635" s="11">
        <v>46084</v>
      </c>
      <c r="B2635" t="s">
        <v>31</v>
      </c>
      <c r="C2635" t="s">
        <v>18</v>
      </c>
      <c r="D2635">
        <v>0</v>
      </c>
      <c r="E2635">
        <v>0</v>
      </c>
      <c r="F2635">
        <v>0</v>
      </c>
      <c r="G2635">
        <v>0</v>
      </c>
      <c r="H2635">
        <v>0</v>
      </c>
      <c r="I2635" s="3">
        <f t="shared" si="90"/>
        <v>0</v>
      </c>
      <c r="J2635" s="3">
        <f t="shared" si="91"/>
        <v>25</v>
      </c>
      <c r="K2635" s="3">
        <f t="shared" si="92"/>
        <v>-25</v>
      </c>
      <c r="L2635" s="3" t="str">
        <f t="shared" si="94"/>
        <v>CRÍTICO</v>
      </c>
      <c r="N2635">
        <v>98.73</v>
      </c>
      <c r="O2635">
        <v>29.142857142857139</v>
      </c>
    </row>
    <row r="2636" spans="1:15" x14ac:dyDescent="0.25">
      <c r="A2636" s="11">
        <v>46084</v>
      </c>
      <c r="B2636" t="s">
        <v>32</v>
      </c>
      <c r="C2636" t="s">
        <v>23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 t="shared" si="90"/>
        <v>5</v>
      </c>
      <c r="J2636" s="3">
        <f t="shared" si="91"/>
        <v>7</v>
      </c>
      <c r="K2636" s="3">
        <f t="shared" si="92"/>
        <v>-2</v>
      </c>
      <c r="L2636" s="3" t="str">
        <f t="shared" si="94"/>
        <v>ATENÇÃO</v>
      </c>
      <c r="N2636">
        <v>90.48</v>
      </c>
      <c r="O2636">
        <v>20.68965517241379</v>
      </c>
    </row>
    <row r="2637" spans="1:15" x14ac:dyDescent="0.25">
      <c r="A2637" s="11">
        <v>46084</v>
      </c>
      <c r="B2637" t="s">
        <v>33</v>
      </c>
      <c r="C2637" t="s">
        <v>16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 t="shared" si="90"/>
        <v>43</v>
      </c>
      <c r="J2637" s="3">
        <f t="shared" si="91"/>
        <v>20</v>
      </c>
      <c r="K2637" s="3">
        <f t="shared" si="92"/>
        <v>23</v>
      </c>
      <c r="L2637" s="3" t="str">
        <f t="shared" si="94"/>
        <v>EXCELENTE</v>
      </c>
      <c r="N2637">
        <v>98.06</v>
      </c>
      <c r="O2637">
        <v>24.789915966386559</v>
      </c>
    </row>
    <row r="2638" spans="1:15" x14ac:dyDescent="0.25">
      <c r="A2638" s="11">
        <v>46084</v>
      </c>
      <c r="B2638" t="s">
        <v>34</v>
      </c>
      <c r="C2638" t="s">
        <v>18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 t="shared" si="90"/>
        <v>18</v>
      </c>
      <c r="J2638" s="3">
        <f t="shared" si="91"/>
        <v>25</v>
      </c>
      <c r="K2638" s="3">
        <f t="shared" si="92"/>
        <v>-7</v>
      </c>
      <c r="L2638" s="3" t="str">
        <f t="shared" si="94"/>
        <v>CRÍTICO</v>
      </c>
      <c r="N2638">
        <v>97.78</v>
      </c>
      <c r="O2638">
        <v>25.494071146245059</v>
      </c>
    </row>
    <row r="2639" spans="1:15" x14ac:dyDescent="0.25">
      <c r="A2639" s="11">
        <v>46084</v>
      </c>
      <c r="B2639" t="s">
        <v>35</v>
      </c>
      <c r="C2639" t="s">
        <v>16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 t="shared" si="90"/>
        <v>34</v>
      </c>
      <c r="J2639" s="3">
        <f t="shared" si="91"/>
        <v>20</v>
      </c>
      <c r="K2639" s="3">
        <f t="shared" si="92"/>
        <v>14</v>
      </c>
      <c r="L2639" s="3" t="str">
        <f t="shared" si="94"/>
        <v>EXCELENTE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36</v>
      </c>
      <c r="C2640" t="s">
        <v>20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 t="shared" si="90"/>
        <v>26</v>
      </c>
      <c r="J2640" s="3">
        <f t="shared" si="91"/>
        <v>19</v>
      </c>
      <c r="K2640" s="3">
        <f t="shared" si="92"/>
        <v>7</v>
      </c>
      <c r="L2640" s="3" t="str">
        <f t="shared" si="93"/>
        <v>MUITO BOM</v>
      </c>
      <c r="N2640">
        <v>99.28</v>
      </c>
      <c r="O2640">
        <v>27.689243027888441</v>
      </c>
    </row>
    <row r="2641" spans="1:15" x14ac:dyDescent="0.25">
      <c r="A2641" s="11">
        <v>46084</v>
      </c>
      <c r="B2641" t="s">
        <v>37</v>
      </c>
      <c r="C2641" t="s">
        <v>16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 t="shared" si="90"/>
        <v>31</v>
      </c>
      <c r="J2641" s="3">
        <f t="shared" si="91"/>
        <v>20</v>
      </c>
      <c r="K2641" s="3">
        <f t="shared" si="92"/>
        <v>11</v>
      </c>
      <c r="L2641" s="3" t="str">
        <f t="shared" ref="L2641:L2683" si="95">IF(K2641&lt;-5,"CRÍTICO",IF(K2641&lt;0,"ATENÇÃO",IF(K2641&lt;=5,"BOM","EXCELENTE")))</f>
        <v>EXCELENTE</v>
      </c>
      <c r="N2641">
        <v>100</v>
      </c>
      <c r="O2641">
        <v>27.04918032786885</v>
      </c>
    </row>
    <row r="2642" spans="1:15" x14ac:dyDescent="0.25">
      <c r="A2642" s="11">
        <v>46084</v>
      </c>
      <c r="B2642" t="s">
        <v>38</v>
      </c>
      <c r="C2642" t="s">
        <v>18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 t="shared" si="90"/>
        <v>42</v>
      </c>
      <c r="J2642" s="3">
        <f t="shared" si="91"/>
        <v>25</v>
      </c>
      <c r="K2642" s="3">
        <f t="shared" si="92"/>
        <v>17</v>
      </c>
      <c r="L2642" s="3" t="str">
        <f t="shared" si="95"/>
        <v>EXCELENTE</v>
      </c>
      <c r="N2642">
        <v>97.83</v>
      </c>
      <c r="O2642">
        <v>26.315789473684209</v>
      </c>
    </row>
    <row r="2643" spans="1:15" x14ac:dyDescent="0.25">
      <c r="A2643" s="11">
        <v>46084</v>
      </c>
      <c r="B2643" t="s">
        <v>39</v>
      </c>
      <c r="C2643" t="s">
        <v>18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 t="shared" ref="I2643:I2683" si="96">E2643+G2643+H2643</f>
        <v>3</v>
      </c>
      <c r="J2643" s="3">
        <f t="shared" ref="J2643:J2683" si="97"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25</v>
      </c>
      <c r="K2643" s="3">
        <f t="shared" ref="K2643:K2683" si="98">I2643-J2643</f>
        <v>-22</v>
      </c>
      <c r="L2643" s="3" t="str">
        <f t="shared" si="95"/>
        <v>CRÍTICO</v>
      </c>
      <c r="N2643">
        <v>100</v>
      </c>
      <c r="O2643">
        <v>26.701570680628269</v>
      </c>
    </row>
    <row r="2644" spans="1:15" x14ac:dyDescent="0.25">
      <c r="A2644" s="11">
        <v>46084</v>
      </c>
      <c r="B2644" t="s">
        <v>40</v>
      </c>
      <c r="C2644" t="s">
        <v>16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 t="shared" si="96"/>
        <v>31</v>
      </c>
      <c r="J2644" s="3">
        <f t="shared" si="97"/>
        <v>20</v>
      </c>
      <c r="K2644" s="3">
        <f t="shared" si="98"/>
        <v>11</v>
      </c>
      <c r="L2644" s="3" t="str">
        <f t="shared" si="95"/>
        <v>EXCELENTE</v>
      </c>
      <c r="N2644">
        <v>97.47</v>
      </c>
      <c r="O2644">
        <v>22.887323943661968</v>
      </c>
    </row>
    <row r="2645" spans="1:15" x14ac:dyDescent="0.25">
      <c r="A2645" s="11">
        <v>46084</v>
      </c>
      <c r="B2645" t="s">
        <v>41</v>
      </c>
      <c r="C2645" t="s">
        <v>18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f t="shared" si="96"/>
        <v>0</v>
      </c>
      <c r="J2645" s="3">
        <f t="shared" si="97"/>
        <v>25</v>
      </c>
      <c r="K2645" s="3">
        <f t="shared" si="98"/>
        <v>-25</v>
      </c>
      <c r="L2645" s="3" t="str">
        <f t="shared" si="95"/>
        <v>CRÍTICO</v>
      </c>
      <c r="N2645">
        <v>0</v>
      </c>
      <c r="O2645">
        <v>0</v>
      </c>
    </row>
    <row r="2646" spans="1:15" x14ac:dyDescent="0.25">
      <c r="A2646" s="11">
        <v>46084</v>
      </c>
      <c r="B2646" t="s">
        <v>42</v>
      </c>
      <c r="C2646" t="s">
        <v>43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 t="shared" si="96"/>
        <v>14</v>
      </c>
      <c r="J2646" s="3">
        <f t="shared" si="97"/>
        <v>14</v>
      </c>
      <c r="K2646" s="3">
        <f t="shared" si="98"/>
        <v>0</v>
      </c>
      <c r="L2646" s="3" t="str">
        <f t="shared" si="95"/>
        <v>BOM</v>
      </c>
      <c r="N2646">
        <v>98.31</v>
      </c>
      <c r="O2646">
        <v>24.920127795527151</v>
      </c>
    </row>
    <row r="2647" spans="1:15" x14ac:dyDescent="0.25">
      <c r="A2647" s="11">
        <v>46084</v>
      </c>
      <c r="B2647" t="s">
        <v>44</v>
      </c>
      <c r="C2647" t="s">
        <v>18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 t="shared" si="96"/>
        <v>2</v>
      </c>
      <c r="J2647" s="3">
        <f t="shared" si="97"/>
        <v>25</v>
      </c>
      <c r="K2647" s="3">
        <f t="shared" si="98"/>
        <v>-23</v>
      </c>
      <c r="L2647" s="3" t="str">
        <f t="shared" si="95"/>
        <v>CRÍTICO</v>
      </c>
      <c r="N2647">
        <v>96.81</v>
      </c>
      <c r="O2647">
        <v>32.365145228215773</v>
      </c>
    </row>
    <row r="2648" spans="1:15" x14ac:dyDescent="0.25">
      <c r="A2648" s="11">
        <v>46084</v>
      </c>
      <c r="B2648" t="s">
        <v>45</v>
      </c>
      <c r="C2648" t="s">
        <v>43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f t="shared" si="96"/>
        <v>0</v>
      </c>
      <c r="J2648" s="3">
        <f t="shared" si="97"/>
        <v>14</v>
      </c>
      <c r="K2648" s="3">
        <f t="shared" si="98"/>
        <v>-14</v>
      </c>
      <c r="L2648" s="3" t="str">
        <f t="shared" si="95"/>
        <v>CRÍTICO</v>
      </c>
      <c r="N2648">
        <v>100</v>
      </c>
      <c r="O2648">
        <v>26.47058823529412</v>
      </c>
    </row>
    <row r="2649" spans="1:15" x14ac:dyDescent="0.25">
      <c r="A2649" s="11">
        <v>46084</v>
      </c>
      <c r="B2649" t="s">
        <v>46</v>
      </c>
      <c r="C2649" t="s">
        <v>18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 t="shared" si="96"/>
        <v>4</v>
      </c>
      <c r="J2649" s="3">
        <f t="shared" si="97"/>
        <v>25</v>
      </c>
      <c r="K2649" s="3">
        <f t="shared" si="98"/>
        <v>-21</v>
      </c>
      <c r="L2649" s="3" t="str">
        <f t="shared" si="95"/>
        <v>CRÍTICO</v>
      </c>
      <c r="N2649">
        <v>100</v>
      </c>
      <c r="O2649">
        <v>28.490028490028489</v>
      </c>
    </row>
    <row r="2650" spans="1:15" x14ac:dyDescent="0.25">
      <c r="A2650" s="11">
        <v>46084</v>
      </c>
      <c r="B2650" t="s">
        <v>47</v>
      </c>
      <c r="C2650" t="s">
        <v>16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 t="shared" si="96"/>
        <v>25</v>
      </c>
      <c r="J2650" s="3">
        <f t="shared" si="97"/>
        <v>20</v>
      </c>
      <c r="K2650" s="3">
        <f t="shared" si="98"/>
        <v>5</v>
      </c>
      <c r="L2650" s="3" t="str">
        <f t="shared" si="95"/>
        <v>BOM</v>
      </c>
      <c r="N2650">
        <v>99.14</v>
      </c>
      <c r="O2650">
        <v>27.2289156626506</v>
      </c>
    </row>
    <row r="2651" spans="1:15" x14ac:dyDescent="0.25">
      <c r="A2651" s="11">
        <v>46084</v>
      </c>
      <c r="B2651" t="s">
        <v>48</v>
      </c>
      <c r="C2651" t="s">
        <v>16</v>
      </c>
      <c r="D2651">
        <v>0</v>
      </c>
      <c r="E2651">
        <v>0</v>
      </c>
      <c r="F2651">
        <v>0</v>
      </c>
      <c r="G2651">
        <v>0</v>
      </c>
      <c r="H2651">
        <v>0</v>
      </c>
      <c r="I2651" s="3">
        <f t="shared" si="96"/>
        <v>0</v>
      </c>
      <c r="J2651" s="3">
        <f t="shared" si="97"/>
        <v>20</v>
      </c>
      <c r="K2651" s="3">
        <f t="shared" si="98"/>
        <v>-20</v>
      </c>
      <c r="L2651" s="3" t="str">
        <f t="shared" si="95"/>
        <v>CRÍTICO</v>
      </c>
      <c r="N2651">
        <v>97.52</v>
      </c>
      <c r="O2651">
        <v>28.205128205128201</v>
      </c>
    </row>
    <row r="2652" spans="1:15" x14ac:dyDescent="0.25">
      <c r="A2652" s="11">
        <v>46084</v>
      </c>
      <c r="B2652" t="s">
        <v>49</v>
      </c>
      <c r="C2652" t="s">
        <v>18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 t="shared" si="96"/>
        <v>38</v>
      </c>
      <c r="J2652" s="3">
        <f t="shared" si="97"/>
        <v>25</v>
      </c>
      <c r="K2652" s="3">
        <f t="shared" si="98"/>
        <v>13</v>
      </c>
      <c r="L2652" s="3" t="str">
        <f t="shared" si="95"/>
        <v>EXCELENTE</v>
      </c>
      <c r="N2652">
        <v>90</v>
      </c>
      <c r="O2652">
        <v>24.186046511627911</v>
      </c>
    </row>
    <row r="2653" spans="1:15" x14ac:dyDescent="0.25">
      <c r="A2653" s="11">
        <v>46084</v>
      </c>
      <c r="B2653" t="s">
        <v>50</v>
      </c>
      <c r="C2653" t="s">
        <v>20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 t="shared" si="96"/>
        <v>23</v>
      </c>
      <c r="J2653" s="3">
        <f t="shared" si="97"/>
        <v>16</v>
      </c>
      <c r="K2653" s="3">
        <f t="shared" si="98"/>
        <v>7</v>
      </c>
      <c r="L2653" s="3" t="str">
        <f t="shared" si="95"/>
        <v>EXCELENTE</v>
      </c>
      <c r="N2653">
        <v>98.9</v>
      </c>
      <c r="O2653">
        <v>26.763990267639901</v>
      </c>
    </row>
    <row r="2654" spans="1:15" x14ac:dyDescent="0.25">
      <c r="A2654" s="11">
        <v>46084</v>
      </c>
      <c r="B2654" t="s">
        <v>51</v>
      </c>
      <c r="C2654" t="s">
        <v>23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 t="shared" si="96"/>
        <v>7</v>
      </c>
      <c r="J2654" s="3">
        <f t="shared" si="97"/>
        <v>7</v>
      </c>
      <c r="K2654" s="3">
        <f t="shared" si="98"/>
        <v>0</v>
      </c>
      <c r="L2654" s="3" t="str">
        <f t="shared" si="95"/>
        <v>BOM</v>
      </c>
      <c r="N2654">
        <v>88.89</v>
      </c>
      <c r="O2654">
        <v>25.263157894736839</v>
      </c>
    </row>
    <row r="2655" spans="1:15" x14ac:dyDescent="0.25">
      <c r="A2655" s="11">
        <v>46084</v>
      </c>
      <c r="B2655" t="s">
        <v>52</v>
      </c>
      <c r="C2655" t="s">
        <v>18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 t="shared" si="96"/>
        <v>30</v>
      </c>
      <c r="J2655" s="3">
        <f t="shared" si="97"/>
        <v>25</v>
      </c>
      <c r="K2655" s="3">
        <f t="shared" si="98"/>
        <v>5</v>
      </c>
      <c r="L2655" s="3" t="str">
        <f t="shared" si="95"/>
        <v>BOM</v>
      </c>
      <c r="N2655">
        <v>98.86</v>
      </c>
      <c r="O2655">
        <v>28.959276018099551</v>
      </c>
    </row>
    <row r="2656" spans="1:15" x14ac:dyDescent="0.25">
      <c r="A2656" s="11">
        <v>46084</v>
      </c>
      <c r="B2656" t="s">
        <v>53</v>
      </c>
      <c r="C2656" t="s">
        <v>18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 t="shared" si="96"/>
        <v>38</v>
      </c>
      <c r="J2656" s="3">
        <f t="shared" si="97"/>
        <v>25</v>
      </c>
      <c r="K2656" s="3">
        <f t="shared" si="98"/>
        <v>13</v>
      </c>
      <c r="L2656" s="3" t="str">
        <f t="shared" si="95"/>
        <v>EXCELENTE</v>
      </c>
      <c r="N2656">
        <v>98.06</v>
      </c>
      <c r="O2656">
        <v>22.40566037735849</v>
      </c>
    </row>
    <row r="2657" spans="1:15" x14ac:dyDescent="0.25">
      <c r="A2657" s="11">
        <v>46084</v>
      </c>
      <c r="B2657" t="s">
        <v>54</v>
      </c>
      <c r="C2657" t="s">
        <v>23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 t="shared" si="96"/>
        <v>13</v>
      </c>
      <c r="J2657" s="3">
        <f t="shared" si="97"/>
        <v>7</v>
      </c>
      <c r="K2657" s="3">
        <f t="shared" si="98"/>
        <v>6</v>
      </c>
      <c r="L2657" s="3" t="str">
        <f t="shared" si="95"/>
        <v>EXCELENTE</v>
      </c>
      <c r="N2657">
        <v>95.83</v>
      </c>
      <c r="O2657">
        <v>25.773195876288661</v>
      </c>
    </row>
    <row r="2658" spans="1:15" x14ac:dyDescent="0.25">
      <c r="A2658" s="11">
        <v>46084</v>
      </c>
      <c r="B2658" t="s">
        <v>55</v>
      </c>
      <c r="C2658" t="s">
        <v>43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f t="shared" si="96"/>
        <v>0</v>
      </c>
      <c r="J2658" s="3">
        <f t="shared" si="97"/>
        <v>14</v>
      </c>
      <c r="K2658" s="3">
        <f t="shared" si="98"/>
        <v>-14</v>
      </c>
      <c r="L2658" s="3" t="str">
        <f t="shared" si="95"/>
        <v>CRÍTICO</v>
      </c>
      <c r="N2658">
        <v>100</v>
      </c>
      <c r="O2658">
        <v>15.38461538461539</v>
      </c>
    </row>
    <row r="2659" spans="1:15" x14ac:dyDescent="0.25">
      <c r="A2659" s="11">
        <v>46084</v>
      </c>
      <c r="B2659" t="s">
        <v>56</v>
      </c>
      <c r="C2659" t="s">
        <v>16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 t="shared" si="96"/>
        <v>24</v>
      </c>
      <c r="J2659" s="3">
        <f t="shared" si="97"/>
        <v>20</v>
      </c>
      <c r="K2659" s="3">
        <f t="shared" si="98"/>
        <v>4</v>
      </c>
      <c r="L2659" s="3" t="str">
        <f t="shared" si="95"/>
        <v>BOM</v>
      </c>
      <c r="N2659">
        <v>100</v>
      </c>
      <c r="O2659">
        <v>27.514792899408281</v>
      </c>
    </row>
    <row r="2660" spans="1:15" x14ac:dyDescent="0.25">
      <c r="A2660" s="11">
        <v>46084</v>
      </c>
      <c r="B2660" t="s">
        <v>57</v>
      </c>
      <c r="C2660" t="s">
        <v>43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f t="shared" si="96"/>
        <v>0</v>
      </c>
      <c r="J2660" s="3">
        <f t="shared" si="97"/>
        <v>14</v>
      </c>
      <c r="K2660" s="3">
        <f t="shared" si="98"/>
        <v>-14</v>
      </c>
      <c r="L2660" s="3" t="str">
        <f t="shared" si="95"/>
        <v>CRÍTICO</v>
      </c>
      <c r="N2660">
        <v>100</v>
      </c>
      <c r="O2660">
        <v>24.875621890547269</v>
      </c>
    </row>
    <row r="2661" spans="1:15" x14ac:dyDescent="0.25">
      <c r="A2661" s="11">
        <v>46084</v>
      </c>
      <c r="B2661" t="s">
        <v>58</v>
      </c>
      <c r="C2661" t="s">
        <v>43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f t="shared" si="96"/>
        <v>0</v>
      </c>
      <c r="J2661" s="3">
        <f t="shared" si="97"/>
        <v>14</v>
      </c>
      <c r="K2661" s="3">
        <f t="shared" si="98"/>
        <v>-14</v>
      </c>
      <c r="L2661" s="3" t="str">
        <f t="shared" si="95"/>
        <v>CRÍTICO</v>
      </c>
      <c r="N2661">
        <v>100</v>
      </c>
      <c r="O2661">
        <v>28.108108108108109</v>
      </c>
    </row>
    <row r="2662" spans="1:15" x14ac:dyDescent="0.25">
      <c r="A2662" s="11">
        <v>46084</v>
      </c>
      <c r="B2662" t="s">
        <v>59</v>
      </c>
      <c r="C2662" t="s">
        <v>23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f t="shared" si="96"/>
        <v>0</v>
      </c>
      <c r="J2662" s="3">
        <f t="shared" si="97"/>
        <v>7</v>
      </c>
      <c r="K2662" s="3">
        <f t="shared" si="98"/>
        <v>-7</v>
      </c>
      <c r="L2662" s="3" t="str">
        <f t="shared" si="95"/>
        <v>CRÍTICO</v>
      </c>
      <c r="N2662">
        <v>100</v>
      </c>
      <c r="O2662">
        <v>35</v>
      </c>
    </row>
    <row r="2663" spans="1:15" x14ac:dyDescent="0.25">
      <c r="A2663" s="11">
        <v>46084</v>
      </c>
      <c r="B2663" t="s">
        <v>60</v>
      </c>
      <c r="C2663" t="s">
        <v>20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 t="shared" si="96"/>
        <v>38</v>
      </c>
      <c r="J2663" s="3">
        <f t="shared" si="97"/>
        <v>16</v>
      </c>
      <c r="K2663" s="3">
        <f t="shared" si="98"/>
        <v>22</v>
      </c>
      <c r="L2663" s="3" t="str">
        <f t="shared" si="95"/>
        <v>EXCELENTE</v>
      </c>
      <c r="N2663">
        <v>95.35</v>
      </c>
      <c r="O2663">
        <v>28.61538461538461</v>
      </c>
    </row>
    <row r="2664" spans="1:15" x14ac:dyDescent="0.25">
      <c r="A2664" s="11">
        <v>46084</v>
      </c>
      <c r="B2664" t="s">
        <v>61</v>
      </c>
      <c r="C2664" t="s">
        <v>18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 t="shared" si="96"/>
        <v>36</v>
      </c>
      <c r="J2664" s="3">
        <f t="shared" si="97"/>
        <v>25</v>
      </c>
      <c r="K2664" s="3">
        <f t="shared" si="98"/>
        <v>11</v>
      </c>
      <c r="L2664" s="3" t="str">
        <f t="shared" si="95"/>
        <v>EXCELENTE</v>
      </c>
      <c r="N2664">
        <v>98.26</v>
      </c>
      <c r="O2664">
        <v>27.54491017964072</v>
      </c>
    </row>
    <row r="2665" spans="1:15" x14ac:dyDescent="0.25">
      <c r="A2665" s="11">
        <v>46084</v>
      </c>
      <c r="B2665" t="s">
        <v>62</v>
      </c>
      <c r="C2665" t="s">
        <v>20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 t="shared" si="96"/>
        <v>20</v>
      </c>
      <c r="J2665" s="3">
        <f t="shared" si="97"/>
        <v>16</v>
      </c>
      <c r="K2665" s="3">
        <f t="shared" si="98"/>
        <v>4</v>
      </c>
      <c r="L2665" s="3" t="str">
        <f t="shared" si="95"/>
        <v>BOM</v>
      </c>
      <c r="N2665">
        <v>98.55</v>
      </c>
      <c r="O2665">
        <v>25.337837837837839</v>
      </c>
    </row>
    <row r="2666" spans="1:15" x14ac:dyDescent="0.25">
      <c r="A2666" s="11">
        <v>46084</v>
      </c>
      <c r="B2666" t="s">
        <v>63</v>
      </c>
      <c r="C2666" t="s">
        <v>18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 t="shared" si="96"/>
        <v>30</v>
      </c>
      <c r="J2666" s="3">
        <f t="shared" si="97"/>
        <v>25</v>
      </c>
      <c r="K2666" s="3">
        <f t="shared" si="98"/>
        <v>5</v>
      </c>
      <c r="L2666" s="3" t="str">
        <f t="shared" si="95"/>
        <v>BOM</v>
      </c>
      <c r="N2666">
        <v>98.39</v>
      </c>
      <c r="O2666">
        <v>25.563909774436091</v>
      </c>
    </row>
    <row r="2667" spans="1:15" x14ac:dyDescent="0.25">
      <c r="A2667" s="11">
        <v>46085</v>
      </c>
      <c r="B2667" t="s">
        <v>15</v>
      </c>
      <c r="C2667" t="s">
        <v>16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 t="shared" si="96"/>
        <v>22</v>
      </c>
      <c r="J2667" s="3">
        <f t="shared" si="97"/>
        <v>19</v>
      </c>
      <c r="K2667" s="3">
        <f t="shared" si="98"/>
        <v>3</v>
      </c>
      <c r="L2667" s="3" t="str">
        <f t="shared" si="95"/>
        <v>BOM</v>
      </c>
      <c r="N2667">
        <v>94.29</v>
      </c>
      <c r="O2667">
        <v>25.647668393782389</v>
      </c>
    </row>
    <row r="2668" spans="1:15" x14ac:dyDescent="0.25">
      <c r="A2668" s="11">
        <v>46085</v>
      </c>
      <c r="B2668" t="s">
        <v>17</v>
      </c>
      <c r="C2668" t="s">
        <v>18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f t="shared" si="96"/>
        <v>0</v>
      </c>
      <c r="J2668" s="3">
        <f t="shared" si="97"/>
        <v>24</v>
      </c>
      <c r="K2668" s="3">
        <f t="shared" si="98"/>
        <v>-24</v>
      </c>
      <c r="L2668" s="3" t="str">
        <f t="shared" si="95"/>
        <v>CRÍTICO</v>
      </c>
      <c r="N2668">
        <v>98.26</v>
      </c>
      <c r="O2668">
        <v>26.666666666666671</v>
      </c>
    </row>
    <row r="2669" spans="1:15" x14ac:dyDescent="0.25">
      <c r="A2669" s="11">
        <v>46085</v>
      </c>
      <c r="B2669" t="s">
        <v>19</v>
      </c>
      <c r="C2669" t="s">
        <v>20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 t="shared" si="96"/>
        <v>20</v>
      </c>
      <c r="J2669" s="3">
        <f t="shared" si="97"/>
        <v>16</v>
      </c>
      <c r="K2669" s="3">
        <f t="shared" si="98"/>
        <v>4</v>
      </c>
      <c r="L2669" s="3" t="str">
        <f t="shared" si="95"/>
        <v>BOM</v>
      </c>
      <c r="N2669">
        <v>98.2</v>
      </c>
      <c r="O2669">
        <v>23.37962962962963</v>
      </c>
    </row>
    <row r="2670" spans="1:15" x14ac:dyDescent="0.25">
      <c r="A2670" s="11">
        <v>46085</v>
      </c>
      <c r="B2670" t="s">
        <v>21</v>
      </c>
      <c r="C2670" t="s">
        <v>18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 t="shared" si="96"/>
        <v>30</v>
      </c>
      <c r="J2670" s="3">
        <f t="shared" si="97"/>
        <v>24</v>
      </c>
      <c r="K2670" s="3">
        <f t="shared" si="98"/>
        <v>6</v>
      </c>
      <c r="L2670" s="3" t="str">
        <f t="shared" si="95"/>
        <v>EXCELENTE</v>
      </c>
      <c r="N2670">
        <v>97.3</v>
      </c>
      <c r="O2670">
        <v>23.84769539078156</v>
      </c>
    </row>
    <row r="2671" spans="1:15" x14ac:dyDescent="0.25">
      <c r="A2671" s="11">
        <v>46085</v>
      </c>
      <c r="B2671" t="s">
        <v>22</v>
      </c>
      <c r="C2671" t="s">
        <v>23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 t="shared" si="96"/>
        <v>6</v>
      </c>
      <c r="J2671" s="3">
        <f t="shared" si="97"/>
        <v>7</v>
      </c>
      <c r="K2671" s="3">
        <f t="shared" si="98"/>
        <v>-1</v>
      </c>
      <c r="L2671" s="3" t="str">
        <f t="shared" si="95"/>
        <v>ATENÇÃO</v>
      </c>
      <c r="N2671">
        <v>100</v>
      </c>
      <c r="O2671">
        <v>25.268817204301079</v>
      </c>
    </row>
    <row r="2672" spans="1:15" x14ac:dyDescent="0.25">
      <c r="A2672" s="11">
        <v>46085</v>
      </c>
      <c r="B2672" t="s">
        <v>24</v>
      </c>
      <c r="C2672" t="s">
        <v>16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 t="shared" si="96"/>
        <v>32</v>
      </c>
      <c r="J2672" s="3">
        <f t="shared" si="97"/>
        <v>19</v>
      </c>
      <c r="K2672" s="3">
        <f t="shared" si="98"/>
        <v>13</v>
      </c>
      <c r="L2672" s="3" t="str">
        <f t="shared" si="95"/>
        <v>EXCELENTE</v>
      </c>
      <c r="N2672">
        <v>99.32</v>
      </c>
      <c r="O2672">
        <v>22.822822822822818</v>
      </c>
    </row>
    <row r="2673" spans="1:15" x14ac:dyDescent="0.25">
      <c r="A2673" s="11">
        <v>46085</v>
      </c>
      <c r="B2673" t="s">
        <v>25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f t="shared" si="96"/>
        <v>0</v>
      </c>
      <c r="J2673" s="3">
        <f t="shared" si="97"/>
        <v>19</v>
      </c>
      <c r="K2673" s="3">
        <f t="shared" si="98"/>
        <v>-19</v>
      </c>
      <c r="L2673" s="3" t="str">
        <f t="shared" si="95"/>
        <v>CRÍTICO</v>
      </c>
      <c r="N2673">
        <v>100</v>
      </c>
      <c r="O2673">
        <v>27.966101694915249</v>
      </c>
    </row>
    <row r="2674" spans="1:15" x14ac:dyDescent="0.25">
      <c r="A2674" s="11">
        <v>46085</v>
      </c>
      <c r="B2674" t="s">
        <v>26</v>
      </c>
      <c r="C2674" t="s">
        <v>23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f t="shared" si="96"/>
        <v>0</v>
      </c>
      <c r="J2674" s="3">
        <f t="shared" si="97"/>
        <v>7</v>
      </c>
      <c r="K2674" s="3">
        <f t="shared" si="98"/>
        <v>-7</v>
      </c>
      <c r="L2674" s="3" t="str">
        <f t="shared" si="95"/>
        <v>CRÍTICO</v>
      </c>
      <c r="N2674">
        <v>100</v>
      </c>
      <c r="O2674">
        <v>30.434782608695659</v>
      </c>
    </row>
    <row r="2675" spans="1:15" x14ac:dyDescent="0.25">
      <c r="A2675" s="11">
        <v>46085</v>
      </c>
      <c r="B2675" t="s">
        <v>27</v>
      </c>
      <c r="C2675" t="s">
        <v>20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 t="shared" si="96"/>
        <v>18</v>
      </c>
      <c r="J2675" s="3">
        <f t="shared" si="97"/>
        <v>16</v>
      </c>
      <c r="K2675" s="3">
        <f t="shared" si="98"/>
        <v>2</v>
      </c>
      <c r="L2675" s="3" t="str">
        <f t="shared" si="95"/>
        <v>BOM</v>
      </c>
      <c r="N2675">
        <v>96.51</v>
      </c>
      <c r="O2675">
        <v>22.802850356294542</v>
      </c>
    </row>
    <row r="2676" spans="1:15" x14ac:dyDescent="0.25">
      <c r="A2676" s="11">
        <v>46085</v>
      </c>
      <c r="B2676" t="s">
        <v>28</v>
      </c>
      <c r="C2676" t="s">
        <v>18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 t="shared" si="96"/>
        <v>38</v>
      </c>
      <c r="J2676" s="3">
        <f t="shared" si="97"/>
        <v>24</v>
      </c>
      <c r="K2676" s="3">
        <f t="shared" si="98"/>
        <v>14</v>
      </c>
      <c r="L2676" s="3" t="str">
        <f t="shared" si="95"/>
        <v>EXCELENTE</v>
      </c>
      <c r="N2676">
        <v>92.68</v>
      </c>
      <c r="O2676">
        <v>27.777777777777779</v>
      </c>
    </row>
    <row r="2677" spans="1:15" x14ac:dyDescent="0.25">
      <c r="A2677" s="11">
        <v>46085</v>
      </c>
      <c r="B2677" t="s">
        <v>29</v>
      </c>
      <c r="C2677" t="s">
        <v>16</v>
      </c>
      <c r="D2677">
        <v>0</v>
      </c>
      <c r="E2677">
        <v>0</v>
      </c>
      <c r="F2677">
        <v>0</v>
      </c>
      <c r="G2677">
        <v>0</v>
      </c>
      <c r="H2677">
        <v>0</v>
      </c>
      <c r="I2677" s="3">
        <f t="shared" si="96"/>
        <v>0</v>
      </c>
      <c r="J2677" s="3">
        <f t="shared" si="97"/>
        <v>19</v>
      </c>
      <c r="K2677" s="3">
        <f t="shared" si="98"/>
        <v>-19</v>
      </c>
      <c r="L2677" s="3" t="str">
        <f t="shared" si="95"/>
        <v>CRÍTICO</v>
      </c>
      <c r="N2677">
        <v>99.03</v>
      </c>
      <c r="O2677">
        <v>23.991507430997881</v>
      </c>
    </row>
    <row r="2678" spans="1:15" x14ac:dyDescent="0.25">
      <c r="A2678" s="11">
        <v>46085</v>
      </c>
      <c r="B2678" t="s">
        <v>30</v>
      </c>
      <c r="C2678" t="s">
        <v>20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 t="shared" si="96"/>
        <v>25</v>
      </c>
      <c r="J2678" s="3">
        <f t="shared" si="97"/>
        <v>16</v>
      </c>
      <c r="K2678" s="3">
        <f t="shared" si="98"/>
        <v>9</v>
      </c>
      <c r="L2678" s="3" t="str">
        <f t="shared" si="95"/>
        <v>EXCELENTE</v>
      </c>
      <c r="N2678">
        <v>98.41</v>
      </c>
      <c r="O2678">
        <v>28.138528138528141</v>
      </c>
    </row>
    <row r="2679" spans="1:15" x14ac:dyDescent="0.25">
      <c r="A2679" s="11">
        <v>46085</v>
      </c>
      <c r="B2679" t="s">
        <v>31</v>
      </c>
      <c r="C2679" t="s">
        <v>18</v>
      </c>
      <c r="D2679">
        <v>0</v>
      </c>
      <c r="E2679">
        <v>0</v>
      </c>
      <c r="F2679">
        <v>0</v>
      </c>
      <c r="G2679">
        <v>0</v>
      </c>
      <c r="H2679">
        <v>0</v>
      </c>
      <c r="I2679" s="3">
        <f t="shared" si="96"/>
        <v>0</v>
      </c>
      <c r="J2679" s="3">
        <f t="shared" si="97"/>
        <v>24</v>
      </c>
      <c r="K2679" s="3">
        <f t="shared" si="98"/>
        <v>-24</v>
      </c>
      <c r="L2679" s="3" t="str">
        <f t="shared" si="95"/>
        <v>CRÍTICO</v>
      </c>
      <c r="N2679">
        <v>98.73</v>
      </c>
      <c r="O2679">
        <v>29.142857142857139</v>
      </c>
    </row>
    <row r="2680" spans="1:15" x14ac:dyDescent="0.25">
      <c r="A2680" s="11">
        <v>46085</v>
      </c>
      <c r="B2680" t="s">
        <v>32</v>
      </c>
      <c r="C2680" t="s">
        <v>23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 t="shared" si="96"/>
        <v>10</v>
      </c>
      <c r="J2680" s="3">
        <f t="shared" si="97"/>
        <v>7</v>
      </c>
      <c r="K2680" s="3">
        <f t="shared" si="98"/>
        <v>3</v>
      </c>
      <c r="L2680" s="3" t="str">
        <f t="shared" si="95"/>
        <v>BOM</v>
      </c>
      <c r="N2680">
        <v>90.48</v>
      </c>
      <c r="O2680">
        <v>20.68965517241379</v>
      </c>
    </row>
    <row r="2681" spans="1:15" x14ac:dyDescent="0.25">
      <c r="A2681" s="11">
        <v>46085</v>
      </c>
      <c r="B2681" t="s">
        <v>33</v>
      </c>
      <c r="C2681" t="s">
        <v>16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 t="shared" si="96"/>
        <v>21</v>
      </c>
      <c r="J2681" s="3">
        <f t="shared" si="97"/>
        <v>19</v>
      </c>
      <c r="K2681" s="3">
        <f t="shared" si="98"/>
        <v>2</v>
      </c>
      <c r="L2681" s="3" t="str">
        <f t="shared" si="95"/>
        <v>BOM</v>
      </c>
      <c r="N2681">
        <v>98.06</v>
      </c>
      <c r="O2681">
        <v>24.789915966386559</v>
      </c>
    </row>
    <row r="2682" spans="1:15" x14ac:dyDescent="0.25">
      <c r="A2682" s="11">
        <v>46085</v>
      </c>
      <c r="B2682" t="s">
        <v>34</v>
      </c>
      <c r="C2682" t="s">
        <v>18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 t="shared" si="96"/>
        <v>29</v>
      </c>
      <c r="J2682" s="3">
        <f t="shared" si="97"/>
        <v>24</v>
      </c>
      <c r="K2682" s="3">
        <f t="shared" si="98"/>
        <v>5</v>
      </c>
      <c r="L2682" s="3" t="str">
        <f t="shared" si="95"/>
        <v>BOM</v>
      </c>
      <c r="N2682">
        <v>97.78</v>
      </c>
      <c r="O2682">
        <v>25.494071146245059</v>
      </c>
    </row>
    <row r="2683" spans="1:15" x14ac:dyDescent="0.25">
      <c r="A2683" s="11">
        <v>46085</v>
      </c>
      <c r="B2683" t="s">
        <v>35</v>
      </c>
      <c r="C2683" t="s">
        <v>16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 t="shared" si="96"/>
        <v>35</v>
      </c>
      <c r="J2683" s="3">
        <f t="shared" si="97"/>
        <v>19</v>
      </c>
      <c r="K2683" s="3">
        <f t="shared" si="98"/>
        <v>16</v>
      </c>
      <c r="L2683" s="3" t="str">
        <f t="shared" si="95"/>
        <v>EXCELENTE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36</v>
      </c>
      <c r="C2684" t="s">
        <v>20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 t="shared" ref="I2643:I2706" si="99">E2684+G2684+H2684</f>
        <v>25</v>
      </c>
      <c r="J2684" s="3">
        <f t="shared" ref="J2643:J2706" si="100"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19</v>
      </c>
      <c r="K2684" s="3">
        <f t="shared" ref="K2643:K2706" si="101">I2684-J2684</f>
        <v>6</v>
      </c>
      <c r="L2684" s="3" t="str">
        <f t="shared" ref="L2643:L2706" si="102">IF(K2684&lt;-5,"CRÍTICO",IF(K2684&lt;0,"ATENÇÃO",IF(K2684&lt;=5,"OPORTUNO","MUITO BOM")))</f>
        <v>MUITO BOM</v>
      </c>
      <c r="N2684">
        <v>99.28</v>
      </c>
      <c r="O2684">
        <v>27.689243027888441</v>
      </c>
    </row>
    <row r="2685" spans="1:15" x14ac:dyDescent="0.25">
      <c r="A2685" s="11">
        <v>46085</v>
      </c>
      <c r="B2685" t="s">
        <v>37</v>
      </c>
      <c r="C2685" t="s">
        <v>16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 t="shared" si="99"/>
        <v>30</v>
      </c>
      <c r="J2685" s="3">
        <f t="shared" si="100"/>
        <v>19</v>
      </c>
      <c r="K2685" s="3">
        <f t="shared" si="101"/>
        <v>11</v>
      </c>
      <c r="L2685" s="3" t="str">
        <f t="shared" ref="L2685:L2727" si="103">IF(K2685&lt;-5,"CRÍTICO",IF(K2685&lt;0,"ATENÇÃO",IF(K2685&lt;=5,"BOM","EXCELENTE")))</f>
        <v>EXCELENTE</v>
      </c>
      <c r="N2685">
        <v>100</v>
      </c>
      <c r="O2685">
        <v>27.04918032786885</v>
      </c>
    </row>
    <row r="2686" spans="1:15" x14ac:dyDescent="0.25">
      <c r="A2686" s="11">
        <v>46085</v>
      </c>
      <c r="B2686" t="s">
        <v>38</v>
      </c>
      <c r="C2686" t="s">
        <v>18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 t="shared" si="99"/>
        <v>40</v>
      </c>
      <c r="J2686" s="3">
        <f t="shared" si="100"/>
        <v>24</v>
      </c>
      <c r="K2686" s="3">
        <f t="shared" si="101"/>
        <v>16</v>
      </c>
      <c r="L2686" s="3" t="str">
        <f t="shared" si="103"/>
        <v>EXCELENTE</v>
      </c>
      <c r="N2686">
        <v>97.83</v>
      </c>
      <c r="O2686">
        <v>26.315789473684209</v>
      </c>
    </row>
    <row r="2687" spans="1:15" x14ac:dyDescent="0.25">
      <c r="A2687" s="11">
        <v>46085</v>
      </c>
      <c r="B2687" t="s">
        <v>39</v>
      </c>
      <c r="C2687" t="s">
        <v>18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 t="shared" si="99"/>
        <v>15</v>
      </c>
      <c r="J2687" s="3">
        <f t="shared" si="100"/>
        <v>24</v>
      </c>
      <c r="K2687" s="3">
        <f t="shared" si="101"/>
        <v>-9</v>
      </c>
      <c r="L2687" s="3" t="str">
        <f t="shared" si="103"/>
        <v>CRÍTICO</v>
      </c>
      <c r="N2687">
        <v>100</v>
      </c>
      <c r="O2687">
        <v>26.701570680628269</v>
      </c>
    </row>
    <row r="2688" spans="1:15" x14ac:dyDescent="0.25">
      <c r="A2688" s="11">
        <v>46085</v>
      </c>
      <c r="B2688" t="s">
        <v>40</v>
      </c>
      <c r="C2688" t="s">
        <v>16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 t="shared" si="99"/>
        <v>26</v>
      </c>
      <c r="J2688" s="3">
        <f t="shared" si="100"/>
        <v>19</v>
      </c>
      <c r="K2688" s="3">
        <f t="shared" si="101"/>
        <v>7</v>
      </c>
      <c r="L2688" s="3" t="str">
        <f t="shared" si="103"/>
        <v>EXCELENTE</v>
      </c>
      <c r="N2688">
        <v>97.47</v>
      </c>
      <c r="O2688">
        <v>22.887323943661968</v>
      </c>
    </row>
    <row r="2689" spans="1:15" x14ac:dyDescent="0.25">
      <c r="A2689" s="11">
        <v>46085</v>
      </c>
      <c r="B2689" t="s">
        <v>41</v>
      </c>
      <c r="C2689" t="s">
        <v>18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f t="shared" si="99"/>
        <v>0</v>
      </c>
      <c r="J2689" s="3">
        <f t="shared" si="100"/>
        <v>24</v>
      </c>
      <c r="K2689" s="3">
        <f t="shared" si="101"/>
        <v>-24</v>
      </c>
      <c r="L2689" s="3" t="str">
        <f t="shared" si="103"/>
        <v>CRÍTICO</v>
      </c>
      <c r="N2689">
        <v>0</v>
      </c>
      <c r="O2689">
        <v>0</v>
      </c>
    </row>
    <row r="2690" spans="1:15" x14ac:dyDescent="0.25">
      <c r="A2690" s="11">
        <v>46085</v>
      </c>
      <c r="B2690" t="s">
        <v>42</v>
      </c>
      <c r="C2690" t="s">
        <v>43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 t="shared" si="99"/>
        <v>18</v>
      </c>
      <c r="J2690" s="3">
        <f t="shared" si="100"/>
        <v>14</v>
      </c>
      <c r="K2690" s="3">
        <f t="shared" si="101"/>
        <v>4</v>
      </c>
      <c r="L2690" s="3" t="str">
        <f t="shared" si="103"/>
        <v>BOM</v>
      </c>
      <c r="N2690">
        <v>98.31</v>
      </c>
      <c r="O2690">
        <v>24.920127795527151</v>
      </c>
    </row>
    <row r="2691" spans="1:15" x14ac:dyDescent="0.25">
      <c r="A2691" s="11">
        <v>46085</v>
      </c>
      <c r="B2691" t="s">
        <v>44</v>
      </c>
      <c r="C2691" t="s">
        <v>18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f t="shared" si="99"/>
        <v>0</v>
      </c>
      <c r="J2691" s="3">
        <f t="shared" si="100"/>
        <v>24</v>
      </c>
      <c r="K2691" s="3">
        <f t="shared" si="101"/>
        <v>-24</v>
      </c>
      <c r="L2691" s="3" t="str">
        <f t="shared" si="103"/>
        <v>CRÍTICO</v>
      </c>
      <c r="N2691">
        <v>96.81</v>
      </c>
      <c r="O2691">
        <v>32.365145228215773</v>
      </c>
    </row>
    <row r="2692" spans="1:15" x14ac:dyDescent="0.25">
      <c r="A2692" s="11">
        <v>46085</v>
      </c>
      <c r="B2692" t="s">
        <v>45</v>
      </c>
      <c r="C2692" t="s">
        <v>43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f t="shared" si="99"/>
        <v>0</v>
      </c>
      <c r="J2692" s="3">
        <f t="shared" si="100"/>
        <v>14</v>
      </c>
      <c r="K2692" s="3">
        <f t="shared" si="101"/>
        <v>-14</v>
      </c>
      <c r="L2692" s="3" t="str">
        <f t="shared" si="103"/>
        <v>CRÍTICO</v>
      </c>
      <c r="N2692">
        <v>100</v>
      </c>
      <c r="O2692">
        <v>26.47058823529412</v>
      </c>
    </row>
    <row r="2693" spans="1:15" x14ac:dyDescent="0.25">
      <c r="A2693" s="11">
        <v>46085</v>
      </c>
      <c r="B2693" t="s">
        <v>46</v>
      </c>
      <c r="C2693" t="s">
        <v>18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f t="shared" si="99"/>
        <v>0</v>
      </c>
      <c r="J2693" s="3">
        <f t="shared" si="100"/>
        <v>24</v>
      </c>
      <c r="K2693" s="3">
        <f t="shared" si="101"/>
        <v>-24</v>
      </c>
      <c r="L2693" s="3" t="str">
        <f t="shared" si="103"/>
        <v>CRÍTICO</v>
      </c>
      <c r="N2693">
        <v>100</v>
      </c>
      <c r="O2693">
        <v>28.490028490028489</v>
      </c>
    </row>
    <row r="2694" spans="1:15" x14ac:dyDescent="0.25">
      <c r="A2694" s="11">
        <v>46085</v>
      </c>
      <c r="B2694" t="s">
        <v>47</v>
      </c>
      <c r="C2694" t="s">
        <v>16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 t="shared" si="99"/>
        <v>19</v>
      </c>
      <c r="J2694" s="3">
        <f t="shared" si="100"/>
        <v>19</v>
      </c>
      <c r="K2694" s="3">
        <f t="shared" si="101"/>
        <v>0</v>
      </c>
      <c r="L2694" s="3" t="str">
        <f t="shared" si="103"/>
        <v>BOM</v>
      </c>
      <c r="N2694">
        <v>99.14</v>
      </c>
      <c r="O2694">
        <v>27.2289156626506</v>
      </c>
    </row>
    <row r="2695" spans="1:15" x14ac:dyDescent="0.25">
      <c r="A2695" s="11">
        <v>46085</v>
      </c>
      <c r="B2695" t="s">
        <v>48</v>
      </c>
      <c r="C2695" t="s">
        <v>16</v>
      </c>
      <c r="D2695">
        <v>0</v>
      </c>
      <c r="E2695">
        <v>0</v>
      </c>
      <c r="F2695">
        <v>0</v>
      </c>
      <c r="G2695">
        <v>0</v>
      </c>
      <c r="H2695">
        <v>0</v>
      </c>
      <c r="I2695" s="3">
        <f t="shared" si="99"/>
        <v>0</v>
      </c>
      <c r="J2695" s="3">
        <f t="shared" si="100"/>
        <v>19</v>
      </c>
      <c r="K2695" s="3">
        <f t="shared" si="101"/>
        <v>-19</v>
      </c>
      <c r="L2695" s="3" t="str">
        <f t="shared" si="103"/>
        <v>CRÍTICO</v>
      </c>
      <c r="N2695">
        <v>97.52</v>
      </c>
      <c r="O2695">
        <v>28.205128205128201</v>
      </c>
    </row>
    <row r="2696" spans="1:15" x14ac:dyDescent="0.25">
      <c r="A2696" s="11">
        <v>46085</v>
      </c>
      <c r="B2696" t="s">
        <v>49</v>
      </c>
      <c r="C2696" t="s">
        <v>18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 t="shared" si="99"/>
        <v>43</v>
      </c>
      <c r="J2696" s="3">
        <f t="shared" si="100"/>
        <v>24</v>
      </c>
      <c r="K2696" s="3">
        <f t="shared" si="101"/>
        <v>19</v>
      </c>
      <c r="L2696" s="3" t="str">
        <f t="shared" si="103"/>
        <v>EXCELENTE</v>
      </c>
      <c r="N2696">
        <v>90</v>
      </c>
      <c r="O2696">
        <v>24.186046511627911</v>
      </c>
    </row>
    <row r="2697" spans="1:15" x14ac:dyDescent="0.25">
      <c r="A2697" s="11">
        <v>46085</v>
      </c>
      <c r="B2697" t="s">
        <v>50</v>
      </c>
      <c r="C2697" t="s">
        <v>20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 t="shared" si="99"/>
        <v>23</v>
      </c>
      <c r="J2697" s="3">
        <f t="shared" si="100"/>
        <v>16</v>
      </c>
      <c r="K2697" s="3">
        <f t="shared" si="101"/>
        <v>7</v>
      </c>
      <c r="L2697" s="3" t="str">
        <f t="shared" si="103"/>
        <v>EXCELENTE</v>
      </c>
      <c r="N2697">
        <v>98.9</v>
      </c>
      <c r="O2697">
        <v>26.763990267639901</v>
      </c>
    </row>
    <row r="2698" spans="1:15" x14ac:dyDescent="0.25">
      <c r="A2698" s="11">
        <v>46085</v>
      </c>
      <c r="B2698" t="s">
        <v>51</v>
      </c>
      <c r="C2698" t="s">
        <v>23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 t="shared" si="99"/>
        <v>37</v>
      </c>
      <c r="J2698" s="3">
        <f t="shared" si="100"/>
        <v>7</v>
      </c>
      <c r="K2698" s="3">
        <f t="shared" si="101"/>
        <v>30</v>
      </c>
      <c r="L2698" s="3" t="str">
        <f t="shared" si="103"/>
        <v>EXCELENTE</v>
      </c>
      <c r="N2698">
        <v>88.89</v>
      </c>
      <c r="O2698">
        <v>25.263157894736839</v>
      </c>
    </row>
    <row r="2699" spans="1:15" x14ac:dyDescent="0.25">
      <c r="A2699" s="11">
        <v>46085</v>
      </c>
      <c r="B2699" t="s">
        <v>52</v>
      </c>
      <c r="C2699" t="s">
        <v>18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 t="shared" si="99"/>
        <v>11</v>
      </c>
      <c r="J2699" s="3">
        <f t="shared" si="100"/>
        <v>24</v>
      </c>
      <c r="K2699" s="3">
        <f t="shared" si="101"/>
        <v>-13</v>
      </c>
      <c r="L2699" s="3" t="str">
        <f t="shared" si="103"/>
        <v>CRÍTICO</v>
      </c>
      <c r="N2699">
        <v>98.86</v>
      </c>
      <c r="O2699">
        <v>28.959276018099551</v>
      </c>
    </row>
    <row r="2700" spans="1:15" x14ac:dyDescent="0.25">
      <c r="A2700" s="11">
        <v>46085</v>
      </c>
      <c r="B2700" t="s">
        <v>53</v>
      </c>
      <c r="C2700" t="s">
        <v>18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 t="shared" si="99"/>
        <v>35</v>
      </c>
      <c r="J2700" s="3">
        <f t="shared" si="100"/>
        <v>24</v>
      </c>
      <c r="K2700" s="3">
        <f t="shared" si="101"/>
        <v>11</v>
      </c>
      <c r="L2700" s="3" t="str">
        <f t="shared" si="103"/>
        <v>EXCELENTE</v>
      </c>
      <c r="N2700">
        <v>98.06</v>
      </c>
      <c r="O2700">
        <v>22.40566037735849</v>
      </c>
    </row>
    <row r="2701" spans="1:15" x14ac:dyDescent="0.25">
      <c r="A2701" s="11">
        <v>46085</v>
      </c>
      <c r="B2701" t="s">
        <v>54</v>
      </c>
      <c r="C2701" t="s">
        <v>23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 t="shared" si="99"/>
        <v>7</v>
      </c>
      <c r="J2701" s="3">
        <f t="shared" si="100"/>
        <v>7</v>
      </c>
      <c r="K2701" s="3">
        <f t="shared" si="101"/>
        <v>0</v>
      </c>
      <c r="L2701" s="3" t="str">
        <f t="shared" si="103"/>
        <v>BOM</v>
      </c>
      <c r="N2701">
        <v>95.83</v>
      </c>
      <c r="O2701">
        <v>25.773195876288661</v>
      </c>
    </row>
    <row r="2702" spans="1:15" x14ac:dyDescent="0.25">
      <c r="A2702" s="11">
        <v>46085</v>
      </c>
      <c r="B2702" t="s">
        <v>55</v>
      </c>
      <c r="C2702" t="s">
        <v>43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f t="shared" si="99"/>
        <v>0</v>
      </c>
      <c r="J2702" s="3">
        <f t="shared" si="100"/>
        <v>14</v>
      </c>
      <c r="K2702" s="3">
        <f t="shared" si="101"/>
        <v>-14</v>
      </c>
      <c r="L2702" s="3" t="str">
        <f t="shared" si="103"/>
        <v>CRÍTICO</v>
      </c>
      <c r="N2702">
        <v>100</v>
      </c>
      <c r="O2702">
        <v>15.38461538461539</v>
      </c>
    </row>
    <row r="2703" spans="1:15" x14ac:dyDescent="0.25">
      <c r="A2703" s="11">
        <v>46085</v>
      </c>
      <c r="B2703" t="s">
        <v>56</v>
      </c>
      <c r="C2703" t="s">
        <v>16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 t="shared" si="99"/>
        <v>20</v>
      </c>
      <c r="J2703" s="3">
        <f t="shared" si="100"/>
        <v>19</v>
      </c>
      <c r="K2703" s="3">
        <f t="shared" si="101"/>
        <v>1</v>
      </c>
      <c r="L2703" s="3" t="str">
        <f t="shared" si="103"/>
        <v>BOM</v>
      </c>
      <c r="N2703">
        <v>100</v>
      </c>
      <c r="O2703">
        <v>27.514792899408281</v>
      </c>
    </row>
    <row r="2704" spans="1:15" x14ac:dyDescent="0.25">
      <c r="A2704" s="11">
        <v>46085</v>
      </c>
      <c r="B2704" t="s">
        <v>57</v>
      </c>
      <c r="C2704" t="s">
        <v>43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f t="shared" si="99"/>
        <v>0</v>
      </c>
      <c r="J2704" s="3">
        <f t="shared" si="100"/>
        <v>14</v>
      </c>
      <c r="K2704" s="3">
        <f t="shared" si="101"/>
        <v>-14</v>
      </c>
      <c r="L2704" s="3" t="str">
        <f t="shared" si="103"/>
        <v>CRÍTICO</v>
      </c>
      <c r="N2704">
        <v>100</v>
      </c>
      <c r="O2704">
        <v>24.875621890547269</v>
      </c>
    </row>
    <row r="2705" spans="1:15" x14ac:dyDescent="0.25">
      <c r="A2705" s="11">
        <v>46085</v>
      </c>
      <c r="B2705" t="s">
        <v>58</v>
      </c>
      <c r="C2705" t="s">
        <v>43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f t="shared" si="99"/>
        <v>0</v>
      </c>
      <c r="J2705" s="3">
        <f t="shared" si="100"/>
        <v>14</v>
      </c>
      <c r="K2705" s="3">
        <f t="shared" si="101"/>
        <v>-14</v>
      </c>
      <c r="L2705" s="3" t="str">
        <f t="shared" si="103"/>
        <v>CRÍTICO</v>
      </c>
      <c r="N2705">
        <v>100</v>
      </c>
      <c r="O2705">
        <v>28.108108108108109</v>
      </c>
    </row>
    <row r="2706" spans="1:15" x14ac:dyDescent="0.25">
      <c r="A2706" s="11">
        <v>46085</v>
      </c>
      <c r="B2706" t="s">
        <v>59</v>
      </c>
      <c r="C2706" t="s">
        <v>23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f t="shared" si="99"/>
        <v>0</v>
      </c>
      <c r="J2706" s="3">
        <f t="shared" si="100"/>
        <v>7</v>
      </c>
      <c r="K2706" s="3">
        <f t="shared" si="101"/>
        <v>-7</v>
      </c>
      <c r="L2706" s="3" t="str">
        <f t="shared" si="103"/>
        <v>CRÍTICO</v>
      </c>
      <c r="N2706">
        <v>100</v>
      </c>
      <c r="O2706">
        <v>35</v>
      </c>
    </row>
    <row r="2707" spans="1:15" x14ac:dyDescent="0.25">
      <c r="A2707" s="11">
        <v>46085</v>
      </c>
      <c r="B2707" t="s">
        <v>60</v>
      </c>
      <c r="C2707" t="s">
        <v>20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 t="shared" ref="I2707:I2727" si="104">E2707+G2707+H2707</f>
        <v>23</v>
      </c>
      <c r="J2707" s="3">
        <f t="shared" ref="J2707:J2727" si="105"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16</v>
      </c>
      <c r="K2707" s="3">
        <f t="shared" ref="K2707:K2727" si="106">I2707-J2707</f>
        <v>7</v>
      </c>
      <c r="L2707" s="3" t="str">
        <f t="shared" si="103"/>
        <v>EXCELENTE</v>
      </c>
      <c r="N2707">
        <v>95.35</v>
      </c>
      <c r="O2707">
        <v>28.61538461538461</v>
      </c>
    </row>
    <row r="2708" spans="1:15" x14ac:dyDescent="0.25">
      <c r="A2708" s="11">
        <v>46085</v>
      </c>
      <c r="B2708" t="s">
        <v>61</v>
      </c>
      <c r="C2708" t="s">
        <v>18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 t="shared" si="104"/>
        <v>39</v>
      </c>
      <c r="J2708" s="3">
        <f t="shared" si="105"/>
        <v>24</v>
      </c>
      <c r="K2708" s="3">
        <f t="shared" si="106"/>
        <v>15</v>
      </c>
      <c r="L2708" s="3" t="str">
        <f t="shared" si="103"/>
        <v>EXCELENTE</v>
      </c>
      <c r="N2708">
        <v>98.26</v>
      </c>
      <c r="O2708">
        <v>27.54491017964072</v>
      </c>
    </row>
    <row r="2709" spans="1:15" x14ac:dyDescent="0.25">
      <c r="A2709" s="11">
        <v>46085</v>
      </c>
      <c r="B2709" t="s">
        <v>62</v>
      </c>
      <c r="C2709" t="s">
        <v>20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 t="shared" si="104"/>
        <v>15</v>
      </c>
      <c r="J2709" s="3">
        <f t="shared" si="105"/>
        <v>16</v>
      </c>
      <c r="K2709" s="3">
        <f t="shared" si="106"/>
        <v>-1</v>
      </c>
      <c r="L2709" s="3" t="str">
        <f t="shared" si="103"/>
        <v>ATENÇÃO</v>
      </c>
      <c r="N2709">
        <v>98.55</v>
      </c>
      <c r="O2709">
        <v>25.337837837837839</v>
      </c>
    </row>
    <row r="2710" spans="1:15" x14ac:dyDescent="0.25">
      <c r="A2710" s="11">
        <v>46085</v>
      </c>
      <c r="B2710" t="s">
        <v>63</v>
      </c>
      <c r="C2710" t="s">
        <v>18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 t="shared" si="104"/>
        <v>22</v>
      </c>
      <c r="J2710" s="3">
        <f t="shared" si="105"/>
        <v>24</v>
      </c>
      <c r="K2710" s="3">
        <f t="shared" si="106"/>
        <v>-2</v>
      </c>
      <c r="L2710" s="3" t="str">
        <f t="shared" si="103"/>
        <v>ATENÇÃO</v>
      </c>
      <c r="N2710">
        <v>98.39</v>
      </c>
      <c r="O2710">
        <v>25.563909774436091</v>
      </c>
    </row>
    <row r="2711" spans="1:15" x14ac:dyDescent="0.25">
      <c r="A2711" s="11">
        <v>46086</v>
      </c>
      <c r="B2711" t="s">
        <v>15</v>
      </c>
      <c r="C2711" t="s">
        <v>16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 t="shared" si="104"/>
        <v>24</v>
      </c>
      <c r="J2711" s="3">
        <f t="shared" si="105"/>
        <v>21</v>
      </c>
      <c r="K2711" s="3">
        <f t="shared" si="106"/>
        <v>3</v>
      </c>
      <c r="L2711" s="3" t="str">
        <f t="shared" si="103"/>
        <v>BOM</v>
      </c>
      <c r="N2711">
        <v>94.29</v>
      </c>
      <c r="O2711">
        <v>25.647668393782389</v>
      </c>
    </row>
    <row r="2712" spans="1:15" x14ac:dyDescent="0.25">
      <c r="A2712" s="11">
        <v>46086</v>
      </c>
      <c r="B2712" t="s">
        <v>17</v>
      </c>
      <c r="C2712" t="s">
        <v>18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f t="shared" si="104"/>
        <v>0</v>
      </c>
      <c r="J2712" s="3">
        <f t="shared" si="105"/>
        <v>27</v>
      </c>
      <c r="K2712" s="3">
        <f t="shared" si="106"/>
        <v>-27</v>
      </c>
      <c r="L2712" s="3" t="str">
        <f t="shared" si="103"/>
        <v>CRÍTICO</v>
      </c>
      <c r="N2712">
        <v>98.26</v>
      </c>
      <c r="O2712">
        <v>26.666666666666671</v>
      </c>
    </row>
    <row r="2713" spans="1:15" x14ac:dyDescent="0.25">
      <c r="A2713" s="11">
        <v>46086</v>
      </c>
      <c r="B2713" t="s">
        <v>19</v>
      </c>
      <c r="C2713" t="s">
        <v>20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 t="shared" si="104"/>
        <v>23</v>
      </c>
      <c r="J2713" s="3">
        <f t="shared" si="105"/>
        <v>17</v>
      </c>
      <c r="K2713" s="3">
        <f t="shared" si="106"/>
        <v>6</v>
      </c>
      <c r="L2713" s="3" t="str">
        <f t="shared" si="103"/>
        <v>EXCELENTE</v>
      </c>
      <c r="N2713">
        <v>98.2</v>
      </c>
      <c r="O2713">
        <v>23.37962962962963</v>
      </c>
    </row>
    <row r="2714" spans="1:15" x14ac:dyDescent="0.25">
      <c r="A2714" s="11">
        <v>46086</v>
      </c>
      <c r="B2714" t="s">
        <v>21</v>
      </c>
      <c r="C2714" t="s">
        <v>18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 t="shared" si="104"/>
        <v>26</v>
      </c>
      <c r="J2714" s="3">
        <f t="shared" si="105"/>
        <v>27</v>
      </c>
      <c r="K2714" s="3">
        <f t="shared" si="106"/>
        <v>-1</v>
      </c>
      <c r="L2714" s="3" t="str">
        <f t="shared" si="103"/>
        <v>ATENÇÃO</v>
      </c>
      <c r="N2714">
        <v>97.3</v>
      </c>
      <c r="O2714">
        <v>23.84769539078156</v>
      </c>
    </row>
    <row r="2715" spans="1:15" x14ac:dyDescent="0.25">
      <c r="A2715" s="11">
        <v>46086</v>
      </c>
      <c r="B2715" t="s">
        <v>22</v>
      </c>
      <c r="C2715" t="s">
        <v>23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 t="shared" si="104"/>
        <v>11</v>
      </c>
      <c r="J2715" s="3">
        <f t="shared" si="105"/>
        <v>8</v>
      </c>
      <c r="K2715" s="3">
        <f t="shared" si="106"/>
        <v>3</v>
      </c>
      <c r="L2715" s="3" t="str">
        <f t="shared" si="103"/>
        <v>BOM</v>
      </c>
      <c r="N2715">
        <v>100</v>
      </c>
      <c r="O2715">
        <v>25.268817204301079</v>
      </c>
    </row>
    <row r="2716" spans="1:15" x14ac:dyDescent="0.25">
      <c r="A2716" s="11">
        <v>46086</v>
      </c>
      <c r="B2716" t="s">
        <v>24</v>
      </c>
      <c r="C2716" t="s">
        <v>16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 t="shared" si="104"/>
        <v>24</v>
      </c>
      <c r="J2716" s="3">
        <f t="shared" si="105"/>
        <v>21</v>
      </c>
      <c r="K2716" s="3">
        <f t="shared" si="106"/>
        <v>3</v>
      </c>
      <c r="L2716" s="3" t="str">
        <f t="shared" si="103"/>
        <v>BOM</v>
      </c>
      <c r="N2716">
        <v>99.32</v>
      </c>
      <c r="O2716">
        <v>22.822822822822818</v>
      </c>
    </row>
    <row r="2717" spans="1:15" x14ac:dyDescent="0.25">
      <c r="A2717" s="11">
        <v>46086</v>
      </c>
      <c r="B2717" t="s">
        <v>25</v>
      </c>
      <c r="C2717" t="s">
        <v>16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 t="shared" si="104"/>
        <v>16</v>
      </c>
      <c r="J2717" s="3">
        <f t="shared" si="105"/>
        <v>21</v>
      </c>
      <c r="K2717" s="3">
        <f t="shared" si="106"/>
        <v>-5</v>
      </c>
      <c r="L2717" s="3" t="str">
        <f t="shared" si="103"/>
        <v>ATENÇÃO</v>
      </c>
      <c r="N2717">
        <v>100</v>
      </c>
      <c r="O2717">
        <v>27.966101694915249</v>
      </c>
    </row>
    <row r="2718" spans="1:15" x14ac:dyDescent="0.25">
      <c r="A2718" s="11">
        <v>46086</v>
      </c>
      <c r="B2718" t="s">
        <v>26</v>
      </c>
      <c r="C2718" t="s">
        <v>23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f t="shared" si="104"/>
        <v>0</v>
      </c>
      <c r="J2718" s="3">
        <f t="shared" si="105"/>
        <v>8</v>
      </c>
      <c r="K2718" s="3">
        <f t="shared" si="106"/>
        <v>-8</v>
      </c>
      <c r="L2718" s="3" t="str">
        <f t="shared" si="103"/>
        <v>CRÍTICO</v>
      </c>
      <c r="N2718">
        <v>100</v>
      </c>
      <c r="O2718">
        <v>30.434782608695659</v>
      </c>
    </row>
    <row r="2719" spans="1:15" x14ac:dyDescent="0.25">
      <c r="A2719" s="11">
        <v>46086</v>
      </c>
      <c r="B2719" t="s">
        <v>27</v>
      </c>
      <c r="C2719" t="s">
        <v>20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 t="shared" si="104"/>
        <v>19</v>
      </c>
      <c r="J2719" s="3">
        <f t="shared" si="105"/>
        <v>17</v>
      </c>
      <c r="K2719" s="3">
        <f t="shared" si="106"/>
        <v>2</v>
      </c>
      <c r="L2719" s="3" t="str">
        <f t="shared" si="103"/>
        <v>BOM</v>
      </c>
      <c r="N2719">
        <v>96.51</v>
      </c>
      <c r="O2719">
        <v>22.802850356294542</v>
      </c>
    </row>
    <row r="2720" spans="1:15" x14ac:dyDescent="0.25">
      <c r="A2720" s="11">
        <v>46086</v>
      </c>
      <c r="B2720" t="s">
        <v>28</v>
      </c>
      <c r="C2720" t="s">
        <v>18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 t="shared" si="104"/>
        <v>38</v>
      </c>
      <c r="J2720" s="3">
        <f t="shared" si="105"/>
        <v>27</v>
      </c>
      <c r="K2720" s="3">
        <f t="shared" si="106"/>
        <v>11</v>
      </c>
      <c r="L2720" s="3" t="str">
        <f t="shared" si="103"/>
        <v>EXCELENTE</v>
      </c>
      <c r="N2720">
        <v>92.68</v>
      </c>
      <c r="O2720">
        <v>27.777777777777779</v>
      </c>
    </row>
    <row r="2721" spans="1:15" x14ac:dyDescent="0.25">
      <c r="A2721" s="11">
        <v>46086</v>
      </c>
      <c r="B2721" t="s">
        <v>29</v>
      </c>
      <c r="C2721" t="s">
        <v>16</v>
      </c>
      <c r="D2721">
        <v>0</v>
      </c>
      <c r="E2721">
        <v>0</v>
      </c>
      <c r="F2721">
        <v>0</v>
      </c>
      <c r="G2721">
        <v>0</v>
      </c>
      <c r="H2721">
        <v>0</v>
      </c>
      <c r="I2721" s="3">
        <f t="shared" si="104"/>
        <v>0</v>
      </c>
      <c r="J2721" s="3">
        <f t="shared" si="105"/>
        <v>21</v>
      </c>
      <c r="K2721" s="3">
        <f t="shared" si="106"/>
        <v>-21</v>
      </c>
      <c r="L2721" s="3" t="str">
        <f t="shared" si="103"/>
        <v>CRÍTICO</v>
      </c>
      <c r="N2721">
        <v>99.03</v>
      </c>
      <c r="O2721">
        <v>23.991507430997881</v>
      </c>
    </row>
    <row r="2722" spans="1:15" x14ac:dyDescent="0.25">
      <c r="A2722" s="11">
        <v>46086</v>
      </c>
      <c r="B2722" t="s">
        <v>30</v>
      </c>
      <c r="C2722" t="s">
        <v>20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 t="shared" si="104"/>
        <v>22</v>
      </c>
      <c r="J2722" s="3">
        <f t="shared" si="105"/>
        <v>17</v>
      </c>
      <c r="K2722" s="3">
        <f t="shared" si="106"/>
        <v>5</v>
      </c>
      <c r="L2722" s="3" t="str">
        <f t="shared" si="103"/>
        <v>BOM</v>
      </c>
      <c r="N2722">
        <v>98.41</v>
      </c>
      <c r="O2722">
        <v>28.138528138528141</v>
      </c>
    </row>
    <row r="2723" spans="1:15" x14ac:dyDescent="0.25">
      <c r="A2723" s="11">
        <v>46086</v>
      </c>
      <c r="B2723" t="s">
        <v>31</v>
      </c>
      <c r="C2723" t="s">
        <v>18</v>
      </c>
      <c r="D2723">
        <v>0</v>
      </c>
      <c r="E2723">
        <v>0</v>
      </c>
      <c r="F2723">
        <v>0</v>
      </c>
      <c r="G2723">
        <v>0</v>
      </c>
      <c r="H2723">
        <v>0</v>
      </c>
      <c r="I2723" s="3">
        <f t="shared" si="104"/>
        <v>0</v>
      </c>
      <c r="J2723" s="3">
        <f t="shared" si="105"/>
        <v>27</v>
      </c>
      <c r="K2723" s="3">
        <f t="shared" si="106"/>
        <v>-27</v>
      </c>
      <c r="L2723" s="3" t="str">
        <f t="shared" si="103"/>
        <v>CRÍTICO</v>
      </c>
      <c r="N2723">
        <v>98.73</v>
      </c>
      <c r="O2723">
        <v>29.142857142857139</v>
      </c>
    </row>
    <row r="2724" spans="1:15" x14ac:dyDescent="0.25">
      <c r="A2724" s="11">
        <v>46086</v>
      </c>
      <c r="B2724" t="s">
        <v>32</v>
      </c>
      <c r="C2724" t="s">
        <v>23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 t="shared" si="104"/>
        <v>45</v>
      </c>
      <c r="J2724" s="3">
        <f t="shared" si="105"/>
        <v>8</v>
      </c>
      <c r="K2724" s="3">
        <f t="shared" si="106"/>
        <v>37</v>
      </c>
      <c r="L2724" s="3" t="str">
        <f t="shared" si="103"/>
        <v>EXCELENTE</v>
      </c>
      <c r="N2724">
        <v>90.48</v>
      </c>
      <c r="O2724">
        <v>20.68965517241379</v>
      </c>
    </row>
    <row r="2725" spans="1:15" x14ac:dyDescent="0.25">
      <c r="A2725" s="11">
        <v>46086</v>
      </c>
      <c r="B2725" t="s">
        <v>33</v>
      </c>
      <c r="C2725" t="s">
        <v>16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 t="shared" si="104"/>
        <v>31</v>
      </c>
      <c r="J2725" s="3">
        <f t="shared" si="105"/>
        <v>21</v>
      </c>
      <c r="K2725" s="3">
        <f t="shared" si="106"/>
        <v>10</v>
      </c>
      <c r="L2725" s="3" t="str">
        <f t="shared" si="103"/>
        <v>EXCELENTE</v>
      </c>
      <c r="N2725">
        <v>98.06</v>
      </c>
      <c r="O2725">
        <v>24.789915966386559</v>
      </c>
    </row>
    <row r="2726" spans="1:15" x14ac:dyDescent="0.25">
      <c r="A2726" s="11">
        <v>46086</v>
      </c>
      <c r="B2726" t="s">
        <v>34</v>
      </c>
      <c r="C2726" t="s">
        <v>18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 t="shared" si="104"/>
        <v>36</v>
      </c>
      <c r="J2726" s="3">
        <f t="shared" si="105"/>
        <v>27</v>
      </c>
      <c r="K2726" s="3">
        <f t="shared" si="106"/>
        <v>9</v>
      </c>
      <c r="L2726" s="3" t="str">
        <f t="shared" si="103"/>
        <v>EXCELENTE</v>
      </c>
      <c r="N2726">
        <v>97.78</v>
      </c>
      <c r="O2726">
        <v>25.494071146245059</v>
      </c>
    </row>
    <row r="2727" spans="1:15" x14ac:dyDescent="0.25">
      <c r="A2727" s="11">
        <v>46086</v>
      </c>
      <c r="B2727" t="s">
        <v>35</v>
      </c>
      <c r="C2727" t="s">
        <v>16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 t="shared" si="104"/>
        <v>17</v>
      </c>
      <c r="J2727" s="3">
        <f t="shared" si="105"/>
        <v>21</v>
      </c>
      <c r="K2727" s="3">
        <f t="shared" si="106"/>
        <v>-4</v>
      </c>
      <c r="L2727" s="3" t="str">
        <f t="shared" si="103"/>
        <v>ATENÇÃO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36</v>
      </c>
      <c r="C2728" t="s">
        <v>20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 t="shared" ref="I2707:I2770" si="107">E2728+G2728+H2728</f>
        <v>28</v>
      </c>
      <c r="J2728" s="3">
        <f t="shared" ref="J2707:J2770" si="108"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18</v>
      </c>
      <c r="K2728" s="3">
        <f t="shared" ref="K2707:K2770" si="109">I2728-J2728</f>
        <v>10</v>
      </c>
      <c r="L2728" s="3" t="str">
        <f t="shared" ref="L2707:L2770" si="110">IF(K2728&lt;-5,"CRÍTICO",IF(K2728&lt;0,"ATENÇÃO",IF(K2728&lt;=5,"OPORTUNO","MUITO BOM")))</f>
        <v>MUITO BOM</v>
      </c>
      <c r="N2728">
        <v>99.28</v>
      </c>
      <c r="O2728">
        <v>27.689243027888441</v>
      </c>
    </row>
    <row r="2729" spans="1:15" x14ac:dyDescent="0.25">
      <c r="A2729" s="11">
        <v>46086</v>
      </c>
      <c r="B2729" t="s">
        <v>37</v>
      </c>
      <c r="C2729" t="s">
        <v>16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 t="shared" si="107"/>
        <v>28</v>
      </c>
      <c r="J2729" s="3">
        <f t="shared" si="108"/>
        <v>21</v>
      </c>
      <c r="K2729" s="3">
        <f t="shared" si="109"/>
        <v>7</v>
      </c>
      <c r="L2729" s="3" t="str">
        <f t="shared" ref="L2729:L2746" si="111">IF(K2729&lt;-5,"CRÍTICO",IF(K2729&lt;0,"ATENÇÃO",IF(K2729&lt;=5,"BOM","EXCELENTE")))</f>
        <v>EXCELENTE</v>
      </c>
      <c r="N2729">
        <v>100</v>
      </c>
      <c r="O2729">
        <v>27.04918032786885</v>
      </c>
    </row>
    <row r="2730" spans="1:15" x14ac:dyDescent="0.25">
      <c r="A2730" s="11">
        <v>46086</v>
      </c>
      <c r="B2730" t="s">
        <v>38</v>
      </c>
      <c r="C2730" t="s">
        <v>18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 t="shared" si="107"/>
        <v>47</v>
      </c>
      <c r="J2730" s="3">
        <f t="shared" si="108"/>
        <v>27</v>
      </c>
      <c r="K2730" s="3">
        <f t="shared" si="109"/>
        <v>20</v>
      </c>
      <c r="L2730" s="3" t="str">
        <f t="shared" si="111"/>
        <v>EXCELENTE</v>
      </c>
      <c r="N2730">
        <v>97.83</v>
      </c>
      <c r="O2730">
        <v>26.315789473684209</v>
      </c>
    </row>
    <row r="2731" spans="1:15" x14ac:dyDescent="0.25">
      <c r="A2731" s="11">
        <v>46086</v>
      </c>
      <c r="B2731" t="s">
        <v>39</v>
      </c>
      <c r="C2731" t="s">
        <v>18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f t="shared" si="107"/>
        <v>0</v>
      </c>
      <c r="J2731" s="3">
        <f t="shared" si="108"/>
        <v>27</v>
      </c>
      <c r="K2731" s="3">
        <f t="shared" si="109"/>
        <v>-27</v>
      </c>
      <c r="L2731" s="3" t="str">
        <f t="shared" si="111"/>
        <v>CRÍTICO</v>
      </c>
      <c r="N2731">
        <v>100</v>
      </c>
      <c r="O2731">
        <v>26.701570680628269</v>
      </c>
    </row>
    <row r="2732" spans="1:15" x14ac:dyDescent="0.25">
      <c r="A2732" s="11">
        <v>46086</v>
      </c>
      <c r="B2732" t="s">
        <v>40</v>
      </c>
      <c r="C2732" t="s">
        <v>16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 t="shared" si="107"/>
        <v>29</v>
      </c>
      <c r="J2732" s="3">
        <f t="shared" si="108"/>
        <v>21</v>
      </c>
      <c r="K2732" s="3">
        <f t="shared" si="109"/>
        <v>8</v>
      </c>
      <c r="L2732" s="3" t="str">
        <f t="shared" si="111"/>
        <v>EXCELENTE</v>
      </c>
      <c r="N2732">
        <v>97.47</v>
      </c>
      <c r="O2732">
        <v>22.887323943661968</v>
      </c>
    </row>
    <row r="2733" spans="1:15" x14ac:dyDescent="0.25">
      <c r="A2733" s="11">
        <v>46086</v>
      </c>
      <c r="B2733" t="s">
        <v>41</v>
      </c>
      <c r="C2733" t="s">
        <v>18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f t="shared" si="107"/>
        <v>0</v>
      </c>
      <c r="J2733" s="3">
        <f t="shared" si="108"/>
        <v>27</v>
      </c>
      <c r="K2733" s="3">
        <f t="shared" si="109"/>
        <v>-27</v>
      </c>
      <c r="L2733" s="3" t="str">
        <f t="shared" si="111"/>
        <v>CRÍTICO</v>
      </c>
      <c r="N2733">
        <v>0</v>
      </c>
      <c r="O2733">
        <v>0</v>
      </c>
    </row>
    <row r="2734" spans="1:15" x14ac:dyDescent="0.25">
      <c r="A2734" s="11">
        <v>46086</v>
      </c>
      <c r="B2734" t="s">
        <v>42</v>
      </c>
      <c r="C2734" t="s">
        <v>43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 t="shared" si="107"/>
        <v>17</v>
      </c>
      <c r="J2734" s="3">
        <f t="shared" si="108"/>
        <v>15</v>
      </c>
      <c r="K2734" s="3">
        <f t="shared" si="109"/>
        <v>2</v>
      </c>
      <c r="L2734" s="3" t="str">
        <f t="shared" si="111"/>
        <v>BOM</v>
      </c>
      <c r="N2734">
        <v>98.31</v>
      </c>
      <c r="O2734">
        <v>24.920127795527151</v>
      </c>
    </row>
    <row r="2735" spans="1:15" x14ac:dyDescent="0.25">
      <c r="A2735" s="11">
        <v>46086</v>
      </c>
      <c r="B2735" t="s">
        <v>44</v>
      </c>
      <c r="C2735" t="s">
        <v>18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f t="shared" si="107"/>
        <v>0</v>
      </c>
      <c r="J2735" s="3">
        <f t="shared" si="108"/>
        <v>27</v>
      </c>
      <c r="K2735" s="3">
        <f t="shared" si="109"/>
        <v>-27</v>
      </c>
      <c r="L2735" s="3" t="str">
        <f t="shared" si="111"/>
        <v>CRÍTICO</v>
      </c>
      <c r="N2735">
        <v>96.81</v>
      </c>
      <c r="O2735">
        <v>32.365145228215773</v>
      </c>
    </row>
    <row r="2736" spans="1:15" x14ac:dyDescent="0.25">
      <c r="A2736" s="11">
        <v>46086</v>
      </c>
      <c r="B2736" t="s">
        <v>45</v>
      </c>
      <c r="C2736" t="s">
        <v>43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 t="shared" si="107"/>
        <v>6</v>
      </c>
      <c r="J2736" s="3">
        <f t="shared" si="108"/>
        <v>15</v>
      </c>
      <c r="K2736" s="3">
        <f t="shared" si="109"/>
        <v>-9</v>
      </c>
      <c r="L2736" s="3" t="str">
        <f t="shared" si="111"/>
        <v>CRÍTICO</v>
      </c>
      <c r="N2736">
        <v>100</v>
      </c>
      <c r="O2736">
        <v>26.47058823529412</v>
      </c>
    </row>
    <row r="2737" spans="1:15" x14ac:dyDescent="0.25">
      <c r="A2737" s="11">
        <v>46086</v>
      </c>
      <c r="B2737" t="s">
        <v>46</v>
      </c>
      <c r="C2737" t="s">
        <v>18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f t="shared" si="107"/>
        <v>0</v>
      </c>
      <c r="J2737" s="3">
        <f t="shared" si="108"/>
        <v>27</v>
      </c>
      <c r="K2737" s="3">
        <f t="shared" si="109"/>
        <v>-27</v>
      </c>
      <c r="L2737" s="3" t="str">
        <f t="shared" si="111"/>
        <v>CRÍTICO</v>
      </c>
      <c r="N2737">
        <v>100</v>
      </c>
      <c r="O2737">
        <v>28.490028490028489</v>
      </c>
    </row>
    <row r="2738" spans="1:15" x14ac:dyDescent="0.25">
      <c r="A2738" s="11">
        <v>46086</v>
      </c>
      <c r="B2738" t="s">
        <v>47</v>
      </c>
      <c r="C2738" t="s">
        <v>16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 t="shared" si="107"/>
        <v>26</v>
      </c>
      <c r="J2738" s="3">
        <f t="shared" si="108"/>
        <v>21</v>
      </c>
      <c r="K2738" s="3">
        <f t="shared" si="109"/>
        <v>5</v>
      </c>
      <c r="L2738" s="3" t="str">
        <f t="shared" si="111"/>
        <v>BOM</v>
      </c>
      <c r="N2738">
        <v>99.14</v>
      </c>
      <c r="O2738">
        <v>27.2289156626506</v>
      </c>
    </row>
    <row r="2739" spans="1:15" x14ac:dyDescent="0.25">
      <c r="A2739" s="11">
        <v>46086</v>
      </c>
      <c r="B2739" t="s">
        <v>48</v>
      </c>
      <c r="C2739" t="s">
        <v>16</v>
      </c>
      <c r="D2739">
        <v>0</v>
      </c>
      <c r="E2739">
        <v>0</v>
      </c>
      <c r="F2739">
        <v>0</v>
      </c>
      <c r="G2739">
        <v>0</v>
      </c>
      <c r="H2739">
        <v>0</v>
      </c>
      <c r="I2739" s="3">
        <f t="shared" si="107"/>
        <v>0</v>
      </c>
      <c r="J2739" s="3">
        <f t="shared" si="108"/>
        <v>21</v>
      </c>
      <c r="K2739" s="3">
        <f t="shared" si="109"/>
        <v>-21</v>
      </c>
      <c r="L2739" s="3" t="str">
        <f t="shared" si="111"/>
        <v>CRÍTICO</v>
      </c>
      <c r="N2739">
        <v>97.52</v>
      </c>
      <c r="O2739">
        <v>28.205128205128201</v>
      </c>
    </row>
    <row r="2740" spans="1:15" x14ac:dyDescent="0.25">
      <c r="A2740" s="11">
        <v>46086</v>
      </c>
      <c r="B2740" t="s">
        <v>49</v>
      </c>
      <c r="C2740" t="s">
        <v>18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 t="shared" si="107"/>
        <v>29</v>
      </c>
      <c r="J2740" s="3">
        <f t="shared" si="108"/>
        <v>27</v>
      </c>
      <c r="K2740" s="3">
        <f t="shared" si="109"/>
        <v>2</v>
      </c>
      <c r="L2740" s="3" t="str">
        <f t="shared" si="111"/>
        <v>BOM</v>
      </c>
      <c r="N2740">
        <v>90</v>
      </c>
      <c r="O2740">
        <v>24.186046511627911</v>
      </c>
    </row>
    <row r="2741" spans="1:15" x14ac:dyDescent="0.25">
      <c r="A2741" s="11">
        <v>46086</v>
      </c>
      <c r="B2741" t="s">
        <v>50</v>
      </c>
      <c r="C2741" t="s">
        <v>20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 t="shared" si="107"/>
        <v>25</v>
      </c>
      <c r="J2741" s="3">
        <f t="shared" si="108"/>
        <v>17</v>
      </c>
      <c r="K2741" s="3">
        <f t="shared" si="109"/>
        <v>8</v>
      </c>
      <c r="L2741" s="3" t="str">
        <f t="shared" si="111"/>
        <v>EXCELENTE</v>
      </c>
      <c r="N2741">
        <v>98.9</v>
      </c>
      <c r="O2741">
        <v>26.763990267639901</v>
      </c>
    </row>
    <row r="2742" spans="1:15" x14ac:dyDescent="0.25">
      <c r="A2742" s="11">
        <v>46086</v>
      </c>
      <c r="B2742" t="s">
        <v>51</v>
      </c>
      <c r="C2742" t="s">
        <v>23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 t="shared" si="107"/>
        <v>31</v>
      </c>
      <c r="J2742" s="3">
        <f t="shared" si="108"/>
        <v>8</v>
      </c>
      <c r="K2742" s="3">
        <f t="shared" si="109"/>
        <v>23</v>
      </c>
      <c r="L2742" s="3" t="str">
        <f t="shared" si="111"/>
        <v>EXCELENTE</v>
      </c>
      <c r="N2742">
        <v>88.89</v>
      </c>
      <c r="O2742">
        <v>25.263157894736839</v>
      </c>
    </row>
    <row r="2743" spans="1:15" x14ac:dyDescent="0.25">
      <c r="A2743" s="11">
        <v>46086</v>
      </c>
      <c r="B2743" t="s">
        <v>52</v>
      </c>
      <c r="C2743" t="s">
        <v>18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 t="shared" si="107"/>
        <v>7</v>
      </c>
      <c r="J2743" s="3">
        <f t="shared" si="108"/>
        <v>27</v>
      </c>
      <c r="K2743" s="3">
        <f t="shared" si="109"/>
        <v>-20</v>
      </c>
      <c r="L2743" s="3" t="str">
        <f t="shared" si="111"/>
        <v>CRÍTICO</v>
      </c>
      <c r="N2743">
        <v>98.86</v>
      </c>
      <c r="O2743">
        <v>28.959276018099551</v>
      </c>
    </row>
    <row r="2744" spans="1:15" x14ac:dyDescent="0.25">
      <c r="A2744" s="11">
        <v>46086</v>
      </c>
      <c r="B2744" t="s">
        <v>53</v>
      </c>
      <c r="C2744" t="s">
        <v>18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 t="shared" si="107"/>
        <v>29</v>
      </c>
      <c r="J2744" s="3">
        <f t="shared" si="108"/>
        <v>27</v>
      </c>
      <c r="K2744" s="3">
        <f t="shared" si="109"/>
        <v>2</v>
      </c>
      <c r="L2744" s="3" t="str">
        <f t="shared" si="111"/>
        <v>BOM</v>
      </c>
      <c r="N2744">
        <v>98.06</v>
      </c>
      <c r="O2744">
        <v>22.40566037735849</v>
      </c>
    </row>
    <row r="2745" spans="1:15" x14ac:dyDescent="0.25">
      <c r="A2745" s="11">
        <v>46086</v>
      </c>
      <c r="B2745" t="s">
        <v>54</v>
      </c>
      <c r="C2745" t="s">
        <v>23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 t="shared" si="107"/>
        <v>14</v>
      </c>
      <c r="J2745" s="3">
        <f t="shared" si="108"/>
        <v>8</v>
      </c>
      <c r="K2745" s="3">
        <f t="shared" si="109"/>
        <v>6</v>
      </c>
      <c r="L2745" s="3" t="str">
        <f t="shared" si="111"/>
        <v>EXCELENTE</v>
      </c>
      <c r="N2745">
        <v>95.83</v>
      </c>
      <c r="O2745">
        <v>25.773195876288661</v>
      </c>
    </row>
    <row r="2746" spans="1:15" x14ac:dyDescent="0.25">
      <c r="A2746" s="11">
        <v>46086</v>
      </c>
      <c r="B2746" t="s">
        <v>55</v>
      </c>
      <c r="C2746" t="s">
        <v>43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f t="shared" si="107"/>
        <v>0</v>
      </c>
      <c r="J2746" s="3">
        <f t="shared" si="108"/>
        <v>15</v>
      </c>
      <c r="K2746" s="3">
        <f t="shared" si="109"/>
        <v>-15</v>
      </c>
      <c r="L2746" s="3" t="str">
        <f t="shared" si="111"/>
        <v>CRÍTICO</v>
      </c>
      <c r="N2746">
        <v>100</v>
      </c>
      <c r="O2746">
        <v>15.38461538461539</v>
      </c>
    </row>
    <row r="2747" spans="1:15" x14ac:dyDescent="0.25">
      <c r="A2747" s="11">
        <v>46086</v>
      </c>
      <c r="B2747" t="s">
        <v>56</v>
      </c>
      <c r="C2747" t="s">
        <v>16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 t="shared" si="107"/>
        <v>25</v>
      </c>
      <c r="J2747" s="3">
        <f t="shared" si="108"/>
        <v>21</v>
      </c>
      <c r="K2747" s="3">
        <f t="shared" si="109"/>
        <v>4</v>
      </c>
      <c r="L2747" s="3" t="str">
        <f t="shared" si="110"/>
        <v>OPORTUNO</v>
      </c>
      <c r="N2747">
        <v>100</v>
      </c>
      <c r="O2747">
        <v>27.514792899408281</v>
      </c>
    </row>
    <row r="2748" spans="1:15" x14ac:dyDescent="0.25">
      <c r="A2748" s="11">
        <v>46086</v>
      </c>
      <c r="B2748" t="s">
        <v>57</v>
      </c>
      <c r="C2748" t="s">
        <v>43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 t="shared" si="107"/>
        <v>6</v>
      </c>
      <c r="J2748" s="3">
        <f t="shared" si="108"/>
        <v>15</v>
      </c>
      <c r="K2748" s="3">
        <f t="shared" si="109"/>
        <v>-9</v>
      </c>
      <c r="L2748" s="3" t="str">
        <f t="shared" si="110"/>
        <v>CRÍTICO</v>
      </c>
      <c r="N2748">
        <v>100</v>
      </c>
      <c r="O2748">
        <v>24.875621890547269</v>
      </c>
    </row>
    <row r="2749" spans="1:15" x14ac:dyDescent="0.25">
      <c r="A2749" s="11">
        <v>46086</v>
      </c>
      <c r="B2749" t="s">
        <v>58</v>
      </c>
      <c r="C2749" t="s">
        <v>43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 t="shared" si="107"/>
        <v>5</v>
      </c>
      <c r="J2749" s="3">
        <f t="shared" si="108"/>
        <v>15</v>
      </c>
      <c r="K2749" s="3">
        <f t="shared" si="109"/>
        <v>-10</v>
      </c>
      <c r="L2749" s="3" t="str">
        <f t="shared" si="110"/>
        <v>CRÍTICO</v>
      </c>
      <c r="N2749">
        <v>100</v>
      </c>
      <c r="O2749">
        <v>28.108108108108109</v>
      </c>
    </row>
    <row r="2750" spans="1:15" x14ac:dyDescent="0.25">
      <c r="A2750" s="11">
        <v>46086</v>
      </c>
      <c r="B2750" t="s">
        <v>59</v>
      </c>
      <c r="C2750" t="s">
        <v>23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f t="shared" si="107"/>
        <v>0</v>
      </c>
      <c r="J2750" s="3">
        <f t="shared" si="108"/>
        <v>8</v>
      </c>
      <c r="K2750" s="3">
        <f t="shared" si="109"/>
        <v>-8</v>
      </c>
      <c r="L2750" s="3" t="str">
        <f t="shared" si="110"/>
        <v>CRÍTICO</v>
      </c>
      <c r="N2750">
        <v>100</v>
      </c>
      <c r="O2750">
        <v>35</v>
      </c>
    </row>
    <row r="2751" spans="1:15" x14ac:dyDescent="0.25">
      <c r="A2751" s="11">
        <v>46086</v>
      </c>
      <c r="B2751" t="s">
        <v>60</v>
      </c>
      <c r="C2751" t="s">
        <v>20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 t="shared" si="107"/>
        <v>23</v>
      </c>
      <c r="J2751" s="3">
        <f t="shared" si="108"/>
        <v>17</v>
      </c>
      <c r="K2751" s="3">
        <f t="shared" si="109"/>
        <v>6</v>
      </c>
      <c r="L2751" s="3" t="str">
        <f t="shared" si="110"/>
        <v>MUITO BOM</v>
      </c>
      <c r="N2751">
        <v>95.35</v>
      </c>
      <c r="O2751">
        <v>28.61538461538461</v>
      </c>
    </row>
    <row r="2752" spans="1:15" x14ac:dyDescent="0.25">
      <c r="A2752" s="11">
        <v>46086</v>
      </c>
      <c r="B2752" t="s">
        <v>61</v>
      </c>
      <c r="C2752" t="s">
        <v>18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 t="shared" si="107"/>
        <v>36</v>
      </c>
      <c r="J2752" s="3">
        <f t="shared" si="108"/>
        <v>27</v>
      </c>
      <c r="K2752" s="3">
        <f t="shared" si="109"/>
        <v>9</v>
      </c>
      <c r="L2752" s="3" t="str">
        <f t="shared" si="110"/>
        <v>MUITO BOM</v>
      </c>
      <c r="N2752">
        <v>98.26</v>
      </c>
      <c r="O2752">
        <v>27.54491017964072</v>
      </c>
    </row>
    <row r="2753" spans="1:15" x14ac:dyDescent="0.25">
      <c r="A2753" s="11">
        <v>46086</v>
      </c>
      <c r="B2753" t="s">
        <v>62</v>
      </c>
      <c r="C2753" t="s">
        <v>20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 t="shared" si="107"/>
        <v>21</v>
      </c>
      <c r="J2753" s="3">
        <f t="shared" si="108"/>
        <v>17</v>
      </c>
      <c r="K2753" s="3">
        <f t="shared" si="109"/>
        <v>4</v>
      </c>
      <c r="L2753" s="3" t="str">
        <f t="shared" si="110"/>
        <v>OPORTUNO</v>
      </c>
      <c r="N2753">
        <v>98.55</v>
      </c>
      <c r="O2753">
        <v>25.337837837837839</v>
      </c>
    </row>
    <row r="2754" spans="1:15" x14ac:dyDescent="0.25">
      <c r="A2754" s="11">
        <v>46086</v>
      </c>
      <c r="B2754" t="s">
        <v>63</v>
      </c>
      <c r="C2754" t="s">
        <v>18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 t="shared" si="107"/>
        <v>27</v>
      </c>
      <c r="J2754" s="3">
        <f t="shared" si="108"/>
        <v>27</v>
      </c>
      <c r="K2754" s="3">
        <f t="shared" si="109"/>
        <v>0</v>
      </c>
      <c r="L2754" s="3" t="str">
        <f t="shared" si="110"/>
        <v>OPORTUNO</v>
      </c>
      <c r="N2754">
        <v>98.39</v>
      </c>
      <c r="O2754">
        <v>25.563909774436091</v>
      </c>
    </row>
    <row r="2755" spans="1:15" x14ac:dyDescent="0.25">
      <c r="A2755" s="11">
        <v>46087</v>
      </c>
      <c r="B2755" t="s">
        <v>15</v>
      </c>
      <c r="C2755" t="s">
        <v>16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 t="shared" si="107"/>
        <v>33</v>
      </c>
      <c r="J2755" s="3">
        <f t="shared" si="108"/>
        <v>20</v>
      </c>
      <c r="K2755" s="3">
        <f t="shared" si="109"/>
        <v>13</v>
      </c>
      <c r="L2755" s="3" t="str">
        <f t="shared" si="110"/>
        <v>MUITO BOM</v>
      </c>
      <c r="N2755">
        <v>94.29</v>
      </c>
      <c r="O2755">
        <v>25.647668393782389</v>
      </c>
    </row>
    <row r="2756" spans="1:15" x14ac:dyDescent="0.25">
      <c r="A2756" s="11">
        <v>46087</v>
      </c>
      <c r="B2756" t="s">
        <v>17</v>
      </c>
      <c r="C2756" t="s">
        <v>18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f t="shared" si="107"/>
        <v>0</v>
      </c>
      <c r="J2756" s="3">
        <f t="shared" si="108"/>
        <v>25</v>
      </c>
      <c r="K2756" s="3">
        <f t="shared" si="109"/>
        <v>-25</v>
      </c>
      <c r="L2756" s="3" t="str">
        <f t="shared" si="110"/>
        <v>CRÍTICO</v>
      </c>
      <c r="N2756">
        <v>98.26</v>
      </c>
      <c r="O2756">
        <v>26.666666666666671</v>
      </c>
    </row>
    <row r="2757" spans="1:15" x14ac:dyDescent="0.25">
      <c r="A2757" s="11">
        <v>46087</v>
      </c>
      <c r="B2757" t="s">
        <v>19</v>
      </c>
      <c r="C2757" t="s">
        <v>20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 t="shared" si="107"/>
        <v>21</v>
      </c>
      <c r="J2757" s="3">
        <f t="shared" si="108"/>
        <v>17</v>
      </c>
      <c r="K2757" s="3">
        <f t="shared" si="109"/>
        <v>4</v>
      </c>
      <c r="L2757" s="3" t="str">
        <f t="shared" si="110"/>
        <v>OPORTUNO</v>
      </c>
      <c r="N2757">
        <v>98.2</v>
      </c>
      <c r="O2757">
        <v>23.37962962962963</v>
      </c>
    </row>
    <row r="2758" spans="1:15" x14ac:dyDescent="0.25">
      <c r="A2758" s="11">
        <v>46087</v>
      </c>
      <c r="B2758" t="s">
        <v>21</v>
      </c>
      <c r="C2758" t="s">
        <v>18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 t="shared" si="107"/>
        <v>25</v>
      </c>
      <c r="J2758" s="3">
        <f t="shared" si="108"/>
        <v>25</v>
      </c>
      <c r="K2758" s="3">
        <f t="shared" si="109"/>
        <v>0</v>
      </c>
      <c r="L2758" s="3" t="str">
        <f t="shared" si="110"/>
        <v>OPORTUNO</v>
      </c>
      <c r="N2758">
        <v>97.3</v>
      </c>
      <c r="O2758">
        <v>23.84769539078156</v>
      </c>
    </row>
    <row r="2759" spans="1:15" x14ac:dyDescent="0.25">
      <c r="A2759" s="11">
        <v>46087</v>
      </c>
      <c r="B2759" t="s">
        <v>22</v>
      </c>
      <c r="C2759" t="s">
        <v>23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 t="shared" si="107"/>
        <v>6</v>
      </c>
      <c r="J2759" s="3">
        <f t="shared" si="108"/>
        <v>7</v>
      </c>
      <c r="K2759" s="3">
        <f t="shared" si="109"/>
        <v>-1</v>
      </c>
      <c r="L2759" s="3" t="str">
        <f t="shared" si="110"/>
        <v>ATENÇÃO</v>
      </c>
      <c r="N2759">
        <v>100</v>
      </c>
      <c r="O2759">
        <v>25.268817204301079</v>
      </c>
    </row>
    <row r="2760" spans="1:15" x14ac:dyDescent="0.25">
      <c r="A2760" s="11">
        <v>46087</v>
      </c>
      <c r="B2760" t="s">
        <v>24</v>
      </c>
      <c r="C2760" t="s">
        <v>16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 t="shared" si="107"/>
        <v>43</v>
      </c>
      <c r="J2760" s="3">
        <f t="shared" si="108"/>
        <v>20</v>
      </c>
      <c r="K2760" s="3">
        <f t="shared" si="109"/>
        <v>23</v>
      </c>
      <c r="L2760" s="3" t="str">
        <f t="shared" si="110"/>
        <v>MUITO BOM</v>
      </c>
      <c r="N2760">
        <v>99.32</v>
      </c>
      <c r="O2760">
        <v>22.822822822822818</v>
      </c>
    </row>
    <row r="2761" spans="1:15" x14ac:dyDescent="0.25">
      <c r="A2761" s="11">
        <v>46087</v>
      </c>
      <c r="B2761" t="s">
        <v>25</v>
      </c>
      <c r="C2761" t="s">
        <v>16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 t="shared" si="107"/>
        <v>23</v>
      </c>
      <c r="J2761" s="3">
        <f t="shared" si="108"/>
        <v>20</v>
      </c>
      <c r="K2761" s="3">
        <f t="shared" si="109"/>
        <v>3</v>
      </c>
      <c r="L2761" s="3" t="str">
        <f t="shared" si="110"/>
        <v>OPORTUNO</v>
      </c>
      <c r="N2761">
        <v>100</v>
      </c>
      <c r="O2761">
        <v>27.966101694915249</v>
      </c>
    </row>
    <row r="2762" spans="1:15" x14ac:dyDescent="0.25">
      <c r="A2762" s="11">
        <v>46087</v>
      </c>
      <c r="B2762" t="s">
        <v>26</v>
      </c>
      <c r="C2762" t="s">
        <v>23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f t="shared" si="107"/>
        <v>0</v>
      </c>
      <c r="J2762" s="3">
        <f t="shared" si="108"/>
        <v>7</v>
      </c>
      <c r="K2762" s="3">
        <f t="shared" si="109"/>
        <v>-7</v>
      </c>
      <c r="L2762" s="3" t="str">
        <f t="shared" si="110"/>
        <v>CRÍTICO</v>
      </c>
      <c r="N2762">
        <v>100</v>
      </c>
      <c r="O2762">
        <v>30.434782608695659</v>
      </c>
    </row>
    <row r="2763" spans="1:15" x14ac:dyDescent="0.25">
      <c r="A2763" s="11">
        <v>46087</v>
      </c>
      <c r="B2763" t="s">
        <v>27</v>
      </c>
      <c r="C2763" t="s">
        <v>20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 t="shared" si="107"/>
        <v>18</v>
      </c>
      <c r="J2763" s="3">
        <f t="shared" si="108"/>
        <v>17</v>
      </c>
      <c r="K2763" s="3">
        <f t="shared" si="109"/>
        <v>1</v>
      </c>
      <c r="L2763" s="3" t="str">
        <f t="shared" si="110"/>
        <v>OPORTUNO</v>
      </c>
      <c r="N2763">
        <v>96.51</v>
      </c>
      <c r="O2763">
        <v>22.802850356294542</v>
      </c>
    </row>
    <row r="2764" spans="1:15" x14ac:dyDescent="0.25">
      <c r="A2764" s="11">
        <v>46087</v>
      </c>
      <c r="B2764" t="s">
        <v>28</v>
      </c>
      <c r="C2764" t="s">
        <v>18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f t="shared" si="107"/>
        <v>0</v>
      </c>
      <c r="J2764" s="3">
        <f t="shared" si="108"/>
        <v>25</v>
      </c>
      <c r="K2764" s="3">
        <f t="shared" si="109"/>
        <v>-25</v>
      </c>
      <c r="L2764" s="3" t="str">
        <f t="shared" si="110"/>
        <v>CRÍTICO</v>
      </c>
      <c r="N2764">
        <v>92.68</v>
      </c>
      <c r="O2764">
        <v>27.777777777777779</v>
      </c>
    </row>
    <row r="2765" spans="1:15" x14ac:dyDescent="0.25">
      <c r="A2765" s="11">
        <v>46087</v>
      </c>
      <c r="B2765" t="s">
        <v>29</v>
      </c>
      <c r="C2765" t="s">
        <v>16</v>
      </c>
      <c r="D2765">
        <v>0</v>
      </c>
      <c r="E2765">
        <v>0</v>
      </c>
      <c r="F2765">
        <v>0</v>
      </c>
      <c r="G2765">
        <v>0</v>
      </c>
      <c r="H2765">
        <v>0</v>
      </c>
      <c r="I2765" s="3">
        <f t="shared" si="107"/>
        <v>0</v>
      </c>
      <c r="J2765" s="3">
        <f t="shared" si="108"/>
        <v>20</v>
      </c>
      <c r="K2765" s="3">
        <f t="shared" si="109"/>
        <v>-20</v>
      </c>
      <c r="L2765" s="3" t="str">
        <f t="shared" si="110"/>
        <v>CRÍTICO</v>
      </c>
      <c r="N2765">
        <v>99.03</v>
      </c>
      <c r="O2765">
        <v>23.991507430997881</v>
      </c>
    </row>
    <row r="2766" spans="1:15" x14ac:dyDescent="0.25">
      <c r="A2766" s="11">
        <v>46087</v>
      </c>
      <c r="B2766" t="s">
        <v>30</v>
      </c>
      <c r="C2766" t="s">
        <v>20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 t="shared" si="107"/>
        <v>21</v>
      </c>
      <c r="J2766" s="3">
        <f t="shared" si="108"/>
        <v>17</v>
      </c>
      <c r="K2766" s="3">
        <f t="shared" si="109"/>
        <v>4</v>
      </c>
      <c r="L2766" s="3" t="str">
        <f t="shared" si="110"/>
        <v>OPORTUNO</v>
      </c>
      <c r="N2766">
        <v>98.41</v>
      </c>
      <c r="O2766">
        <v>28.138528138528141</v>
      </c>
    </row>
    <row r="2767" spans="1:15" x14ac:dyDescent="0.25">
      <c r="A2767" s="11">
        <v>46087</v>
      </c>
      <c r="B2767" t="s">
        <v>31</v>
      </c>
      <c r="C2767" t="s">
        <v>18</v>
      </c>
      <c r="D2767">
        <v>0</v>
      </c>
      <c r="E2767">
        <v>0</v>
      </c>
      <c r="F2767">
        <v>0</v>
      </c>
      <c r="G2767">
        <v>0</v>
      </c>
      <c r="H2767">
        <v>0</v>
      </c>
      <c r="I2767" s="3">
        <f t="shared" si="107"/>
        <v>0</v>
      </c>
      <c r="J2767" s="3">
        <f t="shared" si="108"/>
        <v>25</v>
      </c>
      <c r="K2767" s="3">
        <f t="shared" si="109"/>
        <v>-25</v>
      </c>
      <c r="L2767" s="3" t="str">
        <f t="shared" si="110"/>
        <v>CRÍTICO</v>
      </c>
      <c r="N2767">
        <v>98.73</v>
      </c>
      <c r="O2767">
        <v>29.142857142857139</v>
      </c>
    </row>
    <row r="2768" spans="1:15" x14ac:dyDescent="0.25">
      <c r="A2768" s="11">
        <v>46087</v>
      </c>
      <c r="B2768" t="s">
        <v>32</v>
      </c>
      <c r="C2768" t="s">
        <v>23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 t="shared" si="107"/>
        <v>35</v>
      </c>
      <c r="J2768" s="3">
        <f t="shared" si="108"/>
        <v>7</v>
      </c>
      <c r="K2768" s="3">
        <f t="shared" si="109"/>
        <v>28</v>
      </c>
      <c r="L2768" s="3" t="str">
        <f t="shared" si="110"/>
        <v>MUITO BOM</v>
      </c>
      <c r="N2768">
        <v>90.48</v>
      </c>
      <c r="O2768">
        <v>20.68965517241379</v>
      </c>
    </row>
    <row r="2769" spans="1:15" x14ac:dyDescent="0.25">
      <c r="A2769" s="11">
        <v>46087</v>
      </c>
      <c r="B2769" t="s">
        <v>33</v>
      </c>
      <c r="C2769" t="s">
        <v>16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 t="shared" si="107"/>
        <v>26</v>
      </c>
      <c r="J2769" s="3">
        <f t="shared" si="108"/>
        <v>20</v>
      </c>
      <c r="K2769" s="3">
        <f t="shared" si="109"/>
        <v>6</v>
      </c>
      <c r="L2769" s="3" t="str">
        <f t="shared" si="110"/>
        <v>MUITO BOM</v>
      </c>
      <c r="N2769">
        <v>98.06</v>
      </c>
      <c r="O2769">
        <v>24.789915966386559</v>
      </c>
    </row>
    <row r="2770" spans="1:15" x14ac:dyDescent="0.25">
      <c r="A2770" s="11">
        <v>46087</v>
      </c>
      <c r="B2770" t="s">
        <v>34</v>
      </c>
      <c r="C2770" t="s">
        <v>18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 t="shared" si="107"/>
        <v>19</v>
      </c>
      <c r="J2770" s="3">
        <f t="shared" si="108"/>
        <v>25</v>
      </c>
      <c r="K2770" s="3">
        <f t="shared" si="109"/>
        <v>-6</v>
      </c>
      <c r="L2770" s="3" t="str">
        <f t="shared" si="110"/>
        <v>CRÍTICO</v>
      </c>
      <c r="N2770">
        <v>97.78</v>
      </c>
      <c r="O2770">
        <v>25.494071146245059</v>
      </c>
    </row>
    <row r="2771" spans="1:15" x14ac:dyDescent="0.25">
      <c r="A2771" s="11">
        <v>46087</v>
      </c>
      <c r="B2771" t="s">
        <v>35</v>
      </c>
      <c r="C2771" t="s">
        <v>16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 t="shared" ref="I2771:I2834" si="112">E2771+G2771+H2771</f>
        <v>26</v>
      </c>
      <c r="J2771" s="3">
        <f t="shared" ref="J2771:J2834" si="113"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20</v>
      </c>
      <c r="K2771" s="3">
        <f t="shared" ref="K2771:K2834" si="114">I2771-J2771</f>
        <v>6</v>
      </c>
      <c r="L2771" s="3" t="str">
        <f t="shared" ref="L2771:L2834" si="115">IF(K2771&lt;-5,"CRÍTICO",IF(K2771&lt;0,"ATENÇÃO",IF(K2771&lt;=5,"OPORTUNO","MUITO BOM")))</f>
        <v>MUITO BOM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36</v>
      </c>
      <c r="C2772" t="s">
        <v>20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 t="shared" si="112"/>
        <v>25</v>
      </c>
      <c r="J2772" s="3">
        <f t="shared" si="113"/>
        <v>16</v>
      </c>
      <c r="K2772" s="3">
        <f t="shared" si="114"/>
        <v>9</v>
      </c>
      <c r="L2772" s="3" t="str">
        <f t="shared" si="115"/>
        <v>MUITO BOM</v>
      </c>
      <c r="N2772">
        <v>99.28</v>
      </c>
      <c r="O2772">
        <v>27.689243027888441</v>
      </c>
    </row>
    <row r="2773" spans="1:15" x14ac:dyDescent="0.25">
      <c r="A2773" s="11">
        <v>46087</v>
      </c>
      <c r="B2773" t="s">
        <v>37</v>
      </c>
      <c r="C2773" t="s">
        <v>16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 t="shared" si="112"/>
        <v>29</v>
      </c>
      <c r="J2773" s="3">
        <f t="shared" si="113"/>
        <v>20</v>
      </c>
      <c r="K2773" s="3">
        <f t="shared" si="114"/>
        <v>9</v>
      </c>
      <c r="L2773" s="3" t="str">
        <f t="shared" si="115"/>
        <v>MUITO BOM</v>
      </c>
      <c r="N2773">
        <v>100</v>
      </c>
      <c r="O2773">
        <v>27.04918032786885</v>
      </c>
    </row>
    <row r="2774" spans="1:15" x14ac:dyDescent="0.25">
      <c r="A2774" s="11">
        <v>46087</v>
      </c>
      <c r="B2774" t="s">
        <v>38</v>
      </c>
      <c r="C2774" t="s">
        <v>18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 t="shared" si="112"/>
        <v>46</v>
      </c>
      <c r="J2774" s="3">
        <f t="shared" si="113"/>
        <v>25</v>
      </c>
      <c r="K2774" s="3">
        <f t="shared" si="114"/>
        <v>21</v>
      </c>
      <c r="L2774" s="3" t="str">
        <f t="shared" si="115"/>
        <v>MUITO BOM</v>
      </c>
      <c r="N2774">
        <v>97.83</v>
      </c>
      <c r="O2774">
        <v>26.315789473684209</v>
      </c>
    </row>
    <row r="2775" spans="1:15" x14ac:dyDescent="0.25">
      <c r="A2775" s="11">
        <v>46087</v>
      </c>
      <c r="B2775" t="s">
        <v>39</v>
      </c>
      <c r="C2775" t="s">
        <v>18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f t="shared" si="112"/>
        <v>0</v>
      </c>
      <c r="J2775" s="3">
        <f t="shared" si="113"/>
        <v>25</v>
      </c>
      <c r="K2775" s="3">
        <f t="shared" si="114"/>
        <v>-25</v>
      </c>
      <c r="L2775" s="3" t="str">
        <f t="shared" si="115"/>
        <v>CRÍTICO</v>
      </c>
      <c r="N2775">
        <v>100</v>
      </c>
      <c r="O2775">
        <v>26.701570680628269</v>
      </c>
    </row>
    <row r="2776" spans="1:15" x14ac:dyDescent="0.25">
      <c r="A2776" s="11">
        <v>46087</v>
      </c>
      <c r="B2776" t="s">
        <v>40</v>
      </c>
      <c r="C2776" t="s">
        <v>16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 t="shared" si="112"/>
        <v>34</v>
      </c>
      <c r="J2776" s="3">
        <f t="shared" si="113"/>
        <v>20</v>
      </c>
      <c r="K2776" s="3">
        <f t="shared" si="114"/>
        <v>14</v>
      </c>
      <c r="L2776" s="3" t="str">
        <f t="shared" si="115"/>
        <v>MUITO BOM</v>
      </c>
      <c r="N2776">
        <v>97.47</v>
      </c>
      <c r="O2776">
        <v>22.887323943661968</v>
      </c>
    </row>
    <row r="2777" spans="1:15" x14ac:dyDescent="0.25">
      <c r="A2777" s="11">
        <v>46087</v>
      </c>
      <c r="B2777" t="s">
        <v>41</v>
      </c>
      <c r="C2777" t="s">
        <v>18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f t="shared" si="112"/>
        <v>0</v>
      </c>
      <c r="J2777" s="3">
        <f t="shared" si="113"/>
        <v>25</v>
      </c>
      <c r="K2777" s="3">
        <f t="shared" si="114"/>
        <v>-25</v>
      </c>
      <c r="L2777" s="3" t="str">
        <f t="shared" si="115"/>
        <v>CRÍTICO</v>
      </c>
      <c r="N2777">
        <v>0</v>
      </c>
      <c r="O2777">
        <v>0</v>
      </c>
    </row>
    <row r="2778" spans="1:15" x14ac:dyDescent="0.25">
      <c r="A2778" s="11">
        <v>46087</v>
      </c>
      <c r="B2778" t="s">
        <v>42</v>
      </c>
      <c r="C2778" t="s">
        <v>43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 t="shared" si="112"/>
        <v>23</v>
      </c>
      <c r="J2778" s="3">
        <f t="shared" si="113"/>
        <v>15</v>
      </c>
      <c r="K2778" s="3">
        <f t="shared" si="114"/>
        <v>8</v>
      </c>
      <c r="L2778" s="3" t="str">
        <f t="shared" si="115"/>
        <v>MUITO BOM</v>
      </c>
      <c r="N2778">
        <v>98.31</v>
      </c>
      <c r="O2778">
        <v>24.920127795527151</v>
      </c>
    </row>
    <row r="2779" spans="1:15" x14ac:dyDescent="0.25">
      <c r="A2779" s="11">
        <v>46087</v>
      </c>
      <c r="B2779" t="s">
        <v>44</v>
      </c>
      <c r="C2779" t="s">
        <v>18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f t="shared" si="112"/>
        <v>0</v>
      </c>
      <c r="J2779" s="3">
        <f t="shared" si="113"/>
        <v>25</v>
      </c>
      <c r="K2779" s="3">
        <f t="shared" si="114"/>
        <v>-25</v>
      </c>
      <c r="L2779" s="3" t="str">
        <f t="shared" si="115"/>
        <v>CRÍTICO</v>
      </c>
      <c r="N2779">
        <v>96.81</v>
      </c>
      <c r="O2779">
        <v>32.365145228215773</v>
      </c>
    </row>
    <row r="2780" spans="1:15" x14ac:dyDescent="0.25">
      <c r="A2780" s="11">
        <v>46087</v>
      </c>
      <c r="B2780" t="s">
        <v>45</v>
      </c>
      <c r="C2780" t="s">
        <v>43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 t="shared" si="112"/>
        <v>9</v>
      </c>
      <c r="J2780" s="3">
        <f t="shared" si="113"/>
        <v>15</v>
      </c>
      <c r="K2780" s="3">
        <f t="shared" si="114"/>
        <v>-6</v>
      </c>
      <c r="L2780" s="3" t="str">
        <f t="shared" si="115"/>
        <v>CRÍTICO</v>
      </c>
      <c r="N2780">
        <v>100</v>
      </c>
      <c r="O2780">
        <v>26.47058823529412</v>
      </c>
    </row>
    <row r="2781" spans="1:15" x14ac:dyDescent="0.25">
      <c r="A2781" s="11">
        <v>46087</v>
      </c>
      <c r="B2781" t="s">
        <v>46</v>
      </c>
      <c r="C2781" t="s">
        <v>18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f t="shared" si="112"/>
        <v>0</v>
      </c>
      <c r="J2781" s="3">
        <f t="shared" si="113"/>
        <v>25</v>
      </c>
      <c r="K2781" s="3">
        <f t="shared" si="114"/>
        <v>-25</v>
      </c>
      <c r="L2781" s="3" t="str">
        <f t="shared" si="115"/>
        <v>CRÍTICO</v>
      </c>
      <c r="N2781">
        <v>100</v>
      </c>
      <c r="O2781">
        <v>28.490028490028489</v>
      </c>
    </row>
    <row r="2782" spans="1:15" x14ac:dyDescent="0.25">
      <c r="A2782" s="11">
        <v>46087</v>
      </c>
      <c r="B2782" t="s">
        <v>47</v>
      </c>
      <c r="C2782" t="s">
        <v>16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 t="shared" si="112"/>
        <v>29</v>
      </c>
      <c r="J2782" s="3">
        <f t="shared" si="113"/>
        <v>20</v>
      </c>
      <c r="K2782" s="3">
        <f t="shared" si="114"/>
        <v>9</v>
      </c>
      <c r="L2782" s="3" t="str">
        <f t="shared" si="115"/>
        <v>MUITO BOM</v>
      </c>
      <c r="N2782">
        <v>99.14</v>
      </c>
      <c r="O2782">
        <v>27.2289156626506</v>
      </c>
    </row>
    <row r="2783" spans="1:15" x14ac:dyDescent="0.25">
      <c r="A2783" s="11">
        <v>46087</v>
      </c>
      <c r="B2783" t="s">
        <v>48</v>
      </c>
      <c r="C2783" t="s">
        <v>16</v>
      </c>
      <c r="D2783">
        <v>0</v>
      </c>
      <c r="E2783">
        <v>0</v>
      </c>
      <c r="F2783">
        <v>0</v>
      </c>
      <c r="G2783">
        <v>0</v>
      </c>
      <c r="H2783">
        <v>0</v>
      </c>
      <c r="I2783" s="3">
        <f t="shared" si="112"/>
        <v>0</v>
      </c>
      <c r="J2783" s="3">
        <f t="shared" si="113"/>
        <v>20</v>
      </c>
      <c r="K2783" s="3">
        <f t="shared" si="114"/>
        <v>-20</v>
      </c>
      <c r="L2783" s="3" t="str">
        <f t="shared" si="115"/>
        <v>CRÍTICO</v>
      </c>
      <c r="N2783">
        <v>97.52</v>
      </c>
      <c r="O2783">
        <v>28.205128205128201</v>
      </c>
    </row>
    <row r="2784" spans="1:15" x14ac:dyDescent="0.25">
      <c r="A2784" s="11">
        <v>46087</v>
      </c>
      <c r="B2784" t="s">
        <v>49</v>
      </c>
      <c r="C2784" t="s">
        <v>18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 t="shared" si="112"/>
        <v>32</v>
      </c>
      <c r="J2784" s="3">
        <f t="shared" si="113"/>
        <v>25</v>
      </c>
      <c r="K2784" s="3">
        <f t="shared" si="114"/>
        <v>7</v>
      </c>
      <c r="L2784" s="3" t="str">
        <f t="shared" si="115"/>
        <v>MUITO BOM</v>
      </c>
      <c r="N2784">
        <v>90</v>
      </c>
      <c r="O2784">
        <v>24.186046511627911</v>
      </c>
    </row>
    <row r="2785" spans="1:15" x14ac:dyDescent="0.25">
      <c r="A2785" s="11">
        <v>46087</v>
      </c>
      <c r="B2785" t="s">
        <v>50</v>
      </c>
      <c r="C2785" t="s">
        <v>20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 t="shared" si="112"/>
        <v>20</v>
      </c>
      <c r="J2785" s="3">
        <f t="shared" si="113"/>
        <v>17</v>
      </c>
      <c r="K2785" s="3">
        <f t="shared" si="114"/>
        <v>3</v>
      </c>
      <c r="L2785" s="3" t="str">
        <f t="shared" si="115"/>
        <v>OPORTUNO</v>
      </c>
      <c r="N2785">
        <v>98.9</v>
      </c>
      <c r="O2785">
        <v>26.763990267639901</v>
      </c>
    </row>
    <row r="2786" spans="1:15" x14ac:dyDescent="0.25">
      <c r="A2786" s="11">
        <v>46087</v>
      </c>
      <c r="B2786" t="s">
        <v>51</v>
      </c>
      <c r="C2786" t="s">
        <v>23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 t="shared" si="112"/>
        <v>28</v>
      </c>
      <c r="J2786" s="3">
        <f t="shared" si="113"/>
        <v>7</v>
      </c>
      <c r="K2786" s="3">
        <f t="shared" si="114"/>
        <v>21</v>
      </c>
      <c r="L2786" s="3" t="str">
        <f t="shared" si="115"/>
        <v>MUITO BOM</v>
      </c>
      <c r="N2786">
        <v>88.89</v>
      </c>
      <c r="O2786">
        <v>25.263157894736839</v>
      </c>
    </row>
    <row r="2787" spans="1:15" x14ac:dyDescent="0.25">
      <c r="A2787" s="11">
        <v>46087</v>
      </c>
      <c r="B2787" t="s">
        <v>52</v>
      </c>
      <c r="C2787" t="s">
        <v>18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 t="shared" si="112"/>
        <v>10</v>
      </c>
      <c r="J2787" s="3">
        <f t="shared" si="113"/>
        <v>25</v>
      </c>
      <c r="K2787" s="3">
        <f t="shared" si="114"/>
        <v>-15</v>
      </c>
      <c r="L2787" s="3" t="str">
        <f t="shared" si="115"/>
        <v>CRÍTICO</v>
      </c>
      <c r="N2787">
        <v>98.86</v>
      </c>
      <c r="O2787">
        <v>28.959276018099551</v>
      </c>
    </row>
    <row r="2788" spans="1:15" x14ac:dyDescent="0.25">
      <c r="A2788" s="11">
        <v>46087</v>
      </c>
      <c r="B2788" t="s">
        <v>53</v>
      </c>
      <c r="C2788" t="s">
        <v>18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 t="shared" si="112"/>
        <v>29</v>
      </c>
      <c r="J2788" s="3">
        <f t="shared" si="113"/>
        <v>25</v>
      </c>
      <c r="K2788" s="3">
        <f t="shared" si="114"/>
        <v>4</v>
      </c>
      <c r="L2788" s="3" t="str">
        <f t="shared" si="115"/>
        <v>OPORTUNO</v>
      </c>
      <c r="N2788">
        <v>98.06</v>
      </c>
      <c r="O2788">
        <v>22.40566037735849</v>
      </c>
    </row>
    <row r="2789" spans="1:15" x14ac:dyDescent="0.25">
      <c r="A2789" s="11">
        <v>46087</v>
      </c>
      <c r="B2789" t="s">
        <v>54</v>
      </c>
      <c r="C2789" t="s">
        <v>23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 t="shared" si="112"/>
        <v>4</v>
      </c>
      <c r="J2789" s="3">
        <f t="shared" si="113"/>
        <v>7</v>
      </c>
      <c r="K2789" s="3">
        <f t="shared" si="114"/>
        <v>-3</v>
      </c>
      <c r="L2789" s="3" t="str">
        <f t="shared" si="115"/>
        <v>ATENÇÃO</v>
      </c>
      <c r="N2789">
        <v>95.83</v>
      </c>
      <c r="O2789">
        <v>25.773195876288661</v>
      </c>
    </row>
    <row r="2790" spans="1:15" x14ac:dyDescent="0.25">
      <c r="A2790" s="11">
        <v>46087</v>
      </c>
      <c r="B2790" t="s">
        <v>55</v>
      </c>
      <c r="C2790" t="s">
        <v>43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f t="shared" si="112"/>
        <v>0</v>
      </c>
      <c r="J2790" s="3">
        <f t="shared" si="113"/>
        <v>15</v>
      </c>
      <c r="K2790" s="3">
        <f t="shared" si="114"/>
        <v>-15</v>
      </c>
      <c r="L2790" s="3" t="str">
        <f t="shared" si="115"/>
        <v>CRÍTICO</v>
      </c>
      <c r="N2790">
        <v>100</v>
      </c>
      <c r="O2790">
        <v>15.38461538461539</v>
      </c>
    </row>
    <row r="2791" spans="1:15" x14ac:dyDescent="0.25">
      <c r="A2791" s="11">
        <v>46087</v>
      </c>
      <c r="B2791" t="s">
        <v>56</v>
      </c>
      <c r="C2791" t="s">
        <v>16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 t="shared" si="112"/>
        <v>30</v>
      </c>
      <c r="J2791" s="3">
        <f t="shared" si="113"/>
        <v>20</v>
      </c>
      <c r="K2791" s="3">
        <f t="shared" si="114"/>
        <v>10</v>
      </c>
      <c r="L2791" s="3" t="str">
        <f t="shared" si="115"/>
        <v>MUITO BOM</v>
      </c>
      <c r="N2791">
        <v>100</v>
      </c>
      <c r="O2791">
        <v>27.514792899408281</v>
      </c>
    </row>
    <row r="2792" spans="1:15" x14ac:dyDescent="0.25">
      <c r="A2792" s="11">
        <v>46087</v>
      </c>
      <c r="B2792" t="s">
        <v>57</v>
      </c>
      <c r="C2792" t="s">
        <v>43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 t="shared" si="112"/>
        <v>15</v>
      </c>
      <c r="J2792" s="3">
        <f t="shared" si="113"/>
        <v>15</v>
      </c>
      <c r="K2792" s="3">
        <f t="shared" si="114"/>
        <v>0</v>
      </c>
      <c r="L2792" s="3" t="str">
        <f t="shared" si="115"/>
        <v>OPORTUNO</v>
      </c>
      <c r="N2792">
        <v>100</v>
      </c>
      <c r="O2792">
        <v>24.875621890547269</v>
      </c>
    </row>
    <row r="2793" spans="1:15" x14ac:dyDescent="0.25">
      <c r="A2793" s="11">
        <v>46087</v>
      </c>
      <c r="B2793" t="s">
        <v>58</v>
      </c>
      <c r="C2793" t="s">
        <v>43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 t="shared" si="112"/>
        <v>8</v>
      </c>
      <c r="J2793" s="3">
        <f t="shared" si="113"/>
        <v>15</v>
      </c>
      <c r="K2793" s="3">
        <f t="shared" si="114"/>
        <v>-7</v>
      </c>
      <c r="L2793" s="3" t="str">
        <f t="shared" si="115"/>
        <v>CRÍTICO</v>
      </c>
      <c r="N2793">
        <v>100</v>
      </c>
      <c r="O2793">
        <v>28.108108108108109</v>
      </c>
    </row>
    <row r="2794" spans="1:15" x14ac:dyDescent="0.25">
      <c r="A2794" s="11">
        <v>46087</v>
      </c>
      <c r="B2794" t="s">
        <v>59</v>
      </c>
      <c r="C2794" t="s">
        <v>23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f t="shared" si="112"/>
        <v>0</v>
      </c>
      <c r="J2794" s="3">
        <f t="shared" si="113"/>
        <v>7</v>
      </c>
      <c r="K2794" s="3">
        <f t="shared" si="114"/>
        <v>-7</v>
      </c>
      <c r="L2794" s="3" t="str">
        <f t="shared" si="115"/>
        <v>CRÍTICO</v>
      </c>
      <c r="N2794">
        <v>100</v>
      </c>
      <c r="O2794">
        <v>35</v>
      </c>
    </row>
    <row r="2795" spans="1:15" x14ac:dyDescent="0.25">
      <c r="A2795" s="11">
        <v>46087</v>
      </c>
      <c r="B2795" t="s">
        <v>60</v>
      </c>
      <c r="C2795" t="s">
        <v>20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 t="shared" si="112"/>
        <v>18</v>
      </c>
      <c r="J2795" s="3">
        <f t="shared" si="113"/>
        <v>17</v>
      </c>
      <c r="K2795" s="3">
        <f t="shared" si="114"/>
        <v>1</v>
      </c>
      <c r="L2795" s="3" t="str">
        <f t="shared" si="115"/>
        <v>OPORTUNO</v>
      </c>
      <c r="N2795">
        <v>95.35</v>
      </c>
      <c r="O2795">
        <v>28.61538461538461</v>
      </c>
    </row>
    <row r="2796" spans="1:15" x14ac:dyDescent="0.25">
      <c r="A2796" s="11">
        <v>46087</v>
      </c>
      <c r="B2796" t="s">
        <v>61</v>
      </c>
      <c r="C2796" t="s">
        <v>18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 t="shared" si="112"/>
        <v>42</v>
      </c>
      <c r="J2796" s="3">
        <f t="shared" si="113"/>
        <v>25</v>
      </c>
      <c r="K2796" s="3">
        <f t="shared" si="114"/>
        <v>17</v>
      </c>
      <c r="L2796" s="3" t="str">
        <f t="shared" si="115"/>
        <v>MUITO BOM</v>
      </c>
      <c r="N2796">
        <v>98.26</v>
      </c>
      <c r="O2796">
        <v>27.54491017964072</v>
      </c>
    </row>
    <row r="2797" spans="1:15" x14ac:dyDescent="0.25">
      <c r="A2797" s="11">
        <v>46087</v>
      </c>
      <c r="B2797" t="s">
        <v>62</v>
      </c>
      <c r="C2797" t="s">
        <v>20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 t="shared" si="112"/>
        <v>14</v>
      </c>
      <c r="J2797" s="3">
        <f t="shared" si="113"/>
        <v>17</v>
      </c>
      <c r="K2797" s="3">
        <f t="shared" si="114"/>
        <v>-3</v>
      </c>
      <c r="L2797" s="3" t="str">
        <f t="shared" si="115"/>
        <v>ATENÇÃO</v>
      </c>
      <c r="N2797">
        <v>98.55</v>
      </c>
      <c r="O2797">
        <v>25.337837837837839</v>
      </c>
    </row>
    <row r="2798" spans="1:15" x14ac:dyDescent="0.25">
      <c r="A2798" s="11">
        <v>46087</v>
      </c>
      <c r="B2798" t="s">
        <v>63</v>
      </c>
      <c r="C2798" t="s">
        <v>18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 t="shared" si="112"/>
        <v>37</v>
      </c>
      <c r="J2798" s="3">
        <f t="shared" si="113"/>
        <v>25</v>
      </c>
      <c r="K2798" s="3">
        <f t="shared" si="114"/>
        <v>12</v>
      </c>
      <c r="L2798" s="3" t="str">
        <f t="shared" si="115"/>
        <v>MUITO BOM</v>
      </c>
      <c r="N2798">
        <v>98.39</v>
      </c>
      <c r="O2798">
        <v>25.563909774436091</v>
      </c>
    </row>
    <row r="2799" spans="1:15" x14ac:dyDescent="0.25">
      <c r="A2799" s="11">
        <v>46090</v>
      </c>
      <c r="B2799" t="s">
        <v>15</v>
      </c>
      <c r="C2799" t="s">
        <v>16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 t="shared" si="112"/>
        <v>20</v>
      </c>
      <c r="J2799" s="3">
        <f t="shared" si="113"/>
        <v>16</v>
      </c>
      <c r="K2799" s="3">
        <f t="shared" si="114"/>
        <v>4</v>
      </c>
      <c r="L2799" s="3" t="str">
        <f t="shared" si="115"/>
        <v>OPORTUNO</v>
      </c>
      <c r="N2799">
        <v>94.29</v>
      </c>
      <c r="O2799">
        <v>25.647668393782389</v>
      </c>
    </row>
    <row r="2800" spans="1:15" x14ac:dyDescent="0.25">
      <c r="A2800" s="11">
        <v>46090</v>
      </c>
      <c r="B2800" t="s">
        <v>17</v>
      </c>
      <c r="C2800" t="s">
        <v>18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f t="shared" si="112"/>
        <v>0</v>
      </c>
      <c r="J2800" s="3">
        <f t="shared" si="113"/>
        <v>19</v>
      </c>
      <c r="K2800" s="3">
        <f t="shared" si="114"/>
        <v>-19</v>
      </c>
      <c r="L2800" s="3" t="str">
        <f t="shared" si="115"/>
        <v>CRÍTICO</v>
      </c>
      <c r="N2800">
        <v>98.26</v>
      </c>
      <c r="O2800">
        <v>26.666666666666671</v>
      </c>
    </row>
    <row r="2801" spans="1:15" x14ac:dyDescent="0.25">
      <c r="A2801" s="11">
        <v>46090</v>
      </c>
      <c r="B2801" t="s">
        <v>19</v>
      </c>
      <c r="C2801" t="s">
        <v>20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 t="shared" si="112"/>
        <v>19</v>
      </c>
      <c r="J2801" s="3">
        <f t="shared" si="113"/>
        <v>13</v>
      </c>
      <c r="K2801" s="3">
        <f t="shared" si="114"/>
        <v>6</v>
      </c>
      <c r="L2801" s="3" t="str">
        <f t="shared" si="115"/>
        <v>MUITO BOM</v>
      </c>
      <c r="N2801">
        <v>98.2</v>
      </c>
      <c r="O2801">
        <v>23.37962962962963</v>
      </c>
    </row>
    <row r="2802" spans="1:15" x14ac:dyDescent="0.25">
      <c r="A2802" s="11">
        <v>46090</v>
      </c>
      <c r="B2802" t="s">
        <v>21</v>
      </c>
      <c r="C2802" t="s">
        <v>18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 t="shared" si="112"/>
        <v>23</v>
      </c>
      <c r="J2802" s="3">
        <f t="shared" si="113"/>
        <v>19</v>
      </c>
      <c r="K2802" s="3">
        <f t="shared" si="114"/>
        <v>4</v>
      </c>
      <c r="L2802" s="3" t="str">
        <f t="shared" si="115"/>
        <v>OPORTUNO</v>
      </c>
      <c r="N2802">
        <v>97.3</v>
      </c>
      <c r="O2802">
        <v>23.84769539078156</v>
      </c>
    </row>
    <row r="2803" spans="1:15" x14ac:dyDescent="0.25">
      <c r="A2803" s="11">
        <v>46090</v>
      </c>
      <c r="B2803" t="s">
        <v>22</v>
      </c>
      <c r="C2803" t="s">
        <v>23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 t="shared" si="112"/>
        <v>9</v>
      </c>
      <c r="J2803" s="3">
        <f t="shared" si="113"/>
        <v>6</v>
      </c>
      <c r="K2803" s="3">
        <f t="shared" si="114"/>
        <v>3</v>
      </c>
      <c r="L2803" s="3" t="str">
        <f t="shared" si="115"/>
        <v>OPORTUNO</v>
      </c>
      <c r="N2803">
        <v>100</v>
      </c>
      <c r="O2803">
        <v>25.268817204301079</v>
      </c>
    </row>
    <row r="2804" spans="1:15" x14ac:dyDescent="0.25">
      <c r="A2804" s="11">
        <v>46090</v>
      </c>
      <c r="B2804" t="s">
        <v>24</v>
      </c>
      <c r="C2804" t="s">
        <v>16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 t="shared" si="112"/>
        <v>36</v>
      </c>
      <c r="J2804" s="3">
        <f t="shared" si="113"/>
        <v>16</v>
      </c>
      <c r="K2804" s="3">
        <f t="shared" si="114"/>
        <v>20</v>
      </c>
      <c r="L2804" s="3" t="str">
        <f t="shared" si="115"/>
        <v>MUITO BOM</v>
      </c>
      <c r="N2804">
        <v>99.32</v>
      </c>
      <c r="O2804">
        <v>22.822822822822818</v>
      </c>
    </row>
    <row r="2805" spans="1:15" x14ac:dyDescent="0.25">
      <c r="A2805" s="11">
        <v>46090</v>
      </c>
      <c r="B2805" t="s">
        <v>25</v>
      </c>
      <c r="C2805" t="s">
        <v>16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 t="shared" si="112"/>
        <v>7</v>
      </c>
      <c r="J2805" s="3">
        <f t="shared" si="113"/>
        <v>16</v>
      </c>
      <c r="K2805" s="3">
        <f t="shared" si="114"/>
        <v>-9</v>
      </c>
      <c r="L2805" s="3" t="str">
        <f t="shared" si="115"/>
        <v>CRÍTICO</v>
      </c>
      <c r="N2805">
        <v>100</v>
      </c>
      <c r="O2805">
        <v>27.966101694915249</v>
      </c>
    </row>
    <row r="2806" spans="1:15" x14ac:dyDescent="0.25">
      <c r="A2806" s="11">
        <v>46090</v>
      </c>
      <c r="B2806" t="s">
        <v>26</v>
      </c>
      <c r="C2806" t="s">
        <v>23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f t="shared" si="112"/>
        <v>0</v>
      </c>
      <c r="J2806" s="3">
        <f t="shared" si="113"/>
        <v>6</v>
      </c>
      <c r="K2806" s="3">
        <f t="shared" si="114"/>
        <v>-6</v>
      </c>
      <c r="L2806" s="3" t="str">
        <f t="shared" si="115"/>
        <v>CRÍTICO</v>
      </c>
      <c r="N2806">
        <v>100</v>
      </c>
      <c r="O2806">
        <v>30.434782608695659</v>
      </c>
    </row>
    <row r="2807" spans="1:15" x14ac:dyDescent="0.25">
      <c r="A2807" s="11">
        <v>46090</v>
      </c>
      <c r="B2807" t="s">
        <v>27</v>
      </c>
      <c r="C2807" t="s">
        <v>20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 t="shared" si="112"/>
        <v>19</v>
      </c>
      <c r="J2807" s="3">
        <f t="shared" si="113"/>
        <v>13</v>
      </c>
      <c r="K2807" s="3">
        <f t="shared" si="114"/>
        <v>6</v>
      </c>
      <c r="L2807" s="3" t="str">
        <f t="shared" si="115"/>
        <v>MUITO BOM</v>
      </c>
      <c r="N2807">
        <v>96.51</v>
      </c>
      <c r="O2807">
        <v>22.802850356294542</v>
      </c>
    </row>
    <row r="2808" spans="1:15" x14ac:dyDescent="0.25">
      <c r="A2808" s="11">
        <v>46090</v>
      </c>
      <c r="B2808" t="s">
        <v>28</v>
      </c>
      <c r="C2808" t="s">
        <v>18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 t="shared" si="112"/>
        <v>33</v>
      </c>
      <c r="J2808" s="3">
        <f t="shared" si="113"/>
        <v>19</v>
      </c>
      <c r="K2808" s="3">
        <f t="shared" si="114"/>
        <v>14</v>
      </c>
      <c r="L2808" s="3" t="str">
        <f t="shared" si="115"/>
        <v>MUITO BOM</v>
      </c>
      <c r="N2808">
        <v>92.68</v>
      </c>
      <c r="O2808">
        <v>27.777777777777779</v>
      </c>
    </row>
    <row r="2809" spans="1:15" x14ac:dyDescent="0.25">
      <c r="A2809" s="11">
        <v>46090</v>
      </c>
      <c r="B2809" t="s">
        <v>29</v>
      </c>
      <c r="C2809" t="s">
        <v>16</v>
      </c>
      <c r="D2809">
        <v>0</v>
      </c>
      <c r="E2809">
        <v>0</v>
      </c>
      <c r="F2809">
        <v>0</v>
      </c>
      <c r="G2809">
        <v>0</v>
      </c>
      <c r="H2809">
        <v>0</v>
      </c>
      <c r="I2809" s="3">
        <f t="shared" si="112"/>
        <v>0</v>
      </c>
      <c r="J2809" s="3">
        <f t="shared" si="113"/>
        <v>16</v>
      </c>
      <c r="K2809" s="3">
        <f t="shared" si="114"/>
        <v>-16</v>
      </c>
      <c r="L2809" s="3" t="str">
        <f t="shared" si="115"/>
        <v>CRÍTICO</v>
      </c>
      <c r="N2809">
        <v>99.03</v>
      </c>
      <c r="O2809">
        <v>23.991507430997881</v>
      </c>
    </row>
    <row r="2810" spans="1:15" x14ac:dyDescent="0.25">
      <c r="A2810" s="11">
        <v>46090</v>
      </c>
      <c r="B2810" t="s">
        <v>30</v>
      </c>
      <c r="C2810" t="s">
        <v>20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 t="shared" si="112"/>
        <v>19</v>
      </c>
      <c r="J2810" s="3">
        <f t="shared" si="113"/>
        <v>13</v>
      </c>
      <c r="K2810" s="3">
        <f t="shared" si="114"/>
        <v>6</v>
      </c>
      <c r="L2810" s="3" t="str">
        <f t="shared" si="115"/>
        <v>MUITO BOM</v>
      </c>
      <c r="N2810">
        <v>98.41</v>
      </c>
      <c r="O2810">
        <v>28.138528138528141</v>
      </c>
    </row>
    <row r="2811" spans="1:15" x14ac:dyDescent="0.25">
      <c r="A2811" s="11">
        <v>46090</v>
      </c>
      <c r="B2811" t="s">
        <v>31</v>
      </c>
      <c r="C2811" t="s">
        <v>18</v>
      </c>
      <c r="D2811">
        <v>0</v>
      </c>
      <c r="E2811">
        <v>0</v>
      </c>
      <c r="F2811">
        <v>0</v>
      </c>
      <c r="G2811">
        <v>0</v>
      </c>
      <c r="H2811">
        <v>0</v>
      </c>
      <c r="I2811" s="3">
        <f t="shared" si="112"/>
        <v>0</v>
      </c>
      <c r="J2811" s="3">
        <f t="shared" si="113"/>
        <v>19</v>
      </c>
      <c r="K2811" s="3">
        <f t="shared" si="114"/>
        <v>-19</v>
      </c>
      <c r="L2811" s="3" t="str">
        <f t="shared" si="115"/>
        <v>CRÍTICO</v>
      </c>
      <c r="N2811">
        <v>98.73</v>
      </c>
      <c r="O2811">
        <v>29.142857142857139</v>
      </c>
    </row>
    <row r="2812" spans="1:15" x14ac:dyDescent="0.25">
      <c r="A2812" s="11">
        <v>46090</v>
      </c>
      <c r="B2812" t="s">
        <v>32</v>
      </c>
      <c r="C2812" t="s">
        <v>23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 t="shared" si="112"/>
        <v>8</v>
      </c>
      <c r="J2812" s="3">
        <f t="shared" si="113"/>
        <v>6</v>
      </c>
      <c r="K2812" s="3">
        <f t="shared" si="114"/>
        <v>2</v>
      </c>
      <c r="L2812" s="3" t="str">
        <f t="shared" si="115"/>
        <v>OPORTUNO</v>
      </c>
      <c r="N2812">
        <v>90.48</v>
      </c>
      <c r="O2812">
        <v>20.68965517241379</v>
      </c>
    </row>
    <row r="2813" spans="1:15" x14ac:dyDescent="0.25">
      <c r="A2813" s="11">
        <v>46090</v>
      </c>
      <c r="B2813" t="s">
        <v>33</v>
      </c>
      <c r="C2813" t="s">
        <v>16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 t="shared" si="112"/>
        <v>25</v>
      </c>
      <c r="J2813" s="3">
        <f t="shared" si="113"/>
        <v>16</v>
      </c>
      <c r="K2813" s="3">
        <f t="shared" si="114"/>
        <v>9</v>
      </c>
      <c r="L2813" s="3" t="str">
        <f t="shared" si="115"/>
        <v>MUITO BOM</v>
      </c>
      <c r="N2813">
        <v>98.06</v>
      </c>
      <c r="O2813">
        <v>24.789915966386559</v>
      </c>
    </row>
    <row r="2814" spans="1:15" x14ac:dyDescent="0.25">
      <c r="A2814" s="11">
        <v>46090</v>
      </c>
      <c r="B2814" t="s">
        <v>34</v>
      </c>
      <c r="C2814" t="s">
        <v>18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 t="shared" si="112"/>
        <v>26</v>
      </c>
      <c r="J2814" s="3">
        <f t="shared" si="113"/>
        <v>19</v>
      </c>
      <c r="K2814" s="3">
        <f t="shared" si="114"/>
        <v>7</v>
      </c>
      <c r="L2814" s="3" t="str">
        <f t="shared" si="115"/>
        <v>MUITO BOM</v>
      </c>
      <c r="N2814">
        <v>97.78</v>
      </c>
      <c r="O2814">
        <v>25.494071146245059</v>
      </c>
    </row>
    <row r="2815" spans="1:15" x14ac:dyDescent="0.25">
      <c r="A2815" s="11">
        <v>46090</v>
      </c>
      <c r="B2815" t="s">
        <v>35</v>
      </c>
      <c r="C2815" t="s">
        <v>16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f t="shared" si="112"/>
        <v>0</v>
      </c>
      <c r="J2815" s="3">
        <f t="shared" si="113"/>
        <v>16</v>
      </c>
      <c r="K2815" s="3">
        <f t="shared" si="114"/>
        <v>-16</v>
      </c>
      <c r="L2815" s="3" t="str">
        <f t="shared" si="115"/>
        <v>CRÍTICO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36</v>
      </c>
      <c r="C2816" t="s">
        <v>20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 t="shared" si="112"/>
        <v>21</v>
      </c>
      <c r="J2816" s="3">
        <f t="shared" si="113"/>
        <v>16</v>
      </c>
      <c r="K2816" s="3">
        <f t="shared" si="114"/>
        <v>5</v>
      </c>
      <c r="L2816" s="3" t="str">
        <f t="shared" si="115"/>
        <v>OPORTUNO</v>
      </c>
      <c r="N2816">
        <v>99.28</v>
      </c>
      <c r="O2816">
        <v>27.689243027888441</v>
      </c>
    </row>
    <row r="2817" spans="1:15" x14ac:dyDescent="0.25">
      <c r="A2817" s="11">
        <v>46090</v>
      </c>
      <c r="B2817" t="s">
        <v>37</v>
      </c>
      <c r="C2817" t="s">
        <v>16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 t="shared" si="112"/>
        <v>17</v>
      </c>
      <c r="J2817" s="3">
        <f t="shared" si="113"/>
        <v>16</v>
      </c>
      <c r="K2817" s="3">
        <f t="shared" si="114"/>
        <v>1</v>
      </c>
      <c r="L2817" s="3" t="str">
        <f t="shared" si="115"/>
        <v>OPORTUNO</v>
      </c>
      <c r="N2817">
        <v>100</v>
      </c>
      <c r="O2817">
        <v>27.04918032786885</v>
      </c>
    </row>
    <row r="2818" spans="1:15" x14ac:dyDescent="0.25">
      <c r="A2818" s="11">
        <v>46090</v>
      </c>
      <c r="B2818" t="s">
        <v>38</v>
      </c>
      <c r="C2818" t="s">
        <v>18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 t="shared" si="112"/>
        <v>39</v>
      </c>
      <c r="J2818" s="3">
        <f t="shared" si="113"/>
        <v>19</v>
      </c>
      <c r="K2818" s="3">
        <f t="shared" si="114"/>
        <v>20</v>
      </c>
      <c r="L2818" s="3" t="str">
        <f t="shared" si="115"/>
        <v>MUITO BOM</v>
      </c>
      <c r="N2818">
        <v>97.83</v>
      </c>
      <c r="O2818">
        <v>26.315789473684209</v>
      </c>
    </row>
    <row r="2819" spans="1:15" x14ac:dyDescent="0.25">
      <c r="A2819" s="11">
        <v>46090</v>
      </c>
      <c r="B2819" t="s">
        <v>39</v>
      </c>
      <c r="C2819" t="s">
        <v>18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 t="shared" si="112"/>
        <v>3</v>
      </c>
      <c r="J2819" s="3">
        <f t="shared" si="113"/>
        <v>19</v>
      </c>
      <c r="K2819" s="3">
        <f t="shared" si="114"/>
        <v>-16</v>
      </c>
      <c r="L2819" s="3" t="str">
        <f t="shared" si="115"/>
        <v>CRÍTICO</v>
      </c>
      <c r="N2819">
        <v>100</v>
      </c>
      <c r="O2819">
        <v>26.701570680628269</v>
      </c>
    </row>
    <row r="2820" spans="1:15" x14ac:dyDescent="0.25">
      <c r="A2820" s="11">
        <v>46090</v>
      </c>
      <c r="B2820" t="s">
        <v>40</v>
      </c>
      <c r="C2820" t="s">
        <v>16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 t="shared" si="112"/>
        <v>26</v>
      </c>
      <c r="J2820" s="3">
        <f t="shared" si="113"/>
        <v>16</v>
      </c>
      <c r="K2820" s="3">
        <f t="shared" si="114"/>
        <v>10</v>
      </c>
      <c r="L2820" s="3" t="str">
        <f t="shared" si="115"/>
        <v>MUITO BOM</v>
      </c>
      <c r="N2820">
        <v>97.47</v>
      </c>
      <c r="O2820">
        <v>22.887323943661968</v>
      </c>
    </row>
    <row r="2821" spans="1:15" x14ac:dyDescent="0.25">
      <c r="A2821" s="11">
        <v>46090</v>
      </c>
      <c r="B2821" t="s">
        <v>41</v>
      </c>
      <c r="C2821" t="s">
        <v>18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f t="shared" si="112"/>
        <v>0</v>
      </c>
      <c r="J2821" s="3">
        <f t="shared" si="113"/>
        <v>19</v>
      </c>
      <c r="K2821" s="3">
        <f t="shared" si="114"/>
        <v>-19</v>
      </c>
      <c r="L2821" s="3" t="str">
        <f t="shared" si="115"/>
        <v>CRÍTICO</v>
      </c>
      <c r="N2821">
        <v>0</v>
      </c>
      <c r="O2821">
        <v>0</v>
      </c>
    </row>
    <row r="2822" spans="1:15" x14ac:dyDescent="0.25">
      <c r="A2822" s="11">
        <v>46090</v>
      </c>
      <c r="B2822" t="s">
        <v>42</v>
      </c>
      <c r="C2822" t="s">
        <v>43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 t="shared" si="112"/>
        <v>8</v>
      </c>
      <c r="J2822" s="3">
        <f t="shared" si="113"/>
        <v>11</v>
      </c>
      <c r="K2822" s="3">
        <f t="shared" si="114"/>
        <v>-3</v>
      </c>
      <c r="L2822" s="3" t="str">
        <f t="shared" si="115"/>
        <v>ATENÇÃO</v>
      </c>
      <c r="N2822">
        <v>98.31</v>
      </c>
      <c r="O2822">
        <v>24.920127795527151</v>
      </c>
    </row>
    <row r="2823" spans="1:15" x14ac:dyDescent="0.25">
      <c r="A2823" s="11">
        <v>46090</v>
      </c>
      <c r="B2823" t="s">
        <v>44</v>
      </c>
      <c r="C2823" t="s">
        <v>18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 t="shared" si="112"/>
        <v>14</v>
      </c>
      <c r="J2823" s="3">
        <f t="shared" si="113"/>
        <v>19</v>
      </c>
      <c r="K2823" s="3">
        <f t="shared" si="114"/>
        <v>-5</v>
      </c>
      <c r="L2823" s="3" t="str">
        <f t="shared" si="115"/>
        <v>ATENÇÃO</v>
      </c>
      <c r="N2823">
        <v>96.81</v>
      </c>
      <c r="O2823">
        <v>32.365145228215773</v>
      </c>
    </row>
    <row r="2824" spans="1:15" x14ac:dyDescent="0.25">
      <c r="A2824" s="11">
        <v>46090</v>
      </c>
      <c r="B2824" t="s">
        <v>45</v>
      </c>
      <c r="C2824" t="s">
        <v>43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 t="shared" si="112"/>
        <v>5</v>
      </c>
      <c r="J2824" s="3">
        <f t="shared" si="113"/>
        <v>11</v>
      </c>
      <c r="K2824" s="3">
        <f t="shared" si="114"/>
        <v>-6</v>
      </c>
      <c r="L2824" s="3" t="str">
        <f t="shared" si="115"/>
        <v>CRÍTICO</v>
      </c>
      <c r="N2824">
        <v>100</v>
      </c>
      <c r="O2824">
        <v>26.47058823529412</v>
      </c>
    </row>
    <row r="2825" spans="1:15" x14ac:dyDescent="0.25">
      <c r="A2825" s="11">
        <v>46090</v>
      </c>
      <c r="B2825" t="s">
        <v>46</v>
      </c>
      <c r="C2825" t="s">
        <v>18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 t="shared" si="112"/>
        <v>7</v>
      </c>
      <c r="J2825" s="3">
        <f t="shared" si="113"/>
        <v>19</v>
      </c>
      <c r="K2825" s="3">
        <f t="shared" si="114"/>
        <v>-12</v>
      </c>
      <c r="L2825" s="3" t="str">
        <f t="shared" si="115"/>
        <v>CRÍTICO</v>
      </c>
      <c r="N2825">
        <v>100</v>
      </c>
      <c r="O2825">
        <v>28.490028490028489</v>
      </c>
    </row>
    <row r="2826" spans="1:15" x14ac:dyDescent="0.25">
      <c r="A2826" s="11">
        <v>46090</v>
      </c>
      <c r="B2826" t="s">
        <v>47</v>
      </c>
      <c r="C2826" t="s">
        <v>16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 t="shared" si="112"/>
        <v>21</v>
      </c>
      <c r="J2826" s="3">
        <f t="shared" si="113"/>
        <v>16</v>
      </c>
      <c r="K2826" s="3">
        <f t="shared" si="114"/>
        <v>5</v>
      </c>
      <c r="L2826" s="3" t="str">
        <f t="shared" si="115"/>
        <v>OPORTUNO</v>
      </c>
      <c r="N2826">
        <v>99.14</v>
      </c>
      <c r="O2826">
        <v>27.2289156626506</v>
      </c>
    </row>
    <row r="2827" spans="1:15" x14ac:dyDescent="0.25">
      <c r="A2827" s="11">
        <v>46090</v>
      </c>
      <c r="B2827" t="s">
        <v>48</v>
      </c>
      <c r="C2827" t="s">
        <v>16</v>
      </c>
      <c r="D2827">
        <v>0</v>
      </c>
      <c r="E2827">
        <v>0</v>
      </c>
      <c r="F2827">
        <v>0</v>
      </c>
      <c r="G2827">
        <v>0</v>
      </c>
      <c r="H2827">
        <v>0</v>
      </c>
      <c r="I2827" s="3">
        <f t="shared" si="112"/>
        <v>0</v>
      </c>
      <c r="J2827" s="3">
        <f t="shared" si="113"/>
        <v>16</v>
      </c>
      <c r="K2827" s="3">
        <f t="shared" si="114"/>
        <v>-16</v>
      </c>
      <c r="L2827" s="3" t="str">
        <f t="shared" si="115"/>
        <v>CRÍTICO</v>
      </c>
      <c r="N2827">
        <v>97.52</v>
      </c>
      <c r="O2827">
        <v>28.205128205128201</v>
      </c>
    </row>
    <row r="2828" spans="1:15" x14ac:dyDescent="0.25">
      <c r="A2828" s="11">
        <v>46090</v>
      </c>
      <c r="B2828" t="s">
        <v>49</v>
      </c>
      <c r="C2828" t="s">
        <v>18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 t="shared" si="112"/>
        <v>24</v>
      </c>
      <c r="J2828" s="3">
        <f t="shared" si="113"/>
        <v>19</v>
      </c>
      <c r="K2828" s="3">
        <f t="shared" si="114"/>
        <v>5</v>
      </c>
      <c r="L2828" s="3" t="str">
        <f t="shared" si="115"/>
        <v>OPORTUNO</v>
      </c>
      <c r="N2828">
        <v>90</v>
      </c>
      <c r="O2828">
        <v>24.186046511627911</v>
      </c>
    </row>
    <row r="2829" spans="1:15" x14ac:dyDescent="0.25">
      <c r="A2829" s="11">
        <v>46090</v>
      </c>
      <c r="B2829" t="s">
        <v>50</v>
      </c>
      <c r="C2829" t="s">
        <v>20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 t="shared" si="112"/>
        <v>23</v>
      </c>
      <c r="J2829" s="3">
        <f t="shared" si="113"/>
        <v>13</v>
      </c>
      <c r="K2829" s="3">
        <f t="shared" si="114"/>
        <v>10</v>
      </c>
      <c r="L2829" s="3" t="str">
        <f t="shared" si="115"/>
        <v>MUITO BOM</v>
      </c>
      <c r="N2829">
        <v>98.9</v>
      </c>
      <c r="O2829">
        <v>26.763990267639901</v>
      </c>
    </row>
    <row r="2830" spans="1:15" x14ac:dyDescent="0.25">
      <c r="A2830" s="11">
        <v>46090</v>
      </c>
      <c r="B2830" t="s">
        <v>51</v>
      </c>
      <c r="C2830" t="s">
        <v>23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f t="shared" si="112"/>
        <v>0</v>
      </c>
      <c r="J2830" s="3">
        <f t="shared" si="113"/>
        <v>6</v>
      </c>
      <c r="K2830" s="3">
        <f t="shared" si="114"/>
        <v>-6</v>
      </c>
      <c r="L2830" s="3" t="str">
        <f t="shared" si="115"/>
        <v>CRÍTICO</v>
      </c>
      <c r="N2830">
        <v>88.89</v>
      </c>
      <c r="O2830">
        <v>25.263157894736839</v>
      </c>
    </row>
    <row r="2831" spans="1:15" x14ac:dyDescent="0.25">
      <c r="A2831" s="11">
        <v>46090</v>
      </c>
      <c r="B2831" t="s">
        <v>52</v>
      </c>
      <c r="C2831" t="s">
        <v>18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 t="shared" si="112"/>
        <v>35</v>
      </c>
      <c r="J2831" s="3">
        <f t="shared" si="113"/>
        <v>19</v>
      </c>
      <c r="K2831" s="3">
        <f t="shared" si="114"/>
        <v>16</v>
      </c>
      <c r="L2831" s="3" t="str">
        <f t="shared" si="115"/>
        <v>MUITO BOM</v>
      </c>
      <c r="N2831">
        <v>98.86</v>
      </c>
      <c r="O2831">
        <v>28.959276018099551</v>
      </c>
    </row>
    <row r="2832" spans="1:15" x14ac:dyDescent="0.25">
      <c r="A2832" s="11">
        <v>46090</v>
      </c>
      <c r="B2832" t="s">
        <v>53</v>
      </c>
      <c r="C2832" t="s">
        <v>18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 t="shared" si="112"/>
        <v>23</v>
      </c>
      <c r="J2832" s="3">
        <f t="shared" si="113"/>
        <v>19</v>
      </c>
      <c r="K2832" s="3">
        <f t="shared" si="114"/>
        <v>4</v>
      </c>
      <c r="L2832" s="3" t="str">
        <f t="shared" si="115"/>
        <v>OPORTUNO</v>
      </c>
      <c r="N2832">
        <v>98.06</v>
      </c>
      <c r="O2832">
        <v>22.40566037735849</v>
      </c>
    </row>
    <row r="2833" spans="1:15" x14ac:dyDescent="0.25">
      <c r="A2833" s="11">
        <v>46090</v>
      </c>
      <c r="B2833" t="s">
        <v>54</v>
      </c>
      <c r="C2833" t="s">
        <v>23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 t="shared" si="112"/>
        <v>3</v>
      </c>
      <c r="J2833" s="3">
        <f t="shared" si="113"/>
        <v>6</v>
      </c>
      <c r="K2833" s="3">
        <f t="shared" si="114"/>
        <v>-3</v>
      </c>
      <c r="L2833" s="3" t="str">
        <f t="shared" si="115"/>
        <v>ATENÇÃO</v>
      </c>
      <c r="N2833">
        <v>95.83</v>
      </c>
      <c r="O2833">
        <v>25.773195876288661</v>
      </c>
    </row>
    <row r="2834" spans="1:15" x14ac:dyDescent="0.25">
      <c r="A2834" s="11">
        <v>46090</v>
      </c>
      <c r="B2834" t="s">
        <v>55</v>
      </c>
      <c r="C2834" t="s">
        <v>43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f t="shared" si="112"/>
        <v>0</v>
      </c>
      <c r="J2834" s="3">
        <f t="shared" si="113"/>
        <v>11</v>
      </c>
      <c r="K2834" s="3">
        <f t="shared" si="114"/>
        <v>-11</v>
      </c>
      <c r="L2834" s="3" t="str">
        <f t="shared" si="115"/>
        <v>CRÍTICO</v>
      </c>
      <c r="N2834">
        <v>100</v>
      </c>
      <c r="O2834">
        <v>15.38461538461539</v>
      </c>
    </row>
    <row r="2835" spans="1:15" x14ac:dyDescent="0.25">
      <c r="A2835" s="11">
        <v>46090</v>
      </c>
      <c r="B2835" t="s">
        <v>56</v>
      </c>
      <c r="C2835" t="s">
        <v>16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 t="shared" ref="I2835:I2898" si="116">E2835+G2835+H2835</f>
        <v>14</v>
      </c>
      <c r="J2835" s="3">
        <f t="shared" ref="J2835:J2898" si="117"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16</v>
      </c>
      <c r="K2835" s="3">
        <f t="shared" ref="K2835:K2898" si="118">I2835-J2835</f>
        <v>-2</v>
      </c>
      <c r="L2835" s="3" t="str">
        <f t="shared" ref="L2835:L2898" si="119">IF(K2835&lt;-5,"CRÍTICO",IF(K2835&lt;0,"ATENÇÃO",IF(K2835&lt;=5,"OPORTUNO","MUITO BOM")))</f>
        <v>ATENÇÃO</v>
      </c>
      <c r="N2835">
        <v>100</v>
      </c>
      <c r="O2835">
        <v>27.514792899408281</v>
      </c>
    </row>
    <row r="2836" spans="1:15" x14ac:dyDescent="0.25">
      <c r="A2836" s="11">
        <v>46090</v>
      </c>
      <c r="B2836" t="s">
        <v>57</v>
      </c>
      <c r="C2836" t="s">
        <v>43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 t="shared" si="116"/>
        <v>4</v>
      </c>
      <c r="J2836" s="3">
        <f t="shared" si="117"/>
        <v>11</v>
      </c>
      <c r="K2836" s="3">
        <f t="shared" si="118"/>
        <v>-7</v>
      </c>
      <c r="L2836" s="3" t="str">
        <f t="shared" si="119"/>
        <v>CRÍTICO</v>
      </c>
      <c r="N2836">
        <v>100</v>
      </c>
      <c r="O2836">
        <v>24.875621890547269</v>
      </c>
    </row>
    <row r="2837" spans="1:15" x14ac:dyDescent="0.25">
      <c r="A2837" s="11">
        <v>46090</v>
      </c>
      <c r="B2837" t="s">
        <v>58</v>
      </c>
      <c r="C2837" t="s">
        <v>43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 t="shared" si="116"/>
        <v>7</v>
      </c>
      <c r="J2837" s="3">
        <f t="shared" si="117"/>
        <v>11</v>
      </c>
      <c r="K2837" s="3">
        <f t="shared" si="118"/>
        <v>-4</v>
      </c>
      <c r="L2837" s="3" t="str">
        <f t="shared" si="119"/>
        <v>ATENÇÃO</v>
      </c>
      <c r="N2837">
        <v>100</v>
      </c>
      <c r="O2837">
        <v>28.108108108108109</v>
      </c>
    </row>
    <row r="2838" spans="1:15" x14ac:dyDescent="0.25">
      <c r="A2838" s="11">
        <v>46090</v>
      </c>
      <c r="B2838" t="s">
        <v>59</v>
      </c>
      <c r="C2838" t="s">
        <v>23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f t="shared" si="116"/>
        <v>0</v>
      </c>
      <c r="J2838" s="3">
        <f t="shared" si="117"/>
        <v>6</v>
      </c>
      <c r="K2838" s="3">
        <f t="shared" si="118"/>
        <v>-6</v>
      </c>
      <c r="L2838" s="3" t="str">
        <f t="shared" si="119"/>
        <v>CRÍTICO</v>
      </c>
      <c r="N2838">
        <v>100</v>
      </c>
      <c r="O2838">
        <v>35</v>
      </c>
    </row>
    <row r="2839" spans="1:15" x14ac:dyDescent="0.25">
      <c r="A2839" s="11">
        <v>46090</v>
      </c>
      <c r="B2839" t="s">
        <v>60</v>
      </c>
      <c r="C2839" t="s">
        <v>20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 t="shared" si="116"/>
        <v>1</v>
      </c>
      <c r="J2839" s="3">
        <f t="shared" si="117"/>
        <v>13</v>
      </c>
      <c r="K2839" s="3">
        <f t="shared" si="118"/>
        <v>-12</v>
      </c>
      <c r="L2839" s="3" t="str">
        <f t="shared" si="119"/>
        <v>CRÍTICO</v>
      </c>
      <c r="N2839">
        <v>95.35</v>
      </c>
      <c r="O2839">
        <v>28.61538461538461</v>
      </c>
    </row>
    <row r="2840" spans="1:15" x14ac:dyDescent="0.25">
      <c r="A2840" s="11">
        <v>46090</v>
      </c>
      <c r="B2840" t="s">
        <v>61</v>
      </c>
      <c r="C2840" t="s">
        <v>18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 t="shared" si="116"/>
        <v>32</v>
      </c>
      <c r="J2840" s="3">
        <f t="shared" si="117"/>
        <v>19</v>
      </c>
      <c r="K2840" s="3">
        <f t="shared" si="118"/>
        <v>13</v>
      </c>
      <c r="L2840" s="3" t="str">
        <f t="shared" si="119"/>
        <v>MUITO BOM</v>
      </c>
      <c r="N2840">
        <v>98.26</v>
      </c>
      <c r="O2840">
        <v>27.54491017964072</v>
      </c>
    </row>
    <row r="2841" spans="1:15" x14ac:dyDescent="0.25">
      <c r="A2841" s="11">
        <v>46090</v>
      </c>
      <c r="B2841" t="s">
        <v>62</v>
      </c>
      <c r="C2841" t="s">
        <v>20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 t="shared" si="116"/>
        <v>9</v>
      </c>
      <c r="J2841" s="3">
        <f t="shared" si="117"/>
        <v>13</v>
      </c>
      <c r="K2841" s="3">
        <f t="shared" si="118"/>
        <v>-4</v>
      </c>
      <c r="L2841" s="3" t="str">
        <f t="shared" si="119"/>
        <v>ATENÇÃO</v>
      </c>
      <c r="N2841">
        <v>98.55</v>
      </c>
      <c r="O2841">
        <v>25.337837837837839</v>
      </c>
    </row>
    <row r="2842" spans="1:15" x14ac:dyDescent="0.25">
      <c r="A2842" s="11">
        <v>46090</v>
      </c>
      <c r="B2842" t="s">
        <v>63</v>
      </c>
      <c r="C2842" t="s">
        <v>18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 t="shared" si="116"/>
        <v>22</v>
      </c>
      <c r="J2842" s="3">
        <f t="shared" si="117"/>
        <v>19</v>
      </c>
      <c r="K2842" s="3">
        <f t="shared" si="118"/>
        <v>3</v>
      </c>
      <c r="L2842" s="3" t="str">
        <f t="shared" si="119"/>
        <v>OPORTUNO</v>
      </c>
      <c r="N2842">
        <v>98.39</v>
      </c>
      <c r="O2842">
        <v>25.563909774436091</v>
      </c>
    </row>
    <row r="2843" spans="1:15" x14ac:dyDescent="0.25">
      <c r="A2843" s="11">
        <v>46091</v>
      </c>
      <c r="B2843" t="s">
        <v>15</v>
      </c>
      <c r="C2843" t="s">
        <v>16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 t="shared" si="116"/>
        <v>32</v>
      </c>
      <c r="J2843" s="3">
        <f t="shared" si="117"/>
        <v>16</v>
      </c>
      <c r="K2843" s="3">
        <f t="shared" si="118"/>
        <v>16</v>
      </c>
      <c r="L2843" s="3" t="str">
        <f t="shared" si="119"/>
        <v>MUITO BOM</v>
      </c>
      <c r="N2843">
        <v>94.29</v>
      </c>
      <c r="O2843">
        <v>25.647668393782389</v>
      </c>
    </row>
    <row r="2844" spans="1:15" x14ac:dyDescent="0.25">
      <c r="A2844" s="11">
        <v>46091</v>
      </c>
      <c r="B2844" t="s">
        <v>17</v>
      </c>
      <c r="C2844" t="s">
        <v>18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f t="shared" si="116"/>
        <v>0</v>
      </c>
      <c r="J2844" s="3">
        <f t="shared" si="117"/>
        <v>20</v>
      </c>
      <c r="K2844" s="3">
        <f t="shared" si="118"/>
        <v>-20</v>
      </c>
      <c r="L2844" s="3" t="str">
        <f t="shared" si="119"/>
        <v>CRÍTICO</v>
      </c>
      <c r="N2844">
        <v>98.26</v>
      </c>
      <c r="O2844">
        <v>26.666666666666671</v>
      </c>
    </row>
    <row r="2845" spans="1:15" x14ac:dyDescent="0.25">
      <c r="A2845" s="11">
        <v>46091</v>
      </c>
      <c r="B2845" t="s">
        <v>19</v>
      </c>
      <c r="C2845" t="s">
        <v>20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 t="shared" si="116"/>
        <v>18</v>
      </c>
      <c r="J2845" s="3">
        <f t="shared" si="117"/>
        <v>13</v>
      </c>
      <c r="K2845" s="3">
        <f t="shared" si="118"/>
        <v>5</v>
      </c>
      <c r="L2845" s="3" t="str">
        <f t="shared" si="119"/>
        <v>OPORTUNO</v>
      </c>
      <c r="N2845">
        <v>98.2</v>
      </c>
      <c r="O2845">
        <v>23.37962962962963</v>
      </c>
    </row>
    <row r="2846" spans="1:15" x14ac:dyDescent="0.25">
      <c r="A2846" s="11">
        <v>46091</v>
      </c>
      <c r="B2846" t="s">
        <v>21</v>
      </c>
      <c r="C2846" t="s">
        <v>18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 t="shared" si="116"/>
        <v>19</v>
      </c>
      <c r="J2846" s="3">
        <f t="shared" si="117"/>
        <v>20</v>
      </c>
      <c r="K2846" s="3">
        <f t="shared" si="118"/>
        <v>-1</v>
      </c>
      <c r="L2846" s="3" t="str">
        <f t="shared" si="119"/>
        <v>ATENÇÃO</v>
      </c>
      <c r="N2846">
        <v>97.3</v>
      </c>
      <c r="O2846">
        <v>23.84769539078156</v>
      </c>
    </row>
    <row r="2847" spans="1:15" x14ac:dyDescent="0.25">
      <c r="A2847" s="11">
        <v>46091</v>
      </c>
      <c r="B2847" t="s">
        <v>22</v>
      </c>
      <c r="C2847" t="s">
        <v>23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 t="shared" si="116"/>
        <v>10</v>
      </c>
      <c r="J2847" s="3">
        <f t="shared" si="117"/>
        <v>6</v>
      </c>
      <c r="K2847" s="3">
        <f t="shared" si="118"/>
        <v>4</v>
      </c>
      <c r="L2847" s="3" t="str">
        <f t="shared" si="119"/>
        <v>OPORTUNO</v>
      </c>
      <c r="N2847">
        <v>100</v>
      </c>
      <c r="O2847">
        <v>25.268817204301079</v>
      </c>
    </row>
    <row r="2848" spans="1:15" x14ac:dyDescent="0.25">
      <c r="A2848" s="11">
        <v>46091</v>
      </c>
      <c r="B2848" t="s">
        <v>24</v>
      </c>
      <c r="C2848" t="s">
        <v>16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 t="shared" si="116"/>
        <v>34</v>
      </c>
      <c r="J2848" s="3">
        <f t="shared" si="117"/>
        <v>16</v>
      </c>
      <c r="K2848" s="3">
        <f t="shared" si="118"/>
        <v>18</v>
      </c>
      <c r="L2848" s="3" t="str">
        <f t="shared" si="119"/>
        <v>MUITO BOM</v>
      </c>
      <c r="N2848">
        <v>99.32</v>
      </c>
      <c r="O2848">
        <v>22.822822822822818</v>
      </c>
    </row>
    <row r="2849" spans="1:15" x14ac:dyDescent="0.25">
      <c r="A2849" s="11">
        <v>46091</v>
      </c>
      <c r="B2849" t="s">
        <v>25</v>
      </c>
      <c r="C2849" t="s">
        <v>16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 t="shared" si="116"/>
        <v>15</v>
      </c>
      <c r="J2849" s="3">
        <f t="shared" si="117"/>
        <v>16</v>
      </c>
      <c r="K2849" s="3">
        <f t="shared" si="118"/>
        <v>-1</v>
      </c>
      <c r="L2849" s="3" t="str">
        <f t="shared" si="119"/>
        <v>ATENÇÃO</v>
      </c>
      <c r="N2849">
        <v>100</v>
      </c>
      <c r="O2849">
        <v>27.966101694915249</v>
      </c>
    </row>
    <row r="2850" spans="1:15" x14ac:dyDescent="0.25">
      <c r="A2850" s="11">
        <v>46091</v>
      </c>
      <c r="B2850" t="s">
        <v>26</v>
      </c>
      <c r="C2850" t="s">
        <v>23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f t="shared" si="116"/>
        <v>0</v>
      </c>
      <c r="J2850" s="3">
        <f t="shared" si="117"/>
        <v>6</v>
      </c>
      <c r="K2850" s="3">
        <f t="shared" si="118"/>
        <v>-6</v>
      </c>
      <c r="L2850" s="3" t="str">
        <f t="shared" si="119"/>
        <v>CRÍTICO</v>
      </c>
      <c r="N2850">
        <v>100</v>
      </c>
      <c r="O2850">
        <v>30.434782608695659</v>
      </c>
    </row>
    <row r="2851" spans="1:15" x14ac:dyDescent="0.25">
      <c r="A2851" s="11">
        <v>46091</v>
      </c>
      <c r="B2851" t="s">
        <v>27</v>
      </c>
      <c r="C2851" t="s">
        <v>20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 t="shared" si="116"/>
        <v>24</v>
      </c>
      <c r="J2851" s="3">
        <f t="shared" si="117"/>
        <v>13</v>
      </c>
      <c r="K2851" s="3">
        <f t="shared" si="118"/>
        <v>11</v>
      </c>
      <c r="L2851" s="3" t="str">
        <f t="shared" si="119"/>
        <v>MUITO BOM</v>
      </c>
      <c r="N2851">
        <v>96.51</v>
      </c>
      <c r="O2851">
        <v>22.802850356294542</v>
      </c>
    </row>
    <row r="2852" spans="1:15" x14ac:dyDescent="0.25">
      <c r="A2852" s="11">
        <v>46091</v>
      </c>
      <c r="B2852" t="s">
        <v>28</v>
      </c>
      <c r="C2852" t="s">
        <v>18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 t="shared" si="116"/>
        <v>15</v>
      </c>
      <c r="J2852" s="3">
        <f t="shared" si="117"/>
        <v>20</v>
      </c>
      <c r="K2852" s="3">
        <f t="shared" si="118"/>
        <v>-5</v>
      </c>
      <c r="L2852" s="3" t="str">
        <f t="shared" si="119"/>
        <v>ATENÇÃO</v>
      </c>
      <c r="N2852">
        <v>92.68</v>
      </c>
      <c r="O2852">
        <v>27.777777777777779</v>
      </c>
    </row>
    <row r="2853" spans="1:15" x14ac:dyDescent="0.25">
      <c r="A2853" s="11">
        <v>46091</v>
      </c>
      <c r="B2853" t="s">
        <v>29</v>
      </c>
      <c r="C2853" t="s">
        <v>16</v>
      </c>
      <c r="D2853">
        <v>0</v>
      </c>
      <c r="E2853">
        <v>0</v>
      </c>
      <c r="F2853">
        <v>0</v>
      </c>
      <c r="G2853">
        <v>0</v>
      </c>
      <c r="H2853">
        <v>0</v>
      </c>
      <c r="I2853" s="3">
        <f t="shared" si="116"/>
        <v>0</v>
      </c>
      <c r="J2853" s="3">
        <f t="shared" si="117"/>
        <v>16</v>
      </c>
      <c r="K2853" s="3">
        <f t="shared" si="118"/>
        <v>-16</v>
      </c>
      <c r="L2853" s="3" t="str">
        <f t="shared" si="119"/>
        <v>CRÍTICO</v>
      </c>
      <c r="N2853">
        <v>99.03</v>
      </c>
      <c r="O2853">
        <v>23.991507430997881</v>
      </c>
    </row>
    <row r="2854" spans="1:15" x14ac:dyDescent="0.25">
      <c r="A2854" s="11">
        <v>46091</v>
      </c>
      <c r="B2854" t="s">
        <v>30</v>
      </c>
      <c r="C2854" t="s">
        <v>20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 t="shared" si="116"/>
        <v>22</v>
      </c>
      <c r="J2854" s="3">
        <f t="shared" si="117"/>
        <v>13</v>
      </c>
      <c r="K2854" s="3">
        <f t="shared" si="118"/>
        <v>9</v>
      </c>
      <c r="L2854" s="3" t="str">
        <f t="shared" si="119"/>
        <v>MUITO BOM</v>
      </c>
      <c r="N2854">
        <v>98.41</v>
      </c>
      <c r="O2854">
        <v>28.138528138528141</v>
      </c>
    </row>
    <row r="2855" spans="1:15" x14ac:dyDescent="0.25">
      <c r="A2855" s="11">
        <v>46091</v>
      </c>
      <c r="B2855" t="s">
        <v>31</v>
      </c>
      <c r="C2855" t="s">
        <v>18</v>
      </c>
      <c r="D2855">
        <v>0</v>
      </c>
      <c r="E2855">
        <v>0</v>
      </c>
      <c r="F2855">
        <v>0</v>
      </c>
      <c r="G2855">
        <v>0</v>
      </c>
      <c r="H2855">
        <v>0</v>
      </c>
      <c r="I2855" s="3">
        <f t="shared" si="116"/>
        <v>0</v>
      </c>
      <c r="J2855" s="3">
        <f t="shared" si="117"/>
        <v>20</v>
      </c>
      <c r="K2855" s="3">
        <f t="shared" si="118"/>
        <v>-20</v>
      </c>
      <c r="L2855" s="3" t="str">
        <f t="shared" si="119"/>
        <v>CRÍTICO</v>
      </c>
      <c r="N2855">
        <v>98.73</v>
      </c>
      <c r="O2855">
        <v>29.142857142857139</v>
      </c>
    </row>
    <row r="2856" spans="1:15" x14ac:dyDescent="0.25">
      <c r="A2856" s="11">
        <v>46091</v>
      </c>
      <c r="B2856" t="s">
        <v>32</v>
      </c>
      <c r="C2856" t="s">
        <v>23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 t="shared" si="116"/>
        <v>6</v>
      </c>
      <c r="J2856" s="3">
        <f t="shared" si="117"/>
        <v>6</v>
      </c>
      <c r="K2856" s="3">
        <f t="shared" si="118"/>
        <v>0</v>
      </c>
      <c r="L2856" s="3" t="str">
        <f t="shared" si="119"/>
        <v>OPORTUNO</v>
      </c>
      <c r="N2856">
        <v>90.48</v>
      </c>
      <c r="O2856">
        <v>20.68965517241379</v>
      </c>
    </row>
    <row r="2857" spans="1:15" x14ac:dyDescent="0.25">
      <c r="A2857" s="11">
        <v>46091</v>
      </c>
      <c r="B2857" t="s">
        <v>33</v>
      </c>
      <c r="C2857" t="s">
        <v>16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 t="shared" si="116"/>
        <v>15</v>
      </c>
      <c r="J2857" s="3">
        <f t="shared" si="117"/>
        <v>16</v>
      </c>
      <c r="K2857" s="3">
        <f t="shared" si="118"/>
        <v>-1</v>
      </c>
      <c r="L2857" s="3" t="str">
        <f t="shared" si="119"/>
        <v>ATENÇÃO</v>
      </c>
      <c r="N2857">
        <v>98.06</v>
      </c>
      <c r="O2857">
        <v>24.789915966386559</v>
      </c>
    </row>
    <row r="2858" spans="1:15" x14ac:dyDescent="0.25">
      <c r="A2858" s="11">
        <v>46091</v>
      </c>
      <c r="B2858" t="s">
        <v>34</v>
      </c>
      <c r="C2858" t="s">
        <v>18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 t="shared" si="116"/>
        <v>12</v>
      </c>
      <c r="J2858" s="3">
        <f t="shared" si="117"/>
        <v>20</v>
      </c>
      <c r="K2858" s="3">
        <f t="shared" si="118"/>
        <v>-8</v>
      </c>
      <c r="L2858" s="3" t="str">
        <f t="shared" si="119"/>
        <v>CRÍTICO</v>
      </c>
      <c r="N2858">
        <v>97.78</v>
      </c>
      <c r="O2858">
        <v>25.494071146245059</v>
      </c>
    </row>
    <row r="2859" spans="1:15" x14ac:dyDescent="0.25">
      <c r="A2859" s="11">
        <v>46091</v>
      </c>
      <c r="B2859" t="s">
        <v>35</v>
      </c>
      <c r="C2859" t="s">
        <v>16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 t="shared" si="116"/>
        <v>15</v>
      </c>
      <c r="J2859" s="3">
        <f t="shared" si="117"/>
        <v>16</v>
      </c>
      <c r="K2859" s="3">
        <f t="shared" si="118"/>
        <v>-1</v>
      </c>
      <c r="L2859" s="3" t="str">
        <f t="shared" si="119"/>
        <v>ATENÇÃO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36</v>
      </c>
      <c r="C2860" t="s">
        <v>20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 t="shared" si="116"/>
        <v>24</v>
      </c>
      <c r="J2860" s="3">
        <f t="shared" si="117"/>
        <v>16</v>
      </c>
      <c r="K2860" s="3">
        <f t="shared" si="118"/>
        <v>8</v>
      </c>
      <c r="L2860" s="3" t="str">
        <f t="shared" si="119"/>
        <v>MUITO BOM</v>
      </c>
      <c r="N2860">
        <v>99.28</v>
      </c>
      <c r="O2860">
        <v>27.689243027888441</v>
      </c>
    </row>
    <row r="2861" spans="1:15" x14ac:dyDescent="0.25">
      <c r="A2861" s="11">
        <v>46091</v>
      </c>
      <c r="B2861" t="s">
        <v>37</v>
      </c>
      <c r="C2861" t="s">
        <v>16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 t="shared" si="116"/>
        <v>24</v>
      </c>
      <c r="J2861" s="3">
        <f t="shared" si="117"/>
        <v>16</v>
      </c>
      <c r="K2861" s="3">
        <f t="shared" si="118"/>
        <v>8</v>
      </c>
      <c r="L2861" s="3" t="str">
        <f t="shared" si="119"/>
        <v>MUITO BOM</v>
      </c>
      <c r="N2861">
        <v>100</v>
      </c>
      <c r="O2861">
        <v>27.04918032786885</v>
      </c>
    </row>
    <row r="2862" spans="1:15" x14ac:dyDescent="0.25">
      <c r="A2862" s="11">
        <v>46091</v>
      </c>
      <c r="B2862" t="s">
        <v>38</v>
      </c>
      <c r="C2862" t="s">
        <v>18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 t="shared" si="116"/>
        <v>36</v>
      </c>
      <c r="J2862" s="3">
        <f t="shared" si="117"/>
        <v>20</v>
      </c>
      <c r="K2862" s="3">
        <f t="shared" si="118"/>
        <v>16</v>
      </c>
      <c r="L2862" s="3" t="str">
        <f t="shared" si="119"/>
        <v>MUITO BOM</v>
      </c>
      <c r="N2862">
        <v>97.83</v>
      </c>
      <c r="O2862">
        <v>26.315789473684209</v>
      </c>
    </row>
    <row r="2863" spans="1:15" x14ac:dyDescent="0.25">
      <c r="A2863" s="11">
        <v>46091</v>
      </c>
      <c r="B2863" t="s">
        <v>39</v>
      </c>
      <c r="C2863" t="s">
        <v>18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 t="shared" si="116"/>
        <v>9</v>
      </c>
      <c r="J2863" s="3">
        <f t="shared" si="117"/>
        <v>20</v>
      </c>
      <c r="K2863" s="3">
        <f t="shared" si="118"/>
        <v>-11</v>
      </c>
      <c r="L2863" s="3" t="str">
        <f t="shared" si="119"/>
        <v>CRÍTICO</v>
      </c>
      <c r="N2863">
        <v>100</v>
      </c>
      <c r="O2863">
        <v>26.701570680628269</v>
      </c>
    </row>
    <row r="2864" spans="1:15" x14ac:dyDescent="0.25">
      <c r="A2864" s="11">
        <v>46091</v>
      </c>
      <c r="B2864" t="s">
        <v>40</v>
      </c>
      <c r="C2864" t="s">
        <v>16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 t="shared" si="116"/>
        <v>19</v>
      </c>
      <c r="J2864" s="3">
        <f t="shared" si="117"/>
        <v>16</v>
      </c>
      <c r="K2864" s="3">
        <f t="shared" si="118"/>
        <v>3</v>
      </c>
      <c r="L2864" s="3" t="str">
        <f t="shared" si="119"/>
        <v>OPORTUNO</v>
      </c>
      <c r="N2864">
        <v>97.47</v>
      </c>
      <c r="O2864">
        <v>22.887323943661968</v>
      </c>
    </row>
    <row r="2865" spans="1:15" x14ac:dyDescent="0.25">
      <c r="A2865" s="11">
        <v>46091</v>
      </c>
      <c r="B2865" t="s">
        <v>41</v>
      </c>
      <c r="C2865" t="s">
        <v>18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f t="shared" si="116"/>
        <v>0</v>
      </c>
      <c r="J2865" s="3">
        <f t="shared" si="117"/>
        <v>20</v>
      </c>
      <c r="K2865" s="3">
        <f t="shared" si="118"/>
        <v>-20</v>
      </c>
      <c r="L2865" s="3" t="str">
        <f t="shared" si="119"/>
        <v>CRÍTICO</v>
      </c>
      <c r="N2865">
        <v>0</v>
      </c>
      <c r="O2865">
        <v>0</v>
      </c>
    </row>
    <row r="2866" spans="1:15" x14ac:dyDescent="0.25">
      <c r="A2866" s="11">
        <v>46091</v>
      </c>
      <c r="B2866" t="s">
        <v>42</v>
      </c>
      <c r="C2866" t="s">
        <v>43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 t="shared" si="116"/>
        <v>8</v>
      </c>
      <c r="J2866" s="3">
        <f t="shared" si="117"/>
        <v>11</v>
      </c>
      <c r="K2866" s="3">
        <f t="shared" si="118"/>
        <v>-3</v>
      </c>
      <c r="L2866" s="3" t="str">
        <f t="shared" si="119"/>
        <v>ATENÇÃO</v>
      </c>
      <c r="N2866">
        <v>98.31</v>
      </c>
      <c r="O2866">
        <v>24.920127795527151</v>
      </c>
    </row>
    <row r="2867" spans="1:15" x14ac:dyDescent="0.25">
      <c r="A2867" s="11">
        <v>46091</v>
      </c>
      <c r="B2867" t="s">
        <v>44</v>
      </c>
      <c r="C2867" t="s">
        <v>18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 t="shared" si="116"/>
        <v>1</v>
      </c>
      <c r="J2867" s="3">
        <f t="shared" si="117"/>
        <v>20</v>
      </c>
      <c r="K2867" s="3">
        <f t="shared" si="118"/>
        <v>-19</v>
      </c>
      <c r="L2867" s="3" t="str">
        <f t="shared" si="119"/>
        <v>CRÍTICO</v>
      </c>
      <c r="N2867">
        <v>96.81</v>
      </c>
      <c r="O2867">
        <v>32.365145228215773</v>
      </c>
    </row>
    <row r="2868" spans="1:15" x14ac:dyDescent="0.25">
      <c r="A2868" s="11">
        <v>46091</v>
      </c>
      <c r="B2868" t="s">
        <v>45</v>
      </c>
      <c r="C2868" t="s">
        <v>43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 t="shared" si="116"/>
        <v>12</v>
      </c>
      <c r="J2868" s="3">
        <f t="shared" si="117"/>
        <v>11</v>
      </c>
      <c r="K2868" s="3">
        <f t="shared" si="118"/>
        <v>1</v>
      </c>
      <c r="L2868" s="3" t="str">
        <f t="shared" si="119"/>
        <v>OPORTUNO</v>
      </c>
      <c r="N2868">
        <v>100</v>
      </c>
      <c r="O2868">
        <v>26.47058823529412</v>
      </c>
    </row>
    <row r="2869" spans="1:15" x14ac:dyDescent="0.25">
      <c r="A2869" s="11">
        <v>46091</v>
      </c>
      <c r="B2869" t="s">
        <v>46</v>
      </c>
      <c r="C2869" t="s">
        <v>18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 t="shared" si="116"/>
        <v>13</v>
      </c>
      <c r="J2869" s="3">
        <f t="shared" si="117"/>
        <v>20</v>
      </c>
      <c r="K2869" s="3">
        <f t="shared" si="118"/>
        <v>-7</v>
      </c>
      <c r="L2869" s="3" t="str">
        <f t="shared" si="119"/>
        <v>CRÍTICO</v>
      </c>
      <c r="N2869">
        <v>100</v>
      </c>
      <c r="O2869">
        <v>28.490028490028489</v>
      </c>
    </row>
    <row r="2870" spans="1:15" x14ac:dyDescent="0.25">
      <c r="A2870" s="11">
        <v>46091</v>
      </c>
      <c r="B2870" t="s">
        <v>47</v>
      </c>
      <c r="C2870" t="s">
        <v>16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 t="shared" si="116"/>
        <v>22</v>
      </c>
      <c r="J2870" s="3">
        <f t="shared" si="117"/>
        <v>16</v>
      </c>
      <c r="K2870" s="3">
        <f t="shared" si="118"/>
        <v>6</v>
      </c>
      <c r="L2870" s="3" t="str">
        <f t="shared" si="119"/>
        <v>MUITO BOM</v>
      </c>
      <c r="N2870">
        <v>99.14</v>
      </c>
      <c r="O2870">
        <v>27.2289156626506</v>
      </c>
    </row>
    <row r="2871" spans="1:15" x14ac:dyDescent="0.25">
      <c r="A2871" s="11">
        <v>46091</v>
      </c>
      <c r="B2871" t="s">
        <v>48</v>
      </c>
      <c r="C2871" t="s">
        <v>16</v>
      </c>
      <c r="D2871">
        <v>0</v>
      </c>
      <c r="E2871">
        <v>0</v>
      </c>
      <c r="F2871">
        <v>0</v>
      </c>
      <c r="G2871">
        <v>0</v>
      </c>
      <c r="H2871">
        <v>0</v>
      </c>
      <c r="I2871" s="3">
        <f t="shared" si="116"/>
        <v>0</v>
      </c>
      <c r="J2871" s="3">
        <f t="shared" si="117"/>
        <v>16</v>
      </c>
      <c r="K2871" s="3">
        <f t="shared" si="118"/>
        <v>-16</v>
      </c>
      <c r="L2871" s="3" t="str">
        <f t="shared" si="119"/>
        <v>CRÍTICO</v>
      </c>
      <c r="N2871">
        <v>97.52</v>
      </c>
      <c r="O2871">
        <v>28.205128205128201</v>
      </c>
    </row>
    <row r="2872" spans="1:15" x14ac:dyDescent="0.25">
      <c r="A2872" s="11">
        <v>46091</v>
      </c>
      <c r="B2872" t="s">
        <v>49</v>
      </c>
      <c r="C2872" t="s">
        <v>18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 t="shared" si="116"/>
        <v>30</v>
      </c>
      <c r="J2872" s="3">
        <f t="shared" si="117"/>
        <v>20</v>
      </c>
      <c r="K2872" s="3">
        <f t="shared" si="118"/>
        <v>10</v>
      </c>
      <c r="L2872" s="3" t="str">
        <f t="shared" si="119"/>
        <v>MUITO BOM</v>
      </c>
      <c r="N2872">
        <v>90</v>
      </c>
      <c r="O2872">
        <v>24.186046511627911</v>
      </c>
    </row>
    <row r="2873" spans="1:15" x14ac:dyDescent="0.25">
      <c r="A2873" s="11">
        <v>46091</v>
      </c>
      <c r="B2873" t="s">
        <v>50</v>
      </c>
      <c r="C2873" t="s">
        <v>20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 t="shared" si="116"/>
        <v>19</v>
      </c>
      <c r="J2873" s="3">
        <f t="shared" si="117"/>
        <v>13</v>
      </c>
      <c r="K2873" s="3">
        <f t="shared" si="118"/>
        <v>6</v>
      </c>
      <c r="L2873" s="3" t="str">
        <f t="shared" si="119"/>
        <v>MUITO BOM</v>
      </c>
      <c r="N2873">
        <v>98.9</v>
      </c>
      <c r="O2873">
        <v>26.763990267639901</v>
      </c>
    </row>
    <row r="2874" spans="1:15" x14ac:dyDescent="0.25">
      <c r="A2874" s="11">
        <v>46091</v>
      </c>
      <c r="B2874" t="s">
        <v>51</v>
      </c>
      <c r="C2874" t="s">
        <v>23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 t="shared" si="116"/>
        <v>8</v>
      </c>
      <c r="J2874" s="3">
        <f t="shared" si="117"/>
        <v>6</v>
      </c>
      <c r="K2874" s="3">
        <f t="shared" si="118"/>
        <v>2</v>
      </c>
      <c r="L2874" s="3" t="str">
        <f t="shared" si="119"/>
        <v>OPORTUNO</v>
      </c>
      <c r="N2874">
        <v>88.89</v>
      </c>
      <c r="O2874">
        <v>25.263157894736839</v>
      </c>
    </row>
    <row r="2875" spans="1:15" x14ac:dyDescent="0.25">
      <c r="A2875" s="11">
        <v>46091</v>
      </c>
      <c r="B2875" t="s">
        <v>52</v>
      </c>
      <c r="C2875" t="s">
        <v>18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 t="shared" si="116"/>
        <v>24</v>
      </c>
      <c r="J2875" s="3">
        <f t="shared" si="117"/>
        <v>20</v>
      </c>
      <c r="K2875" s="3">
        <f t="shared" si="118"/>
        <v>4</v>
      </c>
      <c r="L2875" s="3" t="str">
        <f t="shared" si="119"/>
        <v>OPORTUNO</v>
      </c>
      <c r="N2875">
        <v>98.86</v>
      </c>
      <c r="O2875">
        <v>28.959276018099551</v>
      </c>
    </row>
    <row r="2876" spans="1:15" x14ac:dyDescent="0.25">
      <c r="A2876" s="11">
        <v>46091</v>
      </c>
      <c r="B2876" t="s">
        <v>53</v>
      </c>
      <c r="C2876" t="s">
        <v>18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 t="shared" si="116"/>
        <v>30</v>
      </c>
      <c r="J2876" s="3">
        <f t="shared" si="117"/>
        <v>20</v>
      </c>
      <c r="K2876" s="3">
        <f t="shared" si="118"/>
        <v>10</v>
      </c>
      <c r="L2876" s="3" t="str">
        <f t="shared" si="119"/>
        <v>MUITO BOM</v>
      </c>
      <c r="N2876">
        <v>98.06</v>
      </c>
      <c r="O2876">
        <v>22.40566037735849</v>
      </c>
    </row>
    <row r="2877" spans="1:15" x14ac:dyDescent="0.25">
      <c r="A2877" s="11">
        <v>46091</v>
      </c>
      <c r="B2877" t="s">
        <v>54</v>
      </c>
      <c r="C2877" t="s">
        <v>23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 t="shared" si="116"/>
        <v>4</v>
      </c>
      <c r="J2877" s="3">
        <f t="shared" si="117"/>
        <v>6</v>
      </c>
      <c r="K2877" s="3">
        <f t="shared" si="118"/>
        <v>-2</v>
      </c>
      <c r="L2877" s="3" t="str">
        <f t="shared" si="119"/>
        <v>ATENÇÃO</v>
      </c>
      <c r="N2877">
        <v>95.83</v>
      </c>
      <c r="O2877">
        <v>25.773195876288661</v>
      </c>
    </row>
    <row r="2878" spans="1:15" x14ac:dyDescent="0.25">
      <c r="A2878" s="11">
        <v>46091</v>
      </c>
      <c r="B2878" t="s">
        <v>55</v>
      </c>
      <c r="C2878" t="s">
        <v>43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f t="shared" si="116"/>
        <v>0</v>
      </c>
      <c r="J2878" s="3">
        <f t="shared" si="117"/>
        <v>11</v>
      </c>
      <c r="K2878" s="3">
        <f t="shared" si="118"/>
        <v>-11</v>
      </c>
      <c r="L2878" s="3" t="str">
        <f t="shared" si="119"/>
        <v>CRÍTICO</v>
      </c>
      <c r="N2878">
        <v>100</v>
      </c>
      <c r="O2878">
        <v>15.38461538461539</v>
      </c>
    </row>
    <row r="2879" spans="1:15" x14ac:dyDescent="0.25">
      <c r="A2879" s="11">
        <v>46091</v>
      </c>
      <c r="B2879" t="s">
        <v>56</v>
      </c>
      <c r="C2879" t="s">
        <v>16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 t="shared" si="116"/>
        <v>22</v>
      </c>
      <c r="J2879" s="3">
        <f t="shared" si="117"/>
        <v>16</v>
      </c>
      <c r="K2879" s="3">
        <f t="shared" si="118"/>
        <v>6</v>
      </c>
      <c r="L2879" s="3" t="str">
        <f t="shared" si="119"/>
        <v>MUITO BOM</v>
      </c>
      <c r="N2879">
        <v>100</v>
      </c>
      <c r="O2879">
        <v>27.514792899408281</v>
      </c>
    </row>
    <row r="2880" spans="1:15" x14ac:dyDescent="0.25">
      <c r="A2880" s="11">
        <v>46091</v>
      </c>
      <c r="B2880" t="s">
        <v>57</v>
      </c>
      <c r="C2880" t="s">
        <v>43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 t="shared" si="116"/>
        <v>6</v>
      </c>
      <c r="J2880" s="3">
        <f t="shared" si="117"/>
        <v>11</v>
      </c>
      <c r="K2880" s="3">
        <f t="shared" si="118"/>
        <v>-5</v>
      </c>
      <c r="L2880" s="3" t="str">
        <f t="shared" si="119"/>
        <v>ATENÇÃO</v>
      </c>
      <c r="N2880">
        <v>100</v>
      </c>
      <c r="O2880">
        <v>24.875621890547269</v>
      </c>
    </row>
    <row r="2881" spans="1:15" x14ac:dyDescent="0.25">
      <c r="A2881" s="11">
        <v>46091</v>
      </c>
      <c r="B2881" t="s">
        <v>58</v>
      </c>
      <c r="C2881" t="s">
        <v>43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 t="shared" si="116"/>
        <v>8</v>
      </c>
      <c r="J2881" s="3">
        <f t="shared" si="117"/>
        <v>11</v>
      </c>
      <c r="K2881" s="3">
        <f t="shared" si="118"/>
        <v>-3</v>
      </c>
      <c r="L2881" s="3" t="str">
        <f t="shared" si="119"/>
        <v>ATENÇÃO</v>
      </c>
      <c r="N2881">
        <v>100</v>
      </c>
      <c r="O2881">
        <v>28.108108108108109</v>
      </c>
    </row>
    <row r="2882" spans="1:15" x14ac:dyDescent="0.25">
      <c r="A2882" s="11">
        <v>46091</v>
      </c>
      <c r="B2882" t="s">
        <v>59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f t="shared" si="116"/>
        <v>0</v>
      </c>
      <c r="J2882" s="3">
        <f t="shared" si="117"/>
        <v>6</v>
      </c>
      <c r="K2882" s="3">
        <f t="shared" si="118"/>
        <v>-6</v>
      </c>
      <c r="L2882" s="3" t="str">
        <f t="shared" si="119"/>
        <v>CRÍTICO</v>
      </c>
      <c r="N2882">
        <v>100</v>
      </c>
      <c r="O2882">
        <v>35</v>
      </c>
    </row>
    <row r="2883" spans="1:15" x14ac:dyDescent="0.25">
      <c r="A2883" s="11">
        <v>46091</v>
      </c>
      <c r="B2883" t="s">
        <v>60</v>
      </c>
      <c r="C2883" t="s">
        <v>20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f t="shared" si="116"/>
        <v>0</v>
      </c>
      <c r="J2883" s="3">
        <f t="shared" si="117"/>
        <v>13</v>
      </c>
      <c r="K2883" s="3">
        <f t="shared" si="118"/>
        <v>-13</v>
      </c>
      <c r="L2883" s="3" t="str">
        <f t="shared" si="119"/>
        <v>CRÍTICO</v>
      </c>
      <c r="N2883">
        <v>95.35</v>
      </c>
      <c r="O2883">
        <v>28.61538461538461</v>
      </c>
    </row>
    <row r="2884" spans="1:15" x14ac:dyDescent="0.25">
      <c r="A2884" s="11">
        <v>46091</v>
      </c>
      <c r="B2884" t="s">
        <v>61</v>
      </c>
      <c r="C2884" t="s">
        <v>18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 t="shared" si="116"/>
        <v>39</v>
      </c>
      <c r="J2884" s="3">
        <f t="shared" si="117"/>
        <v>20</v>
      </c>
      <c r="K2884" s="3">
        <f t="shared" si="118"/>
        <v>19</v>
      </c>
      <c r="L2884" s="3" t="str">
        <f t="shared" si="119"/>
        <v>MUITO BOM</v>
      </c>
      <c r="N2884">
        <v>98.26</v>
      </c>
      <c r="O2884">
        <v>27.54491017964072</v>
      </c>
    </row>
    <row r="2885" spans="1:15" x14ac:dyDescent="0.25">
      <c r="A2885" s="11">
        <v>46091</v>
      </c>
      <c r="B2885" t="s">
        <v>62</v>
      </c>
      <c r="C2885" t="s">
        <v>20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 t="shared" si="116"/>
        <v>14</v>
      </c>
      <c r="J2885" s="3">
        <f t="shared" si="117"/>
        <v>13</v>
      </c>
      <c r="K2885" s="3">
        <f t="shared" si="118"/>
        <v>1</v>
      </c>
      <c r="L2885" s="3" t="str">
        <f t="shared" si="119"/>
        <v>OPORTUNO</v>
      </c>
      <c r="N2885">
        <v>98.55</v>
      </c>
      <c r="O2885">
        <v>25.337837837837839</v>
      </c>
    </row>
    <row r="2886" spans="1:15" x14ac:dyDescent="0.25">
      <c r="A2886" s="11">
        <v>46091</v>
      </c>
      <c r="B2886" t="s">
        <v>63</v>
      </c>
      <c r="C2886" t="s">
        <v>18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 t="shared" si="116"/>
        <v>22</v>
      </c>
      <c r="J2886" s="3">
        <f t="shared" si="117"/>
        <v>20</v>
      </c>
      <c r="K2886" s="3">
        <f t="shared" si="118"/>
        <v>2</v>
      </c>
      <c r="L2886" s="3" t="str">
        <f t="shared" si="119"/>
        <v>OPORTUNO</v>
      </c>
      <c r="N2886">
        <v>98.39</v>
      </c>
      <c r="O2886">
        <v>25.563909774436091</v>
      </c>
    </row>
    <row r="2887" spans="1:15" x14ac:dyDescent="0.25">
      <c r="A2887" s="11">
        <v>46092</v>
      </c>
      <c r="B2887" t="s">
        <v>15</v>
      </c>
      <c r="C2887" t="s">
        <v>16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 t="shared" si="116"/>
        <v>33</v>
      </c>
      <c r="J2887" s="3">
        <f t="shared" si="117"/>
        <v>18</v>
      </c>
      <c r="K2887" s="3">
        <f t="shared" si="118"/>
        <v>15</v>
      </c>
      <c r="L2887" s="3" t="str">
        <f t="shared" si="119"/>
        <v>MUITO BOM</v>
      </c>
      <c r="N2887">
        <v>94.29</v>
      </c>
      <c r="O2887">
        <v>25.647668393782389</v>
      </c>
    </row>
    <row r="2888" spans="1:15" x14ac:dyDescent="0.25">
      <c r="A2888" s="11">
        <v>46092</v>
      </c>
      <c r="B2888" t="s">
        <v>17</v>
      </c>
      <c r="C2888" t="s">
        <v>18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f t="shared" si="116"/>
        <v>0</v>
      </c>
      <c r="J2888" s="3">
        <f t="shared" si="117"/>
        <v>23</v>
      </c>
      <c r="K2888" s="3">
        <f t="shared" si="118"/>
        <v>-23</v>
      </c>
      <c r="L2888" s="3" t="str">
        <f t="shared" si="119"/>
        <v>CRÍTICO</v>
      </c>
      <c r="N2888">
        <v>98.26</v>
      </c>
      <c r="O2888">
        <v>26.666666666666671</v>
      </c>
    </row>
    <row r="2889" spans="1:15" x14ac:dyDescent="0.25">
      <c r="A2889" s="11">
        <v>46092</v>
      </c>
      <c r="B2889" t="s">
        <v>19</v>
      </c>
      <c r="C2889" t="s">
        <v>20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 t="shared" si="116"/>
        <v>17</v>
      </c>
      <c r="J2889" s="3">
        <f t="shared" si="117"/>
        <v>15</v>
      </c>
      <c r="K2889" s="3">
        <f t="shared" si="118"/>
        <v>2</v>
      </c>
      <c r="L2889" s="3" t="str">
        <f t="shared" si="119"/>
        <v>OPORTUNO</v>
      </c>
      <c r="N2889">
        <v>98.2</v>
      </c>
      <c r="O2889">
        <v>23.37962962962963</v>
      </c>
    </row>
    <row r="2890" spans="1:15" x14ac:dyDescent="0.25">
      <c r="A2890" s="11">
        <v>46092</v>
      </c>
      <c r="B2890" t="s">
        <v>21</v>
      </c>
      <c r="C2890" t="s">
        <v>18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 t="shared" si="116"/>
        <v>29</v>
      </c>
      <c r="J2890" s="3">
        <f t="shared" si="117"/>
        <v>23</v>
      </c>
      <c r="K2890" s="3">
        <f t="shared" si="118"/>
        <v>6</v>
      </c>
      <c r="L2890" s="3" t="str">
        <f t="shared" si="119"/>
        <v>MUITO BOM</v>
      </c>
      <c r="N2890">
        <v>97.3</v>
      </c>
      <c r="O2890">
        <v>23.84769539078156</v>
      </c>
    </row>
    <row r="2891" spans="1:15" x14ac:dyDescent="0.25">
      <c r="A2891" s="11">
        <v>46092</v>
      </c>
      <c r="B2891" t="s">
        <v>22</v>
      </c>
      <c r="C2891" t="s">
        <v>23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 t="shared" si="116"/>
        <v>8</v>
      </c>
      <c r="J2891" s="3">
        <f t="shared" si="117"/>
        <v>7</v>
      </c>
      <c r="K2891" s="3">
        <f t="shared" si="118"/>
        <v>1</v>
      </c>
      <c r="L2891" s="3" t="str">
        <f t="shared" si="119"/>
        <v>OPORTUNO</v>
      </c>
      <c r="N2891">
        <v>100</v>
      </c>
      <c r="O2891">
        <v>25.268817204301079</v>
      </c>
    </row>
    <row r="2892" spans="1:15" x14ac:dyDescent="0.25">
      <c r="A2892" s="11">
        <v>46092</v>
      </c>
      <c r="B2892" t="s">
        <v>24</v>
      </c>
      <c r="C2892" t="s">
        <v>16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 t="shared" si="116"/>
        <v>33</v>
      </c>
      <c r="J2892" s="3">
        <f t="shared" si="117"/>
        <v>18</v>
      </c>
      <c r="K2892" s="3">
        <f t="shared" si="118"/>
        <v>15</v>
      </c>
      <c r="L2892" s="3" t="str">
        <f t="shared" si="119"/>
        <v>MUITO BOM</v>
      </c>
      <c r="N2892">
        <v>99.32</v>
      </c>
      <c r="O2892">
        <v>22.822822822822818</v>
      </c>
    </row>
    <row r="2893" spans="1:15" x14ac:dyDescent="0.25">
      <c r="A2893" s="11">
        <v>46092</v>
      </c>
      <c r="B2893" t="s">
        <v>25</v>
      </c>
      <c r="C2893" t="s">
        <v>16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 t="shared" si="116"/>
        <v>11</v>
      </c>
      <c r="J2893" s="3">
        <f t="shared" si="117"/>
        <v>18</v>
      </c>
      <c r="K2893" s="3">
        <f t="shared" si="118"/>
        <v>-7</v>
      </c>
      <c r="L2893" s="3" t="str">
        <f t="shared" si="119"/>
        <v>CRÍTICO</v>
      </c>
      <c r="N2893">
        <v>100</v>
      </c>
      <c r="O2893">
        <v>27.966101694915249</v>
      </c>
    </row>
    <row r="2894" spans="1:15" x14ac:dyDescent="0.25">
      <c r="A2894" s="11">
        <v>46092</v>
      </c>
      <c r="B2894" t="s">
        <v>26</v>
      </c>
      <c r="C2894" t="s">
        <v>23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f t="shared" si="116"/>
        <v>0</v>
      </c>
      <c r="J2894" s="3">
        <f t="shared" si="117"/>
        <v>7</v>
      </c>
      <c r="K2894" s="3">
        <f t="shared" si="118"/>
        <v>-7</v>
      </c>
      <c r="L2894" s="3" t="str">
        <f t="shared" si="119"/>
        <v>CRÍTICO</v>
      </c>
      <c r="N2894">
        <v>100</v>
      </c>
      <c r="O2894">
        <v>30.434782608695659</v>
      </c>
    </row>
    <row r="2895" spans="1:15" x14ac:dyDescent="0.25">
      <c r="A2895" s="11">
        <v>46092</v>
      </c>
      <c r="B2895" t="s">
        <v>27</v>
      </c>
      <c r="C2895" t="s">
        <v>20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 t="shared" si="116"/>
        <v>18</v>
      </c>
      <c r="J2895" s="3">
        <f t="shared" si="117"/>
        <v>15</v>
      </c>
      <c r="K2895" s="3">
        <f t="shared" si="118"/>
        <v>3</v>
      </c>
      <c r="L2895" s="3" t="str">
        <f t="shared" si="119"/>
        <v>OPORTUNO</v>
      </c>
      <c r="N2895">
        <v>96.51</v>
      </c>
      <c r="O2895">
        <v>22.802850356294542</v>
      </c>
    </row>
    <row r="2896" spans="1:15" x14ac:dyDescent="0.25">
      <c r="A2896" s="11">
        <v>46092</v>
      </c>
      <c r="B2896" t="s">
        <v>28</v>
      </c>
      <c r="C2896" t="s">
        <v>18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f t="shared" si="116"/>
        <v>0</v>
      </c>
      <c r="J2896" s="3">
        <f t="shared" si="117"/>
        <v>23</v>
      </c>
      <c r="K2896" s="3">
        <f t="shared" si="118"/>
        <v>-23</v>
      </c>
      <c r="L2896" s="3" t="str">
        <f t="shared" si="119"/>
        <v>CRÍTICO</v>
      </c>
      <c r="N2896">
        <v>92.68</v>
      </c>
      <c r="O2896">
        <v>27.777777777777779</v>
      </c>
    </row>
    <row r="2897" spans="1:15" x14ac:dyDescent="0.25">
      <c r="A2897" s="11">
        <v>46092</v>
      </c>
      <c r="B2897" t="s">
        <v>29</v>
      </c>
      <c r="C2897" t="s">
        <v>16</v>
      </c>
      <c r="D2897">
        <v>0</v>
      </c>
      <c r="E2897">
        <v>0</v>
      </c>
      <c r="F2897">
        <v>0</v>
      </c>
      <c r="G2897">
        <v>0</v>
      </c>
      <c r="H2897">
        <v>0</v>
      </c>
      <c r="I2897" s="3">
        <f t="shared" si="116"/>
        <v>0</v>
      </c>
      <c r="J2897" s="3">
        <f t="shared" si="117"/>
        <v>18</v>
      </c>
      <c r="K2897" s="3">
        <f t="shared" si="118"/>
        <v>-18</v>
      </c>
      <c r="L2897" s="3" t="str">
        <f t="shared" si="119"/>
        <v>CRÍTICO</v>
      </c>
      <c r="N2897">
        <v>99.03</v>
      </c>
      <c r="O2897">
        <v>23.991507430997881</v>
      </c>
    </row>
    <row r="2898" spans="1:15" x14ac:dyDescent="0.25">
      <c r="A2898" s="11">
        <v>46092</v>
      </c>
      <c r="B2898" t="s">
        <v>30</v>
      </c>
      <c r="C2898" t="s">
        <v>20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 t="shared" si="116"/>
        <v>15</v>
      </c>
      <c r="J2898" s="3">
        <f t="shared" si="117"/>
        <v>15</v>
      </c>
      <c r="K2898" s="3">
        <f t="shared" si="118"/>
        <v>0</v>
      </c>
      <c r="L2898" s="3" t="str">
        <f t="shared" si="119"/>
        <v>OPORTUNO</v>
      </c>
      <c r="N2898">
        <v>98.41</v>
      </c>
      <c r="O2898">
        <v>28.138528138528141</v>
      </c>
    </row>
    <row r="2899" spans="1:15" x14ac:dyDescent="0.25">
      <c r="A2899" s="11">
        <v>46092</v>
      </c>
      <c r="B2899" t="s">
        <v>31</v>
      </c>
      <c r="C2899" t="s">
        <v>18</v>
      </c>
      <c r="D2899">
        <v>0</v>
      </c>
      <c r="E2899">
        <v>0</v>
      </c>
      <c r="F2899">
        <v>0</v>
      </c>
      <c r="G2899">
        <v>0</v>
      </c>
      <c r="H2899">
        <v>0</v>
      </c>
      <c r="I2899" s="3">
        <f t="shared" ref="I2899:I2962" si="120">E2899+G2899+H2899</f>
        <v>0</v>
      </c>
      <c r="J2899" s="3">
        <f t="shared" ref="J2899:J2962" si="121"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23</v>
      </c>
      <c r="K2899" s="3">
        <f t="shared" ref="K2899:K2962" si="122">I2899-J2899</f>
        <v>-23</v>
      </c>
      <c r="L2899" s="3" t="str">
        <f t="shared" ref="L2899:L2962" si="123">IF(K2899&lt;-5,"CRÍTICO",IF(K2899&lt;0,"ATENÇÃO",IF(K2899&lt;=5,"OPORTUNO","MUITO BOM")))</f>
        <v>CRÍTICO</v>
      </c>
      <c r="N2899">
        <v>98.73</v>
      </c>
      <c r="O2899">
        <v>29.142857142857139</v>
      </c>
    </row>
    <row r="2900" spans="1:15" x14ac:dyDescent="0.25">
      <c r="A2900" s="11">
        <v>46092</v>
      </c>
      <c r="B2900" t="s">
        <v>32</v>
      </c>
      <c r="C2900" t="s">
        <v>23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 t="shared" si="120"/>
        <v>6</v>
      </c>
      <c r="J2900" s="3">
        <f t="shared" si="121"/>
        <v>7</v>
      </c>
      <c r="K2900" s="3">
        <f t="shared" si="122"/>
        <v>-1</v>
      </c>
      <c r="L2900" s="3" t="str">
        <f t="shared" si="123"/>
        <v>ATENÇÃO</v>
      </c>
      <c r="N2900">
        <v>90.48</v>
      </c>
      <c r="O2900">
        <v>20.68965517241379</v>
      </c>
    </row>
    <row r="2901" spans="1:15" x14ac:dyDescent="0.25">
      <c r="A2901" s="11">
        <v>46092</v>
      </c>
      <c r="B2901" t="s">
        <v>33</v>
      </c>
      <c r="C2901" t="s">
        <v>16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 t="shared" si="120"/>
        <v>16</v>
      </c>
      <c r="J2901" s="3">
        <f t="shared" si="121"/>
        <v>18</v>
      </c>
      <c r="K2901" s="3">
        <f t="shared" si="122"/>
        <v>-2</v>
      </c>
      <c r="L2901" s="3" t="str">
        <f t="shared" si="123"/>
        <v>ATENÇÃO</v>
      </c>
      <c r="N2901">
        <v>98.06</v>
      </c>
      <c r="O2901">
        <v>24.789915966386559</v>
      </c>
    </row>
    <row r="2902" spans="1:15" x14ac:dyDescent="0.25">
      <c r="A2902" s="11">
        <v>46092</v>
      </c>
      <c r="B2902" t="s">
        <v>34</v>
      </c>
      <c r="C2902" t="s">
        <v>18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 t="shared" si="120"/>
        <v>28</v>
      </c>
      <c r="J2902" s="3">
        <f t="shared" si="121"/>
        <v>23</v>
      </c>
      <c r="K2902" s="3">
        <f t="shared" si="122"/>
        <v>5</v>
      </c>
      <c r="L2902" s="3" t="str">
        <f t="shared" si="123"/>
        <v>OPORTUNO</v>
      </c>
      <c r="N2902">
        <v>97.78</v>
      </c>
      <c r="O2902">
        <v>25.494071146245059</v>
      </c>
    </row>
    <row r="2903" spans="1:15" x14ac:dyDescent="0.25">
      <c r="A2903" s="11">
        <v>46092</v>
      </c>
      <c r="B2903" t="s">
        <v>35</v>
      </c>
      <c r="C2903" t="s">
        <v>16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 t="shared" si="120"/>
        <v>33</v>
      </c>
      <c r="J2903" s="3">
        <f t="shared" si="121"/>
        <v>18</v>
      </c>
      <c r="K2903" s="3">
        <f t="shared" si="122"/>
        <v>15</v>
      </c>
      <c r="L2903" s="3" t="str">
        <f t="shared" si="123"/>
        <v>MUITO BOM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36</v>
      </c>
      <c r="C2904" t="s">
        <v>20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 t="shared" si="120"/>
        <v>29</v>
      </c>
      <c r="J2904" s="3">
        <f t="shared" si="121"/>
        <v>19</v>
      </c>
      <c r="K2904" s="3">
        <f t="shared" si="122"/>
        <v>10</v>
      </c>
      <c r="L2904" s="3" t="str">
        <f t="shared" si="123"/>
        <v>MUITO BOM</v>
      </c>
      <c r="N2904">
        <v>99.28</v>
      </c>
      <c r="O2904">
        <v>27.689243027888441</v>
      </c>
    </row>
    <row r="2905" spans="1:15" x14ac:dyDescent="0.25">
      <c r="A2905" s="11">
        <v>46092</v>
      </c>
      <c r="B2905" t="s">
        <v>37</v>
      </c>
      <c r="C2905" t="s">
        <v>16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 t="shared" si="120"/>
        <v>24</v>
      </c>
      <c r="J2905" s="3">
        <f t="shared" si="121"/>
        <v>18</v>
      </c>
      <c r="K2905" s="3">
        <f t="shared" si="122"/>
        <v>6</v>
      </c>
      <c r="L2905" s="3" t="str">
        <f t="shared" si="123"/>
        <v>MUITO BOM</v>
      </c>
      <c r="N2905">
        <v>100</v>
      </c>
      <c r="O2905">
        <v>27.04918032786885</v>
      </c>
    </row>
    <row r="2906" spans="1:15" x14ac:dyDescent="0.25">
      <c r="A2906" s="11">
        <v>46092</v>
      </c>
      <c r="B2906" t="s">
        <v>38</v>
      </c>
      <c r="C2906" t="s">
        <v>18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 t="shared" si="120"/>
        <v>39</v>
      </c>
      <c r="J2906" s="3">
        <f t="shared" si="121"/>
        <v>23</v>
      </c>
      <c r="K2906" s="3">
        <f t="shared" si="122"/>
        <v>16</v>
      </c>
      <c r="L2906" s="3" t="str">
        <f t="shared" si="123"/>
        <v>MUITO BOM</v>
      </c>
      <c r="N2906">
        <v>97.83</v>
      </c>
      <c r="O2906">
        <v>26.315789473684209</v>
      </c>
    </row>
    <row r="2907" spans="1:15" x14ac:dyDescent="0.25">
      <c r="A2907" s="11">
        <v>46092</v>
      </c>
      <c r="B2907" t="s">
        <v>39</v>
      </c>
      <c r="C2907" t="s">
        <v>18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f t="shared" si="120"/>
        <v>0</v>
      </c>
      <c r="J2907" s="3">
        <f t="shared" si="121"/>
        <v>23</v>
      </c>
      <c r="K2907" s="3">
        <f t="shared" si="122"/>
        <v>-23</v>
      </c>
      <c r="L2907" s="3" t="str">
        <f t="shared" si="123"/>
        <v>CRÍTICO</v>
      </c>
      <c r="N2907">
        <v>100</v>
      </c>
      <c r="O2907">
        <v>26.701570680628269</v>
      </c>
    </row>
    <row r="2908" spans="1:15" x14ac:dyDescent="0.25">
      <c r="A2908" s="11">
        <v>46092</v>
      </c>
      <c r="B2908" t="s">
        <v>40</v>
      </c>
      <c r="C2908" t="s">
        <v>16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 t="shared" si="120"/>
        <v>24</v>
      </c>
      <c r="J2908" s="3">
        <f t="shared" si="121"/>
        <v>18</v>
      </c>
      <c r="K2908" s="3">
        <f t="shared" si="122"/>
        <v>6</v>
      </c>
      <c r="L2908" s="3" t="str">
        <f t="shared" si="123"/>
        <v>MUITO BOM</v>
      </c>
      <c r="N2908">
        <v>97.47</v>
      </c>
      <c r="O2908">
        <v>22.887323943661968</v>
      </c>
    </row>
    <row r="2909" spans="1:15" x14ac:dyDescent="0.25">
      <c r="A2909" s="11">
        <v>46092</v>
      </c>
      <c r="B2909" t="s">
        <v>41</v>
      </c>
      <c r="C2909" t="s">
        <v>18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f t="shared" si="120"/>
        <v>0</v>
      </c>
      <c r="J2909" s="3">
        <f t="shared" si="121"/>
        <v>23</v>
      </c>
      <c r="K2909" s="3">
        <f t="shared" si="122"/>
        <v>-23</v>
      </c>
      <c r="L2909" s="3" t="str">
        <f t="shared" si="123"/>
        <v>CRÍTICO</v>
      </c>
      <c r="N2909">
        <v>0</v>
      </c>
      <c r="O2909">
        <v>0</v>
      </c>
    </row>
    <row r="2910" spans="1:15" x14ac:dyDescent="0.25">
      <c r="A2910" s="11">
        <v>46092</v>
      </c>
      <c r="B2910" t="s">
        <v>42</v>
      </c>
      <c r="C2910" t="s">
        <v>43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 t="shared" si="120"/>
        <v>6</v>
      </c>
      <c r="J2910" s="3">
        <f t="shared" si="121"/>
        <v>13</v>
      </c>
      <c r="K2910" s="3">
        <f t="shared" si="122"/>
        <v>-7</v>
      </c>
      <c r="L2910" s="3" t="str">
        <f t="shared" si="123"/>
        <v>CRÍTICO</v>
      </c>
      <c r="N2910">
        <v>98.31</v>
      </c>
      <c r="O2910">
        <v>24.920127795527151</v>
      </c>
    </row>
    <row r="2911" spans="1:15" x14ac:dyDescent="0.25">
      <c r="A2911" s="11">
        <v>46092</v>
      </c>
      <c r="B2911" t="s">
        <v>44</v>
      </c>
      <c r="C2911" t="s">
        <v>18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f t="shared" si="120"/>
        <v>0</v>
      </c>
      <c r="J2911" s="3">
        <f t="shared" si="121"/>
        <v>23</v>
      </c>
      <c r="K2911" s="3">
        <f t="shared" si="122"/>
        <v>-23</v>
      </c>
      <c r="L2911" s="3" t="str">
        <f t="shared" si="123"/>
        <v>CRÍTICO</v>
      </c>
      <c r="N2911">
        <v>96.81</v>
      </c>
      <c r="O2911">
        <v>32.365145228215773</v>
      </c>
    </row>
    <row r="2912" spans="1:15" x14ac:dyDescent="0.25">
      <c r="A2912" s="11">
        <v>46092</v>
      </c>
      <c r="B2912" t="s">
        <v>45</v>
      </c>
      <c r="C2912" t="s">
        <v>43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 t="shared" si="120"/>
        <v>11</v>
      </c>
      <c r="J2912" s="3">
        <f t="shared" si="121"/>
        <v>13</v>
      </c>
      <c r="K2912" s="3">
        <f t="shared" si="122"/>
        <v>-2</v>
      </c>
      <c r="L2912" s="3" t="str">
        <f t="shared" si="123"/>
        <v>ATENÇÃO</v>
      </c>
      <c r="N2912">
        <v>100</v>
      </c>
      <c r="O2912">
        <v>26.47058823529412</v>
      </c>
    </row>
    <row r="2913" spans="1:15" x14ac:dyDescent="0.25">
      <c r="A2913" s="11">
        <v>46092</v>
      </c>
      <c r="B2913" t="s">
        <v>46</v>
      </c>
      <c r="C2913" t="s">
        <v>18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f t="shared" si="120"/>
        <v>0</v>
      </c>
      <c r="J2913" s="3">
        <f t="shared" si="121"/>
        <v>23</v>
      </c>
      <c r="K2913" s="3">
        <f t="shared" si="122"/>
        <v>-23</v>
      </c>
      <c r="L2913" s="3" t="str">
        <f t="shared" si="123"/>
        <v>CRÍTICO</v>
      </c>
      <c r="N2913">
        <v>100</v>
      </c>
      <c r="O2913">
        <v>28.490028490028489</v>
      </c>
    </row>
    <row r="2914" spans="1:15" x14ac:dyDescent="0.25">
      <c r="A2914" s="11">
        <v>46092</v>
      </c>
      <c r="B2914" t="s">
        <v>47</v>
      </c>
      <c r="C2914" t="s">
        <v>16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 t="shared" si="120"/>
        <v>34</v>
      </c>
      <c r="J2914" s="3">
        <f t="shared" si="121"/>
        <v>18</v>
      </c>
      <c r="K2914" s="3">
        <f t="shared" si="122"/>
        <v>16</v>
      </c>
      <c r="L2914" s="3" t="str">
        <f t="shared" si="123"/>
        <v>MUITO BOM</v>
      </c>
      <c r="N2914">
        <v>99.14</v>
      </c>
      <c r="O2914">
        <v>27.2289156626506</v>
      </c>
    </row>
    <row r="2915" spans="1:15" x14ac:dyDescent="0.25">
      <c r="A2915" s="11">
        <v>46092</v>
      </c>
      <c r="B2915" t="s">
        <v>48</v>
      </c>
      <c r="C2915" t="s">
        <v>16</v>
      </c>
      <c r="D2915">
        <v>0</v>
      </c>
      <c r="E2915">
        <v>0</v>
      </c>
      <c r="F2915">
        <v>0</v>
      </c>
      <c r="G2915">
        <v>0</v>
      </c>
      <c r="H2915">
        <v>0</v>
      </c>
      <c r="I2915" s="3">
        <f t="shared" si="120"/>
        <v>0</v>
      </c>
      <c r="J2915" s="3">
        <f t="shared" si="121"/>
        <v>18</v>
      </c>
      <c r="K2915" s="3">
        <f t="shared" si="122"/>
        <v>-18</v>
      </c>
      <c r="L2915" s="3" t="str">
        <f t="shared" si="123"/>
        <v>CRÍTICO</v>
      </c>
      <c r="N2915">
        <v>97.52</v>
      </c>
      <c r="O2915">
        <v>28.205128205128201</v>
      </c>
    </row>
    <row r="2916" spans="1:15" x14ac:dyDescent="0.25">
      <c r="A2916" s="11">
        <v>46092</v>
      </c>
      <c r="B2916" t="s">
        <v>49</v>
      </c>
      <c r="C2916" t="s">
        <v>18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 t="shared" si="120"/>
        <v>50</v>
      </c>
      <c r="J2916" s="3">
        <f t="shared" si="121"/>
        <v>23</v>
      </c>
      <c r="K2916" s="3">
        <f t="shared" si="122"/>
        <v>27</v>
      </c>
      <c r="L2916" s="3" t="str">
        <f t="shared" si="123"/>
        <v>MUITO BOM</v>
      </c>
      <c r="N2916">
        <v>90</v>
      </c>
      <c r="O2916">
        <v>24.186046511627911</v>
      </c>
    </row>
    <row r="2917" spans="1:15" x14ac:dyDescent="0.25">
      <c r="A2917" s="11">
        <v>46092</v>
      </c>
      <c r="B2917" t="s">
        <v>50</v>
      </c>
      <c r="C2917" t="s">
        <v>20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 t="shared" si="120"/>
        <v>14</v>
      </c>
      <c r="J2917" s="3">
        <f t="shared" si="121"/>
        <v>15</v>
      </c>
      <c r="K2917" s="3">
        <f t="shared" si="122"/>
        <v>-1</v>
      </c>
      <c r="L2917" s="3" t="str">
        <f t="shared" si="123"/>
        <v>ATENÇÃO</v>
      </c>
      <c r="N2917">
        <v>98.9</v>
      </c>
      <c r="O2917">
        <v>26.763990267639901</v>
      </c>
    </row>
    <row r="2918" spans="1:15" x14ac:dyDescent="0.25">
      <c r="A2918" s="11">
        <v>46092</v>
      </c>
      <c r="B2918" t="s">
        <v>51</v>
      </c>
      <c r="C2918" t="s">
        <v>23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f t="shared" si="120"/>
        <v>0</v>
      </c>
      <c r="J2918" s="3">
        <f t="shared" si="121"/>
        <v>7</v>
      </c>
      <c r="K2918" s="3">
        <f t="shared" si="122"/>
        <v>-7</v>
      </c>
      <c r="L2918" s="3" t="str">
        <f t="shared" si="123"/>
        <v>CRÍTICO</v>
      </c>
      <c r="N2918">
        <v>88.89</v>
      </c>
      <c r="O2918">
        <v>25.263157894736839</v>
      </c>
    </row>
    <row r="2919" spans="1:15" x14ac:dyDescent="0.25">
      <c r="A2919" s="11">
        <v>46092</v>
      </c>
      <c r="B2919" t="s">
        <v>52</v>
      </c>
      <c r="C2919" t="s">
        <v>18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 t="shared" si="120"/>
        <v>36</v>
      </c>
      <c r="J2919" s="3">
        <f t="shared" si="121"/>
        <v>23</v>
      </c>
      <c r="K2919" s="3">
        <f t="shared" si="122"/>
        <v>13</v>
      </c>
      <c r="L2919" s="3" t="str">
        <f t="shared" si="123"/>
        <v>MUITO BOM</v>
      </c>
      <c r="N2919">
        <v>98.86</v>
      </c>
      <c r="O2919">
        <v>28.959276018099551</v>
      </c>
    </row>
    <row r="2920" spans="1:15" x14ac:dyDescent="0.25">
      <c r="A2920" s="11">
        <v>46092</v>
      </c>
      <c r="B2920" t="s">
        <v>53</v>
      </c>
      <c r="C2920" t="s">
        <v>18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 t="shared" si="120"/>
        <v>29</v>
      </c>
      <c r="J2920" s="3">
        <f t="shared" si="121"/>
        <v>23</v>
      </c>
      <c r="K2920" s="3">
        <f t="shared" si="122"/>
        <v>6</v>
      </c>
      <c r="L2920" s="3" t="str">
        <f t="shared" si="123"/>
        <v>MUITO BOM</v>
      </c>
      <c r="N2920">
        <v>98.06</v>
      </c>
      <c r="O2920">
        <v>22.40566037735849</v>
      </c>
    </row>
    <row r="2921" spans="1:15" x14ac:dyDescent="0.25">
      <c r="A2921" s="11">
        <v>46092</v>
      </c>
      <c r="B2921" t="s">
        <v>54</v>
      </c>
      <c r="C2921" t="s">
        <v>23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 t="shared" si="120"/>
        <v>5</v>
      </c>
      <c r="J2921" s="3">
        <f t="shared" si="121"/>
        <v>7</v>
      </c>
      <c r="K2921" s="3">
        <f t="shared" si="122"/>
        <v>-2</v>
      </c>
      <c r="L2921" s="3" t="str">
        <f t="shared" si="123"/>
        <v>ATENÇÃO</v>
      </c>
      <c r="N2921">
        <v>95.83</v>
      </c>
      <c r="O2921">
        <v>25.773195876288661</v>
      </c>
    </row>
    <row r="2922" spans="1:15" x14ac:dyDescent="0.25">
      <c r="A2922" s="11">
        <v>46092</v>
      </c>
      <c r="B2922" t="s">
        <v>55</v>
      </c>
      <c r="C2922" t="s">
        <v>43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f t="shared" si="120"/>
        <v>0</v>
      </c>
      <c r="J2922" s="3">
        <f t="shared" si="121"/>
        <v>13</v>
      </c>
      <c r="K2922" s="3">
        <f t="shared" si="122"/>
        <v>-13</v>
      </c>
      <c r="L2922" s="3" t="str">
        <f t="shared" si="123"/>
        <v>CRÍTICO</v>
      </c>
      <c r="N2922">
        <v>100</v>
      </c>
      <c r="O2922">
        <v>15.38461538461539</v>
      </c>
    </row>
    <row r="2923" spans="1:15" x14ac:dyDescent="0.25">
      <c r="A2923" s="11">
        <v>46092</v>
      </c>
      <c r="B2923" t="s">
        <v>56</v>
      </c>
      <c r="C2923" t="s">
        <v>16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 t="shared" si="120"/>
        <v>11</v>
      </c>
      <c r="J2923" s="3">
        <f t="shared" si="121"/>
        <v>18</v>
      </c>
      <c r="K2923" s="3">
        <f t="shared" si="122"/>
        <v>-7</v>
      </c>
      <c r="L2923" s="3" t="str">
        <f t="shared" si="123"/>
        <v>CRÍTICO</v>
      </c>
      <c r="N2923">
        <v>100</v>
      </c>
      <c r="O2923">
        <v>27.514792899408281</v>
      </c>
    </row>
    <row r="2924" spans="1:15" x14ac:dyDescent="0.25">
      <c r="A2924" s="11">
        <v>46092</v>
      </c>
      <c r="B2924" t="s">
        <v>57</v>
      </c>
      <c r="C2924" t="s">
        <v>43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 t="shared" si="120"/>
        <v>8</v>
      </c>
      <c r="J2924" s="3">
        <f t="shared" si="121"/>
        <v>13</v>
      </c>
      <c r="K2924" s="3">
        <f t="shared" si="122"/>
        <v>-5</v>
      </c>
      <c r="L2924" s="3" t="str">
        <f t="shared" si="123"/>
        <v>ATENÇÃO</v>
      </c>
      <c r="N2924">
        <v>100</v>
      </c>
      <c r="O2924">
        <v>24.875621890547269</v>
      </c>
    </row>
    <row r="2925" spans="1:15" x14ac:dyDescent="0.25">
      <c r="A2925" s="11">
        <v>46092</v>
      </c>
      <c r="B2925" t="s">
        <v>58</v>
      </c>
      <c r="C2925" t="s">
        <v>43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 t="shared" si="120"/>
        <v>13</v>
      </c>
      <c r="J2925" s="3">
        <f t="shared" si="121"/>
        <v>13</v>
      </c>
      <c r="K2925" s="3">
        <f t="shared" si="122"/>
        <v>0</v>
      </c>
      <c r="L2925" s="3" t="str">
        <f t="shared" si="123"/>
        <v>OPORTUNO</v>
      </c>
      <c r="N2925">
        <v>100</v>
      </c>
      <c r="O2925">
        <v>28.108108108108109</v>
      </c>
    </row>
    <row r="2926" spans="1:15" x14ac:dyDescent="0.25">
      <c r="A2926" s="11">
        <v>46092</v>
      </c>
      <c r="B2926" t="s">
        <v>59</v>
      </c>
      <c r="C2926" t="s">
        <v>23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f t="shared" si="120"/>
        <v>0</v>
      </c>
      <c r="J2926" s="3">
        <f t="shared" si="121"/>
        <v>7</v>
      </c>
      <c r="K2926" s="3">
        <f t="shared" si="122"/>
        <v>-7</v>
      </c>
      <c r="L2926" s="3" t="str">
        <f t="shared" si="123"/>
        <v>CRÍTICO</v>
      </c>
      <c r="N2926">
        <v>100</v>
      </c>
      <c r="O2926">
        <v>35</v>
      </c>
    </row>
    <row r="2927" spans="1:15" x14ac:dyDescent="0.25">
      <c r="A2927" s="11">
        <v>46092</v>
      </c>
      <c r="B2927" t="s">
        <v>60</v>
      </c>
      <c r="C2927" t="s">
        <v>20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 t="shared" si="120"/>
        <v>27</v>
      </c>
      <c r="J2927" s="3">
        <f t="shared" si="121"/>
        <v>15</v>
      </c>
      <c r="K2927" s="3">
        <f t="shared" si="122"/>
        <v>12</v>
      </c>
      <c r="L2927" s="3" t="str">
        <f t="shared" si="123"/>
        <v>MUITO BOM</v>
      </c>
      <c r="N2927">
        <v>95.35</v>
      </c>
      <c r="O2927">
        <v>28.61538461538461</v>
      </c>
    </row>
    <row r="2928" spans="1:15" x14ac:dyDescent="0.25">
      <c r="A2928" s="11">
        <v>46092</v>
      </c>
      <c r="B2928" t="s">
        <v>61</v>
      </c>
      <c r="C2928" t="s">
        <v>18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 t="shared" si="120"/>
        <v>44</v>
      </c>
      <c r="J2928" s="3">
        <f t="shared" si="121"/>
        <v>23</v>
      </c>
      <c r="K2928" s="3">
        <f t="shared" si="122"/>
        <v>21</v>
      </c>
      <c r="L2928" s="3" t="str">
        <f t="shared" si="123"/>
        <v>MUITO BOM</v>
      </c>
      <c r="N2928">
        <v>98.26</v>
      </c>
      <c r="O2928">
        <v>27.54491017964072</v>
      </c>
    </row>
    <row r="2929" spans="1:15" x14ac:dyDescent="0.25">
      <c r="A2929" s="11">
        <v>46092</v>
      </c>
      <c r="B2929" t="s">
        <v>62</v>
      </c>
      <c r="C2929" t="s">
        <v>20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 t="shared" si="120"/>
        <v>17</v>
      </c>
      <c r="J2929" s="3">
        <f t="shared" si="121"/>
        <v>15</v>
      </c>
      <c r="K2929" s="3">
        <f t="shared" si="122"/>
        <v>2</v>
      </c>
      <c r="L2929" s="3" t="str">
        <f t="shared" si="123"/>
        <v>OPORTUNO</v>
      </c>
      <c r="N2929">
        <v>98.55</v>
      </c>
      <c r="O2929">
        <v>25.337837837837839</v>
      </c>
    </row>
    <row r="2930" spans="1:15" x14ac:dyDescent="0.25">
      <c r="A2930" s="11">
        <v>46092</v>
      </c>
      <c r="B2930" t="s">
        <v>63</v>
      </c>
      <c r="C2930" t="s">
        <v>18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 t="shared" si="120"/>
        <v>32</v>
      </c>
      <c r="J2930" s="3">
        <f t="shared" si="121"/>
        <v>23</v>
      </c>
      <c r="K2930" s="3">
        <f t="shared" si="122"/>
        <v>9</v>
      </c>
      <c r="L2930" s="3" t="str">
        <f t="shared" si="123"/>
        <v>MUITO BOM</v>
      </c>
      <c r="N2930">
        <v>98.39</v>
      </c>
      <c r="O2930">
        <v>25.563909774436091</v>
      </c>
    </row>
    <row r="2931" spans="1:15" x14ac:dyDescent="0.25">
      <c r="A2931" s="11">
        <v>46093</v>
      </c>
      <c r="B2931" t="s">
        <v>15</v>
      </c>
      <c r="C2931" t="s">
        <v>16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 t="shared" si="120"/>
        <v>11</v>
      </c>
      <c r="J2931" s="3">
        <f t="shared" si="121"/>
        <v>16</v>
      </c>
      <c r="K2931" s="3">
        <f t="shared" si="122"/>
        <v>-5</v>
      </c>
      <c r="L2931" s="3" t="str">
        <f t="shared" si="123"/>
        <v>ATENÇÃO</v>
      </c>
      <c r="N2931">
        <v>94.29</v>
      </c>
      <c r="O2931">
        <v>25.647668393782389</v>
      </c>
    </row>
    <row r="2932" spans="1:15" x14ac:dyDescent="0.25">
      <c r="A2932" s="11">
        <v>46093</v>
      </c>
      <c r="B2932" t="s">
        <v>17</v>
      </c>
      <c r="C2932" t="s">
        <v>18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f t="shared" si="120"/>
        <v>0</v>
      </c>
      <c r="J2932" s="3">
        <f t="shared" si="121"/>
        <v>20</v>
      </c>
      <c r="K2932" s="3">
        <f t="shared" si="122"/>
        <v>-20</v>
      </c>
      <c r="L2932" s="3" t="str">
        <f t="shared" si="123"/>
        <v>CRÍTICO</v>
      </c>
      <c r="N2932">
        <v>98.26</v>
      </c>
      <c r="O2932">
        <v>26.666666666666671</v>
      </c>
    </row>
    <row r="2933" spans="1:15" x14ac:dyDescent="0.25">
      <c r="A2933" s="11">
        <v>46093</v>
      </c>
      <c r="B2933" t="s">
        <v>19</v>
      </c>
      <c r="C2933" t="s">
        <v>20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 t="shared" si="120"/>
        <v>17</v>
      </c>
      <c r="J2933" s="3">
        <f t="shared" si="121"/>
        <v>13</v>
      </c>
      <c r="K2933" s="3">
        <f t="shared" si="122"/>
        <v>4</v>
      </c>
      <c r="L2933" s="3" t="str">
        <f t="shared" si="123"/>
        <v>OPORTUNO</v>
      </c>
      <c r="N2933">
        <v>98.2</v>
      </c>
      <c r="O2933">
        <v>23.37962962962963</v>
      </c>
    </row>
    <row r="2934" spans="1:15" x14ac:dyDescent="0.25">
      <c r="A2934" s="11">
        <v>46093</v>
      </c>
      <c r="B2934" t="s">
        <v>21</v>
      </c>
      <c r="C2934" t="s">
        <v>18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 t="shared" si="120"/>
        <v>24</v>
      </c>
      <c r="J2934" s="3">
        <f t="shared" si="121"/>
        <v>20</v>
      </c>
      <c r="K2934" s="3">
        <f t="shared" si="122"/>
        <v>4</v>
      </c>
      <c r="L2934" s="3" t="str">
        <f t="shared" si="123"/>
        <v>OPORTUNO</v>
      </c>
      <c r="N2934">
        <v>97.3</v>
      </c>
      <c r="O2934">
        <v>23.84769539078156</v>
      </c>
    </row>
    <row r="2935" spans="1:15" x14ac:dyDescent="0.25">
      <c r="A2935" s="11">
        <v>46093</v>
      </c>
      <c r="B2935" t="s">
        <v>22</v>
      </c>
      <c r="C2935" t="s">
        <v>23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 t="shared" si="120"/>
        <v>10</v>
      </c>
      <c r="J2935" s="3">
        <f t="shared" si="121"/>
        <v>6</v>
      </c>
      <c r="K2935" s="3">
        <f t="shared" si="122"/>
        <v>4</v>
      </c>
      <c r="L2935" s="3" t="str">
        <f t="shared" si="123"/>
        <v>OPORTUNO</v>
      </c>
      <c r="N2935">
        <v>100</v>
      </c>
      <c r="O2935">
        <v>25.268817204301079</v>
      </c>
    </row>
    <row r="2936" spans="1:15" x14ac:dyDescent="0.25">
      <c r="A2936" s="11">
        <v>46093</v>
      </c>
      <c r="B2936" t="s">
        <v>24</v>
      </c>
      <c r="C2936" t="s">
        <v>16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 t="shared" si="120"/>
        <v>35</v>
      </c>
      <c r="J2936" s="3">
        <f t="shared" si="121"/>
        <v>16</v>
      </c>
      <c r="K2936" s="3">
        <f t="shared" si="122"/>
        <v>19</v>
      </c>
      <c r="L2936" s="3" t="str">
        <f t="shared" si="123"/>
        <v>MUITO BOM</v>
      </c>
      <c r="N2936">
        <v>99.32</v>
      </c>
      <c r="O2936">
        <v>22.822822822822818</v>
      </c>
    </row>
    <row r="2937" spans="1:15" x14ac:dyDescent="0.25">
      <c r="A2937" s="11">
        <v>46093</v>
      </c>
      <c r="B2937" t="s">
        <v>25</v>
      </c>
      <c r="C2937" t="s">
        <v>16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 t="shared" si="120"/>
        <v>9</v>
      </c>
      <c r="J2937" s="3">
        <f t="shared" si="121"/>
        <v>16</v>
      </c>
      <c r="K2937" s="3">
        <f t="shared" si="122"/>
        <v>-7</v>
      </c>
      <c r="L2937" s="3" t="str">
        <f t="shared" si="123"/>
        <v>CRÍTICO</v>
      </c>
      <c r="N2937">
        <v>100</v>
      </c>
      <c r="O2937">
        <v>27.966101694915249</v>
      </c>
    </row>
    <row r="2938" spans="1:15" x14ac:dyDescent="0.25">
      <c r="A2938" s="11">
        <v>46093</v>
      </c>
      <c r="B2938" t="s">
        <v>26</v>
      </c>
      <c r="C2938" t="s">
        <v>23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f t="shared" si="120"/>
        <v>0</v>
      </c>
      <c r="J2938" s="3">
        <f t="shared" si="121"/>
        <v>6</v>
      </c>
      <c r="K2938" s="3">
        <f t="shared" si="122"/>
        <v>-6</v>
      </c>
      <c r="L2938" s="3" t="str">
        <f t="shared" si="123"/>
        <v>CRÍTICO</v>
      </c>
      <c r="N2938">
        <v>100</v>
      </c>
      <c r="O2938">
        <v>30.434782608695659</v>
      </c>
    </row>
    <row r="2939" spans="1:15" x14ac:dyDescent="0.25">
      <c r="A2939" s="11">
        <v>46093</v>
      </c>
      <c r="B2939" t="s">
        <v>27</v>
      </c>
      <c r="C2939" t="s">
        <v>20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 t="shared" si="120"/>
        <v>14</v>
      </c>
      <c r="J2939" s="3">
        <f t="shared" si="121"/>
        <v>13</v>
      </c>
      <c r="K2939" s="3">
        <f t="shared" si="122"/>
        <v>1</v>
      </c>
      <c r="L2939" s="3" t="str">
        <f t="shared" si="123"/>
        <v>OPORTUNO</v>
      </c>
      <c r="N2939">
        <v>96.51</v>
      </c>
      <c r="O2939">
        <v>22.802850356294542</v>
      </c>
    </row>
    <row r="2940" spans="1:15" x14ac:dyDescent="0.25">
      <c r="A2940" s="11">
        <v>46093</v>
      </c>
      <c r="B2940" t="s">
        <v>28</v>
      </c>
      <c r="C2940" t="s">
        <v>18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f t="shared" si="120"/>
        <v>0</v>
      </c>
      <c r="J2940" s="3">
        <f t="shared" si="121"/>
        <v>20</v>
      </c>
      <c r="K2940" s="3">
        <f t="shared" si="122"/>
        <v>-20</v>
      </c>
      <c r="L2940" s="3" t="str">
        <f t="shared" si="123"/>
        <v>CRÍTICO</v>
      </c>
      <c r="N2940">
        <v>92.68</v>
      </c>
      <c r="O2940">
        <v>27.777777777777779</v>
      </c>
    </row>
    <row r="2941" spans="1:15" x14ac:dyDescent="0.25">
      <c r="A2941" s="11">
        <v>46093</v>
      </c>
      <c r="B2941" t="s">
        <v>29</v>
      </c>
      <c r="C2941" t="s">
        <v>16</v>
      </c>
      <c r="D2941">
        <v>0</v>
      </c>
      <c r="E2941">
        <v>0</v>
      </c>
      <c r="F2941">
        <v>0</v>
      </c>
      <c r="G2941">
        <v>0</v>
      </c>
      <c r="H2941">
        <v>0</v>
      </c>
      <c r="I2941" s="3">
        <f t="shared" si="120"/>
        <v>0</v>
      </c>
      <c r="J2941" s="3">
        <f t="shared" si="121"/>
        <v>16</v>
      </c>
      <c r="K2941" s="3">
        <f t="shared" si="122"/>
        <v>-16</v>
      </c>
      <c r="L2941" s="3" t="str">
        <f t="shared" si="123"/>
        <v>CRÍTICO</v>
      </c>
      <c r="N2941">
        <v>99.03</v>
      </c>
      <c r="O2941">
        <v>23.991507430997881</v>
      </c>
    </row>
    <row r="2942" spans="1:15" x14ac:dyDescent="0.25">
      <c r="A2942" s="11">
        <v>46093</v>
      </c>
      <c r="B2942" t="s">
        <v>30</v>
      </c>
      <c r="C2942" t="s">
        <v>20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 t="shared" si="120"/>
        <v>26</v>
      </c>
      <c r="J2942" s="3">
        <f t="shared" si="121"/>
        <v>13</v>
      </c>
      <c r="K2942" s="3">
        <f t="shared" si="122"/>
        <v>13</v>
      </c>
      <c r="L2942" s="3" t="str">
        <f t="shared" si="123"/>
        <v>MUITO BOM</v>
      </c>
      <c r="N2942">
        <v>98.41</v>
      </c>
      <c r="O2942">
        <v>28.138528138528141</v>
      </c>
    </row>
    <row r="2943" spans="1:15" x14ac:dyDescent="0.25">
      <c r="A2943" s="11">
        <v>46093</v>
      </c>
      <c r="B2943" t="s">
        <v>31</v>
      </c>
      <c r="C2943" t="s">
        <v>18</v>
      </c>
      <c r="D2943">
        <v>0</v>
      </c>
      <c r="E2943">
        <v>0</v>
      </c>
      <c r="F2943">
        <v>0</v>
      </c>
      <c r="G2943">
        <v>0</v>
      </c>
      <c r="H2943">
        <v>0</v>
      </c>
      <c r="I2943" s="3">
        <f t="shared" si="120"/>
        <v>0</v>
      </c>
      <c r="J2943" s="3">
        <f t="shared" si="121"/>
        <v>20</v>
      </c>
      <c r="K2943" s="3">
        <f t="shared" si="122"/>
        <v>-20</v>
      </c>
      <c r="L2943" s="3" t="str">
        <f t="shared" si="123"/>
        <v>CRÍTICO</v>
      </c>
      <c r="N2943">
        <v>98.73</v>
      </c>
      <c r="O2943">
        <v>29.142857142857139</v>
      </c>
    </row>
    <row r="2944" spans="1:15" x14ac:dyDescent="0.25">
      <c r="A2944" s="11">
        <v>46093</v>
      </c>
      <c r="B2944" t="s">
        <v>32</v>
      </c>
      <c r="C2944" t="s">
        <v>23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 t="shared" si="120"/>
        <v>9</v>
      </c>
      <c r="J2944" s="3">
        <f t="shared" si="121"/>
        <v>6</v>
      </c>
      <c r="K2944" s="3">
        <f t="shared" si="122"/>
        <v>3</v>
      </c>
      <c r="L2944" s="3" t="str">
        <f t="shared" si="123"/>
        <v>OPORTUNO</v>
      </c>
      <c r="N2944">
        <v>90.48</v>
      </c>
      <c r="O2944">
        <v>20.68965517241379</v>
      </c>
    </row>
    <row r="2945" spans="1:15" x14ac:dyDescent="0.25">
      <c r="A2945" s="11">
        <v>46093</v>
      </c>
      <c r="B2945" t="s">
        <v>33</v>
      </c>
      <c r="C2945" t="s">
        <v>16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 t="shared" si="120"/>
        <v>24</v>
      </c>
      <c r="J2945" s="3">
        <f t="shared" si="121"/>
        <v>16</v>
      </c>
      <c r="K2945" s="3">
        <f t="shared" si="122"/>
        <v>8</v>
      </c>
      <c r="L2945" s="3" t="str">
        <f t="shared" si="123"/>
        <v>MUITO BOM</v>
      </c>
      <c r="N2945">
        <v>98.06</v>
      </c>
      <c r="O2945">
        <v>24.789915966386559</v>
      </c>
    </row>
    <row r="2946" spans="1:15" x14ac:dyDescent="0.25">
      <c r="A2946" s="11">
        <v>46093</v>
      </c>
      <c r="B2946" t="s">
        <v>34</v>
      </c>
      <c r="C2946" t="s">
        <v>18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 t="shared" si="120"/>
        <v>27</v>
      </c>
      <c r="J2946" s="3">
        <f t="shared" si="121"/>
        <v>20</v>
      </c>
      <c r="K2946" s="3">
        <f t="shared" si="122"/>
        <v>7</v>
      </c>
      <c r="L2946" s="3" t="str">
        <f t="shared" si="123"/>
        <v>MUITO BOM</v>
      </c>
      <c r="N2946">
        <v>97.78</v>
      </c>
      <c r="O2946">
        <v>25.494071146245059</v>
      </c>
    </row>
    <row r="2947" spans="1:15" x14ac:dyDescent="0.25">
      <c r="A2947" s="11">
        <v>46093</v>
      </c>
      <c r="B2947" t="s">
        <v>35</v>
      </c>
      <c r="C2947" t="s">
        <v>16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 t="shared" si="120"/>
        <v>25</v>
      </c>
      <c r="J2947" s="3">
        <f t="shared" si="121"/>
        <v>16</v>
      </c>
      <c r="K2947" s="3">
        <f t="shared" si="122"/>
        <v>9</v>
      </c>
      <c r="L2947" s="3" t="str">
        <f t="shared" si="123"/>
        <v>MUITO BOM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36</v>
      </c>
      <c r="C2948" t="s">
        <v>20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 t="shared" si="120"/>
        <v>38</v>
      </c>
      <c r="J2948" s="3">
        <f t="shared" si="121"/>
        <v>20</v>
      </c>
      <c r="K2948" s="3">
        <f t="shared" si="122"/>
        <v>18</v>
      </c>
      <c r="L2948" s="3" t="str">
        <f t="shared" si="123"/>
        <v>MUITO BOM</v>
      </c>
      <c r="N2948">
        <v>99.28</v>
      </c>
      <c r="O2948">
        <v>27.689243027888441</v>
      </c>
    </row>
    <row r="2949" spans="1:15" x14ac:dyDescent="0.25">
      <c r="A2949" s="11">
        <v>46093</v>
      </c>
      <c r="B2949" t="s">
        <v>37</v>
      </c>
      <c r="C2949" t="s">
        <v>16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 t="shared" si="120"/>
        <v>21</v>
      </c>
      <c r="J2949" s="3">
        <f t="shared" si="121"/>
        <v>16</v>
      </c>
      <c r="K2949" s="3">
        <f t="shared" si="122"/>
        <v>5</v>
      </c>
      <c r="L2949" s="3" t="str">
        <f t="shared" si="123"/>
        <v>OPORTUNO</v>
      </c>
      <c r="N2949">
        <v>100</v>
      </c>
      <c r="O2949">
        <v>27.04918032786885</v>
      </c>
    </row>
    <row r="2950" spans="1:15" x14ac:dyDescent="0.25">
      <c r="A2950" s="11">
        <v>46093</v>
      </c>
      <c r="B2950" t="s">
        <v>38</v>
      </c>
      <c r="C2950" t="s">
        <v>18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 t="shared" si="120"/>
        <v>42</v>
      </c>
      <c r="J2950" s="3">
        <f t="shared" si="121"/>
        <v>20</v>
      </c>
      <c r="K2950" s="3">
        <f t="shared" si="122"/>
        <v>22</v>
      </c>
      <c r="L2950" s="3" t="str">
        <f t="shared" si="123"/>
        <v>MUITO BOM</v>
      </c>
      <c r="N2950">
        <v>97.83</v>
      </c>
      <c r="O2950">
        <v>26.315789473684209</v>
      </c>
    </row>
    <row r="2951" spans="1:15" x14ac:dyDescent="0.25">
      <c r="A2951" s="11">
        <v>46093</v>
      </c>
      <c r="B2951" t="s">
        <v>39</v>
      </c>
      <c r="C2951" t="s">
        <v>18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f t="shared" si="120"/>
        <v>0</v>
      </c>
      <c r="J2951" s="3">
        <f t="shared" si="121"/>
        <v>20</v>
      </c>
      <c r="K2951" s="3">
        <f t="shared" si="122"/>
        <v>-20</v>
      </c>
      <c r="L2951" s="3" t="str">
        <f t="shared" si="123"/>
        <v>CRÍTICO</v>
      </c>
      <c r="N2951">
        <v>100</v>
      </c>
      <c r="O2951">
        <v>26.701570680628269</v>
      </c>
    </row>
    <row r="2952" spans="1:15" x14ac:dyDescent="0.25">
      <c r="A2952" s="11">
        <v>46093</v>
      </c>
      <c r="B2952" t="s">
        <v>40</v>
      </c>
      <c r="C2952" t="s">
        <v>16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 t="shared" si="120"/>
        <v>23</v>
      </c>
      <c r="J2952" s="3">
        <f t="shared" si="121"/>
        <v>16</v>
      </c>
      <c r="K2952" s="3">
        <f t="shared" si="122"/>
        <v>7</v>
      </c>
      <c r="L2952" s="3" t="str">
        <f t="shared" si="123"/>
        <v>MUITO BOM</v>
      </c>
      <c r="N2952">
        <v>97.47</v>
      </c>
      <c r="O2952">
        <v>22.887323943661968</v>
      </c>
    </row>
    <row r="2953" spans="1:15" x14ac:dyDescent="0.25">
      <c r="A2953" s="11">
        <v>46093</v>
      </c>
      <c r="B2953" t="s">
        <v>41</v>
      </c>
      <c r="C2953" t="s">
        <v>18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f t="shared" si="120"/>
        <v>0</v>
      </c>
      <c r="J2953" s="3">
        <f t="shared" si="121"/>
        <v>20</v>
      </c>
      <c r="K2953" s="3">
        <f t="shared" si="122"/>
        <v>-20</v>
      </c>
      <c r="L2953" s="3" t="str">
        <f t="shared" si="123"/>
        <v>CRÍTICO</v>
      </c>
      <c r="N2953">
        <v>0</v>
      </c>
      <c r="O2953">
        <v>0</v>
      </c>
    </row>
    <row r="2954" spans="1:15" x14ac:dyDescent="0.25">
      <c r="A2954" s="11">
        <v>46093</v>
      </c>
      <c r="B2954" t="s">
        <v>42</v>
      </c>
      <c r="C2954" t="s">
        <v>43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 t="shared" si="120"/>
        <v>11</v>
      </c>
      <c r="J2954" s="3">
        <f t="shared" si="121"/>
        <v>12</v>
      </c>
      <c r="K2954" s="3">
        <f t="shared" si="122"/>
        <v>-1</v>
      </c>
      <c r="L2954" s="3" t="str">
        <f t="shared" si="123"/>
        <v>ATENÇÃO</v>
      </c>
      <c r="N2954">
        <v>98.31</v>
      </c>
      <c r="O2954">
        <v>24.920127795527151</v>
      </c>
    </row>
    <row r="2955" spans="1:15" x14ac:dyDescent="0.25">
      <c r="A2955" s="11">
        <v>46093</v>
      </c>
      <c r="B2955" t="s">
        <v>44</v>
      </c>
      <c r="C2955" t="s">
        <v>18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f t="shared" si="120"/>
        <v>0</v>
      </c>
      <c r="J2955" s="3">
        <f t="shared" si="121"/>
        <v>20</v>
      </c>
      <c r="K2955" s="3">
        <f t="shared" si="122"/>
        <v>-20</v>
      </c>
      <c r="L2955" s="3" t="str">
        <f t="shared" si="123"/>
        <v>CRÍTICO</v>
      </c>
      <c r="N2955">
        <v>96.81</v>
      </c>
      <c r="O2955">
        <v>32.365145228215773</v>
      </c>
    </row>
    <row r="2956" spans="1:15" x14ac:dyDescent="0.25">
      <c r="A2956" s="11">
        <v>46093</v>
      </c>
      <c r="B2956" t="s">
        <v>45</v>
      </c>
      <c r="C2956" t="s">
        <v>43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 t="shared" si="120"/>
        <v>12</v>
      </c>
      <c r="J2956" s="3">
        <f t="shared" si="121"/>
        <v>12</v>
      </c>
      <c r="K2956" s="3">
        <f t="shared" si="122"/>
        <v>0</v>
      </c>
      <c r="L2956" s="3" t="str">
        <f t="shared" si="123"/>
        <v>OPORTUNO</v>
      </c>
      <c r="N2956">
        <v>100</v>
      </c>
      <c r="O2956">
        <v>26.47058823529412</v>
      </c>
    </row>
    <row r="2957" spans="1:15" x14ac:dyDescent="0.25">
      <c r="A2957" s="11">
        <v>46093</v>
      </c>
      <c r="B2957" t="s">
        <v>46</v>
      </c>
      <c r="C2957" t="s">
        <v>18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f t="shared" si="120"/>
        <v>0</v>
      </c>
      <c r="J2957" s="3">
        <f t="shared" si="121"/>
        <v>20</v>
      </c>
      <c r="K2957" s="3">
        <f t="shared" si="122"/>
        <v>-20</v>
      </c>
      <c r="L2957" s="3" t="str">
        <f t="shared" si="123"/>
        <v>CRÍTICO</v>
      </c>
      <c r="N2957">
        <v>100</v>
      </c>
      <c r="O2957">
        <v>28.490028490028489</v>
      </c>
    </row>
    <row r="2958" spans="1:15" x14ac:dyDescent="0.25">
      <c r="A2958" s="11">
        <v>46093</v>
      </c>
      <c r="B2958" t="s">
        <v>47</v>
      </c>
      <c r="C2958" t="s">
        <v>16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 t="shared" si="120"/>
        <v>14</v>
      </c>
      <c r="J2958" s="3">
        <f t="shared" si="121"/>
        <v>16</v>
      </c>
      <c r="K2958" s="3">
        <f t="shared" si="122"/>
        <v>-2</v>
      </c>
      <c r="L2958" s="3" t="str">
        <f t="shared" si="123"/>
        <v>ATENÇÃO</v>
      </c>
      <c r="N2958">
        <v>99.14</v>
      </c>
      <c r="O2958">
        <v>27.2289156626506</v>
      </c>
    </row>
    <row r="2959" spans="1:15" x14ac:dyDescent="0.25">
      <c r="A2959" s="11">
        <v>46093</v>
      </c>
      <c r="B2959" t="s">
        <v>48</v>
      </c>
      <c r="C2959" t="s">
        <v>16</v>
      </c>
      <c r="D2959">
        <v>0</v>
      </c>
      <c r="E2959">
        <v>0</v>
      </c>
      <c r="F2959">
        <v>0</v>
      </c>
      <c r="G2959">
        <v>0</v>
      </c>
      <c r="H2959">
        <v>0</v>
      </c>
      <c r="I2959" s="3">
        <f t="shared" si="120"/>
        <v>0</v>
      </c>
      <c r="J2959" s="3">
        <f t="shared" si="121"/>
        <v>16</v>
      </c>
      <c r="K2959" s="3">
        <f t="shared" si="122"/>
        <v>-16</v>
      </c>
      <c r="L2959" s="3" t="str">
        <f t="shared" si="123"/>
        <v>CRÍTICO</v>
      </c>
      <c r="N2959">
        <v>97.52</v>
      </c>
      <c r="O2959">
        <v>28.205128205128201</v>
      </c>
    </row>
    <row r="2960" spans="1:15" x14ac:dyDescent="0.25">
      <c r="A2960" s="11">
        <v>46093</v>
      </c>
      <c r="B2960" t="s">
        <v>49</v>
      </c>
      <c r="C2960" t="s">
        <v>18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 t="shared" si="120"/>
        <v>21</v>
      </c>
      <c r="J2960" s="3">
        <f t="shared" si="121"/>
        <v>20</v>
      </c>
      <c r="K2960" s="3">
        <f t="shared" si="122"/>
        <v>1</v>
      </c>
      <c r="L2960" s="3" t="str">
        <f t="shared" si="123"/>
        <v>OPORTUNO</v>
      </c>
      <c r="N2960">
        <v>90</v>
      </c>
      <c r="O2960">
        <v>24.186046511627911</v>
      </c>
    </row>
    <row r="2961" spans="1:15" x14ac:dyDescent="0.25">
      <c r="A2961" s="11">
        <v>46093</v>
      </c>
      <c r="B2961" t="s">
        <v>50</v>
      </c>
      <c r="C2961" t="s">
        <v>20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 t="shared" si="120"/>
        <v>21</v>
      </c>
      <c r="J2961" s="3">
        <f t="shared" si="121"/>
        <v>13</v>
      </c>
      <c r="K2961" s="3">
        <f t="shared" si="122"/>
        <v>8</v>
      </c>
      <c r="L2961" s="3" t="str">
        <f t="shared" si="123"/>
        <v>MUITO BOM</v>
      </c>
      <c r="N2961">
        <v>98.9</v>
      </c>
      <c r="O2961">
        <v>26.763990267639901</v>
      </c>
    </row>
    <row r="2962" spans="1:15" x14ac:dyDescent="0.25">
      <c r="A2962" s="11">
        <v>46093</v>
      </c>
      <c r="B2962" t="s">
        <v>51</v>
      </c>
      <c r="C2962" t="s">
        <v>23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 t="shared" si="120"/>
        <v>4</v>
      </c>
      <c r="J2962" s="3">
        <f t="shared" si="121"/>
        <v>6</v>
      </c>
      <c r="K2962" s="3">
        <f t="shared" si="122"/>
        <v>-2</v>
      </c>
      <c r="L2962" s="3" t="str">
        <f t="shared" si="123"/>
        <v>ATENÇÃO</v>
      </c>
      <c r="N2962">
        <v>88.89</v>
      </c>
      <c r="O2962">
        <v>25.263157894736839</v>
      </c>
    </row>
    <row r="2963" spans="1:15" x14ac:dyDescent="0.25">
      <c r="A2963" s="11">
        <v>46093</v>
      </c>
      <c r="B2963" t="s">
        <v>52</v>
      </c>
      <c r="C2963" t="s">
        <v>18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 t="shared" ref="I2963:I3026" si="124">E2963+G2963+H2963</f>
        <v>25</v>
      </c>
      <c r="J2963" s="3">
        <f t="shared" ref="J2963:J3026" si="125"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20</v>
      </c>
      <c r="K2963" s="3">
        <f t="shared" ref="K2963:K3026" si="126">I2963-J2963</f>
        <v>5</v>
      </c>
      <c r="L2963" s="3" t="str">
        <f t="shared" ref="L2963:L3026" si="127">IF(K2963&lt;-5,"CRÍTICO",IF(K2963&lt;0,"ATENÇÃO",IF(K2963&lt;=5,"OPORTUNO","MUITO BOM")))</f>
        <v>OPORTUNO</v>
      </c>
      <c r="N2963">
        <v>98.86</v>
      </c>
      <c r="O2963">
        <v>28.959276018099551</v>
      </c>
    </row>
    <row r="2964" spans="1:15" x14ac:dyDescent="0.25">
      <c r="A2964" s="11">
        <v>46093</v>
      </c>
      <c r="B2964" t="s">
        <v>53</v>
      </c>
      <c r="C2964" t="s">
        <v>18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 t="shared" si="124"/>
        <v>26</v>
      </c>
      <c r="J2964" s="3">
        <f t="shared" si="125"/>
        <v>20</v>
      </c>
      <c r="K2964" s="3">
        <f t="shared" si="126"/>
        <v>6</v>
      </c>
      <c r="L2964" s="3" t="str">
        <f t="shared" si="127"/>
        <v>MUITO BOM</v>
      </c>
      <c r="N2964">
        <v>98.06</v>
      </c>
      <c r="O2964">
        <v>22.40566037735849</v>
      </c>
    </row>
    <row r="2965" spans="1:15" x14ac:dyDescent="0.25">
      <c r="A2965" s="11">
        <v>46093</v>
      </c>
      <c r="B2965" t="s">
        <v>54</v>
      </c>
      <c r="C2965" t="s">
        <v>23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 t="shared" si="124"/>
        <v>6</v>
      </c>
      <c r="J2965" s="3">
        <f t="shared" si="125"/>
        <v>6</v>
      </c>
      <c r="K2965" s="3">
        <f t="shared" si="126"/>
        <v>0</v>
      </c>
      <c r="L2965" s="3" t="str">
        <f t="shared" si="127"/>
        <v>OPORTUNO</v>
      </c>
      <c r="N2965">
        <v>95.83</v>
      </c>
      <c r="O2965">
        <v>25.773195876288661</v>
      </c>
    </row>
    <row r="2966" spans="1:15" x14ac:dyDescent="0.25">
      <c r="A2966" s="11">
        <v>46093</v>
      </c>
      <c r="B2966" t="s">
        <v>55</v>
      </c>
      <c r="C2966" t="s">
        <v>43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f t="shared" si="124"/>
        <v>0</v>
      </c>
      <c r="J2966" s="3">
        <f t="shared" si="125"/>
        <v>12</v>
      </c>
      <c r="K2966" s="3">
        <f t="shared" si="126"/>
        <v>-12</v>
      </c>
      <c r="L2966" s="3" t="str">
        <f t="shared" si="127"/>
        <v>CRÍTICO</v>
      </c>
      <c r="N2966">
        <v>100</v>
      </c>
      <c r="O2966">
        <v>15.38461538461539</v>
      </c>
    </row>
    <row r="2967" spans="1:15" x14ac:dyDescent="0.25">
      <c r="A2967" s="11">
        <v>46093</v>
      </c>
      <c r="B2967" t="s">
        <v>56</v>
      </c>
      <c r="C2967" t="s">
        <v>16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 t="shared" si="124"/>
        <v>12</v>
      </c>
      <c r="J2967" s="3">
        <f t="shared" si="125"/>
        <v>16</v>
      </c>
      <c r="K2967" s="3">
        <f t="shared" si="126"/>
        <v>-4</v>
      </c>
      <c r="L2967" s="3" t="str">
        <f t="shared" si="127"/>
        <v>ATENÇÃO</v>
      </c>
      <c r="N2967">
        <v>100</v>
      </c>
      <c r="O2967">
        <v>27.514792899408281</v>
      </c>
    </row>
    <row r="2968" spans="1:15" x14ac:dyDescent="0.25">
      <c r="A2968" s="11">
        <v>46093</v>
      </c>
      <c r="B2968" t="s">
        <v>57</v>
      </c>
      <c r="C2968" t="s">
        <v>43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 t="shared" si="124"/>
        <v>11</v>
      </c>
      <c r="J2968" s="3">
        <f t="shared" si="125"/>
        <v>12</v>
      </c>
      <c r="K2968" s="3">
        <f t="shared" si="126"/>
        <v>-1</v>
      </c>
      <c r="L2968" s="3" t="str">
        <f t="shared" si="127"/>
        <v>ATENÇÃO</v>
      </c>
      <c r="N2968">
        <v>100</v>
      </c>
      <c r="O2968">
        <v>24.875621890547269</v>
      </c>
    </row>
    <row r="2969" spans="1:15" x14ac:dyDescent="0.25">
      <c r="A2969" s="11">
        <v>46093</v>
      </c>
      <c r="B2969" t="s">
        <v>58</v>
      </c>
      <c r="C2969" t="s">
        <v>43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 t="shared" si="124"/>
        <v>11</v>
      </c>
      <c r="J2969" s="3">
        <f t="shared" si="125"/>
        <v>12</v>
      </c>
      <c r="K2969" s="3">
        <f t="shared" si="126"/>
        <v>-1</v>
      </c>
      <c r="L2969" s="3" t="str">
        <f t="shared" si="127"/>
        <v>ATENÇÃO</v>
      </c>
      <c r="N2969">
        <v>100</v>
      </c>
      <c r="O2969">
        <v>28.108108108108109</v>
      </c>
    </row>
    <row r="2970" spans="1:15" x14ac:dyDescent="0.25">
      <c r="A2970" s="11">
        <v>46093</v>
      </c>
      <c r="B2970" t="s">
        <v>59</v>
      </c>
      <c r="C2970" t="s">
        <v>23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f t="shared" si="124"/>
        <v>0</v>
      </c>
      <c r="J2970" s="3">
        <f t="shared" si="125"/>
        <v>6</v>
      </c>
      <c r="K2970" s="3">
        <f t="shared" si="126"/>
        <v>-6</v>
      </c>
      <c r="L2970" s="3" t="str">
        <f t="shared" si="127"/>
        <v>CRÍTICO</v>
      </c>
      <c r="N2970">
        <v>100</v>
      </c>
      <c r="O2970">
        <v>35</v>
      </c>
    </row>
    <row r="2971" spans="1:15" x14ac:dyDescent="0.25">
      <c r="A2971" s="11">
        <v>46093</v>
      </c>
      <c r="B2971" t="s">
        <v>60</v>
      </c>
      <c r="C2971" t="s">
        <v>20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 t="shared" si="124"/>
        <v>25</v>
      </c>
      <c r="J2971" s="3">
        <f t="shared" si="125"/>
        <v>13</v>
      </c>
      <c r="K2971" s="3">
        <f t="shared" si="126"/>
        <v>12</v>
      </c>
      <c r="L2971" s="3" t="str">
        <f t="shared" si="127"/>
        <v>MUITO BOM</v>
      </c>
      <c r="N2971">
        <v>95.35</v>
      </c>
      <c r="O2971">
        <v>28.61538461538461</v>
      </c>
    </row>
    <row r="2972" spans="1:15" x14ac:dyDescent="0.25">
      <c r="A2972" s="11">
        <v>46093</v>
      </c>
      <c r="B2972" t="s">
        <v>61</v>
      </c>
      <c r="C2972" t="s">
        <v>18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 t="shared" si="124"/>
        <v>42</v>
      </c>
      <c r="J2972" s="3">
        <f t="shared" si="125"/>
        <v>20</v>
      </c>
      <c r="K2972" s="3">
        <f t="shared" si="126"/>
        <v>22</v>
      </c>
      <c r="L2972" s="3" t="str">
        <f t="shared" si="127"/>
        <v>MUITO BOM</v>
      </c>
      <c r="N2972">
        <v>98.26</v>
      </c>
      <c r="O2972">
        <v>27.54491017964072</v>
      </c>
    </row>
    <row r="2973" spans="1:15" x14ac:dyDescent="0.25">
      <c r="A2973" s="11">
        <v>46093</v>
      </c>
      <c r="B2973" t="s">
        <v>62</v>
      </c>
      <c r="C2973" t="s">
        <v>20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 t="shared" si="124"/>
        <v>16</v>
      </c>
      <c r="J2973" s="3">
        <f t="shared" si="125"/>
        <v>13</v>
      </c>
      <c r="K2973" s="3">
        <f t="shared" si="126"/>
        <v>3</v>
      </c>
      <c r="L2973" s="3" t="str">
        <f t="shared" si="127"/>
        <v>OPORTUNO</v>
      </c>
      <c r="N2973">
        <v>98.55</v>
      </c>
      <c r="O2973">
        <v>25.337837837837839</v>
      </c>
    </row>
    <row r="2974" spans="1:15" x14ac:dyDescent="0.25">
      <c r="A2974" s="11">
        <v>46093</v>
      </c>
      <c r="B2974" t="s">
        <v>63</v>
      </c>
      <c r="C2974" t="s">
        <v>18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 t="shared" si="124"/>
        <v>35</v>
      </c>
      <c r="J2974" s="3">
        <f t="shared" si="125"/>
        <v>20</v>
      </c>
      <c r="K2974" s="3">
        <f t="shared" si="126"/>
        <v>15</v>
      </c>
      <c r="L2974" s="3" t="str">
        <f t="shared" si="127"/>
        <v>MUITO BOM</v>
      </c>
      <c r="N2974">
        <v>98.39</v>
      </c>
      <c r="O2974">
        <v>25.563909774436091</v>
      </c>
    </row>
    <row r="2975" spans="1:15" x14ac:dyDescent="0.25">
      <c r="A2975" s="11">
        <v>46094</v>
      </c>
      <c r="B2975" t="s">
        <v>15</v>
      </c>
      <c r="C2975" t="s">
        <v>16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 t="shared" si="124"/>
        <v>32</v>
      </c>
      <c r="J2975" s="3">
        <f t="shared" si="125"/>
        <v>15</v>
      </c>
      <c r="K2975" s="3">
        <f t="shared" si="126"/>
        <v>17</v>
      </c>
      <c r="L2975" s="3" t="str">
        <f t="shared" si="127"/>
        <v>MUITO BOM</v>
      </c>
      <c r="N2975">
        <v>94.29</v>
      </c>
      <c r="O2975">
        <v>25.647668393782389</v>
      </c>
    </row>
    <row r="2976" spans="1:15" x14ac:dyDescent="0.25">
      <c r="A2976" s="11">
        <v>46094</v>
      </c>
      <c r="B2976" t="s">
        <v>17</v>
      </c>
      <c r="C2976" t="s">
        <v>18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f t="shared" si="124"/>
        <v>0</v>
      </c>
      <c r="J2976" s="3">
        <f t="shared" si="125"/>
        <v>19</v>
      </c>
      <c r="K2976" s="3">
        <f t="shared" si="126"/>
        <v>-19</v>
      </c>
      <c r="L2976" s="3" t="str">
        <f t="shared" si="127"/>
        <v>CRÍTICO</v>
      </c>
      <c r="N2976">
        <v>98.26</v>
      </c>
      <c r="O2976">
        <v>26.666666666666671</v>
      </c>
    </row>
    <row r="2977" spans="1:15" x14ac:dyDescent="0.25">
      <c r="A2977" s="11">
        <v>46094</v>
      </c>
      <c r="B2977" t="s">
        <v>19</v>
      </c>
      <c r="C2977" t="s">
        <v>20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 t="shared" si="124"/>
        <v>18</v>
      </c>
      <c r="J2977" s="3">
        <f t="shared" si="125"/>
        <v>13</v>
      </c>
      <c r="K2977" s="3">
        <f t="shared" si="126"/>
        <v>5</v>
      </c>
      <c r="L2977" s="3" t="str">
        <f t="shared" si="127"/>
        <v>OPORTUNO</v>
      </c>
      <c r="N2977">
        <v>98.2</v>
      </c>
      <c r="O2977">
        <v>23.37962962962963</v>
      </c>
    </row>
    <row r="2978" spans="1:15" x14ac:dyDescent="0.25">
      <c r="A2978" s="11">
        <v>46094</v>
      </c>
      <c r="B2978" t="s">
        <v>21</v>
      </c>
      <c r="C2978" t="s">
        <v>18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 t="shared" si="124"/>
        <v>21</v>
      </c>
      <c r="J2978" s="3">
        <f t="shared" si="125"/>
        <v>19</v>
      </c>
      <c r="K2978" s="3">
        <f t="shared" si="126"/>
        <v>2</v>
      </c>
      <c r="L2978" s="3" t="str">
        <f t="shared" si="127"/>
        <v>OPORTUNO</v>
      </c>
      <c r="N2978">
        <v>97.3</v>
      </c>
      <c r="O2978">
        <v>23.84769539078156</v>
      </c>
    </row>
    <row r="2979" spans="1:15" x14ac:dyDescent="0.25">
      <c r="A2979" s="11">
        <v>46094</v>
      </c>
      <c r="B2979" t="s">
        <v>22</v>
      </c>
      <c r="C2979" t="s">
        <v>23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f t="shared" si="124"/>
        <v>0</v>
      </c>
      <c r="J2979" s="3">
        <f t="shared" si="125"/>
        <v>5</v>
      </c>
      <c r="K2979" s="3">
        <f t="shared" si="126"/>
        <v>-5</v>
      </c>
      <c r="L2979" s="3" t="str">
        <f t="shared" si="127"/>
        <v>ATENÇÃO</v>
      </c>
      <c r="N2979">
        <v>100</v>
      </c>
      <c r="O2979">
        <v>25.268817204301079</v>
      </c>
    </row>
    <row r="2980" spans="1:15" x14ac:dyDescent="0.25">
      <c r="A2980" s="11">
        <v>46094</v>
      </c>
      <c r="B2980" t="s">
        <v>24</v>
      </c>
      <c r="C2980" t="s">
        <v>16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 t="shared" si="124"/>
        <v>37</v>
      </c>
      <c r="J2980" s="3">
        <f t="shared" si="125"/>
        <v>15</v>
      </c>
      <c r="K2980" s="3">
        <f t="shared" si="126"/>
        <v>22</v>
      </c>
      <c r="L2980" s="3" t="str">
        <f t="shared" si="127"/>
        <v>MUITO BOM</v>
      </c>
      <c r="N2980">
        <v>99.32</v>
      </c>
      <c r="O2980">
        <v>22.822822822822818</v>
      </c>
    </row>
    <row r="2981" spans="1:15" x14ac:dyDescent="0.25">
      <c r="A2981" s="11">
        <v>46094</v>
      </c>
      <c r="B2981" t="s">
        <v>25</v>
      </c>
      <c r="C2981" t="s">
        <v>16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 t="shared" si="124"/>
        <v>16</v>
      </c>
      <c r="J2981" s="3">
        <f t="shared" si="125"/>
        <v>15</v>
      </c>
      <c r="K2981" s="3">
        <f t="shared" si="126"/>
        <v>1</v>
      </c>
      <c r="L2981" s="3" t="str">
        <f t="shared" si="127"/>
        <v>OPORTUNO</v>
      </c>
      <c r="N2981">
        <v>100</v>
      </c>
      <c r="O2981">
        <v>27.966101694915249</v>
      </c>
    </row>
    <row r="2982" spans="1:15" x14ac:dyDescent="0.25">
      <c r="A2982" s="11">
        <v>46094</v>
      </c>
      <c r="B2982" t="s">
        <v>26</v>
      </c>
      <c r="C2982" t="s">
        <v>23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f t="shared" si="124"/>
        <v>0</v>
      </c>
      <c r="J2982" s="3">
        <f t="shared" si="125"/>
        <v>5</v>
      </c>
      <c r="K2982" s="3">
        <f t="shared" si="126"/>
        <v>-5</v>
      </c>
      <c r="L2982" s="3" t="str">
        <f t="shared" si="127"/>
        <v>ATENÇÃO</v>
      </c>
      <c r="N2982">
        <v>100</v>
      </c>
      <c r="O2982">
        <v>30.434782608695659</v>
      </c>
    </row>
    <row r="2983" spans="1:15" x14ac:dyDescent="0.25">
      <c r="A2983" s="11">
        <v>46094</v>
      </c>
      <c r="B2983" t="s">
        <v>27</v>
      </c>
      <c r="C2983" t="s">
        <v>20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 t="shared" si="124"/>
        <v>20</v>
      </c>
      <c r="J2983" s="3">
        <f t="shared" si="125"/>
        <v>13</v>
      </c>
      <c r="K2983" s="3">
        <f t="shared" si="126"/>
        <v>7</v>
      </c>
      <c r="L2983" s="3" t="str">
        <f t="shared" si="127"/>
        <v>MUITO BOM</v>
      </c>
      <c r="N2983">
        <v>96.51</v>
      </c>
      <c r="O2983">
        <v>22.802850356294542</v>
      </c>
    </row>
    <row r="2984" spans="1:15" x14ac:dyDescent="0.25">
      <c r="A2984" s="11">
        <v>46094</v>
      </c>
      <c r="B2984" t="s">
        <v>28</v>
      </c>
      <c r="C2984" t="s">
        <v>18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f t="shared" si="124"/>
        <v>0</v>
      </c>
      <c r="J2984" s="3">
        <f t="shared" si="125"/>
        <v>19</v>
      </c>
      <c r="K2984" s="3">
        <f t="shared" si="126"/>
        <v>-19</v>
      </c>
      <c r="L2984" s="3" t="str">
        <f t="shared" si="127"/>
        <v>CRÍTICO</v>
      </c>
      <c r="N2984">
        <v>92.68</v>
      </c>
      <c r="O2984">
        <v>27.777777777777779</v>
      </c>
    </row>
    <row r="2985" spans="1:15" x14ac:dyDescent="0.25">
      <c r="A2985" s="11">
        <v>46094</v>
      </c>
      <c r="B2985" t="s">
        <v>29</v>
      </c>
      <c r="C2985" t="s">
        <v>16</v>
      </c>
      <c r="D2985">
        <v>0</v>
      </c>
      <c r="E2985">
        <v>0</v>
      </c>
      <c r="F2985">
        <v>0</v>
      </c>
      <c r="G2985">
        <v>0</v>
      </c>
      <c r="H2985">
        <v>0</v>
      </c>
      <c r="I2985" s="3">
        <f t="shared" si="124"/>
        <v>0</v>
      </c>
      <c r="J2985" s="3">
        <f t="shared" si="125"/>
        <v>15</v>
      </c>
      <c r="K2985" s="3">
        <f t="shared" si="126"/>
        <v>-15</v>
      </c>
      <c r="L2985" s="3" t="str">
        <f t="shared" si="127"/>
        <v>CRÍTICO</v>
      </c>
      <c r="N2985">
        <v>99.03</v>
      </c>
      <c r="O2985">
        <v>23.991507430997881</v>
      </c>
    </row>
    <row r="2986" spans="1:15" x14ac:dyDescent="0.25">
      <c r="A2986" s="11">
        <v>46094</v>
      </c>
      <c r="B2986" t="s">
        <v>30</v>
      </c>
      <c r="C2986" t="s">
        <v>20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 t="shared" si="124"/>
        <v>18</v>
      </c>
      <c r="J2986" s="3">
        <f t="shared" si="125"/>
        <v>13</v>
      </c>
      <c r="K2986" s="3">
        <f t="shared" si="126"/>
        <v>5</v>
      </c>
      <c r="L2986" s="3" t="str">
        <f t="shared" si="127"/>
        <v>OPORTUNO</v>
      </c>
      <c r="N2986">
        <v>98.41</v>
      </c>
      <c r="O2986">
        <v>28.138528138528141</v>
      </c>
    </row>
    <row r="2987" spans="1:15" x14ac:dyDescent="0.25">
      <c r="A2987" s="11">
        <v>46094</v>
      </c>
      <c r="B2987" t="s">
        <v>31</v>
      </c>
      <c r="C2987" t="s">
        <v>18</v>
      </c>
      <c r="D2987">
        <v>0</v>
      </c>
      <c r="E2987">
        <v>0</v>
      </c>
      <c r="F2987">
        <v>0</v>
      </c>
      <c r="G2987">
        <v>0</v>
      </c>
      <c r="H2987">
        <v>0</v>
      </c>
      <c r="I2987" s="3">
        <f t="shared" si="124"/>
        <v>0</v>
      </c>
      <c r="J2987" s="3">
        <f t="shared" si="125"/>
        <v>19</v>
      </c>
      <c r="K2987" s="3">
        <f t="shared" si="126"/>
        <v>-19</v>
      </c>
      <c r="L2987" s="3" t="str">
        <f t="shared" si="127"/>
        <v>CRÍTICO</v>
      </c>
      <c r="N2987">
        <v>98.73</v>
      </c>
      <c r="O2987">
        <v>29.142857142857139</v>
      </c>
    </row>
    <row r="2988" spans="1:15" x14ac:dyDescent="0.25">
      <c r="A2988" s="11">
        <v>46094</v>
      </c>
      <c r="B2988" t="s">
        <v>32</v>
      </c>
      <c r="C2988" t="s">
        <v>23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 t="shared" si="124"/>
        <v>8</v>
      </c>
      <c r="J2988" s="3">
        <f t="shared" si="125"/>
        <v>5</v>
      </c>
      <c r="K2988" s="3">
        <f t="shared" si="126"/>
        <v>3</v>
      </c>
      <c r="L2988" s="3" t="str">
        <f t="shared" si="127"/>
        <v>OPORTUNO</v>
      </c>
      <c r="N2988">
        <v>90.48</v>
      </c>
      <c r="O2988">
        <v>20.68965517241379</v>
      </c>
    </row>
    <row r="2989" spans="1:15" x14ac:dyDescent="0.25">
      <c r="A2989" s="11">
        <v>46094</v>
      </c>
      <c r="B2989" t="s">
        <v>33</v>
      </c>
      <c r="C2989" t="s">
        <v>16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 t="shared" si="124"/>
        <v>13</v>
      </c>
      <c r="J2989" s="3">
        <f t="shared" si="125"/>
        <v>15</v>
      </c>
      <c r="K2989" s="3">
        <f t="shared" si="126"/>
        <v>-2</v>
      </c>
      <c r="L2989" s="3" t="str">
        <f t="shared" si="127"/>
        <v>ATENÇÃO</v>
      </c>
      <c r="N2989">
        <v>98.06</v>
      </c>
      <c r="O2989">
        <v>24.789915966386559</v>
      </c>
    </row>
    <row r="2990" spans="1:15" x14ac:dyDescent="0.25">
      <c r="A2990" s="11">
        <v>46094</v>
      </c>
      <c r="B2990" t="s">
        <v>34</v>
      </c>
      <c r="C2990" t="s">
        <v>18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 t="shared" si="124"/>
        <v>22</v>
      </c>
      <c r="J2990" s="3">
        <f t="shared" si="125"/>
        <v>19</v>
      </c>
      <c r="K2990" s="3">
        <f t="shared" si="126"/>
        <v>3</v>
      </c>
      <c r="L2990" s="3" t="str">
        <f t="shared" si="127"/>
        <v>OPORTUNO</v>
      </c>
      <c r="N2990">
        <v>97.78</v>
      </c>
      <c r="O2990">
        <v>25.494071146245059</v>
      </c>
    </row>
    <row r="2991" spans="1:15" x14ac:dyDescent="0.25">
      <c r="A2991" s="11">
        <v>46094</v>
      </c>
      <c r="B2991" t="s">
        <v>35</v>
      </c>
      <c r="C2991" t="s">
        <v>16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 t="shared" si="124"/>
        <v>14</v>
      </c>
      <c r="J2991" s="3">
        <f t="shared" si="125"/>
        <v>15</v>
      </c>
      <c r="K2991" s="3">
        <f t="shared" si="126"/>
        <v>-1</v>
      </c>
      <c r="L2991" s="3" t="str">
        <f t="shared" si="127"/>
        <v>ATENÇÃO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36</v>
      </c>
      <c r="C2992" t="s">
        <v>20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 t="shared" si="124"/>
        <v>30</v>
      </c>
      <c r="J2992" s="3">
        <f t="shared" si="125"/>
        <v>18</v>
      </c>
      <c r="K2992" s="3">
        <f t="shared" si="126"/>
        <v>12</v>
      </c>
      <c r="L2992" s="3" t="str">
        <f t="shared" si="127"/>
        <v>MUITO BOM</v>
      </c>
      <c r="N2992">
        <v>99.28</v>
      </c>
      <c r="O2992">
        <v>27.689243027888441</v>
      </c>
    </row>
    <row r="2993" spans="1:15" x14ac:dyDescent="0.25">
      <c r="A2993" s="11">
        <v>46094</v>
      </c>
      <c r="B2993" t="s">
        <v>37</v>
      </c>
      <c r="C2993" t="s">
        <v>16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 t="shared" si="124"/>
        <v>23</v>
      </c>
      <c r="J2993" s="3">
        <f t="shared" si="125"/>
        <v>15</v>
      </c>
      <c r="K2993" s="3">
        <f t="shared" si="126"/>
        <v>8</v>
      </c>
      <c r="L2993" s="3" t="str">
        <f t="shared" si="127"/>
        <v>MUITO BOM</v>
      </c>
      <c r="N2993">
        <v>100</v>
      </c>
      <c r="O2993">
        <v>27.04918032786885</v>
      </c>
    </row>
    <row r="2994" spans="1:15" x14ac:dyDescent="0.25">
      <c r="A2994" s="11">
        <v>46094</v>
      </c>
      <c r="B2994" t="s">
        <v>38</v>
      </c>
      <c r="C2994" t="s">
        <v>18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 t="shared" si="124"/>
        <v>35</v>
      </c>
      <c r="J2994" s="3">
        <f t="shared" si="125"/>
        <v>19</v>
      </c>
      <c r="K2994" s="3">
        <f t="shared" si="126"/>
        <v>16</v>
      </c>
      <c r="L2994" s="3" t="str">
        <f t="shared" si="127"/>
        <v>MUITO BOM</v>
      </c>
      <c r="N2994">
        <v>97.83</v>
      </c>
      <c r="O2994">
        <v>26.315789473684209</v>
      </c>
    </row>
    <row r="2995" spans="1:15" x14ac:dyDescent="0.25">
      <c r="A2995" s="11">
        <v>46094</v>
      </c>
      <c r="B2995" t="s">
        <v>39</v>
      </c>
      <c r="C2995" t="s">
        <v>18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f t="shared" si="124"/>
        <v>0</v>
      </c>
      <c r="J2995" s="3">
        <f t="shared" si="125"/>
        <v>19</v>
      </c>
      <c r="K2995" s="3">
        <f t="shared" si="126"/>
        <v>-19</v>
      </c>
      <c r="L2995" s="3" t="str">
        <f t="shared" si="127"/>
        <v>CRÍTICO</v>
      </c>
      <c r="N2995">
        <v>100</v>
      </c>
      <c r="O2995">
        <v>26.701570680628269</v>
      </c>
    </row>
    <row r="2996" spans="1:15" x14ac:dyDescent="0.25">
      <c r="A2996" s="11">
        <v>46094</v>
      </c>
      <c r="B2996" t="s">
        <v>40</v>
      </c>
      <c r="C2996" t="s">
        <v>16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 t="shared" si="124"/>
        <v>18</v>
      </c>
      <c r="J2996" s="3">
        <f t="shared" si="125"/>
        <v>15</v>
      </c>
      <c r="K2996" s="3">
        <f t="shared" si="126"/>
        <v>3</v>
      </c>
      <c r="L2996" s="3" t="str">
        <f t="shared" si="127"/>
        <v>OPORTUNO</v>
      </c>
      <c r="N2996">
        <v>97.47</v>
      </c>
      <c r="O2996">
        <v>22.887323943661968</v>
      </c>
    </row>
    <row r="2997" spans="1:15" x14ac:dyDescent="0.25">
      <c r="A2997" s="11">
        <v>46094</v>
      </c>
      <c r="B2997" t="s">
        <v>41</v>
      </c>
      <c r="C2997" t="s">
        <v>18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f t="shared" si="124"/>
        <v>0</v>
      </c>
      <c r="J2997" s="3">
        <f t="shared" si="125"/>
        <v>19</v>
      </c>
      <c r="K2997" s="3">
        <f t="shared" si="126"/>
        <v>-19</v>
      </c>
      <c r="L2997" s="3" t="str">
        <f t="shared" si="127"/>
        <v>CRÍTICO</v>
      </c>
      <c r="N2997">
        <v>0</v>
      </c>
      <c r="O2997">
        <v>0</v>
      </c>
    </row>
    <row r="2998" spans="1:15" x14ac:dyDescent="0.25">
      <c r="A2998" s="11">
        <v>46094</v>
      </c>
      <c r="B2998" t="s">
        <v>42</v>
      </c>
      <c r="C2998" t="s">
        <v>43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 t="shared" si="124"/>
        <v>5</v>
      </c>
      <c r="J2998" s="3">
        <f t="shared" si="125"/>
        <v>11</v>
      </c>
      <c r="K2998" s="3">
        <f t="shared" si="126"/>
        <v>-6</v>
      </c>
      <c r="L2998" s="3" t="str">
        <f t="shared" si="127"/>
        <v>CRÍTICO</v>
      </c>
      <c r="N2998">
        <v>98.31</v>
      </c>
      <c r="O2998">
        <v>24.920127795527151</v>
      </c>
    </row>
    <row r="2999" spans="1:15" x14ac:dyDescent="0.25">
      <c r="A2999" s="11">
        <v>46094</v>
      </c>
      <c r="B2999" t="s">
        <v>44</v>
      </c>
      <c r="C2999" t="s">
        <v>18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f t="shared" si="124"/>
        <v>0</v>
      </c>
      <c r="J2999" s="3">
        <f t="shared" si="125"/>
        <v>19</v>
      </c>
      <c r="K2999" s="3">
        <f t="shared" si="126"/>
        <v>-19</v>
      </c>
      <c r="L2999" s="3" t="str">
        <f t="shared" si="127"/>
        <v>CRÍTICO</v>
      </c>
      <c r="N2999">
        <v>96.81</v>
      </c>
      <c r="O2999">
        <v>32.365145228215773</v>
      </c>
    </row>
    <row r="3000" spans="1:15" x14ac:dyDescent="0.25">
      <c r="A3000" s="11">
        <v>46094</v>
      </c>
      <c r="B3000" t="s">
        <v>45</v>
      </c>
      <c r="C3000" t="s">
        <v>43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 t="shared" si="124"/>
        <v>14</v>
      </c>
      <c r="J3000" s="3">
        <f t="shared" si="125"/>
        <v>11</v>
      </c>
      <c r="K3000" s="3">
        <f t="shared" si="126"/>
        <v>3</v>
      </c>
      <c r="L3000" s="3" t="str">
        <f t="shared" si="127"/>
        <v>OPORTUNO</v>
      </c>
      <c r="N3000">
        <v>100</v>
      </c>
      <c r="O3000">
        <v>26.47058823529412</v>
      </c>
    </row>
    <row r="3001" spans="1:15" x14ac:dyDescent="0.25">
      <c r="A3001" s="11">
        <v>46094</v>
      </c>
      <c r="B3001" t="s">
        <v>46</v>
      </c>
      <c r="C3001" t="s">
        <v>18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f t="shared" si="124"/>
        <v>0</v>
      </c>
      <c r="J3001" s="3">
        <f t="shared" si="125"/>
        <v>19</v>
      </c>
      <c r="K3001" s="3">
        <f t="shared" si="126"/>
        <v>-19</v>
      </c>
      <c r="L3001" s="3" t="str">
        <f t="shared" si="127"/>
        <v>CRÍTICO</v>
      </c>
      <c r="N3001">
        <v>100</v>
      </c>
      <c r="O3001">
        <v>28.490028490028489</v>
      </c>
    </row>
    <row r="3002" spans="1:15" x14ac:dyDescent="0.25">
      <c r="A3002" s="11">
        <v>46094</v>
      </c>
      <c r="B3002" t="s">
        <v>47</v>
      </c>
      <c r="C3002" t="s">
        <v>16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 t="shared" si="124"/>
        <v>30</v>
      </c>
      <c r="J3002" s="3">
        <f t="shared" si="125"/>
        <v>15</v>
      </c>
      <c r="K3002" s="3">
        <f t="shared" si="126"/>
        <v>15</v>
      </c>
      <c r="L3002" s="3" t="str">
        <f t="shared" si="127"/>
        <v>MUITO BOM</v>
      </c>
      <c r="N3002">
        <v>99.14</v>
      </c>
      <c r="O3002">
        <v>27.2289156626506</v>
      </c>
    </row>
    <row r="3003" spans="1:15" x14ac:dyDescent="0.25">
      <c r="A3003" s="11">
        <v>46094</v>
      </c>
      <c r="B3003" t="s">
        <v>48</v>
      </c>
      <c r="C3003" t="s">
        <v>16</v>
      </c>
      <c r="D3003">
        <v>0</v>
      </c>
      <c r="E3003">
        <v>0</v>
      </c>
      <c r="F3003">
        <v>0</v>
      </c>
      <c r="G3003">
        <v>0</v>
      </c>
      <c r="H3003">
        <v>0</v>
      </c>
      <c r="I3003" s="3">
        <f t="shared" si="124"/>
        <v>0</v>
      </c>
      <c r="J3003" s="3">
        <f t="shared" si="125"/>
        <v>15</v>
      </c>
      <c r="K3003" s="3">
        <f t="shared" si="126"/>
        <v>-15</v>
      </c>
      <c r="L3003" s="3" t="str">
        <f t="shared" si="127"/>
        <v>CRÍTICO</v>
      </c>
      <c r="N3003">
        <v>97.52</v>
      </c>
      <c r="O3003">
        <v>28.205128205128201</v>
      </c>
    </row>
    <row r="3004" spans="1:15" x14ac:dyDescent="0.25">
      <c r="A3004" s="11">
        <v>46094</v>
      </c>
      <c r="B3004" t="s">
        <v>49</v>
      </c>
      <c r="C3004" t="s">
        <v>18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 t="shared" si="124"/>
        <v>22</v>
      </c>
      <c r="J3004" s="3">
        <f t="shared" si="125"/>
        <v>19</v>
      </c>
      <c r="K3004" s="3">
        <f t="shared" si="126"/>
        <v>3</v>
      </c>
      <c r="L3004" s="3" t="str">
        <f t="shared" si="127"/>
        <v>OPORTUNO</v>
      </c>
      <c r="N3004">
        <v>90</v>
      </c>
      <c r="O3004">
        <v>24.186046511627911</v>
      </c>
    </row>
    <row r="3005" spans="1:15" x14ac:dyDescent="0.25">
      <c r="A3005" s="11">
        <v>46094</v>
      </c>
      <c r="B3005" t="s">
        <v>50</v>
      </c>
      <c r="C3005" t="s">
        <v>20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 t="shared" si="124"/>
        <v>12</v>
      </c>
      <c r="J3005" s="3">
        <f t="shared" si="125"/>
        <v>13</v>
      </c>
      <c r="K3005" s="3">
        <f t="shared" si="126"/>
        <v>-1</v>
      </c>
      <c r="L3005" s="3" t="str">
        <f t="shared" si="127"/>
        <v>ATENÇÃO</v>
      </c>
      <c r="N3005">
        <v>98.9</v>
      </c>
      <c r="O3005">
        <v>26.763990267639901</v>
      </c>
    </row>
    <row r="3006" spans="1:15" x14ac:dyDescent="0.25">
      <c r="A3006" s="11">
        <v>46094</v>
      </c>
      <c r="B3006" t="s">
        <v>51</v>
      </c>
      <c r="C3006" t="s">
        <v>23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 t="shared" si="124"/>
        <v>4</v>
      </c>
      <c r="J3006" s="3">
        <f t="shared" si="125"/>
        <v>5</v>
      </c>
      <c r="K3006" s="3">
        <f t="shared" si="126"/>
        <v>-1</v>
      </c>
      <c r="L3006" s="3" t="str">
        <f t="shared" si="127"/>
        <v>ATENÇÃO</v>
      </c>
      <c r="N3006">
        <v>88.89</v>
      </c>
      <c r="O3006">
        <v>25.263157894736839</v>
      </c>
    </row>
    <row r="3007" spans="1:15" x14ac:dyDescent="0.25">
      <c r="A3007" s="11">
        <v>46094</v>
      </c>
      <c r="B3007" t="s">
        <v>52</v>
      </c>
      <c r="C3007" t="s">
        <v>18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 t="shared" si="124"/>
        <v>17</v>
      </c>
      <c r="J3007" s="3">
        <f t="shared" si="125"/>
        <v>19</v>
      </c>
      <c r="K3007" s="3">
        <f t="shared" si="126"/>
        <v>-2</v>
      </c>
      <c r="L3007" s="3" t="str">
        <f t="shared" si="127"/>
        <v>ATENÇÃO</v>
      </c>
      <c r="N3007">
        <v>98.86</v>
      </c>
      <c r="O3007">
        <v>28.959276018099551</v>
      </c>
    </row>
    <row r="3008" spans="1:15" x14ac:dyDescent="0.25">
      <c r="A3008" s="11">
        <v>46094</v>
      </c>
      <c r="B3008" t="s">
        <v>53</v>
      </c>
      <c r="C3008" t="s">
        <v>18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 t="shared" si="124"/>
        <v>28</v>
      </c>
      <c r="J3008" s="3">
        <f t="shared" si="125"/>
        <v>19</v>
      </c>
      <c r="K3008" s="3">
        <f t="shared" si="126"/>
        <v>9</v>
      </c>
      <c r="L3008" s="3" t="str">
        <f t="shared" si="127"/>
        <v>MUITO BOM</v>
      </c>
      <c r="N3008">
        <v>98.06</v>
      </c>
      <c r="O3008">
        <v>22.40566037735849</v>
      </c>
    </row>
    <row r="3009" spans="1:15" x14ac:dyDescent="0.25">
      <c r="A3009" s="11">
        <v>46094</v>
      </c>
      <c r="B3009" t="s">
        <v>54</v>
      </c>
      <c r="C3009" t="s">
        <v>23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 t="shared" si="124"/>
        <v>6</v>
      </c>
      <c r="J3009" s="3">
        <f t="shared" si="125"/>
        <v>5</v>
      </c>
      <c r="K3009" s="3">
        <f t="shared" si="126"/>
        <v>1</v>
      </c>
      <c r="L3009" s="3" t="str">
        <f t="shared" si="127"/>
        <v>OPORTUNO</v>
      </c>
      <c r="N3009">
        <v>95.83</v>
      </c>
      <c r="O3009">
        <v>25.773195876288661</v>
      </c>
    </row>
    <row r="3010" spans="1:15" x14ac:dyDescent="0.25">
      <c r="A3010" s="11">
        <v>46094</v>
      </c>
      <c r="B3010" t="s">
        <v>55</v>
      </c>
      <c r="C3010" t="s">
        <v>43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f t="shared" si="124"/>
        <v>0</v>
      </c>
      <c r="J3010" s="3">
        <f t="shared" si="125"/>
        <v>11</v>
      </c>
      <c r="K3010" s="3">
        <f t="shared" si="126"/>
        <v>-11</v>
      </c>
      <c r="L3010" s="3" t="str">
        <f t="shared" si="127"/>
        <v>CRÍTICO</v>
      </c>
      <c r="N3010">
        <v>100</v>
      </c>
      <c r="O3010">
        <v>15.38461538461539</v>
      </c>
    </row>
    <row r="3011" spans="1:15" x14ac:dyDescent="0.25">
      <c r="A3011" s="11">
        <v>46094</v>
      </c>
      <c r="B3011" t="s">
        <v>56</v>
      </c>
      <c r="C3011" t="s">
        <v>16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 t="shared" si="124"/>
        <v>26</v>
      </c>
      <c r="J3011" s="3">
        <f t="shared" si="125"/>
        <v>15</v>
      </c>
      <c r="K3011" s="3">
        <f t="shared" si="126"/>
        <v>11</v>
      </c>
      <c r="L3011" s="3" t="str">
        <f t="shared" si="127"/>
        <v>MUITO BOM</v>
      </c>
      <c r="N3011">
        <v>100</v>
      </c>
      <c r="O3011">
        <v>27.514792899408281</v>
      </c>
    </row>
    <row r="3012" spans="1:15" x14ac:dyDescent="0.25">
      <c r="A3012" s="11">
        <v>46094</v>
      </c>
      <c r="B3012" t="s">
        <v>57</v>
      </c>
      <c r="C3012" t="s">
        <v>43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 t="shared" si="124"/>
        <v>12</v>
      </c>
      <c r="J3012" s="3">
        <f t="shared" si="125"/>
        <v>11</v>
      </c>
      <c r="K3012" s="3">
        <f t="shared" si="126"/>
        <v>1</v>
      </c>
      <c r="L3012" s="3" t="str">
        <f t="shared" si="127"/>
        <v>OPORTUNO</v>
      </c>
      <c r="N3012">
        <v>100</v>
      </c>
      <c r="O3012">
        <v>24.875621890547269</v>
      </c>
    </row>
    <row r="3013" spans="1:15" x14ac:dyDescent="0.25">
      <c r="A3013" s="11">
        <v>46094</v>
      </c>
      <c r="B3013" t="s">
        <v>58</v>
      </c>
      <c r="C3013" t="s">
        <v>43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 t="shared" si="124"/>
        <v>14</v>
      </c>
      <c r="J3013" s="3">
        <f t="shared" si="125"/>
        <v>11</v>
      </c>
      <c r="K3013" s="3">
        <f t="shared" si="126"/>
        <v>3</v>
      </c>
      <c r="L3013" s="3" t="str">
        <f t="shared" si="127"/>
        <v>OPORTUNO</v>
      </c>
      <c r="N3013">
        <v>100</v>
      </c>
      <c r="O3013">
        <v>28.108108108108109</v>
      </c>
    </row>
    <row r="3014" spans="1:15" x14ac:dyDescent="0.25">
      <c r="A3014" s="11">
        <v>46094</v>
      </c>
      <c r="B3014" t="s">
        <v>59</v>
      </c>
      <c r="C3014" t="s">
        <v>23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f t="shared" si="124"/>
        <v>0</v>
      </c>
      <c r="J3014" s="3">
        <f t="shared" si="125"/>
        <v>5</v>
      </c>
      <c r="K3014" s="3">
        <f t="shared" si="126"/>
        <v>-5</v>
      </c>
      <c r="L3014" s="3" t="str">
        <f t="shared" si="127"/>
        <v>ATENÇÃO</v>
      </c>
      <c r="N3014">
        <v>100</v>
      </c>
      <c r="O3014">
        <v>35</v>
      </c>
    </row>
    <row r="3015" spans="1:15" x14ac:dyDescent="0.25">
      <c r="A3015" s="11">
        <v>46094</v>
      </c>
      <c r="B3015" t="s">
        <v>60</v>
      </c>
      <c r="C3015" t="s">
        <v>20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 t="shared" si="124"/>
        <v>23</v>
      </c>
      <c r="J3015" s="3">
        <f t="shared" si="125"/>
        <v>13</v>
      </c>
      <c r="K3015" s="3">
        <f t="shared" si="126"/>
        <v>10</v>
      </c>
      <c r="L3015" s="3" t="str">
        <f t="shared" si="127"/>
        <v>MUITO BOM</v>
      </c>
      <c r="N3015">
        <v>95.35</v>
      </c>
      <c r="O3015">
        <v>28.61538461538461</v>
      </c>
    </row>
    <row r="3016" spans="1:15" x14ac:dyDescent="0.25">
      <c r="A3016" s="11">
        <v>46094</v>
      </c>
      <c r="B3016" t="s">
        <v>61</v>
      </c>
      <c r="C3016" t="s">
        <v>18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 t="shared" si="124"/>
        <v>36</v>
      </c>
      <c r="J3016" s="3">
        <f t="shared" si="125"/>
        <v>19</v>
      </c>
      <c r="K3016" s="3">
        <f t="shared" si="126"/>
        <v>17</v>
      </c>
      <c r="L3016" s="3" t="str">
        <f t="shared" si="127"/>
        <v>MUITO BOM</v>
      </c>
      <c r="N3016">
        <v>98.26</v>
      </c>
      <c r="O3016">
        <v>27.54491017964072</v>
      </c>
    </row>
    <row r="3017" spans="1:15" x14ac:dyDescent="0.25">
      <c r="A3017" s="11">
        <v>46094</v>
      </c>
      <c r="B3017" t="s">
        <v>62</v>
      </c>
      <c r="C3017" t="s">
        <v>20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 t="shared" si="124"/>
        <v>13</v>
      </c>
      <c r="J3017" s="3">
        <f t="shared" si="125"/>
        <v>13</v>
      </c>
      <c r="K3017" s="3">
        <f t="shared" si="126"/>
        <v>0</v>
      </c>
      <c r="L3017" s="3" t="str">
        <f t="shared" si="127"/>
        <v>OPORTUNO</v>
      </c>
      <c r="N3017">
        <v>98.55</v>
      </c>
      <c r="O3017">
        <v>25.337837837837839</v>
      </c>
    </row>
    <row r="3018" spans="1:15" x14ac:dyDescent="0.25">
      <c r="A3018" s="11">
        <v>46094</v>
      </c>
      <c r="B3018" t="s">
        <v>63</v>
      </c>
      <c r="C3018" t="s">
        <v>18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 t="shared" si="124"/>
        <v>28</v>
      </c>
      <c r="J3018" s="3">
        <f t="shared" si="125"/>
        <v>19</v>
      </c>
      <c r="K3018" s="3">
        <f t="shared" si="126"/>
        <v>9</v>
      </c>
      <c r="L3018" s="3" t="str">
        <f t="shared" si="127"/>
        <v>MUITO BOM</v>
      </c>
      <c r="N3018">
        <v>98.39</v>
      </c>
      <c r="O3018">
        <v>25.563909774436091</v>
      </c>
    </row>
    <row r="3019" spans="1:15" x14ac:dyDescent="0.25">
      <c r="A3019" s="11">
        <v>46097</v>
      </c>
      <c r="B3019" t="s">
        <v>15</v>
      </c>
      <c r="C3019" t="s">
        <v>16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 t="shared" si="124"/>
        <v>27</v>
      </c>
      <c r="J3019" s="3">
        <f t="shared" si="125"/>
        <v>17</v>
      </c>
      <c r="K3019" s="3">
        <f t="shared" si="126"/>
        <v>10</v>
      </c>
      <c r="L3019" s="3" t="str">
        <f t="shared" si="127"/>
        <v>MUITO BOM</v>
      </c>
      <c r="N3019">
        <v>94.29</v>
      </c>
      <c r="O3019">
        <v>25.647668393782389</v>
      </c>
    </row>
    <row r="3020" spans="1:15" x14ac:dyDescent="0.25">
      <c r="A3020" s="11">
        <v>46097</v>
      </c>
      <c r="B3020" t="s">
        <v>17</v>
      </c>
      <c r="C3020" t="s">
        <v>18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f t="shared" si="124"/>
        <v>0</v>
      </c>
      <c r="J3020" s="3">
        <f t="shared" si="125"/>
        <v>21</v>
      </c>
      <c r="K3020" s="3">
        <f t="shared" si="126"/>
        <v>-21</v>
      </c>
      <c r="L3020" s="3" t="str">
        <f t="shared" si="127"/>
        <v>CRÍTICO</v>
      </c>
      <c r="N3020">
        <v>98.26</v>
      </c>
      <c r="O3020">
        <v>26.666666666666671</v>
      </c>
    </row>
    <row r="3021" spans="1:15" x14ac:dyDescent="0.25">
      <c r="A3021" s="11">
        <v>46097</v>
      </c>
      <c r="B3021" t="s">
        <v>19</v>
      </c>
      <c r="C3021" t="s">
        <v>20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 t="shared" si="124"/>
        <v>29</v>
      </c>
      <c r="J3021" s="3">
        <f t="shared" si="125"/>
        <v>14</v>
      </c>
      <c r="K3021" s="3">
        <f t="shared" si="126"/>
        <v>15</v>
      </c>
      <c r="L3021" s="3" t="str">
        <f t="shared" si="127"/>
        <v>MUITO BOM</v>
      </c>
      <c r="N3021">
        <v>98.2</v>
      </c>
      <c r="O3021">
        <v>23.37962962962963</v>
      </c>
    </row>
    <row r="3022" spans="1:15" x14ac:dyDescent="0.25">
      <c r="A3022" s="11">
        <v>46097</v>
      </c>
      <c r="B3022" t="s">
        <v>21</v>
      </c>
      <c r="C3022" t="s">
        <v>18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 t="shared" si="124"/>
        <v>31</v>
      </c>
      <c r="J3022" s="3">
        <f t="shared" si="125"/>
        <v>21</v>
      </c>
      <c r="K3022" s="3">
        <f t="shared" si="126"/>
        <v>10</v>
      </c>
      <c r="L3022" s="3" t="str">
        <f t="shared" si="127"/>
        <v>MUITO BOM</v>
      </c>
      <c r="N3022">
        <v>97.3</v>
      </c>
      <c r="O3022">
        <v>23.84769539078156</v>
      </c>
    </row>
    <row r="3023" spans="1:15" x14ac:dyDescent="0.25">
      <c r="A3023" s="11">
        <v>46097</v>
      </c>
      <c r="B3023" t="s">
        <v>22</v>
      </c>
      <c r="C3023" t="s">
        <v>23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 t="shared" si="124"/>
        <v>7</v>
      </c>
      <c r="J3023" s="3">
        <f t="shared" si="125"/>
        <v>6</v>
      </c>
      <c r="K3023" s="3">
        <f t="shared" si="126"/>
        <v>1</v>
      </c>
      <c r="L3023" s="3" t="str">
        <f t="shared" si="127"/>
        <v>OPORTUNO</v>
      </c>
      <c r="N3023">
        <v>100</v>
      </c>
      <c r="O3023">
        <v>25.268817204301079</v>
      </c>
    </row>
    <row r="3024" spans="1:15" x14ac:dyDescent="0.25">
      <c r="A3024" s="11">
        <v>46097</v>
      </c>
      <c r="B3024" t="s">
        <v>24</v>
      </c>
      <c r="C3024" t="s">
        <v>16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 t="shared" si="124"/>
        <v>18</v>
      </c>
      <c r="J3024" s="3">
        <f t="shared" si="125"/>
        <v>17</v>
      </c>
      <c r="K3024" s="3">
        <f t="shared" si="126"/>
        <v>1</v>
      </c>
      <c r="L3024" s="3" t="str">
        <f t="shared" si="127"/>
        <v>OPORTUNO</v>
      </c>
      <c r="N3024">
        <v>99.32</v>
      </c>
      <c r="O3024">
        <v>22.822822822822818</v>
      </c>
    </row>
    <row r="3025" spans="1:15" x14ac:dyDescent="0.25">
      <c r="A3025" s="11">
        <v>46097</v>
      </c>
      <c r="B3025" t="s">
        <v>25</v>
      </c>
      <c r="C3025" t="s">
        <v>16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 t="shared" si="124"/>
        <v>19</v>
      </c>
      <c r="J3025" s="3">
        <f t="shared" si="125"/>
        <v>17</v>
      </c>
      <c r="K3025" s="3">
        <f t="shared" si="126"/>
        <v>2</v>
      </c>
      <c r="L3025" s="3" t="str">
        <f t="shared" si="127"/>
        <v>OPORTUNO</v>
      </c>
      <c r="N3025">
        <v>100</v>
      </c>
      <c r="O3025">
        <v>27.966101694915249</v>
      </c>
    </row>
    <row r="3026" spans="1:15" x14ac:dyDescent="0.25">
      <c r="A3026" s="11">
        <v>46097</v>
      </c>
      <c r="B3026" t="s">
        <v>26</v>
      </c>
      <c r="C3026" t="s">
        <v>23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f t="shared" si="124"/>
        <v>0</v>
      </c>
      <c r="J3026" s="3">
        <f t="shared" si="125"/>
        <v>6</v>
      </c>
      <c r="K3026" s="3">
        <f t="shared" si="126"/>
        <v>-6</v>
      </c>
      <c r="L3026" s="3" t="str">
        <f t="shared" si="127"/>
        <v>CRÍTICO</v>
      </c>
      <c r="N3026">
        <v>100</v>
      </c>
      <c r="O3026">
        <v>30.434782608695659</v>
      </c>
    </row>
    <row r="3027" spans="1:15" x14ac:dyDescent="0.25">
      <c r="A3027" s="11">
        <v>46097</v>
      </c>
      <c r="B3027" t="s">
        <v>27</v>
      </c>
      <c r="C3027" t="s">
        <v>20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 t="shared" ref="I3027:I3090" si="128">E3027+G3027+H3027</f>
        <v>19</v>
      </c>
      <c r="J3027" s="3">
        <f t="shared" ref="J3027:J3090" si="129"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14</v>
      </c>
      <c r="K3027" s="3">
        <f t="shared" ref="K3027:K3090" si="130">I3027-J3027</f>
        <v>5</v>
      </c>
      <c r="L3027" s="3" t="str">
        <f t="shared" ref="L3027:L3090" si="131">IF(K3027&lt;-5,"CRÍTICO",IF(K3027&lt;0,"ATENÇÃO",IF(K3027&lt;=5,"OPORTUNO","MUITO BOM")))</f>
        <v>OPORTUNO</v>
      </c>
      <c r="N3027">
        <v>96.51</v>
      </c>
      <c r="O3027">
        <v>22.802850356294542</v>
      </c>
    </row>
    <row r="3028" spans="1:15" x14ac:dyDescent="0.25">
      <c r="A3028" s="11">
        <v>46097</v>
      </c>
      <c r="B3028" t="s">
        <v>28</v>
      </c>
      <c r="C3028" t="s">
        <v>18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 t="shared" si="128"/>
        <v>27</v>
      </c>
      <c r="J3028" s="3">
        <f t="shared" si="129"/>
        <v>21</v>
      </c>
      <c r="K3028" s="3">
        <f t="shared" si="130"/>
        <v>6</v>
      </c>
      <c r="L3028" s="3" t="str">
        <f t="shared" si="131"/>
        <v>MUITO BOM</v>
      </c>
      <c r="N3028">
        <v>92.68</v>
      </c>
      <c r="O3028">
        <v>27.777777777777779</v>
      </c>
    </row>
    <row r="3029" spans="1:15" x14ac:dyDescent="0.25">
      <c r="A3029" s="11">
        <v>46097</v>
      </c>
      <c r="B3029" t="s">
        <v>29</v>
      </c>
      <c r="C3029" t="s">
        <v>16</v>
      </c>
      <c r="D3029">
        <v>0</v>
      </c>
      <c r="E3029">
        <v>0</v>
      </c>
      <c r="F3029">
        <v>0</v>
      </c>
      <c r="G3029">
        <v>0</v>
      </c>
      <c r="H3029">
        <v>0</v>
      </c>
      <c r="I3029" s="3">
        <f t="shared" si="128"/>
        <v>0</v>
      </c>
      <c r="J3029" s="3">
        <f t="shared" si="129"/>
        <v>17</v>
      </c>
      <c r="K3029" s="3">
        <f t="shared" si="130"/>
        <v>-17</v>
      </c>
      <c r="L3029" s="3" t="str">
        <f t="shared" si="131"/>
        <v>CRÍTICO</v>
      </c>
      <c r="N3029">
        <v>99.03</v>
      </c>
      <c r="O3029">
        <v>23.991507430997881</v>
      </c>
    </row>
    <row r="3030" spans="1:15" x14ac:dyDescent="0.25">
      <c r="A3030" s="11">
        <v>46097</v>
      </c>
      <c r="B3030" t="s">
        <v>30</v>
      </c>
      <c r="C3030" t="s">
        <v>20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 t="shared" si="128"/>
        <v>19</v>
      </c>
      <c r="J3030" s="3">
        <f t="shared" si="129"/>
        <v>14</v>
      </c>
      <c r="K3030" s="3">
        <f t="shared" si="130"/>
        <v>5</v>
      </c>
      <c r="L3030" s="3" t="str">
        <f t="shared" si="131"/>
        <v>OPORTUNO</v>
      </c>
      <c r="N3030">
        <v>98.41</v>
      </c>
      <c r="O3030">
        <v>28.138528138528141</v>
      </c>
    </row>
    <row r="3031" spans="1:15" x14ac:dyDescent="0.25">
      <c r="A3031" s="11">
        <v>46097</v>
      </c>
      <c r="B3031" t="s">
        <v>31</v>
      </c>
      <c r="C3031" t="s">
        <v>18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f t="shared" si="128"/>
        <v>0</v>
      </c>
      <c r="J3031" s="3">
        <f t="shared" si="129"/>
        <v>21</v>
      </c>
      <c r="K3031" s="3">
        <f t="shared" si="130"/>
        <v>-21</v>
      </c>
      <c r="L3031" s="3" t="str">
        <f t="shared" si="131"/>
        <v>CRÍTICO</v>
      </c>
      <c r="N3031">
        <v>98.73</v>
      </c>
      <c r="O3031">
        <v>29.142857142857139</v>
      </c>
    </row>
    <row r="3032" spans="1:15" x14ac:dyDescent="0.25">
      <c r="A3032" s="11">
        <v>46097</v>
      </c>
      <c r="B3032" t="s">
        <v>32</v>
      </c>
      <c r="C3032" t="s">
        <v>23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f t="shared" si="128"/>
        <v>0</v>
      </c>
      <c r="J3032" s="3">
        <f t="shared" si="129"/>
        <v>6</v>
      </c>
      <c r="K3032" s="3">
        <f t="shared" si="130"/>
        <v>-6</v>
      </c>
      <c r="L3032" s="3" t="str">
        <f t="shared" si="131"/>
        <v>CRÍTICO</v>
      </c>
      <c r="N3032">
        <v>90.48</v>
      </c>
      <c r="O3032">
        <v>20.68965517241379</v>
      </c>
    </row>
    <row r="3033" spans="1:15" x14ac:dyDescent="0.25">
      <c r="A3033" s="11">
        <v>46097</v>
      </c>
      <c r="B3033" t="s">
        <v>33</v>
      </c>
      <c r="C3033" t="s">
        <v>16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 t="shared" si="128"/>
        <v>24</v>
      </c>
      <c r="J3033" s="3">
        <f t="shared" si="129"/>
        <v>17</v>
      </c>
      <c r="K3033" s="3">
        <f t="shared" si="130"/>
        <v>7</v>
      </c>
      <c r="L3033" s="3" t="str">
        <f t="shared" si="131"/>
        <v>MUITO BOM</v>
      </c>
      <c r="N3033">
        <v>98.06</v>
      </c>
      <c r="O3033">
        <v>24.789915966386559</v>
      </c>
    </row>
    <row r="3034" spans="1:15" x14ac:dyDescent="0.25">
      <c r="A3034" s="11">
        <v>46097</v>
      </c>
      <c r="B3034" t="s">
        <v>34</v>
      </c>
      <c r="C3034" t="s">
        <v>18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 t="shared" si="128"/>
        <v>24</v>
      </c>
      <c r="J3034" s="3">
        <f t="shared" si="129"/>
        <v>21</v>
      </c>
      <c r="K3034" s="3">
        <f t="shared" si="130"/>
        <v>3</v>
      </c>
      <c r="L3034" s="3" t="str">
        <f t="shared" si="131"/>
        <v>OPORTUNO</v>
      </c>
      <c r="N3034">
        <v>97.78</v>
      </c>
      <c r="O3034">
        <v>25.494071146245059</v>
      </c>
    </row>
    <row r="3035" spans="1:15" x14ac:dyDescent="0.25">
      <c r="A3035" s="11">
        <v>46097</v>
      </c>
      <c r="B3035" t="s">
        <v>35</v>
      </c>
      <c r="C3035" t="s">
        <v>16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 t="shared" si="128"/>
        <v>11</v>
      </c>
      <c r="J3035" s="3">
        <f t="shared" si="129"/>
        <v>17</v>
      </c>
      <c r="K3035" s="3">
        <f t="shared" si="130"/>
        <v>-6</v>
      </c>
      <c r="L3035" s="3" t="str">
        <f t="shared" si="131"/>
        <v>CRÍTICO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36</v>
      </c>
      <c r="C3036" t="s">
        <v>20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 t="shared" si="128"/>
        <v>21</v>
      </c>
      <c r="J3036" s="3">
        <f t="shared" si="129"/>
        <v>17</v>
      </c>
      <c r="K3036" s="3">
        <f t="shared" si="130"/>
        <v>4</v>
      </c>
      <c r="L3036" s="3" t="str">
        <f t="shared" si="131"/>
        <v>OPORTUNO</v>
      </c>
      <c r="N3036">
        <v>99.28</v>
      </c>
      <c r="O3036">
        <v>27.689243027888441</v>
      </c>
    </row>
    <row r="3037" spans="1:15" x14ac:dyDescent="0.25">
      <c r="A3037" s="11">
        <v>46097</v>
      </c>
      <c r="B3037" t="s">
        <v>37</v>
      </c>
      <c r="C3037" t="s">
        <v>16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 t="shared" si="128"/>
        <v>22</v>
      </c>
      <c r="J3037" s="3">
        <f t="shared" si="129"/>
        <v>17</v>
      </c>
      <c r="K3037" s="3">
        <f t="shared" si="130"/>
        <v>5</v>
      </c>
      <c r="L3037" s="3" t="str">
        <f t="shared" si="131"/>
        <v>OPORTUNO</v>
      </c>
      <c r="N3037">
        <v>100</v>
      </c>
      <c r="O3037">
        <v>27.04918032786885</v>
      </c>
    </row>
    <row r="3038" spans="1:15" x14ac:dyDescent="0.25">
      <c r="A3038" s="11">
        <v>46097</v>
      </c>
      <c r="B3038" t="s">
        <v>38</v>
      </c>
      <c r="C3038" t="s">
        <v>18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 t="shared" si="128"/>
        <v>44</v>
      </c>
      <c r="J3038" s="3">
        <f t="shared" si="129"/>
        <v>21</v>
      </c>
      <c r="K3038" s="3">
        <f t="shared" si="130"/>
        <v>23</v>
      </c>
      <c r="L3038" s="3" t="str">
        <f t="shared" si="131"/>
        <v>MUITO BOM</v>
      </c>
      <c r="N3038">
        <v>97.83</v>
      </c>
      <c r="O3038">
        <v>26.315789473684209</v>
      </c>
    </row>
    <row r="3039" spans="1:15" x14ac:dyDescent="0.25">
      <c r="A3039" s="11">
        <v>46097</v>
      </c>
      <c r="B3039" t="s">
        <v>39</v>
      </c>
      <c r="C3039" t="s">
        <v>18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 t="shared" si="128"/>
        <v>19</v>
      </c>
      <c r="J3039" s="3">
        <f t="shared" si="129"/>
        <v>21</v>
      </c>
      <c r="K3039" s="3">
        <f t="shared" si="130"/>
        <v>-2</v>
      </c>
      <c r="L3039" s="3" t="str">
        <f t="shared" si="131"/>
        <v>ATENÇÃO</v>
      </c>
      <c r="N3039">
        <v>100</v>
      </c>
      <c r="O3039">
        <v>26.701570680628269</v>
      </c>
    </row>
    <row r="3040" spans="1:15" x14ac:dyDescent="0.25">
      <c r="A3040" s="11">
        <v>46097</v>
      </c>
      <c r="B3040" t="s">
        <v>40</v>
      </c>
      <c r="C3040" t="s">
        <v>16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 t="shared" si="128"/>
        <v>7</v>
      </c>
      <c r="J3040" s="3">
        <f t="shared" si="129"/>
        <v>17</v>
      </c>
      <c r="K3040" s="3">
        <f t="shared" si="130"/>
        <v>-10</v>
      </c>
      <c r="L3040" s="3" t="str">
        <f t="shared" si="131"/>
        <v>CRÍTICO</v>
      </c>
      <c r="N3040">
        <v>97.47</v>
      </c>
      <c r="O3040">
        <v>22.887323943661968</v>
      </c>
    </row>
    <row r="3041" spans="1:15" x14ac:dyDescent="0.25">
      <c r="A3041" s="11">
        <v>46097</v>
      </c>
      <c r="B3041" t="s">
        <v>41</v>
      </c>
      <c r="C3041" t="s">
        <v>18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f t="shared" si="128"/>
        <v>0</v>
      </c>
      <c r="J3041" s="3">
        <f t="shared" si="129"/>
        <v>21</v>
      </c>
      <c r="K3041" s="3">
        <f t="shared" si="130"/>
        <v>-21</v>
      </c>
      <c r="L3041" s="3" t="str">
        <f t="shared" si="131"/>
        <v>CRÍTICO</v>
      </c>
      <c r="N3041">
        <v>0</v>
      </c>
      <c r="O3041">
        <v>0</v>
      </c>
    </row>
    <row r="3042" spans="1:15" x14ac:dyDescent="0.25">
      <c r="A3042" s="11">
        <v>46097</v>
      </c>
      <c r="B3042" t="s">
        <v>42</v>
      </c>
      <c r="C3042" t="s">
        <v>43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 t="shared" si="128"/>
        <v>6</v>
      </c>
      <c r="J3042" s="3">
        <f t="shared" si="129"/>
        <v>12</v>
      </c>
      <c r="K3042" s="3">
        <f t="shared" si="130"/>
        <v>-6</v>
      </c>
      <c r="L3042" s="3" t="str">
        <f t="shared" si="131"/>
        <v>CRÍTICO</v>
      </c>
      <c r="N3042">
        <v>98.31</v>
      </c>
      <c r="O3042">
        <v>24.920127795527151</v>
      </c>
    </row>
    <row r="3043" spans="1:15" x14ac:dyDescent="0.25">
      <c r="A3043" s="11">
        <v>46097</v>
      </c>
      <c r="B3043" t="s">
        <v>44</v>
      </c>
      <c r="C3043" t="s">
        <v>18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 t="shared" si="128"/>
        <v>3</v>
      </c>
      <c r="J3043" s="3">
        <f t="shared" si="129"/>
        <v>21</v>
      </c>
      <c r="K3043" s="3">
        <f t="shared" si="130"/>
        <v>-18</v>
      </c>
      <c r="L3043" s="3" t="str">
        <f t="shared" si="131"/>
        <v>CRÍTICO</v>
      </c>
      <c r="N3043">
        <v>96.81</v>
      </c>
      <c r="O3043">
        <v>32.365145228215773</v>
      </c>
    </row>
    <row r="3044" spans="1:15" x14ac:dyDescent="0.25">
      <c r="A3044" s="11">
        <v>46097</v>
      </c>
      <c r="B3044" t="s">
        <v>45</v>
      </c>
      <c r="C3044" t="s">
        <v>43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 t="shared" si="128"/>
        <v>8</v>
      </c>
      <c r="J3044" s="3">
        <f t="shared" si="129"/>
        <v>12</v>
      </c>
      <c r="K3044" s="3">
        <f t="shared" si="130"/>
        <v>-4</v>
      </c>
      <c r="L3044" s="3" t="str">
        <f t="shared" si="131"/>
        <v>ATENÇÃO</v>
      </c>
      <c r="N3044">
        <v>100</v>
      </c>
      <c r="O3044">
        <v>26.47058823529412</v>
      </c>
    </row>
    <row r="3045" spans="1:15" x14ac:dyDescent="0.25">
      <c r="A3045" s="11">
        <v>46097</v>
      </c>
      <c r="B3045" t="s">
        <v>46</v>
      </c>
      <c r="C3045" t="s">
        <v>18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 t="shared" si="128"/>
        <v>17</v>
      </c>
      <c r="J3045" s="3">
        <f t="shared" si="129"/>
        <v>21</v>
      </c>
      <c r="K3045" s="3">
        <f t="shared" si="130"/>
        <v>-4</v>
      </c>
      <c r="L3045" s="3" t="str">
        <f t="shared" si="131"/>
        <v>ATENÇÃO</v>
      </c>
      <c r="N3045">
        <v>100</v>
      </c>
      <c r="O3045">
        <v>28.490028490028489</v>
      </c>
    </row>
    <row r="3046" spans="1:15" x14ac:dyDescent="0.25">
      <c r="A3046" s="11">
        <v>46097</v>
      </c>
      <c r="B3046" t="s">
        <v>47</v>
      </c>
      <c r="C3046" t="s">
        <v>16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 t="shared" si="128"/>
        <v>27</v>
      </c>
      <c r="J3046" s="3">
        <f t="shared" si="129"/>
        <v>17</v>
      </c>
      <c r="K3046" s="3">
        <f t="shared" si="130"/>
        <v>10</v>
      </c>
      <c r="L3046" s="3" t="str">
        <f t="shared" si="131"/>
        <v>MUITO BOM</v>
      </c>
      <c r="N3046">
        <v>99.14</v>
      </c>
      <c r="O3046">
        <v>27.2289156626506</v>
      </c>
    </row>
    <row r="3047" spans="1:15" x14ac:dyDescent="0.25">
      <c r="A3047" s="11">
        <v>46097</v>
      </c>
      <c r="B3047" t="s">
        <v>48</v>
      </c>
      <c r="C3047" t="s">
        <v>16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f t="shared" si="128"/>
        <v>0</v>
      </c>
      <c r="J3047" s="3">
        <f t="shared" si="129"/>
        <v>17</v>
      </c>
      <c r="K3047" s="3">
        <f t="shared" si="130"/>
        <v>-17</v>
      </c>
      <c r="L3047" s="3" t="str">
        <f t="shared" si="131"/>
        <v>CRÍTICO</v>
      </c>
      <c r="N3047">
        <v>97.52</v>
      </c>
      <c r="O3047">
        <v>28.205128205128201</v>
      </c>
    </row>
    <row r="3048" spans="1:15" x14ac:dyDescent="0.25">
      <c r="A3048" s="11">
        <v>46097</v>
      </c>
      <c r="B3048" t="s">
        <v>49</v>
      </c>
      <c r="C3048" t="s">
        <v>18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f t="shared" si="128"/>
        <v>0</v>
      </c>
      <c r="J3048" s="3">
        <f t="shared" si="129"/>
        <v>21</v>
      </c>
      <c r="K3048" s="3">
        <f t="shared" si="130"/>
        <v>-21</v>
      </c>
      <c r="L3048" s="3" t="str">
        <f t="shared" si="131"/>
        <v>CRÍTICO</v>
      </c>
      <c r="N3048">
        <v>90</v>
      </c>
      <c r="O3048">
        <v>24.186046511627911</v>
      </c>
    </row>
    <row r="3049" spans="1:15" x14ac:dyDescent="0.25">
      <c r="A3049" s="11">
        <v>46097</v>
      </c>
      <c r="B3049" t="s">
        <v>50</v>
      </c>
      <c r="C3049" t="s">
        <v>20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 t="shared" si="128"/>
        <v>11</v>
      </c>
      <c r="J3049" s="3">
        <f t="shared" si="129"/>
        <v>14</v>
      </c>
      <c r="K3049" s="3">
        <f t="shared" si="130"/>
        <v>-3</v>
      </c>
      <c r="L3049" s="3" t="str">
        <f t="shared" si="131"/>
        <v>ATENÇÃO</v>
      </c>
      <c r="N3049">
        <v>98.9</v>
      </c>
      <c r="O3049">
        <v>26.763990267639901</v>
      </c>
    </row>
    <row r="3050" spans="1:15" x14ac:dyDescent="0.25">
      <c r="A3050" s="11">
        <v>46097</v>
      </c>
      <c r="B3050" t="s">
        <v>51</v>
      </c>
      <c r="C3050" t="s">
        <v>23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 t="shared" si="128"/>
        <v>7</v>
      </c>
      <c r="J3050" s="3">
        <f t="shared" si="129"/>
        <v>6</v>
      </c>
      <c r="K3050" s="3">
        <f t="shared" si="130"/>
        <v>1</v>
      </c>
      <c r="L3050" s="3" t="str">
        <f t="shared" si="131"/>
        <v>OPORTUNO</v>
      </c>
      <c r="N3050">
        <v>88.89</v>
      </c>
      <c r="O3050">
        <v>25.263157894736839</v>
      </c>
    </row>
    <row r="3051" spans="1:15" x14ac:dyDescent="0.25">
      <c r="A3051" s="11">
        <v>46097</v>
      </c>
      <c r="B3051" t="s">
        <v>52</v>
      </c>
      <c r="C3051" t="s">
        <v>18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 t="shared" si="128"/>
        <v>29</v>
      </c>
      <c r="J3051" s="3">
        <f t="shared" si="129"/>
        <v>21</v>
      </c>
      <c r="K3051" s="3">
        <f t="shared" si="130"/>
        <v>8</v>
      </c>
      <c r="L3051" s="3" t="str">
        <f t="shared" si="131"/>
        <v>MUITO BOM</v>
      </c>
      <c r="N3051">
        <v>98.86</v>
      </c>
      <c r="O3051">
        <v>28.959276018099551</v>
      </c>
    </row>
    <row r="3052" spans="1:15" x14ac:dyDescent="0.25">
      <c r="A3052" s="11">
        <v>46097</v>
      </c>
      <c r="B3052" t="s">
        <v>53</v>
      </c>
      <c r="C3052" t="s">
        <v>18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 t="shared" si="128"/>
        <v>30</v>
      </c>
      <c r="J3052" s="3">
        <f t="shared" si="129"/>
        <v>21</v>
      </c>
      <c r="K3052" s="3">
        <f t="shared" si="130"/>
        <v>9</v>
      </c>
      <c r="L3052" s="3" t="str">
        <f t="shared" si="131"/>
        <v>MUITO BOM</v>
      </c>
      <c r="N3052">
        <v>98.06</v>
      </c>
      <c r="O3052">
        <v>22.40566037735849</v>
      </c>
    </row>
    <row r="3053" spans="1:15" x14ac:dyDescent="0.25">
      <c r="A3053" s="11">
        <v>46097</v>
      </c>
      <c r="B3053" t="s">
        <v>54</v>
      </c>
      <c r="C3053" t="s">
        <v>23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 t="shared" si="128"/>
        <v>4</v>
      </c>
      <c r="J3053" s="3">
        <f t="shared" si="129"/>
        <v>6</v>
      </c>
      <c r="K3053" s="3">
        <f t="shared" si="130"/>
        <v>-2</v>
      </c>
      <c r="L3053" s="3" t="str">
        <f t="shared" si="131"/>
        <v>ATENÇÃO</v>
      </c>
      <c r="N3053">
        <v>95.83</v>
      </c>
      <c r="O3053">
        <v>25.773195876288661</v>
      </c>
    </row>
    <row r="3054" spans="1:15" x14ac:dyDescent="0.25">
      <c r="A3054" s="11">
        <v>46097</v>
      </c>
      <c r="B3054" t="s">
        <v>55</v>
      </c>
      <c r="C3054" t="s">
        <v>43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f t="shared" si="128"/>
        <v>0</v>
      </c>
      <c r="J3054" s="3">
        <f t="shared" si="129"/>
        <v>12</v>
      </c>
      <c r="K3054" s="3">
        <f t="shared" si="130"/>
        <v>-12</v>
      </c>
      <c r="L3054" s="3" t="str">
        <f t="shared" si="131"/>
        <v>CRÍTICO</v>
      </c>
      <c r="N3054">
        <v>100</v>
      </c>
      <c r="O3054">
        <v>15.38461538461539</v>
      </c>
    </row>
    <row r="3055" spans="1:15" x14ac:dyDescent="0.25">
      <c r="A3055" s="11">
        <v>46097</v>
      </c>
      <c r="B3055" t="s">
        <v>56</v>
      </c>
      <c r="C3055" t="s">
        <v>16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 t="shared" si="128"/>
        <v>3</v>
      </c>
      <c r="J3055" s="3">
        <f t="shared" si="129"/>
        <v>17</v>
      </c>
      <c r="K3055" s="3">
        <f t="shared" si="130"/>
        <v>-14</v>
      </c>
      <c r="L3055" s="3" t="str">
        <f t="shared" si="131"/>
        <v>CRÍTICO</v>
      </c>
      <c r="N3055">
        <v>100</v>
      </c>
      <c r="O3055">
        <v>27.514792899408281</v>
      </c>
    </row>
    <row r="3056" spans="1:15" x14ac:dyDescent="0.25">
      <c r="A3056" s="11">
        <v>46097</v>
      </c>
      <c r="B3056" t="s">
        <v>57</v>
      </c>
      <c r="C3056" t="s">
        <v>43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 t="shared" si="128"/>
        <v>3</v>
      </c>
      <c r="J3056" s="3">
        <f t="shared" si="129"/>
        <v>12</v>
      </c>
      <c r="K3056" s="3">
        <f t="shared" si="130"/>
        <v>-9</v>
      </c>
      <c r="L3056" s="3" t="str">
        <f t="shared" si="131"/>
        <v>CRÍTICO</v>
      </c>
      <c r="N3056">
        <v>100</v>
      </c>
      <c r="O3056">
        <v>24.875621890547269</v>
      </c>
    </row>
    <row r="3057" spans="1:15" x14ac:dyDescent="0.25">
      <c r="A3057" s="11">
        <v>46097</v>
      </c>
      <c r="B3057" t="s">
        <v>58</v>
      </c>
      <c r="C3057" t="s">
        <v>43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 t="shared" si="128"/>
        <v>6</v>
      </c>
      <c r="J3057" s="3">
        <f t="shared" si="129"/>
        <v>12</v>
      </c>
      <c r="K3057" s="3">
        <f t="shared" si="130"/>
        <v>-6</v>
      </c>
      <c r="L3057" s="3" t="str">
        <f t="shared" si="131"/>
        <v>CRÍTICO</v>
      </c>
      <c r="N3057">
        <v>100</v>
      </c>
      <c r="O3057">
        <v>28.108108108108109</v>
      </c>
    </row>
    <row r="3058" spans="1:15" x14ac:dyDescent="0.25">
      <c r="A3058" s="11">
        <v>46097</v>
      </c>
      <c r="B3058" t="s">
        <v>59</v>
      </c>
      <c r="C3058" t="s">
        <v>23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f t="shared" si="128"/>
        <v>0</v>
      </c>
      <c r="J3058" s="3">
        <f t="shared" si="129"/>
        <v>6</v>
      </c>
      <c r="K3058" s="3">
        <f t="shared" si="130"/>
        <v>-6</v>
      </c>
      <c r="L3058" s="3" t="str">
        <f t="shared" si="131"/>
        <v>CRÍTICO</v>
      </c>
      <c r="N3058">
        <v>100</v>
      </c>
      <c r="O3058">
        <v>35</v>
      </c>
    </row>
    <row r="3059" spans="1:15" x14ac:dyDescent="0.25">
      <c r="A3059" s="11">
        <v>46097</v>
      </c>
      <c r="B3059" t="s">
        <v>60</v>
      </c>
      <c r="C3059" t="s">
        <v>20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 t="shared" si="128"/>
        <v>14</v>
      </c>
      <c r="J3059" s="3">
        <f t="shared" si="129"/>
        <v>14</v>
      </c>
      <c r="K3059" s="3">
        <f t="shared" si="130"/>
        <v>0</v>
      </c>
      <c r="L3059" s="3" t="str">
        <f t="shared" si="131"/>
        <v>OPORTUNO</v>
      </c>
      <c r="N3059">
        <v>95.35</v>
      </c>
      <c r="O3059">
        <v>28.61538461538461</v>
      </c>
    </row>
    <row r="3060" spans="1:15" x14ac:dyDescent="0.25">
      <c r="A3060" s="11">
        <v>46097</v>
      </c>
      <c r="B3060" t="s">
        <v>61</v>
      </c>
      <c r="C3060" t="s">
        <v>18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 t="shared" si="128"/>
        <v>32</v>
      </c>
      <c r="J3060" s="3">
        <f t="shared" si="129"/>
        <v>21</v>
      </c>
      <c r="K3060" s="3">
        <f t="shared" si="130"/>
        <v>11</v>
      </c>
      <c r="L3060" s="3" t="str">
        <f t="shared" si="131"/>
        <v>MUITO BOM</v>
      </c>
      <c r="N3060">
        <v>98.26</v>
      </c>
      <c r="O3060">
        <v>27.54491017964072</v>
      </c>
    </row>
    <row r="3061" spans="1:15" x14ac:dyDescent="0.25">
      <c r="A3061" s="11">
        <v>46097</v>
      </c>
      <c r="B3061" t="s">
        <v>62</v>
      </c>
      <c r="C3061" t="s">
        <v>20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 t="shared" si="128"/>
        <v>15</v>
      </c>
      <c r="J3061" s="3">
        <f t="shared" si="129"/>
        <v>14</v>
      </c>
      <c r="K3061" s="3">
        <f t="shared" si="130"/>
        <v>1</v>
      </c>
      <c r="L3061" s="3" t="str">
        <f t="shared" si="131"/>
        <v>OPORTUNO</v>
      </c>
      <c r="N3061">
        <v>98.55</v>
      </c>
      <c r="O3061">
        <v>25.337837837837839</v>
      </c>
    </row>
    <row r="3062" spans="1:15" x14ac:dyDescent="0.25">
      <c r="A3062" s="11">
        <v>46097</v>
      </c>
      <c r="B3062" t="s">
        <v>63</v>
      </c>
      <c r="C3062" t="s">
        <v>18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 t="shared" si="128"/>
        <v>28</v>
      </c>
      <c r="J3062" s="3">
        <f t="shared" si="129"/>
        <v>21</v>
      </c>
      <c r="K3062" s="3">
        <f t="shared" si="130"/>
        <v>7</v>
      </c>
      <c r="L3062" s="3" t="str">
        <f t="shared" si="131"/>
        <v>MUITO BOM</v>
      </c>
      <c r="N3062">
        <v>98.39</v>
      </c>
      <c r="O3062">
        <v>25.563909774436091</v>
      </c>
    </row>
    <row r="3063" spans="1:15" x14ac:dyDescent="0.25">
      <c r="A3063" s="11">
        <v>46098</v>
      </c>
      <c r="B3063" t="s">
        <v>15</v>
      </c>
      <c r="C3063" t="s">
        <v>16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 t="shared" si="128"/>
        <v>27</v>
      </c>
      <c r="J3063" s="3">
        <f t="shared" si="129"/>
        <v>17</v>
      </c>
      <c r="K3063" s="3">
        <f t="shared" si="130"/>
        <v>10</v>
      </c>
      <c r="L3063" s="3" t="str">
        <f t="shared" si="131"/>
        <v>MUITO BOM</v>
      </c>
      <c r="N3063">
        <v>94.29</v>
      </c>
      <c r="O3063">
        <v>25.647668393782389</v>
      </c>
    </row>
    <row r="3064" spans="1:15" x14ac:dyDescent="0.25">
      <c r="A3064" s="11">
        <v>46098</v>
      </c>
      <c r="B3064" t="s">
        <v>17</v>
      </c>
      <c r="C3064" t="s">
        <v>18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f t="shared" si="128"/>
        <v>0</v>
      </c>
      <c r="J3064" s="3">
        <f t="shared" si="129"/>
        <v>21</v>
      </c>
      <c r="K3064" s="3">
        <f t="shared" si="130"/>
        <v>-21</v>
      </c>
      <c r="L3064" s="3" t="str">
        <f t="shared" si="131"/>
        <v>CRÍTICO</v>
      </c>
      <c r="N3064">
        <v>98.26</v>
      </c>
      <c r="O3064">
        <v>26.666666666666671</v>
      </c>
    </row>
    <row r="3065" spans="1:15" x14ac:dyDescent="0.25">
      <c r="A3065" s="11">
        <v>46098</v>
      </c>
      <c r="B3065" t="s">
        <v>19</v>
      </c>
      <c r="C3065" t="s">
        <v>20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 t="shared" si="128"/>
        <v>12</v>
      </c>
      <c r="J3065" s="3">
        <f t="shared" si="129"/>
        <v>14</v>
      </c>
      <c r="K3065" s="3">
        <f t="shared" si="130"/>
        <v>-2</v>
      </c>
      <c r="L3065" s="3" t="str">
        <f t="shared" si="131"/>
        <v>ATENÇÃO</v>
      </c>
      <c r="N3065">
        <v>98.2</v>
      </c>
      <c r="O3065">
        <v>23.37962962962963</v>
      </c>
    </row>
    <row r="3066" spans="1:15" x14ac:dyDescent="0.25">
      <c r="A3066" s="11">
        <v>46098</v>
      </c>
      <c r="B3066" t="s">
        <v>21</v>
      </c>
      <c r="C3066" t="s">
        <v>18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 t="shared" si="128"/>
        <v>27</v>
      </c>
      <c r="J3066" s="3">
        <f t="shared" si="129"/>
        <v>21</v>
      </c>
      <c r="K3066" s="3">
        <f t="shared" si="130"/>
        <v>6</v>
      </c>
      <c r="L3066" s="3" t="str">
        <f t="shared" si="131"/>
        <v>MUITO BOM</v>
      </c>
      <c r="N3066">
        <v>97.3</v>
      </c>
      <c r="O3066">
        <v>23.84769539078156</v>
      </c>
    </row>
    <row r="3067" spans="1:15" x14ac:dyDescent="0.25">
      <c r="A3067" s="11">
        <v>46098</v>
      </c>
      <c r="B3067" t="s">
        <v>22</v>
      </c>
      <c r="C3067" t="s">
        <v>23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 t="shared" si="128"/>
        <v>15</v>
      </c>
      <c r="J3067" s="3">
        <f t="shared" si="129"/>
        <v>6</v>
      </c>
      <c r="K3067" s="3">
        <f t="shared" si="130"/>
        <v>9</v>
      </c>
      <c r="L3067" s="3" t="str">
        <f t="shared" si="131"/>
        <v>MUITO BOM</v>
      </c>
      <c r="N3067">
        <v>100</v>
      </c>
      <c r="O3067">
        <v>25.268817204301079</v>
      </c>
    </row>
    <row r="3068" spans="1:15" x14ac:dyDescent="0.25">
      <c r="A3068" s="11">
        <v>46098</v>
      </c>
      <c r="B3068" t="s">
        <v>24</v>
      </c>
      <c r="C3068" t="s">
        <v>16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 t="shared" si="128"/>
        <v>35</v>
      </c>
      <c r="J3068" s="3">
        <f t="shared" si="129"/>
        <v>17</v>
      </c>
      <c r="K3068" s="3">
        <f t="shared" si="130"/>
        <v>18</v>
      </c>
      <c r="L3068" s="3" t="str">
        <f t="shared" si="131"/>
        <v>MUITO BOM</v>
      </c>
      <c r="N3068">
        <v>99.32</v>
      </c>
      <c r="O3068">
        <v>22.822822822822818</v>
      </c>
    </row>
    <row r="3069" spans="1:15" x14ac:dyDescent="0.25">
      <c r="A3069" s="11">
        <v>46098</v>
      </c>
      <c r="B3069" t="s">
        <v>25</v>
      </c>
      <c r="C3069" t="s">
        <v>16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 t="shared" si="128"/>
        <v>4</v>
      </c>
      <c r="J3069" s="3">
        <f t="shared" si="129"/>
        <v>17</v>
      </c>
      <c r="K3069" s="3">
        <f t="shared" si="130"/>
        <v>-13</v>
      </c>
      <c r="L3069" s="3" t="str">
        <f t="shared" si="131"/>
        <v>CRÍTICO</v>
      </c>
      <c r="N3069">
        <v>100</v>
      </c>
      <c r="O3069">
        <v>27.966101694915249</v>
      </c>
    </row>
    <row r="3070" spans="1:15" x14ac:dyDescent="0.25">
      <c r="A3070" s="11">
        <v>46098</v>
      </c>
      <c r="B3070" t="s">
        <v>26</v>
      </c>
      <c r="C3070" t="s">
        <v>23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f t="shared" si="128"/>
        <v>0</v>
      </c>
      <c r="J3070" s="3">
        <f t="shared" si="129"/>
        <v>6</v>
      </c>
      <c r="K3070" s="3">
        <f t="shared" si="130"/>
        <v>-6</v>
      </c>
      <c r="L3070" s="3" t="str">
        <f t="shared" si="131"/>
        <v>CRÍTICO</v>
      </c>
      <c r="N3070">
        <v>100</v>
      </c>
      <c r="O3070">
        <v>30.434782608695659</v>
      </c>
    </row>
    <row r="3071" spans="1:15" x14ac:dyDescent="0.25">
      <c r="A3071" s="11">
        <v>46098</v>
      </c>
      <c r="B3071" t="s">
        <v>27</v>
      </c>
      <c r="C3071" t="s">
        <v>20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 t="shared" si="128"/>
        <v>24</v>
      </c>
      <c r="J3071" s="3">
        <f t="shared" si="129"/>
        <v>14</v>
      </c>
      <c r="K3071" s="3">
        <f t="shared" si="130"/>
        <v>10</v>
      </c>
      <c r="L3071" s="3" t="str">
        <f t="shared" si="131"/>
        <v>MUITO BOM</v>
      </c>
      <c r="N3071">
        <v>96.51</v>
      </c>
      <c r="O3071">
        <v>22.802850356294542</v>
      </c>
    </row>
    <row r="3072" spans="1:15" x14ac:dyDescent="0.25">
      <c r="A3072" s="11">
        <v>46098</v>
      </c>
      <c r="B3072" t="s">
        <v>28</v>
      </c>
      <c r="C3072" t="s">
        <v>18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f t="shared" si="128"/>
        <v>0</v>
      </c>
      <c r="J3072" s="3">
        <f t="shared" si="129"/>
        <v>21</v>
      </c>
      <c r="K3072" s="3">
        <f t="shared" si="130"/>
        <v>-21</v>
      </c>
      <c r="L3072" s="3" t="str">
        <f t="shared" si="131"/>
        <v>CRÍTICO</v>
      </c>
      <c r="N3072">
        <v>92.68</v>
      </c>
      <c r="O3072">
        <v>27.777777777777779</v>
      </c>
    </row>
    <row r="3073" spans="1:15" x14ac:dyDescent="0.25">
      <c r="A3073" s="11">
        <v>46098</v>
      </c>
      <c r="B3073" t="s">
        <v>29</v>
      </c>
      <c r="C3073" t="s">
        <v>16</v>
      </c>
      <c r="D3073">
        <v>0</v>
      </c>
      <c r="E3073">
        <v>0</v>
      </c>
      <c r="F3073">
        <v>0</v>
      </c>
      <c r="G3073">
        <v>0</v>
      </c>
      <c r="H3073">
        <v>0</v>
      </c>
      <c r="I3073" s="3">
        <f t="shared" si="128"/>
        <v>0</v>
      </c>
      <c r="J3073" s="3">
        <f t="shared" si="129"/>
        <v>17</v>
      </c>
      <c r="K3073" s="3">
        <f t="shared" si="130"/>
        <v>-17</v>
      </c>
      <c r="L3073" s="3" t="str">
        <f t="shared" si="131"/>
        <v>CRÍTICO</v>
      </c>
      <c r="N3073">
        <v>99.03</v>
      </c>
      <c r="O3073">
        <v>23.991507430997881</v>
      </c>
    </row>
    <row r="3074" spans="1:15" x14ac:dyDescent="0.25">
      <c r="A3074" s="11">
        <v>46098</v>
      </c>
      <c r="B3074" t="s">
        <v>30</v>
      </c>
      <c r="C3074" t="s">
        <v>20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 t="shared" si="128"/>
        <v>22</v>
      </c>
      <c r="J3074" s="3">
        <f t="shared" si="129"/>
        <v>14</v>
      </c>
      <c r="K3074" s="3">
        <f t="shared" si="130"/>
        <v>8</v>
      </c>
      <c r="L3074" s="3" t="str">
        <f t="shared" si="131"/>
        <v>MUITO BOM</v>
      </c>
      <c r="N3074">
        <v>98.41</v>
      </c>
      <c r="O3074">
        <v>28.138528138528141</v>
      </c>
    </row>
    <row r="3075" spans="1:15" x14ac:dyDescent="0.25">
      <c r="A3075" s="11">
        <v>46098</v>
      </c>
      <c r="B3075" t="s">
        <v>31</v>
      </c>
      <c r="C3075" t="s">
        <v>18</v>
      </c>
      <c r="D3075">
        <v>0</v>
      </c>
      <c r="E3075">
        <v>0</v>
      </c>
      <c r="F3075">
        <v>0</v>
      </c>
      <c r="G3075">
        <v>0</v>
      </c>
      <c r="H3075">
        <v>0</v>
      </c>
      <c r="I3075" s="3">
        <f t="shared" si="128"/>
        <v>0</v>
      </c>
      <c r="J3075" s="3">
        <f t="shared" si="129"/>
        <v>21</v>
      </c>
      <c r="K3075" s="3">
        <f t="shared" si="130"/>
        <v>-21</v>
      </c>
      <c r="L3075" s="3" t="str">
        <f t="shared" si="131"/>
        <v>CRÍTICO</v>
      </c>
      <c r="N3075">
        <v>98.73</v>
      </c>
      <c r="O3075">
        <v>29.142857142857139</v>
      </c>
    </row>
    <row r="3076" spans="1:15" x14ac:dyDescent="0.25">
      <c r="A3076" s="11">
        <v>46098</v>
      </c>
      <c r="B3076" t="s">
        <v>32</v>
      </c>
      <c r="C3076" t="s">
        <v>23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 t="shared" si="128"/>
        <v>8</v>
      </c>
      <c r="J3076" s="3">
        <f t="shared" si="129"/>
        <v>6</v>
      </c>
      <c r="K3076" s="3">
        <f t="shared" si="130"/>
        <v>2</v>
      </c>
      <c r="L3076" s="3" t="str">
        <f t="shared" si="131"/>
        <v>OPORTUNO</v>
      </c>
      <c r="N3076">
        <v>90.48</v>
      </c>
      <c r="O3076">
        <v>20.68965517241379</v>
      </c>
    </row>
    <row r="3077" spans="1:15" x14ac:dyDescent="0.25">
      <c r="A3077" s="11">
        <v>46098</v>
      </c>
      <c r="B3077" t="s">
        <v>33</v>
      </c>
      <c r="C3077" t="s">
        <v>16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 t="shared" si="128"/>
        <v>25</v>
      </c>
      <c r="J3077" s="3">
        <f t="shared" si="129"/>
        <v>17</v>
      </c>
      <c r="K3077" s="3">
        <f t="shared" si="130"/>
        <v>8</v>
      </c>
      <c r="L3077" s="3" t="str">
        <f t="shared" si="131"/>
        <v>MUITO BOM</v>
      </c>
      <c r="N3077">
        <v>98.06</v>
      </c>
      <c r="O3077">
        <v>24.789915966386559</v>
      </c>
    </row>
    <row r="3078" spans="1:15" x14ac:dyDescent="0.25">
      <c r="A3078" s="11">
        <v>46098</v>
      </c>
      <c r="B3078" t="s">
        <v>34</v>
      </c>
      <c r="C3078" t="s">
        <v>18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 t="shared" si="128"/>
        <v>29</v>
      </c>
      <c r="J3078" s="3">
        <f t="shared" si="129"/>
        <v>21</v>
      </c>
      <c r="K3078" s="3">
        <f t="shared" si="130"/>
        <v>8</v>
      </c>
      <c r="L3078" s="3" t="str">
        <f t="shared" si="131"/>
        <v>MUITO BOM</v>
      </c>
      <c r="N3078">
        <v>97.78</v>
      </c>
      <c r="O3078">
        <v>25.494071146245059</v>
      </c>
    </row>
    <row r="3079" spans="1:15" x14ac:dyDescent="0.25">
      <c r="A3079" s="11">
        <v>46098</v>
      </c>
      <c r="B3079" t="s">
        <v>35</v>
      </c>
      <c r="C3079" t="s">
        <v>16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 t="shared" si="128"/>
        <v>20</v>
      </c>
      <c r="J3079" s="3">
        <f t="shared" si="129"/>
        <v>17</v>
      </c>
      <c r="K3079" s="3">
        <f t="shared" si="130"/>
        <v>3</v>
      </c>
      <c r="L3079" s="3" t="str">
        <f t="shared" si="131"/>
        <v>OPORTUNO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36</v>
      </c>
      <c r="C3080" t="s">
        <v>20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 t="shared" si="128"/>
        <v>9</v>
      </c>
      <c r="J3080" s="3">
        <f t="shared" si="129"/>
        <v>12</v>
      </c>
      <c r="K3080" s="3">
        <f t="shared" si="130"/>
        <v>-3</v>
      </c>
      <c r="L3080" s="3" t="str">
        <f t="shared" si="131"/>
        <v>ATENÇÃO</v>
      </c>
      <c r="N3080">
        <v>99.28</v>
      </c>
      <c r="O3080">
        <v>27.689243027888441</v>
      </c>
    </row>
    <row r="3081" spans="1:15" x14ac:dyDescent="0.25">
      <c r="A3081" s="11">
        <v>46098</v>
      </c>
      <c r="B3081" t="s">
        <v>37</v>
      </c>
      <c r="C3081" t="s">
        <v>16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 t="shared" si="128"/>
        <v>31</v>
      </c>
      <c r="J3081" s="3">
        <f t="shared" si="129"/>
        <v>17</v>
      </c>
      <c r="K3081" s="3">
        <f t="shared" si="130"/>
        <v>14</v>
      </c>
      <c r="L3081" s="3" t="str">
        <f t="shared" si="131"/>
        <v>MUITO BOM</v>
      </c>
      <c r="N3081">
        <v>100</v>
      </c>
      <c r="O3081">
        <v>27.04918032786885</v>
      </c>
    </row>
    <row r="3082" spans="1:15" x14ac:dyDescent="0.25">
      <c r="A3082" s="11">
        <v>46098</v>
      </c>
      <c r="B3082" t="s">
        <v>38</v>
      </c>
      <c r="C3082" t="s">
        <v>18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 t="shared" si="128"/>
        <v>39</v>
      </c>
      <c r="J3082" s="3">
        <f t="shared" si="129"/>
        <v>21</v>
      </c>
      <c r="K3082" s="3">
        <f t="shared" si="130"/>
        <v>18</v>
      </c>
      <c r="L3082" s="3" t="str">
        <f t="shared" si="131"/>
        <v>MUITO BOM</v>
      </c>
      <c r="N3082">
        <v>97.83</v>
      </c>
      <c r="O3082">
        <v>26.315789473684209</v>
      </c>
    </row>
    <row r="3083" spans="1:15" x14ac:dyDescent="0.25">
      <c r="A3083" s="11">
        <v>46098</v>
      </c>
      <c r="B3083" t="s">
        <v>39</v>
      </c>
      <c r="C3083" t="s">
        <v>18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 t="shared" si="128"/>
        <v>8</v>
      </c>
      <c r="J3083" s="3">
        <f t="shared" si="129"/>
        <v>21</v>
      </c>
      <c r="K3083" s="3">
        <f t="shared" si="130"/>
        <v>-13</v>
      </c>
      <c r="L3083" s="3" t="str">
        <f t="shared" si="131"/>
        <v>CRÍTICO</v>
      </c>
      <c r="N3083">
        <v>100</v>
      </c>
      <c r="O3083">
        <v>26.701570680628269</v>
      </c>
    </row>
    <row r="3084" spans="1:15" x14ac:dyDescent="0.25">
      <c r="A3084" s="11">
        <v>46098</v>
      </c>
      <c r="B3084" t="s">
        <v>40</v>
      </c>
      <c r="C3084" t="s">
        <v>16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 t="shared" si="128"/>
        <v>26</v>
      </c>
      <c r="J3084" s="3">
        <f t="shared" si="129"/>
        <v>17</v>
      </c>
      <c r="K3084" s="3">
        <f t="shared" si="130"/>
        <v>9</v>
      </c>
      <c r="L3084" s="3" t="str">
        <f t="shared" si="131"/>
        <v>MUITO BOM</v>
      </c>
      <c r="N3084">
        <v>97.47</v>
      </c>
      <c r="O3084">
        <v>22.887323943661968</v>
      </c>
    </row>
    <row r="3085" spans="1:15" x14ac:dyDescent="0.25">
      <c r="A3085" s="11">
        <v>46098</v>
      </c>
      <c r="B3085" t="s">
        <v>41</v>
      </c>
      <c r="C3085" t="s">
        <v>18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f t="shared" si="128"/>
        <v>0</v>
      </c>
      <c r="J3085" s="3">
        <f t="shared" si="129"/>
        <v>21</v>
      </c>
      <c r="K3085" s="3">
        <f t="shared" si="130"/>
        <v>-21</v>
      </c>
      <c r="L3085" s="3" t="str">
        <f t="shared" si="131"/>
        <v>CRÍTICO</v>
      </c>
      <c r="N3085">
        <v>0</v>
      </c>
      <c r="O3085">
        <v>0</v>
      </c>
    </row>
    <row r="3086" spans="1:15" x14ac:dyDescent="0.25">
      <c r="A3086" s="11">
        <v>46098</v>
      </c>
      <c r="B3086" t="s">
        <v>42</v>
      </c>
      <c r="C3086" t="s">
        <v>43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 t="shared" si="128"/>
        <v>6</v>
      </c>
      <c r="J3086" s="3">
        <f t="shared" si="129"/>
        <v>12</v>
      </c>
      <c r="K3086" s="3">
        <f t="shared" si="130"/>
        <v>-6</v>
      </c>
      <c r="L3086" s="3" t="str">
        <f t="shared" si="131"/>
        <v>CRÍTICO</v>
      </c>
      <c r="N3086">
        <v>98.31</v>
      </c>
      <c r="O3086">
        <v>24.920127795527151</v>
      </c>
    </row>
    <row r="3087" spans="1:15" x14ac:dyDescent="0.25">
      <c r="A3087" s="11">
        <v>46098</v>
      </c>
      <c r="B3087" t="s">
        <v>44</v>
      </c>
      <c r="C3087" t="s">
        <v>18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 t="shared" si="128"/>
        <v>1</v>
      </c>
      <c r="J3087" s="3">
        <f t="shared" si="129"/>
        <v>21</v>
      </c>
      <c r="K3087" s="3">
        <f t="shared" si="130"/>
        <v>-20</v>
      </c>
      <c r="L3087" s="3" t="str">
        <f t="shared" si="131"/>
        <v>CRÍTICO</v>
      </c>
      <c r="N3087">
        <v>96.81</v>
      </c>
      <c r="O3087">
        <v>32.365145228215773</v>
      </c>
    </row>
    <row r="3088" spans="1:15" x14ac:dyDescent="0.25">
      <c r="A3088" s="11">
        <v>46098</v>
      </c>
      <c r="B3088" t="s">
        <v>45</v>
      </c>
      <c r="C3088" t="s">
        <v>43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 t="shared" si="128"/>
        <v>9</v>
      </c>
      <c r="J3088" s="3">
        <f t="shared" si="129"/>
        <v>12</v>
      </c>
      <c r="K3088" s="3">
        <f t="shared" si="130"/>
        <v>-3</v>
      </c>
      <c r="L3088" s="3" t="str">
        <f t="shared" si="131"/>
        <v>ATENÇÃO</v>
      </c>
      <c r="N3088">
        <v>100</v>
      </c>
      <c r="O3088">
        <v>26.47058823529412</v>
      </c>
    </row>
    <row r="3089" spans="1:15" x14ac:dyDescent="0.25">
      <c r="A3089" s="11">
        <v>46098</v>
      </c>
      <c r="B3089" t="s">
        <v>46</v>
      </c>
      <c r="C3089" t="s">
        <v>18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 t="shared" si="128"/>
        <v>18</v>
      </c>
      <c r="J3089" s="3">
        <f t="shared" si="129"/>
        <v>21</v>
      </c>
      <c r="K3089" s="3">
        <f t="shared" si="130"/>
        <v>-3</v>
      </c>
      <c r="L3089" s="3" t="str">
        <f t="shared" si="131"/>
        <v>ATENÇÃO</v>
      </c>
      <c r="N3089">
        <v>100</v>
      </c>
      <c r="O3089">
        <v>28.490028490028489</v>
      </c>
    </row>
    <row r="3090" spans="1:15" x14ac:dyDescent="0.25">
      <c r="A3090" s="11">
        <v>46098</v>
      </c>
      <c r="B3090" t="s">
        <v>47</v>
      </c>
      <c r="C3090" t="s">
        <v>16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 t="shared" si="128"/>
        <v>36</v>
      </c>
      <c r="J3090" s="3">
        <f t="shared" si="129"/>
        <v>17</v>
      </c>
      <c r="K3090" s="3">
        <f t="shared" si="130"/>
        <v>19</v>
      </c>
      <c r="L3090" s="3" t="str">
        <f t="shared" si="131"/>
        <v>MUITO BOM</v>
      </c>
      <c r="N3090">
        <v>99.14</v>
      </c>
      <c r="O3090">
        <v>27.2289156626506</v>
      </c>
    </row>
    <row r="3091" spans="1:15" x14ac:dyDescent="0.25">
      <c r="A3091" s="11">
        <v>46098</v>
      </c>
      <c r="B3091" t="s">
        <v>48</v>
      </c>
      <c r="C3091" t="s">
        <v>16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f t="shared" ref="I3091:I3154" si="132">E3091+G3091+H3091</f>
        <v>0</v>
      </c>
      <c r="J3091" s="3">
        <f t="shared" ref="J3091:J3154" si="133"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>17</v>
      </c>
      <c r="K3091" s="3">
        <f t="shared" ref="K3091:K3154" si="134">I3091-J3091</f>
        <v>-17</v>
      </c>
      <c r="L3091" s="3" t="str">
        <f t="shared" ref="L3091:L3154" si="135">IF(K3091&lt;-5,"CRÍTICO",IF(K3091&lt;0,"ATENÇÃO",IF(K3091&lt;=5,"OPORTUNO","MUITO BOM")))</f>
        <v>CRÍTICO</v>
      </c>
      <c r="N3091">
        <v>97.52</v>
      </c>
      <c r="O3091">
        <v>28.205128205128201</v>
      </c>
    </row>
    <row r="3092" spans="1:15" x14ac:dyDescent="0.25">
      <c r="A3092" s="11">
        <v>46098</v>
      </c>
      <c r="B3092" t="s">
        <v>49</v>
      </c>
      <c r="C3092" t="s">
        <v>18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f t="shared" si="132"/>
        <v>0</v>
      </c>
      <c r="J3092" s="3">
        <f t="shared" si="133"/>
        <v>21</v>
      </c>
      <c r="K3092" s="3">
        <f t="shared" si="134"/>
        <v>-21</v>
      </c>
      <c r="L3092" s="3" t="str">
        <f t="shared" si="135"/>
        <v>CRÍTICO</v>
      </c>
      <c r="N3092">
        <v>90</v>
      </c>
      <c r="O3092">
        <v>24.186046511627911</v>
      </c>
    </row>
    <row r="3093" spans="1:15" x14ac:dyDescent="0.25">
      <c r="A3093" s="11">
        <v>46098</v>
      </c>
      <c r="B3093" t="s">
        <v>50</v>
      </c>
      <c r="C3093" t="s">
        <v>20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 t="shared" si="132"/>
        <v>16</v>
      </c>
      <c r="J3093" s="3">
        <f t="shared" si="133"/>
        <v>14</v>
      </c>
      <c r="K3093" s="3">
        <f t="shared" si="134"/>
        <v>2</v>
      </c>
      <c r="L3093" s="3" t="str">
        <f t="shared" si="135"/>
        <v>OPORTUNO</v>
      </c>
      <c r="N3093">
        <v>98.9</v>
      </c>
      <c r="O3093">
        <v>26.763990267639901</v>
      </c>
    </row>
    <row r="3094" spans="1:15" x14ac:dyDescent="0.25">
      <c r="A3094" s="11">
        <v>46098</v>
      </c>
      <c r="B3094" t="s">
        <v>51</v>
      </c>
      <c r="C3094" t="s">
        <v>23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 t="shared" si="132"/>
        <v>8</v>
      </c>
      <c r="J3094" s="3">
        <f t="shared" si="133"/>
        <v>6</v>
      </c>
      <c r="K3094" s="3">
        <f t="shared" si="134"/>
        <v>2</v>
      </c>
      <c r="L3094" s="3" t="str">
        <f t="shared" si="135"/>
        <v>OPORTUNO</v>
      </c>
      <c r="N3094">
        <v>88.89</v>
      </c>
      <c r="O3094">
        <v>25.263157894736839</v>
      </c>
    </row>
    <row r="3095" spans="1:15" x14ac:dyDescent="0.25">
      <c r="A3095" s="11">
        <v>46098</v>
      </c>
      <c r="B3095" t="s">
        <v>52</v>
      </c>
      <c r="C3095" t="s">
        <v>18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 t="shared" si="132"/>
        <v>32</v>
      </c>
      <c r="J3095" s="3">
        <f t="shared" si="133"/>
        <v>21</v>
      </c>
      <c r="K3095" s="3">
        <f t="shared" si="134"/>
        <v>11</v>
      </c>
      <c r="L3095" s="3" t="str">
        <f t="shared" si="135"/>
        <v>MUITO BOM</v>
      </c>
      <c r="N3095">
        <v>98.86</v>
      </c>
      <c r="O3095">
        <v>28.959276018099551</v>
      </c>
    </row>
    <row r="3096" spans="1:15" x14ac:dyDescent="0.25">
      <c r="A3096" s="11">
        <v>46098</v>
      </c>
      <c r="B3096" t="s">
        <v>53</v>
      </c>
      <c r="C3096" t="s">
        <v>18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 t="shared" si="132"/>
        <v>2</v>
      </c>
      <c r="J3096" s="3">
        <f t="shared" si="133"/>
        <v>21</v>
      </c>
      <c r="K3096" s="3">
        <f t="shared" si="134"/>
        <v>-19</v>
      </c>
      <c r="L3096" s="3" t="str">
        <f t="shared" si="135"/>
        <v>CRÍTICO</v>
      </c>
      <c r="N3096">
        <v>98.06</v>
      </c>
      <c r="O3096">
        <v>22.40566037735849</v>
      </c>
    </row>
    <row r="3097" spans="1:15" x14ac:dyDescent="0.25">
      <c r="A3097" s="11">
        <v>46098</v>
      </c>
      <c r="B3097" t="s">
        <v>54</v>
      </c>
      <c r="C3097" t="s">
        <v>23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f t="shared" si="132"/>
        <v>0</v>
      </c>
      <c r="J3097" s="3">
        <f t="shared" si="133"/>
        <v>6</v>
      </c>
      <c r="K3097" s="3">
        <f t="shared" si="134"/>
        <v>-6</v>
      </c>
      <c r="L3097" s="3" t="str">
        <f t="shared" si="135"/>
        <v>CRÍTICO</v>
      </c>
      <c r="N3097">
        <v>95.83</v>
      </c>
      <c r="O3097">
        <v>25.773195876288661</v>
      </c>
    </row>
    <row r="3098" spans="1:15" x14ac:dyDescent="0.25">
      <c r="A3098" s="11">
        <v>46098</v>
      </c>
      <c r="B3098" t="s">
        <v>55</v>
      </c>
      <c r="C3098" t="s">
        <v>43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f t="shared" si="132"/>
        <v>0</v>
      </c>
      <c r="J3098" s="3">
        <f t="shared" si="133"/>
        <v>12</v>
      </c>
      <c r="K3098" s="3">
        <f t="shared" si="134"/>
        <v>-12</v>
      </c>
      <c r="L3098" s="3" t="str">
        <f t="shared" si="135"/>
        <v>CRÍTICO</v>
      </c>
      <c r="N3098">
        <v>100</v>
      </c>
      <c r="O3098">
        <v>15.38461538461539</v>
      </c>
    </row>
    <row r="3099" spans="1:15" x14ac:dyDescent="0.25">
      <c r="A3099" s="11">
        <v>46098</v>
      </c>
      <c r="B3099" t="s">
        <v>56</v>
      </c>
      <c r="C3099" t="s">
        <v>16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 t="shared" si="132"/>
        <v>33</v>
      </c>
      <c r="J3099" s="3">
        <f t="shared" si="133"/>
        <v>17</v>
      </c>
      <c r="K3099" s="3">
        <f t="shared" si="134"/>
        <v>16</v>
      </c>
      <c r="L3099" s="3" t="str">
        <f t="shared" si="135"/>
        <v>MUITO BOM</v>
      </c>
      <c r="N3099">
        <v>100</v>
      </c>
      <c r="O3099">
        <v>27.514792899408281</v>
      </c>
    </row>
    <row r="3100" spans="1:15" x14ac:dyDescent="0.25">
      <c r="A3100" s="11">
        <v>46098</v>
      </c>
      <c r="B3100" t="s">
        <v>57</v>
      </c>
      <c r="C3100" t="s">
        <v>43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 t="shared" si="132"/>
        <v>14</v>
      </c>
      <c r="J3100" s="3">
        <f t="shared" si="133"/>
        <v>12</v>
      </c>
      <c r="K3100" s="3">
        <f t="shared" si="134"/>
        <v>2</v>
      </c>
      <c r="L3100" s="3" t="str">
        <f t="shared" si="135"/>
        <v>OPORTUNO</v>
      </c>
      <c r="N3100">
        <v>100</v>
      </c>
      <c r="O3100">
        <v>24.875621890547269</v>
      </c>
    </row>
    <row r="3101" spans="1:15" x14ac:dyDescent="0.25">
      <c r="A3101" s="11">
        <v>46098</v>
      </c>
      <c r="B3101" t="s">
        <v>58</v>
      </c>
      <c r="C3101" t="s">
        <v>43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 t="shared" si="132"/>
        <v>15</v>
      </c>
      <c r="J3101" s="3">
        <f t="shared" si="133"/>
        <v>12</v>
      </c>
      <c r="K3101" s="3">
        <f t="shared" si="134"/>
        <v>3</v>
      </c>
      <c r="L3101" s="3" t="str">
        <f t="shared" si="135"/>
        <v>OPORTUNO</v>
      </c>
      <c r="N3101">
        <v>100</v>
      </c>
      <c r="O3101">
        <v>28.108108108108109</v>
      </c>
    </row>
    <row r="3102" spans="1:15" x14ac:dyDescent="0.25">
      <c r="A3102" s="11">
        <v>46098</v>
      </c>
      <c r="B3102" t="s">
        <v>59</v>
      </c>
      <c r="C3102" t="s">
        <v>23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f t="shared" si="132"/>
        <v>0</v>
      </c>
      <c r="J3102" s="3">
        <f t="shared" si="133"/>
        <v>6</v>
      </c>
      <c r="K3102" s="3">
        <f t="shared" si="134"/>
        <v>-6</v>
      </c>
      <c r="L3102" s="3" t="str">
        <f t="shared" si="135"/>
        <v>CRÍTICO</v>
      </c>
      <c r="N3102">
        <v>100</v>
      </c>
      <c r="O3102">
        <v>35</v>
      </c>
    </row>
    <row r="3103" spans="1:15" x14ac:dyDescent="0.25">
      <c r="A3103" s="11">
        <v>46098</v>
      </c>
      <c r="B3103" t="s">
        <v>60</v>
      </c>
      <c r="C3103" t="s">
        <v>20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 t="shared" si="132"/>
        <v>19</v>
      </c>
      <c r="J3103" s="3">
        <f t="shared" si="133"/>
        <v>14</v>
      </c>
      <c r="K3103" s="3">
        <f t="shared" si="134"/>
        <v>5</v>
      </c>
      <c r="L3103" s="3" t="str">
        <f t="shared" si="135"/>
        <v>OPORTUNO</v>
      </c>
      <c r="N3103">
        <v>95.35</v>
      </c>
      <c r="O3103">
        <v>28.61538461538461</v>
      </c>
    </row>
    <row r="3104" spans="1:15" x14ac:dyDescent="0.25">
      <c r="A3104" s="11">
        <v>46098</v>
      </c>
      <c r="B3104" t="s">
        <v>61</v>
      </c>
      <c r="C3104" t="s">
        <v>18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 t="shared" si="132"/>
        <v>37</v>
      </c>
      <c r="J3104" s="3">
        <f t="shared" si="133"/>
        <v>21</v>
      </c>
      <c r="K3104" s="3">
        <f t="shared" si="134"/>
        <v>16</v>
      </c>
      <c r="L3104" s="3" t="str">
        <f t="shared" si="135"/>
        <v>MUITO BOM</v>
      </c>
      <c r="N3104">
        <v>98.26</v>
      </c>
      <c r="O3104">
        <v>27.54491017964072</v>
      </c>
    </row>
    <row r="3105" spans="1:15" x14ac:dyDescent="0.25">
      <c r="A3105" s="11">
        <v>46098</v>
      </c>
      <c r="B3105" t="s">
        <v>62</v>
      </c>
      <c r="C3105" t="s">
        <v>20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 t="shared" si="132"/>
        <v>10</v>
      </c>
      <c r="J3105" s="3">
        <f t="shared" si="133"/>
        <v>14</v>
      </c>
      <c r="K3105" s="3">
        <f t="shared" si="134"/>
        <v>-4</v>
      </c>
      <c r="L3105" s="3" t="str">
        <f t="shared" si="135"/>
        <v>ATENÇÃO</v>
      </c>
      <c r="N3105">
        <v>98.55</v>
      </c>
      <c r="O3105">
        <v>25.337837837837839</v>
      </c>
    </row>
    <row r="3106" spans="1:15" x14ac:dyDescent="0.25">
      <c r="A3106" s="11">
        <v>46098</v>
      </c>
      <c r="B3106" t="s">
        <v>63</v>
      </c>
      <c r="C3106" t="s">
        <v>18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 t="shared" si="132"/>
        <v>26</v>
      </c>
      <c r="J3106" s="3">
        <f t="shared" si="133"/>
        <v>21</v>
      </c>
      <c r="K3106" s="3">
        <f t="shared" si="134"/>
        <v>5</v>
      </c>
      <c r="L3106" s="3" t="str">
        <f t="shared" si="135"/>
        <v>OPORTUNO</v>
      </c>
      <c r="N3106">
        <v>98.39</v>
      </c>
      <c r="O3106">
        <v>25.563909774436091</v>
      </c>
    </row>
    <row r="3107" spans="1:15" x14ac:dyDescent="0.25">
      <c r="A3107" s="11">
        <v>46099</v>
      </c>
      <c r="B3107" t="s">
        <v>15</v>
      </c>
      <c r="C3107" t="s">
        <v>16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 t="shared" si="132"/>
        <v>24</v>
      </c>
      <c r="J3107" s="3">
        <f t="shared" si="133"/>
        <v>16</v>
      </c>
      <c r="K3107" s="3">
        <f t="shared" si="134"/>
        <v>8</v>
      </c>
      <c r="L3107" s="3" t="str">
        <f t="shared" si="135"/>
        <v>MUITO BOM</v>
      </c>
      <c r="N3107">
        <v>94.29</v>
      </c>
      <c r="O3107">
        <v>25.647668393782389</v>
      </c>
    </row>
    <row r="3108" spans="1:15" x14ac:dyDescent="0.25">
      <c r="A3108" s="11">
        <v>46099</v>
      </c>
      <c r="B3108" t="s">
        <v>17</v>
      </c>
      <c r="C3108" t="s">
        <v>18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f t="shared" si="132"/>
        <v>0</v>
      </c>
      <c r="J3108" s="3">
        <f t="shared" si="133"/>
        <v>20</v>
      </c>
      <c r="K3108" s="3">
        <f t="shared" si="134"/>
        <v>-20</v>
      </c>
      <c r="L3108" s="3" t="str">
        <f t="shared" si="135"/>
        <v>CRÍTICO</v>
      </c>
      <c r="N3108">
        <v>98.26</v>
      </c>
      <c r="O3108">
        <v>26.666666666666671</v>
      </c>
    </row>
    <row r="3109" spans="1:15" x14ac:dyDescent="0.25">
      <c r="A3109" s="11">
        <v>46099</v>
      </c>
      <c r="B3109" t="s">
        <v>19</v>
      </c>
      <c r="C3109" t="s">
        <v>20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 t="shared" si="132"/>
        <v>7</v>
      </c>
      <c r="J3109" s="3">
        <f t="shared" si="133"/>
        <v>13</v>
      </c>
      <c r="K3109" s="3">
        <f t="shared" si="134"/>
        <v>-6</v>
      </c>
      <c r="L3109" s="3" t="str">
        <f t="shared" si="135"/>
        <v>CRÍTICO</v>
      </c>
      <c r="N3109">
        <v>98.2</v>
      </c>
      <c r="O3109">
        <v>23.37962962962963</v>
      </c>
    </row>
    <row r="3110" spans="1:15" x14ac:dyDescent="0.25">
      <c r="A3110" s="11">
        <v>46099</v>
      </c>
      <c r="B3110" t="s">
        <v>21</v>
      </c>
      <c r="C3110" t="s">
        <v>18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 t="shared" si="132"/>
        <v>28</v>
      </c>
      <c r="J3110" s="3">
        <f t="shared" si="133"/>
        <v>20</v>
      </c>
      <c r="K3110" s="3">
        <f t="shared" si="134"/>
        <v>8</v>
      </c>
      <c r="L3110" s="3" t="str">
        <f t="shared" si="135"/>
        <v>MUITO BOM</v>
      </c>
      <c r="N3110">
        <v>97.3</v>
      </c>
      <c r="O3110">
        <v>23.84769539078156</v>
      </c>
    </row>
    <row r="3111" spans="1:15" x14ac:dyDescent="0.25">
      <c r="A3111" s="11">
        <v>46099</v>
      </c>
      <c r="B3111" t="s">
        <v>22</v>
      </c>
      <c r="C3111" t="s">
        <v>23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 t="shared" si="132"/>
        <v>8</v>
      </c>
      <c r="J3111" s="3">
        <f t="shared" si="133"/>
        <v>6</v>
      </c>
      <c r="K3111" s="3">
        <f t="shared" si="134"/>
        <v>2</v>
      </c>
      <c r="L3111" s="3" t="str">
        <f t="shared" si="135"/>
        <v>OPORTUNO</v>
      </c>
      <c r="N3111">
        <v>100</v>
      </c>
      <c r="O3111">
        <v>25.268817204301079</v>
      </c>
    </row>
    <row r="3112" spans="1:15" x14ac:dyDescent="0.25">
      <c r="A3112" s="11">
        <v>46099</v>
      </c>
      <c r="B3112" t="s">
        <v>24</v>
      </c>
      <c r="C3112" t="s">
        <v>16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 t="shared" si="132"/>
        <v>26</v>
      </c>
      <c r="J3112" s="3">
        <f t="shared" si="133"/>
        <v>16</v>
      </c>
      <c r="K3112" s="3">
        <f t="shared" si="134"/>
        <v>10</v>
      </c>
      <c r="L3112" s="3" t="str">
        <f t="shared" si="135"/>
        <v>MUITO BOM</v>
      </c>
      <c r="N3112">
        <v>99.32</v>
      </c>
      <c r="O3112">
        <v>22.822822822822818</v>
      </c>
    </row>
    <row r="3113" spans="1:15" x14ac:dyDescent="0.25">
      <c r="A3113" s="11">
        <v>46099</v>
      </c>
      <c r="B3113" t="s">
        <v>25</v>
      </c>
      <c r="C3113" t="s">
        <v>16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 t="shared" si="132"/>
        <v>16</v>
      </c>
      <c r="J3113" s="3">
        <f t="shared" si="133"/>
        <v>16</v>
      </c>
      <c r="K3113" s="3">
        <f t="shared" si="134"/>
        <v>0</v>
      </c>
      <c r="L3113" s="3" t="str">
        <f t="shared" si="135"/>
        <v>OPORTUNO</v>
      </c>
      <c r="N3113">
        <v>100</v>
      </c>
      <c r="O3113">
        <v>27.966101694915249</v>
      </c>
    </row>
    <row r="3114" spans="1:15" x14ac:dyDescent="0.25">
      <c r="A3114" s="11">
        <v>46099</v>
      </c>
      <c r="B3114" t="s">
        <v>26</v>
      </c>
      <c r="C3114" t="s">
        <v>23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f t="shared" si="132"/>
        <v>0</v>
      </c>
      <c r="J3114" s="3">
        <f t="shared" si="133"/>
        <v>6</v>
      </c>
      <c r="K3114" s="3">
        <f t="shared" si="134"/>
        <v>-6</v>
      </c>
      <c r="L3114" s="3" t="str">
        <f t="shared" si="135"/>
        <v>CRÍTICO</v>
      </c>
      <c r="N3114">
        <v>100</v>
      </c>
      <c r="O3114">
        <v>30.434782608695659</v>
      </c>
    </row>
    <row r="3115" spans="1:15" x14ac:dyDescent="0.25">
      <c r="A3115" s="11">
        <v>46099</v>
      </c>
      <c r="B3115" t="s">
        <v>27</v>
      </c>
      <c r="C3115" t="s">
        <v>20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 t="shared" si="132"/>
        <v>19</v>
      </c>
      <c r="J3115" s="3">
        <f t="shared" si="133"/>
        <v>13</v>
      </c>
      <c r="K3115" s="3">
        <f t="shared" si="134"/>
        <v>6</v>
      </c>
      <c r="L3115" s="3" t="str">
        <f t="shared" si="135"/>
        <v>MUITO BOM</v>
      </c>
      <c r="N3115">
        <v>96.51</v>
      </c>
      <c r="O3115">
        <v>22.802850356294542</v>
      </c>
    </row>
    <row r="3116" spans="1:15" x14ac:dyDescent="0.25">
      <c r="A3116" s="11">
        <v>46099</v>
      </c>
      <c r="B3116" t="s">
        <v>28</v>
      </c>
      <c r="C3116" t="s">
        <v>18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f t="shared" si="132"/>
        <v>0</v>
      </c>
      <c r="J3116" s="3">
        <f t="shared" si="133"/>
        <v>20</v>
      </c>
      <c r="K3116" s="3">
        <f t="shared" si="134"/>
        <v>-20</v>
      </c>
      <c r="L3116" s="3" t="str">
        <f t="shared" si="135"/>
        <v>CRÍTICO</v>
      </c>
      <c r="N3116">
        <v>92.68</v>
      </c>
      <c r="O3116">
        <v>27.777777777777779</v>
      </c>
    </row>
    <row r="3117" spans="1:15" x14ac:dyDescent="0.25">
      <c r="A3117" s="11">
        <v>46099</v>
      </c>
      <c r="B3117" t="s">
        <v>29</v>
      </c>
      <c r="C3117" t="s">
        <v>16</v>
      </c>
      <c r="D3117">
        <v>0</v>
      </c>
      <c r="E3117">
        <v>0</v>
      </c>
      <c r="F3117">
        <v>0</v>
      </c>
      <c r="G3117">
        <v>0</v>
      </c>
      <c r="H3117">
        <v>0</v>
      </c>
      <c r="I3117" s="3">
        <f t="shared" si="132"/>
        <v>0</v>
      </c>
      <c r="J3117" s="3">
        <f t="shared" si="133"/>
        <v>16</v>
      </c>
      <c r="K3117" s="3">
        <f t="shared" si="134"/>
        <v>-16</v>
      </c>
      <c r="L3117" s="3" t="str">
        <f t="shared" si="135"/>
        <v>CRÍTICO</v>
      </c>
      <c r="N3117">
        <v>99.03</v>
      </c>
      <c r="O3117">
        <v>23.991507430997881</v>
      </c>
    </row>
    <row r="3118" spans="1:15" x14ac:dyDescent="0.25">
      <c r="A3118" s="11">
        <v>46099</v>
      </c>
      <c r="B3118" t="s">
        <v>30</v>
      </c>
      <c r="C3118" t="s">
        <v>20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 t="shared" si="132"/>
        <v>12</v>
      </c>
      <c r="J3118" s="3">
        <f t="shared" si="133"/>
        <v>13</v>
      </c>
      <c r="K3118" s="3">
        <f t="shared" si="134"/>
        <v>-1</v>
      </c>
      <c r="L3118" s="3" t="str">
        <f t="shared" si="135"/>
        <v>ATENÇÃO</v>
      </c>
      <c r="N3118">
        <v>98.41</v>
      </c>
      <c r="O3118">
        <v>28.138528138528141</v>
      </c>
    </row>
    <row r="3119" spans="1:15" x14ac:dyDescent="0.25">
      <c r="A3119" s="11">
        <v>46099</v>
      </c>
      <c r="B3119" t="s">
        <v>31</v>
      </c>
      <c r="C3119" t="s">
        <v>18</v>
      </c>
      <c r="D3119">
        <v>0</v>
      </c>
      <c r="E3119">
        <v>0</v>
      </c>
      <c r="F3119">
        <v>0</v>
      </c>
      <c r="G3119">
        <v>0</v>
      </c>
      <c r="H3119">
        <v>0</v>
      </c>
      <c r="I3119" s="3">
        <f t="shared" si="132"/>
        <v>0</v>
      </c>
      <c r="J3119" s="3">
        <f t="shared" si="133"/>
        <v>20</v>
      </c>
      <c r="K3119" s="3">
        <f t="shared" si="134"/>
        <v>-20</v>
      </c>
      <c r="L3119" s="3" t="str">
        <f t="shared" si="135"/>
        <v>CRÍTICO</v>
      </c>
      <c r="N3119">
        <v>98.73</v>
      </c>
      <c r="O3119">
        <v>29.142857142857139</v>
      </c>
    </row>
    <row r="3120" spans="1:15" x14ac:dyDescent="0.25">
      <c r="A3120" s="11">
        <v>46099</v>
      </c>
      <c r="B3120" t="s">
        <v>32</v>
      </c>
      <c r="C3120" t="s">
        <v>23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 t="shared" si="132"/>
        <v>6</v>
      </c>
      <c r="J3120" s="3">
        <f t="shared" si="133"/>
        <v>6</v>
      </c>
      <c r="K3120" s="3">
        <f t="shared" si="134"/>
        <v>0</v>
      </c>
      <c r="L3120" s="3" t="str">
        <f t="shared" si="135"/>
        <v>OPORTUNO</v>
      </c>
      <c r="N3120">
        <v>90.48</v>
      </c>
      <c r="O3120">
        <v>20.68965517241379</v>
      </c>
    </row>
    <row r="3121" spans="1:15" x14ac:dyDescent="0.25">
      <c r="A3121" s="11">
        <v>46099</v>
      </c>
      <c r="B3121" t="s">
        <v>33</v>
      </c>
      <c r="C3121" t="s">
        <v>16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 t="shared" si="132"/>
        <v>25</v>
      </c>
      <c r="J3121" s="3">
        <f t="shared" si="133"/>
        <v>16</v>
      </c>
      <c r="K3121" s="3">
        <f t="shared" si="134"/>
        <v>9</v>
      </c>
      <c r="L3121" s="3" t="str">
        <f t="shared" si="135"/>
        <v>MUITO BOM</v>
      </c>
      <c r="N3121">
        <v>98.06</v>
      </c>
      <c r="O3121">
        <v>24.789915966386559</v>
      </c>
    </row>
    <row r="3122" spans="1:15" x14ac:dyDescent="0.25">
      <c r="A3122" s="11">
        <v>46099</v>
      </c>
      <c r="B3122" t="s">
        <v>34</v>
      </c>
      <c r="C3122" t="s">
        <v>18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 t="shared" si="132"/>
        <v>30</v>
      </c>
      <c r="J3122" s="3">
        <f t="shared" si="133"/>
        <v>20</v>
      </c>
      <c r="K3122" s="3">
        <f t="shared" si="134"/>
        <v>10</v>
      </c>
      <c r="L3122" s="3" t="str">
        <f t="shared" si="135"/>
        <v>MUITO BOM</v>
      </c>
      <c r="N3122">
        <v>97.78</v>
      </c>
      <c r="O3122">
        <v>25.494071146245059</v>
      </c>
    </row>
    <row r="3123" spans="1:15" x14ac:dyDescent="0.25">
      <c r="A3123" s="11">
        <v>46099</v>
      </c>
      <c r="B3123" t="s">
        <v>35</v>
      </c>
      <c r="C3123" t="s">
        <v>16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 t="shared" si="132"/>
        <v>24</v>
      </c>
      <c r="J3123" s="3">
        <f t="shared" si="133"/>
        <v>16</v>
      </c>
      <c r="K3123" s="3">
        <f t="shared" si="134"/>
        <v>8</v>
      </c>
      <c r="L3123" s="3" t="str">
        <f t="shared" si="135"/>
        <v>MUITO BOM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36</v>
      </c>
      <c r="C3124" t="s">
        <v>20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 t="shared" si="132"/>
        <v>18</v>
      </c>
      <c r="J3124" s="3">
        <f t="shared" si="133"/>
        <v>14</v>
      </c>
      <c r="K3124" s="3">
        <f t="shared" si="134"/>
        <v>4</v>
      </c>
      <c r="L3124" s="3" t="str">
        <f t="shared" si="135"/>
        <v>OPORTUNO</v>
      </c>
      <c r="N3124">
        <v>99.28</v>
      </c>
      <c r="O3124">
        <v>27.689243027888441</v>
      </c>
    </row>
    <row r="3125" spans="1:15" x14ac:dyDescent="0.25">
      <c r="A3125" s="11">
        <v>46099</v>
      </c>
      <c r="B3125" t="s">
        <v>37</v>
      </c>
      <c r="C3125" t="s">
        <v>16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 t="shared" si="132"/>
        <v>27</v>
      </c>
      <c r="J3125" s="3">
        <f t="shared" si="133"/>
        <v>16</v>
      </c>
      <c r="K3125" s="3">
        <f t="shared" si="134"/>
        <v>11</v>
      </c>
      <c r="L3125" s="3" t="str">
        <f t="shared" si="135"/>
        <v>MUITO BOM</v>
      </c>
      <c r="N3125">
        <v>100</v>
      </c>
      <c r="O3125">
        <v>27.04918032786885</v>
      </c>
    </row>
    <row r="3126" spans="1:15" x14ac:dyDescent="0.25">
      <c r="A3126" s="11">
        <v>46099</v>
      </c>
      <c r="B3126" t="s">
        <v>38</v>
      </c>
      <c r="C3126" t="s">
        <v>18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 t="shared" si="132"/>
        <v>40</v>
      </c>
      <c r="J3126" s="3">
        <f t="shared" si="133"/>
        <v>20</v>
      </c>
      <c r="K3126" s="3">
        <f t="shared" si="134"/>
        <v>20</v>
      </c>
      <c r="L3126" s="3" t="str">
        <f t="shared" si="135"/>
        <v>MUITO BOM</v>
      </c>
      <c r="N3126">
        <v>97.83</v>
      </c>
      <c r="O3126">
        <v>26.315789473684209</v>
      </c>
    </row>
    <row r="3127" spans="1:15" x14ac:dyDescent="0.25">
      <c r="A3127" s="11">
        <v>46099</v>
      </c>
      <c r="B3127" t="s">
        <v>39</v>
      </c>
      <c r="C3127" t="s">
        <v>18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f t="shared" si="132"/>
        <v>0</v>
      </c>
      <c r="J3127" s="3">
        <f t="shared" si="133"/>
        <v>20</v>
      </c>
      <c r="K3127" s="3">
        <f t="shared" si="134"/>
        <v>-20</v>
      </c>
      <c r="L3127" s="3" t="str">
        <f t="shared" si="135"/>
        <v>CRÍTICO</v>
      </c>
      <c r="N3127">
        <v>100</v>
      </c>
      <c r="O3127">
        <v>26.701570680628269</v>
      </c>
    </row>
    <row r="3128" spans="1:15" x14ac:dyDescent="0.25">
      <c r="A3128" s="11">
        <v>46099</v>
      </c>
      <c r="B3128" t="s">
        <v>40</v>
      </c>
      <c r="C3128" t="s">
        <v>16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 t="shared" si="132"/>
        <v>16</v>
      </c>
      <c r="J3128" s="3">
        <f t="shared" si="133"/>
        <v>16</v>
      </c>
      <c r="K3128" s="3">
        <f t="shared" si="134"/>
        <v>0</v>
      </c>
      <c r="L3128" s="3" t="str">
        <f t="shared" si="135"/>
        <v>OPORTUNO</v>
      </c>
      <c r="N3128">
        <v>97.47</v>
      </c>
      <c r="O3128">
        <v>22.887323943661968</v>
      </c>
    </row>
    <row r="3129" spans="1:15" x14ac:dyDescent="0.25">
      <c r="A3129" s="11">
        <v>46099</v>
      </c>
      <c r="B3129" t="s">
        <v>41</v>
      </c>
      <c r="C3129" t="s">
        <v>18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f t="shared" si="132"/>
        <v>0</v>
      </c>
      <c r="J3129" s="3">
        <f t="shared" si="133"/>
        <v>20</v>
      </c>
      <c r="K3129" s="3">
        <f t="shared" si="134"/>
        <v>-20</v>
      </c>
      <c r="L3129" s="3" t="str">
        <f t="shared" si="135"/>
        <v>CRÍTICO</v>
      </c>
      <c r="N3129">
        <v>0</v>
      </c>
      <c r="O3129">
        <v>0</v>
      </c>
    </row>
    <row r="3130" spans="1:15" x14ac:dyDescent="0.25">
      <c r="A3130" s="11">
        <v>46099</v>
      </c>
      <c r="B3130" t="s">
        <v>42</v>
      </c>
      <c r="C3130" t="s">
        <v>43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 t="shared" si="132"/>
        <v>18</v>
      </c>
      <c r="J3130" s="3">
        <f t="shared" si="133"/>
        <v>12</v>
      </c>
      <c r="K3130" s="3">
        <f t="shared" si="134"/>
        <v>6</v>
      </c>
      <c r="L3130" s="3" t="str">
        <f t="shared" si="135"/>
        <v>MUITO BOM</v>
      </c>
      <c r="N3130">
        <v>98.31</v>
      </c>
      <c r="O3130">
        <v>24.920127795527151</v>
      </c>
    </row>
    <row r="3131" spans="1:15" x14ac:dyDescent="0.25">
      <c r="A3131" s="11">
        <v>46099</v>
      </c>
      <c r="B3131" t="s">
        <v>44</v>
      </c>
      <c r="C3131" t="s">
        <v>18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 t="shared" si="132"/>
        <v>7</v>
      </c>
      <c r="J3131" s="3">
        <f t="shared" si="133"/>
        <v>20</v>
      </c>
      <c r="K3131" s="3">
        <f t="shared" si="134"/>
        <v>-13</v>
      </c>
      <c r="L3131" s="3" t="str">
        <f t="shared" si="135"/>
        <v>CRÍTICO</v>
      </c>
      <c r="N3131">
        <v>96.81</v>
      </c>
      <c r="O3131">
        <v>32.365145228215773</v>
      </c>
    </row>
    <row r="3132" spans="1:15" x14ac:dyDescent="0.25">
      <c r="A3132" s="11">
        <v>46099</v>
      </c>
      <c r="B3132" t="s">
        <v>45</v>
      </c>
      <c r="C3132" t="s">
        <v>43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 t="shared" si="132"/>
        <v>16</v>
      </c>
      <c r="J3132" s="3">
        <f t="shared" si="133"/>
        <v>12</v>
      </c>
      <c r="K3132" s="3">
        <f t="shared" si="134"/>
        <v>4</v>
      </c>
      <c r="L3132" s="3" t="str">
        <f t="shared" si="135"/>
        <v>OPORTUNO</v>
      </c>
      <c r="N3132">
        <v>100</v>
      </c>
      <c r="O3132">
        <v>26.47058823529412</v>
      </c>
    </row>
    <row r="3133" spans="1:15" x14ac:dyDescent="0.25">
      <c r="A3133" s="11">
        <v>46099</v>
      </c>
      <c r="B3133" t="s">
        <v>46</v>
      </c>
      <c r="C3133" t="s">
        <v>18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 t="shared" si="132"/>
        <v>18</v>
      </c>
      <c r="J3133" s="3">
        <f t="shared" si="133"/>
        <v>20</v>
      </c>
      <c r="K3133" s="3">
        <f t="shared" si="134"/>
        <v>-2</v>
      </c>
      <c r="L3133" s="3" t="str">
        <f t="shared" si="135"/>
        <v>ATENÇÃO</v>
      </c>
      <c r="N3133">
        <v>100</v>
      </c>
      <c r="O3133">
        <v>28.490028490028489</v>
      </c>
    </row>
    <row r="3134" spans="1:15" x14ac:dyDescent="0.25">
      <c r="A3134" s="11">
        <v>46099</v>
      </c>
      <c r="B3134" t="s">
        <v>47</v>
      </c>
      <c r="C3134" t="s">
        <v>16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 t="shared" si="132"/>
        <v>29</v>
      </c>
      <c r="J3134" s="3">
        <f t="shared" si="133"/>
        <v>16</v>
      </c>
      <c r="K3134" s="3">
        <f t="shared" si="134"/>
        <v>13</v>
      </c>
      <c r="L3134" s="3" t="str">
        <f t="shared" si="135"/>
        <v>MUITO BOM</v>
      </c>
      <c r="N3134">
        <v>99.14</v>
      </c>
      <c r="O3134">
        <v>27.2289156626506</v>
      </c>
    </row>
    <row r="3135" spans="1:15" x14ac:dyDescent="0.25">
      <c r="A3135" s="11">
        <v>46099</v>
      </c>
      <c r="B3135" t="s">
        <v>48</v>
      </c>
      <c r="C3135" t="s">
        <v>16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f t="shared" si="132"/>
        <v>0</v>
      </c>
      <c r="J3135" s="3">
        <f t="shared" si="133"/>
        <v>16</v>
      </c>
      <c r="K3135" s="3">
        <f t="shared" si="134"/>
        <v>-16</v>
      </c>
      <c r="L3135" s="3" t="str">
        <f t="shared" si="135"/>
        <v>CRÍTICO</v>
      </c>
      <c r="N3135">
        <v>97.52</v>
      </c>
      <c r="O3135">
        <v>28.205128205128201</v>
      </c>
    </row>
    <row r="3136" spans="1:15" x14ac:dyDescent="0.25">
      <c r="A3136" s="11">
        <v>46099</v>
      </c>
      <c r="B3136" t="s">
        <v>49</v>
      </c>
      <c r="C3136" t="s">
        <v>18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f t="shared" si="132"/>
        <v>0</v>
      </c>
      <c r="J3136" s="3">
        <f t="shared" si="133"/>
        <v>20</v>
      </c>
      <c r="K3136" s="3">
        <f t="shared" si="134"/>
        <v>-20</v>
      </c>
      <c r="L3136" s="3" t="str">
        <f t="shared" si="135"/>
        <v>CRÍTICO</v>
      </c>
      <c r="N3136">
        <v>90</v>
      </c>
      <c r="O3136">
        <v>24.186046511627911</v>
      </c>
    </row>
    <row r="3137" spans="1:15" x14ac:dyDescent="0.25">
      <c r="A3137" s="11">
        <v>46099</v>
      </c>
      <c r="B3137" t="s">
        <v>50</v>
      </c>
      <c r="C3137" t="s">
        <v>20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 t="shared" si="132"/>
        <v>19</v>
      </c>
      <c r="J3137" s="3">
        <f t="shared" si="133"/>
        <v>13</v>
      </c>
      <c r="K3137" s="3">
        <f t="shared" si="134"/>
        <v>6</v>
      </c>
      <c r="L3137" s="3" t="str">
        <f t="shared" si="135"/>
        <v>MUITO BOM</v>
      </c>
      <c r="N3137">
        <v>98.9</v>
      </c>
      <c r="O3137">
        <v>26.763990267639901</v>
      </c>
    </row>
    <row r="3138" spans="1:15" x14ac:dyDescent="0.25">
      <c r="A3138" s="11">
        <v>46099</v>
      </c>
      <c r="B3138" t="s">
        <v>51</v>
      </c>
      <c r="C3138" t="s">
        <v>23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 t="shared" si="132"/>
        <v>4</v>
      </c>
      <c r="J3138" s="3">
        <f t="shared" si="133"/>
        <v>6</v>
      </c>
      <c r="K3138" s="3">
        <f t="shared" si="134"/>
        <v>-2</v>
      </c>
      <c r="L3138" s="3" t="str">
        <f t="shared" si="135"/>
        <v>ATENÇÃO</v>
      </c>
      <c r="N3138">
        <v>88.89</v>
      </c>
      <c r="O3138">
        <v>25.263157894736839</v>
      </c>
    </row>
    <row r="3139" spans="1:15" x14ac:dyDescent="0.25">
      <c r="A3139" s="11">
        <v>46099</v>
      </c>
      <c r="B3139" t="s">
        <v>52</v>
      </c>
      <c r="C3139" t="s">
        <v>18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 t="shared" si="132"/>
        <v>31</v>
      </c>
      <c r="J3139" s="3">
        <f t="shared" si="133"/>
        <v>20</v>
      </c>
      <c r="K3139" s="3">
        <f t="shared" si="134"/>
        <v>11</v>
      </c>
      <c r="L3139" s="3" t="str">
        <f t="shared" si="135"/>
        <v>MUITO BOM</v>
      </c>
      <c r="N3139">
        <v>98.86</v>
      </c>
      <c r="O3139">
        <v>28.959276018099551</v>
      </c>
    </row>
    <row r="3140" spans="1:15" x14ac:dyDescent="0.25">
      <c r="A3140" s="11">
        <v>46099</v>
      </c>
      <c r="B3140" t="s">
        <v>53</v>
      </c>
      <c r="C3140" t="s">
        <v>18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 t="shared" si="132"/>
        <v>3</v>
      </c>
      <c r="J3140" s="3">
        <f t="shared" si="133"/>
        <v>20</v>
      </c>
      <c r="K3140" s="3">
        <f t="shared" si="134"/>
        <v>-17</v>
      </c>
      <c r="L3140" s="3" t="str">
        <f t="shared" si="135"/>
        <v>CRÍTICO</v>
      </c>
      <c r="N3140">
        <v>98.06</v>
      </c>
      <c r="O3140">
        <v>22.40566037735849</v>
      </c>
    </row>
    <row r="3141" spans="1:15" x14ac:dyDescent="0.25">
      <c r="A3141" s="11">
        <v>46099</v>
      </c>
      <c r="B3141" t="s">
        <v>54</v>
      </c>
      <c r="C3141" t="s">
        <v>23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 t="shared" si="132"/>
        <v>6</v>
      </c>
      <c r="J3141" s="3">
        <f t="shared" si="133"/>
        <v>6</v>
      </c>
      <c r="K3141" s="3">
        <f t="shared" si="134"/>
        <v>0</v>
      </c>
      <c r="L3141" s="3" t="str">
        <f t="shared" si="135"/>
        <v>OPORTUNO</v>
      </c>
      <c r="N3141">
        <v>95.83</v>
      </c>
      <c r="O3141">
        <v>25.773195876288661</v>
      </c>
    </row>
    <row r="3142" spans="1:15" x14ac:dyDescent="0.25">
      <c r="A3142" s="11">
        <v>46099</v>
      </c>
      <c r="B3142" t="s">
        <v>55</v>
      </c>
      <c r="C3142" t="s">
        <v>43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f t="shared" si="132"/>
        <v>0</v>
      </c>
      <c r="J3142" s="3">
        <f t="shared" si="133"/>
        <v>12</v>
      </c>
      <c r="K3142" s="3">
        <f t="shared" si="134"/>
        <v>-12</v>
      </c>
      <c r="L3142" s="3" t="str">
        <f t="shared" si="135"/>
        <v>CRÍTICO</v>
      </c>
      <c r="N3142">
        <v>100</v>
      </c>
      <c r="O3142">
        <v>15.38461538461539</v>
      </c>
    </row>
    <row r="3143" spans="1:15" x14ac:dyDescent="0.25">
      <c r="A3143" s="11">
        <v>46099</v>
      </c>
      <c r="B3143" t="s">
        <v>56</v>
      </c>
      <c r="C3143" t="s">
        <v>16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 t="shared" si="132"/>
        <v>12</v>
      </c>
      <c r="J3143" s="3">
        <f t="shared" si="133"/>
        <v>16</v>
      </c>
      <c r="K3143" s="3">
        <f t="shared" si="134"/>
        <v>-4</v>
      </c>
      <c r="L3143" s="3" t="str">
        <f t="shared" si="135"/>
        <v>ATENÇÃO</v>
      </c>
      <c r="N3143">
        <v>100</v>
      </c>
      <c r="O3143">
        <v>27.514792899408281</v>
      </c>
    </row>
    <row r="3144" spans="1:15" x14ac:dyDescent="0.25">
      <c r="A3144" s="11">
        <v>46099</v>
      </c>
      <c r="B3144" t="s">
        <v>57</v>
      </c>
      <c r="C3144" t="s">
        <v>43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 t="shared" si="132"/>
        <v>12</v>
      </c>
      <c r="J3144" s="3">
        <f t="shared" si="133"/>
        <v>12</v>
      </c>
      <c r="K3144" s="3">
        <f t="shared" si="134"/>
        <v>0</v>
      </c>
      <c r="L3144" s="3" t="str">
        <f t="shared" si="135"/>
        <v>OPORTUNO</v>
      </c>
      <c r="N3144">
        <v>100</v>
      </c>
      <c r="O3144">
        <v>24.875621890547269</v>
      </c>
    </row>
    <row r="3145" spans="1:15" x14ac:dyDescent="0.25">
      <c r="A3145" s="11">
        <v>46099</v>
      </c>
      <c r="B3145" t="s">
        <v>58</v>
      </c>
      <c r="C3145" t="s">
        <v>43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 t="shared" si="132"/>
        <v>11</v>
      </c>
      <c r="J3145" s="3">
        <f t="shared" si="133"/>
        <v>12</v>
      </c>
      <c r="K3145" s="3">
        <f t="shared" si="134"/>
        <v>-1</v>
      </c>
      <c r="L3145" s="3" t="str">
        <f t="shared" si="135"/>
        <v>ATENÇÃO</v>
      </c>
      <c r="N3145">
        <v>100</v>
      </c>
      <c r="O3145">
        <v>28.108108108108109</v>
      </c>
    </row>
    <row r="3146" spans="1:15" x14ac:dyDescent="0.25">
      <c r="A3146" s="11">
        <v>46099</v>
      </c>
      <c r="B3146" t="s">
        <v>59</v>
      </c>
      <c r="C3146" t="s">
        <v>23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f t="shared" si="132"/>
        <v>0</v>
      </c>
      <c r="J3146" s="3">
        <f t="shared" si="133"/>
        <v>6</v>
      </c>
      <c r="K3146" s="3">
        <f t="shared" si="134"/>
        <v>-6</v>
      </c>
      <c r="L3146" s="3" t="str">
        <f t="shared" si="135"/>
        <v>CRÍTICO</v>
      </c>
      <c r="N3146">
        <v>100</v>
      </c>
      <c r="O3146">
        <v>35</v>
      </c>
    </row>
    <row r="3147" spans="1:15" x14ac:dyDescent="0.25">
      <c r="A3147" s="11">
        <v>46099</v>
      </c>
      <c r="B3147" t="s">
        <v>60</v>
      </c>
      <c r="C3147" t="s">
        <v>20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 t="shared" si="132"/>
        <v>18</v>
      </c>
      <c r="J3147" s="3">
        <f t="shared" si="133"/>
        <v>13</v>
      </c>
      <c r="K3147" s="3">
        <f t="shared" si="134"/>
        <v>5</v>
      </c>
      <c r="L3147" s="3" t="str">
        <f t="shared" si="135"/>
        <v>OPORTUNO</v>
      </c>
      <c r="N3147">
        <v>95.35</v>
      </c>
      <c r="O3147">
        <v>28.61538461538461</v>
      </c>
    </row>
    <row r="3148" spans="1:15" x14ac:dyDescent="0.25">
      <c r="A3148" s="11">
        <v>46099</v>
      </c>
      <c r="B3148" t="s">
        <v>61</v>
      </c>
      <c r="C3148" t="s">
        <v>18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 t="shared" si="132"/>
        <v>34</v>
      </c>
      <c r="J3148" s="3">
        <f t="shared" si="133"/>
        <v>20</v>
      </c>
      <c r="K3148" s="3">
        <f t="shared" si="134"/>
        <v>14</v>
      </c>
      <c r="L3148" s="3" t="str">
        <f t="shared" si="135"/>
        <v>MUITO BOM</v>
      </c>
      <c r="N3148">
        <v>98.26</v>
      </c>
      <c r="O3148">
        <v>27.54491017964072</v>
      </c>
    </row>
    <row r="3149" spans="1:15" x14ac:dyDescent="0.25">
      <c r="A3149" s="11">
        <v>46099</v>
      </c>
      <c r="B3149" t="s">
        <v>62</v>
      </c>
      <c r="C3149" t="s">
        <v>20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 t="shared" si="132"/>
        <v>12</v>
      </c>
      <c r="J3149" s="3">
        <f t="shared" si="133"/>
        <v>13</v>
      </c>
      <c r="K3149" s="3">
        <f t="shared" si="134"/>
        <v>-1</v>
      </c>
      <c r="L3149" s="3" t="str">
        <f t="shared" si="135"/>
        <v>ATENÇÃO</v>
      </c>
      <c r="N3149">
        <v>98.55</v>
      </c>
      <c r="O3149">
        <v>25.337837837837839</v>
      </c>
    </row>
    <row r="3150" spans="1:15" x14ac:dyDescent="0.25">
      <c r="A3150" s="11">
        <v>46099</v>
      </c>
      <c r="B3150" t="s">
        <v>63</v>
      </c>
      <c r="C3150" t="s">
        <v>18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 t="shared" si="132"/>
        <v>27</v>
      </c>
      <c r="J3150" s="3">
        <f t="shared" si="133"/>
        <v>20</v>
      </c>
      <c r="K3150" s="3">
        <f t="shared" si="134"/>
        <v>7</v>
      </c>
      <c r="L3150" s="3" t="str">
        <f t="shared" si="135"/>
        <v>MUITO BOM</v>
      </c>
      <c r="N3150">
        <v>98.39</v>
      </c>
      <c r="O3150">
        <v>25.563909774436091</v>
      </c>
    </row>
    <row r="3151" spans="1:15" x14ac:dyDescent="0.25">
      <c r="A3151" s="11">
        <v>46100</v>
      </c>
      <c r="B3151" t="s">
        <v>15</v>
      </c>
      <c r="C3151" t="s">
        <v>16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 t="shared" si="132"/>
        <v>20</v>
      </c>
      <c r="J3151" s="3">
        <f t="shared" si="133"/>
        <v>16</v>
      </c>
      <c r="K3151" s="3">
        <f t="shared" si="134"/>
        <v>4</v>
      </c>
      <c r="L3151" s="3" t="str">
        <f t="shared" si="135"/>
        <v>OPORTUNO</v>
      </c>
      <c r="N3151">
        <v>94.29</v>
      </c>
      <c r="O3151">
        <v>25.647668393782389</v>
      </c>
    </row>
    <row r="3152" spans="1:15" x14ac:dyDescent="0.25">
      <c r="A3152" s="11">
        <v>46100</v>
      </c>
      <c r="B3152" t="s">
        <v>17</v>
      </c>
      <c r="C3152" t="s">
        <v>18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f t="shared" si="132"/>
        <v>0</v>
      </c>
      <c r="J3152" s="3">
        <f t="shared" si="133"/>
        <v>21</v>
      </c>
      <c r="K3152" s="3">
        <f t="shared" si="134"/>
        <v>-21</v>
      </c>
      <c r="L3152" s="3" t="str">
        <f t="shared" si="135"/>
        <v>CRÍTICO</v>
      </c>
      <c r="N3152">
        <v>98.26</v>
      </c>
      <c r="O3152">
        <v>26.666666666666671</v>
      </c>
    </row>
    <row r="3153" spans="1:15" x14ac:dyDescent="0.25">
      <c r="A3153" s="11">
        <v>46100</v>
      </c>
      <c r="B3153" t="s">
        <v>19</v>
      </c>
      <c r="C3153" t="s">
        <v>20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 t="shared" si="132"/>
        <v>40</v>
      </c>
      <c r="J3153" s="3">
        <f t="shared" si="133"/>
        <v>14</v>
      </c>
      <c r="K3153" s="3">
        <f t="shared" si="134"/>
        <v>26</v>
      </c>
      <c r="L3153" s="3" t="str">
        <f t="shared" si="135"/>
        <v>MUITO BOM</v>
      </c>
      <c r="N3153">
        <v>98.2</v>
      </c>
      <c r="O3153">
        <v>23.37962962962963</v>
      </c>
    </row>
    <row r="3154" spans="1:15" x14ac:dyDescent="0.25">
      <c r="A3154" s="11">
        <v>46100</v>
      </c>
      <c r="B3154" t="s">
        <v>21</v>
      </c>
      <c r="C3154" t="s">
        <v>18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 t="shared" si="132"/>
        <v>8</v>
      </c>
      <c r="J3154" s="3">
        <f t="shared" si="133"/>
        <v>21</v>
      </c>
      <c r="K3154" s="3">
        <f t="shared" si="134"/>
        <v>-13</v>
      </c>
      <c r="L3154" s="3" t="str">
        <f t="shared" si="135"/>
        <v>CRÍTICO</v>
      </c>
      <c r="N3154">
        <v>97.3</v>
      </c>
      <c r="O3154">
        <v>23.84769539078156</v>
      </c>
    </row>
    <row r="3155" spans="1:15" x14ac:dyDescent="0.25">
      <c r="A3155" s="11">
        <v>46100</v>
      </c>
      <c r="B3155" t="s">
        <v>22</v>
      </c>
      <c r="C3155" t="s">
        <v>23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 t="shared" ref="I3155:I3218" si="136">E3155+G3155+H3155</f>
        <v>15</v>
      </c>
      <c r="J3155" s="3">
        <f t="shared" ref="J3155:J3218" si="137"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 t="shared" ref="K3155:K3218" si="138">I3155-J3155</f>
        <v>9</v>
      </c>
      <c r="L3155" s="3" t="str">
        <f t="shared" ref="L3155:L3218" si="139">IF(K3155&lt;-5,"CRÍTICO",IF(K3155&lt;0,"ATENÇÃO",IF(K3155&lt;=5,"OPORTUNO","MUITO BOM")))</f>
        <v>MUITO BOM</v>
      </c>
      <c r="N3155">
        <v>100</v>
      </c>
      <c r="O3155">
        <v>25.268817204301079</v>
      </c>
    </row>
    <row r="3156" spans="1:15" x14ac:dyDescent="0.25">
      <c r="A3156" s="11">
        <v>46100</v>
      </c>
      <c r="B3156" t="s">
        <v>24</v>
      </c>
      <c r="C3156" t="s">
        <v>16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 t="shared" si="136"/>
        <v>22</v>
      </c>
      <c r="J3156" s="3">
        <f t="shared" si="137"/>
        <v>16</v>
      </c>
      <c r="K3156" s="3">
        <f t="shared" si="138"/>
        <v>6</v>
      </c>
      <c r="L3156" s="3" t="str">
        <f t="shared" si="139"/>
        <v>MUITO BOM</v>
      </c>
      <c r="N3156">
        <v>99.32</v>
      </c>
      <c r="O3156">
        <v>22.822822822822818</v>
      </c>
    </row>
    <row r="3157" spans="1:15" x14ac:dyDescent="0.25">
      <c r="A3157" s="11">
        <v>46100</v>
      </c>
      <c r="B3157" t="s">
        <v>25</v>
      </c>
      <c r="C3157" t="s">
        <v>16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 t="shared" si="136"/>
        <v>24</v>
      </c>
      <c r="J3157" s="3">
        <f t="shared" si="137"/>
        <v>16</v>
      </c>
      <c r="K3157" s="3">
        <f t="shared" si="138"/>
        <v>8</v>
      </c>
      <c r="L3157" s="3" t="str">
        <f t="shared" si="139"/>
        <v>MUITO BOM</v>
      </c>
      <c r="N3157">
        <v>100</v>
      </c>
      <c r="O3157">
        <v>27.966101694915249</v>
      </c>
    </row>
    <row r="3158" spans="1:15" x14ac:dyDescent="0.25">
      <c r="A3158" s="11">
        <v>46100</v>
      </c>
      <c r="B3158" t="s">
        <v>26</v>
      </c>
      <c r="C3158" t="s">
        <v>23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f t="shared" si="136"/>
        <v>0</v>
      </c>
      <c r="J3158" s="3">
        <f t="shared" si="137"/>
        <v>6</v>
      </c>
      <c r="K3158" s="3">
        <f t="shared" si="138"/>
        <v>-6</v>
      </c>
      <c r="L3158" s="3" t="str">
        <f t="shared" si="139"/>
        <v>CRÍTICO</v>
      </c>
      <c r="N3158">
        <v>100</v>
      </c>
      <c r="O3158">
        <v>30.434782608695659</v>
      </c>
    </row>
    <row r="3159" spans="1:15" x14ac:dyDescent="0.25">
      <c r="A3159" s="11">
        <v>46100</v>
      </c>
      <c r="B3159" t="s">
        <v>27</v>
      </c>
      <c r="C3159" t="s">
        <v>20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 t="shared" si="136"/>
        <v>28</v>
      </c>
      <c r="J3159" s="3">
        <f t="shared" si="137"/>
        <v>14</v>
      </c>
      <c r="K3159" s="3">
        <f t="shared" si="138"/>
        <v>14</v>
      </c>
      <c r="L3159" s="3" t="str">
        <f t="shared" si="139"/>
        <v>MUITO BOM</v>
      </c>
      <c r="N3159">
        <v>96.51</v>
      </c>
      <c r="O3159">
        <v>22.802850356294542</v>
      </c>
    </row>
    <row r="3160" spans="1:15" x14ac:dyDescent="0.25">
      <c r="A3160" s="11">
        <v>46100</v>
      </c>
      <c r="B3160" t="s">
        <v>28</v>
      </c>
      <c r="C3160" t="s">
        <v>18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f t="shared" si="136"/>
        <v>0</v>
      </c>
      <c r="J3160" s="3">
        <f t="shared" si="137"/>
        <v>21</v>
      </c>
      <c r="K3160" s="3">
        <f t="shared" si="138"/>
        <v>-21</v>
      </c>
      <c r="L3160" s="3" t="str">
        <f t="shared" si="139"/>
        <v>CRÍTICO</v>
      </c>
      <c r="N3160">
        <v>92.68</v>
      </c>
      <c r="O3160">
        <v>27.777777777777779</v>
      </c>
    </row>
    <row r="3161" spans="1:15" x14ac:dyDescent="0.25">
      <c r="A3161" s="11">
        <v>46100</v>
      </c>
      <c r="B3161" t="s">
        <v>29</v>
      </c>
      <c r="C3161" t="s">
        <v>16</v>
      </c>
      <c r="D3161">
        <v>0</v>
      </c>
      <c r="E3161">
        <v>0</v>
      </c>
      <c r="F3161">
        <v>0</v>
      </c>
      <c r="G3161">
        <v>0</v>
      </c>
      <c r="H3161">
        <v>0</v>
      </c>
      <c r="I3161" s="3">
        <f t="shared" si="136"/>
        <v>0</v>
      </c>
      <c r="J3161" s="3">
        <f t="shared" si="137"/>
        <v>16</v>
      </c>
      <c r="K3161" s="3">
        <f t="shared" si="138"/>
        <v>-16</v>
      </c>
      <c r="L3161" s="3" t="str">
        <f t="shared" si="139"/>
        <v>CRÍTICO</v>
      </c>
      <c r="N3161">
        <v>99.03</v>
      </c>
      <c r="O3161">
        <v>23.991507430997881</v>
      </c>
    </row>
    <row r="3162" spans="1:15" x14ac:dyDescent="0.25">
      <c r="A3162" s="11">
        <v>46100</v>
      </c>
      <c r="B3162" t="s">
        <v>30</v>
      </c>
      <c r="C3162" t="s">
        <v>20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 t="shared" si="136"/>
        <v>21</v>
      </c>
      <c r="J3162" s="3">
        <f t="shared" si="137"/>
        <v>14</v>
      </c>
      <c r="K3162" s="3">
        <f t="shared" si="138"/>
        <v>7</v>
      </c>
      <c r="L3162" s="3" t="str">
        <f t="shared" si="139"/>
        <v>MUITO BOM</v>
      </c>
      <c r="N3162">
        <v>98.41</v>
      </c>
      <c r="O3162">
        <v>28.138528138528141</v>
      </c>
    </row>
    <row r="3163" spans="1:15" x14ac:dyDescent="0.25">
      <c r="A3163" s="11">
        <v>46100</v>
      </c>
      <c r="B3163" t="s">
        <v>31</v>
      </c>
      <c r="C3163" t="s">
        <v>18</v>
      </c>
      <c r="D3163">
        <v>0</v>
      </c>
      <c r="E3163">
        <v>0</v>
      </c>
      <c r="F3163">
        <v>0</v>
      </c>
      <c r="G3163">
        <v>0</v>
      </c>
      <c r="H3163">
        <v>0</v>
      </c>
      <c r="I3163" s="3">
        <f t="shared" si="136"/>
        <v>0</v>
      </c>
      <c r="J3163" s="3">
        <f t="shared" si="137"/>
        <v>21</v>
      </c>
      <c r="K3163" s="3">
        <f t="shared" si="138"/>
        <v>-21</v>
      </c>
      <c r="L3163" s="3" t="str">
        <f t="shared" si="139"/>
        <v>CRÍTICO</v>
      </c>
      <c r="N3163">
        <v>98.73</v>
      </c>
      <c r="O3163">
        <v>29.142857142857139</v>
      </c>
    </row>
    <row r="3164" spans="1:15" x14ac:dyDescent="0.25">
      <c r="A3164" s="11">
        <v>46100</v>
      </c>
      <c r="B3164" t="s">
        <v>32</v>
      </c>
      <c r="C3164" t="s">
        <v>23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 t="shared" si="136"/>
        <v>8</v>
      </c>
      <c r="J3164" s="3">
        <f t="shared" si="137"/>
        <v>6</v>
      </c>
      <c r="K3164" s="3">
        <f t="shared" si="138"/>
        <v>2</v>
      </c>
      <c r="L3164" s="3" t="str">
        <f t="shared" si="139"/>
        <v>OPORTUNO</v>
      </c>
      <c r="N3164">
        <v>90.48</v>
      </c>
      <c r="O3164">
        <v>20.68965517241379</v>
      </c>
    </row>
    <row r="3165" spans="1:15" x14ac:dyDescent="0.25">
      <c r="A3165" s="11">
        <v>46100</v>
      </c>
      <c r="B3165" t="s">
        <v>33</v>
      </c>
      <c r="C3165" t="s">
        <v>16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 t="shared" si="136"/>
        <v>19</v>
      </c>
      <c r="J3165" s="3">
        <f t="shared" si="137"/>
        <v>16</v>
      </c>
      <c r="K3165" s="3">
        <f t="shared" si="138"/>
        <v>3</v>
      </c>
      <c r="L3165" s="3" t="str">
        <f t="shared" si="139"/>
        <v>OPORTUNO</v>
      </c>
      <c r="N3165">
        <v>98.06</v>
      </c>
      <c r="O3165">
        <v>24.789915966386559</v>
      </c>
    </row>
    <row r="3166" spans="1:15" x14ac:dyDescent="0.25">
      <c r="A3166" s="11">
        <v>46100</v>
      </c>
      <c r="B3166" t="s">
        <v>34</v>
      </c>
      <c r="C3166" t="s">
        <v>18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 t="shared" si="136"/>
        <v>27</v>
      </c>
      <c r="J3166" s="3">
        <f t="shared" si="137"/>
        <v>21</v>
      </c>
      <c r="K3166" s="3">
        <f t="shared" si="138"/>
        <v>6</v>
      </c>
      <c r="L3166" s="3" t="str">
        <f t="shared" si="139"/>
        <v>MUITO BOM</v>
      </c>
      <c r="N3166">
        <v>97.78</v>
      </c>
      <c r="O3166">
        <v>25.494071146245059</v>
      </c>
    </row>
    <row r="3167" spans="1:15" x14ac:dyDescent="0.25">
      <c r="A3167" s="11">
        <v>46100</v>
      </c>
      <c r="B3167" t="s">
        <v>35</v>
      </c>
      <c r="C3167" t="s">
        <v>16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 t="shared" si="136"/>
        <v>15</v>
      </c>
      <c r="J3167" s="3">
        <f t="shared" si="137"/>
        <v>16</v>
      </c>
      <c r="K3167" s="3">
        <f t="shared" si="138"/>
        <v>-1</v>
      </c>
      <c r="L3167" s="3" t="str">
        <f t="shared" si="139"/>
        <v>ATENÇÃO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36</v>
      </c>
      <c r="C3168" t="s">
        <v>20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 t="shared" si="136"/>
        <v>21</v>
      </c>
      <c r="J3168" s="3">
        <f t="shared" si="137"/>
        <v>15</v>
      </c>
      <c r="K3168" s="3">
        <f t="shared" si="138"/>
        <v>6</v>
      </c>
      <c r="L3168" s="3" t="str">
        <f t="shared" si="139"/>
        <v>MUITO BOM</v>
      </c>
      <c r="N3168">
        <v>99.28</v>
      </c>
      <c r="O3168">
        <v>27.689243027888441</v>
      </c>
    </row>
    <row r="3169" spans="1:15" x14ac:dyDescent="0.25">
      <c r="A3169" s="11">
        <v>46100</v>
      </c>
      <c r="B3169" t="s">
        <v>37</v>
      </c>
      <c r="C3169" t="s">
        <v>16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 t="shared" si="136"/>
        <v>22</v>
      </c>
      <c r="J3169" s="3">
        <f t="shared" si="137"/>
        <v>16</v>
      </c>
      <c r="K3169" s="3">
        <f t="shared" si="138"/>
        <v>6</v>
      </c>
      <c r="L3169" s="3" t="str">
        <f t="shared" si="139"/>
        <v>MUITO BOM</v>
      </c>
      <c r="N3169">
        <v>100</v>
      </c>
      <c r="O3169">
        <v>27.04918032786885</v>
      </c>
    </row>
    <row r="3170" spans="1:15" x14ac:dyDescent="0.25">
      <c r="A3170" s="11">
        <v>46100</v>
      </c>
      <c r="B3170" t="s">
        <v>38</v>
      </c>
      <c r="C3170" t="s">
        <v>18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 t="shared" si="136"/>
        <v>41</v>
      </c>
      <c r="J3170" s="3">
        <f t="shared" si="137"/>
        <v>21</v>
      </c>
      <c r="K3170" s="3">
        <f t="shared" si="138"/>
        <v>20</v>
      </c>
      <c r="L3170" s="3" t="str">
        <f t="shared" si="139"/>
        <v>MUITO BOM</v>
      </c>
      <c r="N3170">
        <v>97.83</v>
      </c>
      <c r="O3170">
        <v>26.315789473684209</v>
      </c>
    </row>
    <row r="3171" spans="1:15" x14ac:dyDescent="0.25">
      <c r="A3171" s="11">
        <v>46100</v>
      </c>
      <c r="B3171" t="s">
        <v>39</v>
      </c>
      <c r="C3171" t="s">
        <v>18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 t="shared" si="136"/>
        <v>1</v>
      </c>
      <c r="J3171" s="3">
        <f t="shared" si="137"/>
        <v>21</v>
      </c>
      <c r="K3171" s="3">
        <f t="shared" si="138"/>
        <v>-20</v>
      </c>
      <c r="L3171" s="3" t="str">
        <f t="shared" si="139"/>
        <v>CRÍTICO</v>
      </c>
      <c r="N3171">
        <v>100</v>
      </c>
      <c r="O3171">
        <v>26.701570680628269</v>
      </c>
    </row>
    <row r="3172" spans="1:15" x14ac:dyDescent="0.25">
      <c r="A3172" s="11">
        <v>46100</v>
      </c>
      <c r="B3172" t="s">
        <v>40</v>
      </c>
      <c r="C3172" t="s">
        <v>16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 t="shared" si="136"/>
        <v>2</v>
      </c>
      <c r="J3172" s="3">
        <f t="shared" si="137"/>
        <v>16</v>
      </c>
      <c r="K3172" s="3">
        <f t="shared" si="138"/>
        <v>-14</v>
      </c>
      <c r="L3172" s="3" t="str">
        <f t="shared" si="139"/>
        <v>CRÍTICO</v>
      </c>
      <c r="N3172">
        <v>97.47</v>
      </c>
      <c r="O3172">
        <v>22.887323943661968</v>
      </c>
    </row>
    <row r="3173" spans="1:15" x14ac:dyDescent="0.25">
      <c r="A3173" s="11">
        <v>46100</v>
      </c>
      <c r="B3173" t="s">
        <v>41</v>
      </c>
      <c r="C3173" t="s">
        <v>18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f t="shared" si="136"/>
        <v>0</v>
      </c>
      <c r="J3173" s="3">
        <f t="shared" si="137"/>
        <v>21</v>
      </c>
      <c r="K3173" s="3">
        <f t="shared" si="138"/>
        <v>-21</v>
      </c>
      <c r="L3173" s="3" t="str">
        <f t="shared" si="139"/>
        <v>CRÍTICO</v>
      </c>
      <c r="N3173">
        <v>0</v>
      </c>
      <c r="O3173">
        <v>0</v>
      </c>
    </row>
    <row r="3174" spans="1:15" x14ac:dyDescent="0.25">
      <c r="A3174" s="11">
        <v>46100</v>
      </c>
      <c r="B3174" t="s">
        <v>42</v>
      </c>
      <c r="C3174" t="s">
        <v>43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 t="shared" si="136"/>
        <v>19</v>
      </c>
      <c r="J3174" s="3">
        <f t="shared" si="137"/>
        <v>12</v>
      </c>
      <c r="K3174" s="3">
        <f t="shared" si="138"/>
        <v>7</v>
      </c>
      <c r="L3174" s="3" t="str">
        <f t="shared" si="139"/>
        <v>MUITO BOM</v>
      </c>
      <c r="N3174">
        <v>98.31</v>
      </c>
      <c r="O3174">
        <v>24.920127795527151</v>
      </c>
    </row>
    <row r="3175" spans="1:15" x14ac:dyDescent="0.25">
      <c r="A3175" s="11">
        <v>46100</v>
      </c>
      <c r="B3175" t="s">
        <v>44</v>
      </c>
      <c r="C3175" t="s">
        <v>18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 t="shared" si="136"/>
        <v>18</v>
      </c>
      <c r="J3175" s="3">
        <f t="shared" si="137"/>
        <v>21</v>
      </c>
      <c r="K3175" s="3">
        <f t="shared" si="138"/>
        <v>-3</v>
      </c>
      <c r="L3175" s="3" t="str">
        <f t="shared" si="139"/>
        <v>ATENÇÃO</v>
      </c>
      <c r="N3175">
        <v>96.81</v>
      </c>
      <c r="O3175">
        <v>32.365145228215773</v>
      </c>
    </row>
    <row r="3176" spans="1:15" x14ac:dyDescent="0.25">
      <c r="A3176" s="11">
        <v>46100</v>
      </c>
      <c r="B3176" t="s">
        <v>45</v>
      </c>
      <c r="C3176" t="s">
        <v>43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 t="shared" si="136"/>
        <v>13</v>
      </c>
      <c r="J3176" s="3">
        <f t="shared" si="137"/>
        <v>12</v>
      </c>
      <c r="K3176" s="3">
        <f t="shared" si="138"/>
        <v>1</v>
      </c>
      <c r="L3176" s="3" t="str">
        <f t="shared" si="139"/>
        <v>OPORTUNO</v>
      </c>
      <c r="N3176">
        <v>100</v>
      </c>
      <c r="O3176">
        <v>26.47058823529412</v>
      </c>
    </row>
    <row r="3177" spans="1:15" x14ac:dyDescent="0.25">
      <c r="A3177" s="11">
        <v>46100</v>
      </c>
      <c r="B3177" t="s">
        <v>46</v>
      </c>
      <c r="C3177" t="s">
        <v>18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 t="shared" si="136"/>
        <v>14</v>
      </c>
      <c r="J3177" s="3">
        <f t="shared" si="137"/>
        <v>21</v>
      </c>
      <c r="K3177" s="3">
        <f t="shared" si="138"/>
        <v>-7</v>
      </c>
      <c r="L3177" s="3" t="str">
        <f t="shared" si="139"/>
        <v>CRÍTICO</v>
      </c>
      <c r="N3177">
        <v>100</v>
      </c>
      <c r="O3177">
        <v>28.490028490028489</v>
      </c>
    </row>
    <row r="3178" spans="1:15" x14ac:dyDescent="0.25">
      <c r="A3178" s="11">
        <v>46100</v>
      </c>
      <c r="B3178" t="s">
        <v>47</v>
      </c>
      <c r="C3178" t="s">
        <v>16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 t="shared" si="136"/>
        <v>18</v>
      </c>
      <c r="J3178" s="3">
        <f t="shared" si="137"/>
        <v>16</v>
      </c>
      <c r="K3178" s="3">
        <f t="shared" si="138"/>
        <v>2</v>
      </c>
      <c r="L3178" s="3" t="str">
        <f t="shared" si="139"/>
        <v>OPORTUNO</v>
      </c>
      <c r="N3178">
        <v>99.14</v>
      </c>
      <c r="O3178">
        <v>27.2289156626506</v>
      </c>
    </row>
    <row r="3179" spans="1:15" x14ac:dyDescent="0.25">
      <c r="A3179" s="11">
        <v>46100</v>
      </c>
      <c r="B3179" t="s">
        <v>48</v>
      </c>
      <c r="C3179" t="s">
        <v>16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f t="shared" si="136"/>
        <v>0</v>
      </c>
      <c r="J3179" s="3">
        <f t="shared" si="137"/>
        <v>16</v>
      </c>
      <c r="K3179" s="3">
        <f t="shared" si="138"/>
        <v>-16</v>
      </c>
      <c r="L3179" s="3" t="str">
        <f t="shared" si="139"/>
        <v>CRÍTICO</v>
      </c>
      <c r="N3179">
        <v>97.52</v>
      </c>
      <c r="O3179">
        <v>28.205128205128201</v>
      </c>
    </row>
    <row r="3180" spans="1:15" x14ac:dyDescent="0.25">
      <c r="A3180" s="11">
        <v>46100</v>
      </c>
      <c r="B3180" t="s">
        <v>49</v>
      </c>
      <c r="C3180" t="s">
        <v>18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f t="shared" si="136"/>
        <v>0</v>
      </c>
      <c r="J3180" s="3">
        <f t="shared" si="137"/>
        <v>21</v>
      </c>
      <c r="K3180" s="3">
        <f t="shared" si="138"/>
        <v>-21</v>
      </c>
      <c r="L3180" s="3" t="str">
        <f t="shared" si="139"/>
        <v>CRÍTICO</v>
      </c>
      <c r="N3180">
        <v>90</v>
      </c>
      <c r="O3180">
        <v>24.186046511627911</v>
      </c>
    </row>
    <row r="3181" spans="1:15" x14ac:dyDescent="0.25">
      <c r="A3181" s="11">
        <v>46100</v>
      </c>
      <c r="B3181" t="s">
        <v>50</v>
      </c>
      <c r="C3181" t="s">
        <v>20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 t="shared" si="136"/>
        <v>17</v>
      </c>
      <c r="J3181" s="3">
        <f t="shared" si="137"/>
        <v>14</v>
      </c>
      <c r="K3181" s="3">
        <f t="shared" si="138"/>
        <v>3</v>
      </c>
      <c r="L3181" s="3" t="str">
        <f t="shared" si="139"/>
        <v>OPORTUNO</v>
      </c>
      <c r="N3181">
        <v>98.9</v>
      </c>
      <c r="O3181">
        <v>26.763990267639901</v>
      </c>
    </row>
    <row r="3182" spans="1:15" x14ac:dyDescent="0.25">
      <c r="A3182" s="11">
        <v>46100</v>
      </c>
      <c r="B3182" t="s">
        <v>51</v>
      </c>
      <c r="C3182" t="s">
        <v>23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f t="shared" si="136"/>
        <v>0</v>
      </c>
      <c r="J3182" s="3">
        <f t="shared" si="137"/>
        <v>6</v>
      </c>
      <c r="K3182" s="3">
        <f t="shared" si="138"/>
        <v>-6</v>
      </c>
      <c r="L3182" s="3" t="str">
        <f t="shared" si="139"/>
        <v>CRÍTICO</v>
      </c>
      <c r="N3182">
        <v>88.89</v>
      </c>
      <c r="O3182">
        <v>25.263157894736839</v>
      </c>
    </row>
    <row r="3183" spans="1:15" x14ac:dyDescent="0.25">
      <c r="A3183" s="11">
        <v>46100</v>
      </c>
      <c r="B3183" t="s">
        <v>52</v>
      </c>
      <c r="C3183" t="s">
        <v>18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 t="shared" si="136"/>
        <v>30</v>
      </c>
      <c r="J3183" s="3">
        <f t="shared" si="137"/>
        <v>21</v>
      </c>
      <c r="K3183" s="3">
        <f t="shared" si="138"/>
        <v>9</v>
      </c>
      <c r="L3183" s="3" t="str">
        <f t="shared" si="139"/>
        <v>MUITO BOM</v>
      </c>
      <c r="N3183">
        <v>98.86</v>
      </c>
      <c r="O3183">
        <v>28.959276018099551</v>
      </c>
    </row>
    <row r="3184" spans="1:15" x14ac:dyDescent="0.25">
      <c r="A3184" s="11">
        <v>46100</v>
      </c>
      <c r="B3184" t="s">
        <v>53</v>
      </c>
      <c r="C3184" t="s">
        <v>18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f t="shared" si="136"/>
        <v>0</v>
      </c>
      <c r="J3184" s="3">
        <f t="shared" si="137"/>
        <v>21</v>
      </c>
      <c r="K3184" s="3">
        <f t="shared" si="138"/>
        <v>-21</v>
      </c>
      <c r="L3184" s="3" t="str">
        <f t="shared" si="139"/>
        <v>CRÍTICO</v>
      </c>
      <c r="N3184">
        <v>98.06</v>
      </c>
      <c r="O3184">
        <v>22.40566037735849</v>
      </c>
    </row>
    <row r="3185" spans="1:15" x14ac:dyDescent="0.25">
      <c r="A3185" s="11">
        <v>46100</v>
      </c>
      <c r="B3185" t="s">
        <v>54</v>
      </c>
      <c r="C3185" t="s">
        <v>23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 t="shared" si="136"/>
        <v>6</v>
      </c>
      <c r="J3185" s="3">
        <f t="shared" si="137"/>
        <v>6</v>
      </c>
      <c r="K3185" s="3">
        <f t="shared" si="138"/>
        <v>0</v>
      </c>
      <c r="L3185" s="3" t="str">
        <f t="shared" si="139"/>
        <v>OPORTUNO</v>
      </c>
      <c r="N3185">
        <v>95.83</v>
      </c>
      <c r="O3185">
        <v>25.773195876288661</v>
      </c>
    </row>
    <row r="3186" spans="1:15" x14ac:dyDescent="0.25">
      <c r="A3186" s="11">
        <v>46100</v>
      </c>
      <c r="B3186" t="s">
        <v>55</v>
      </c>
      <c r="C3186" t="s">
        <v>43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f t="shared" si="136"/>
        <v>0</v>
      </c>
      <c r="J3186" s="3">
        <f t="shared" si="137"/>
        <v>12</v>
      </c>
      <c r="K3186" s="3">
        <f t="shared" si="138"/>
        <v>-12</v>
      </c>
      <c r="L3186" s="3" t="str">
        <f t="shared" si="139"/>
        <v>CRÍTICO</v>
      </c>
      <c r="N3186">
        <v>100</v>
      </c>
      <c r="O3186">
        <v>15.38461538461539</v>
      </c>
    </row>
    <row r="3187" spans="1:15" x14ac:dyDescent="0.25">
      <c r="A3187" s="11">
        <v>46100</v>
      </c>
      <c r="B3187" t="s">
        <v>56</v>
      </c>
      <c r="C3187" t="s">
        <v>16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f t="shared" si="136"/>
        <v>0</v>
      </c>
      <c r="J3187" s="3">
        <f t="shared" si="137"/>
        <v>16</v>
      </c>
      <c r="K3187" s="3">
        <f t="shared" si="138"/>
        <v>-16</v>
      </c>
      <c r="L3187" s="3" t="str">
        <f t="shared" si="139"/>
        <v>CRÍTICO</v>
      </c>
      <c r="N3187">
        <v>100</v>
      </c>
      <c r="O3187">
        <v>27.514792899408281</v>
      </c>
    </row>
    <row r="3188" spans="1:15" x14ac:dyDescent="0.25">
      <c r="A3188" s="11">
        <v>46100</v>
      </c>
      <c r="B3188" t="s">
        <v>57</v>
      </c>
      <c r="C3188" t="s">
        <v>43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 t="shared" si="136"/>
        <v>12</v>
      </c>
      <c r="J3188" s="3">
        <f t="shared" si="137"/>
        <v>12</v>
      </c>
      <c r="K3188" s="3">
        <f t="shared" si="138"/>
        <v>0</v>
      </c>
      <c r="L3188" s="3" t="str">
        <f t="shared" si="139"/>
        <v>OPORTUNO</v>
      </c>
      <c r="N3188">
        <v>100</v>
      </c>
      <c r="O3188">
        <v>24.875621890547269</v>
      </c>
    </row>
    <row r="3189" spans="1:15" x14ac:dyDescent="0.25">
      <c r="A3189" s="11">
        <v>46100</v>
      </c>
      <c r="B3189" t="s">
        <v>58</v>
      </c>
      <c r="C3189" t="s">
        <v>43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 t="shared" si="136"/>
        <v>8</v>
      </c>
      <c r="J3189" s="3">
        <f t="shared" si="137"/>
        <v>12</v>
      </c>
      <c r="K3189" s="3">
        <f t="shared" si="138"/>
        <v>-4</v>
      </c>
      <c r="L3189" s="3" t="str">
        <f t="shared" si="139"/>
        <v>ATENÇÃO</v>
      </c>
      <c r="N3189">
        <v>100</v>
      </c>
      <c r="O3189">
        <v>28.108108108108109</v>
      </c>
    </row>
    <row r="3190" spans="1:15" x14ac:dyDescent="0.25">
      <c r="A3190" s="11">
        <v>46100</v>
      </c>
      <c r="B3190" t="s">
        <v>59</v>
      </c>
      <c r="C3190" t="s">
        <v>23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f t="shared" si="136"/>
        <v>0</v>
      </c>
      <c r="J3190" s="3">
        <f t="shared" si="137"/>
        <v>6</v>
      </c>
      <c r="K3190" s="3">
        <f t="shared" si="138"/>
        <v>-6</v>
      </c>
      <c r="L3190" s="3" t="str">
        <f t="shared" si="139"/>
        <v>CRÍTICO</v>
      </c>
      <c r="N3190">
        <v>100</v>
      </c>
      <c r="O3190">
        <v>35</v>
      </c>
    </row>
    <row r="3191" spans="1:15" x14ac:dyDescent="0.25">
      <c r="A3191" s="11">
        <v>46100</v>
      </c>
      <c r="B3191" t="s">
        <v>60</v>
      </c>
      <c r="C3191" t="s">
        <v>20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 t="shared" si="136"/>
        <v>25</v>
      </c>
      <c r="J3191" s="3">
        <f t="shared" si="137"/>
        <v>14</v>
      </c>
      <c r="K3191" s="3">
        <f t="shared" si="138"/>
        <v>11</v>
      </c>
      <c r="L3191" s="3" t="str">
        <f t="shared" si="139"/>
        <v>MUITO BOM</v>
      </c>
      <c r="N3191">
        <v>95.35</v>
      </c>
      <c r="O3191">
        <v>28.61538461538461</v>
      </c>
    </row>
    <row r="3192" spans="1:15" x14ac:dyDescent="0.25">
      <c r="A3192" s="11">
        <v>46100</v>
      </c>
      <c r="B3192" t="s">
        <v>61</v>
      </c>
      <c r="C3192" t="s">
        <v>18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 t="shared" si="136"/>
        <v>38</v>
      </c>
      <c r="J3192" s="3">
        <f t="shared" si="137"/>
        <v>21</v>
      </c>
      <c r="K3192" s="3">
        <f t="shared" si="138"/>
        <v>17</v>
      </c>
      <c r="L3192" s="3" t="str">
        <f t="shared" si="139"/>
        <v>MUITO BOM</v>
      </c>
      <c r="N3192">
        <v>98.26</v>
      </c>
      <c r="O3192">
        <v>27.54491017964072</v>
      </c>
    </row>
    <row r="3193" spans="1:15" x14ac:dyDescent="0.25">
      <c r="A3193" s="11">
        <v>46100</v>
      </c>
      <c r="B3193" t="s">
        <v>62</v>
      </c>
      <c r="C3193" t="s">
        <v>20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 t="shared" si="136"/>
        <v>17</v>
      </c>
      <c r="J3193" s="3">
        <f t="shared" si="137"/>
        <v>14</v>
      </c>
      <c r="K3193" s="3">
        <f t="shared" si="138"/>
        <v>3</v>
      </c>
      <c r="L3193" s="3" t="str">
        <f t="shared" si="139"/>
        <v>OPORTUNO</v>
      </c>
      <c r="N3193">
        <v>98.55</v>
      </c>
      <c r="O3193">
        <v>25.337837837837839</v>
      </c>
    </row>
    <row r="3194" spans="1:15" x14ac:dyDescent="0.25">
      <c r="A3194" s="11">
        <v>46100</v>
      </c>
      <c r="B3194" t="s">
        <v>63</v>
      </c>
      <c r="C3194" t="s">
        <v>18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 t="shared" si="136"/>
        <v>27</v>
      </c>
      <c r="J3194" s="3">
        <f t="shared" si="137"/>
        <v>21</v>
      </c>
      <c r="K3194" s="3">
        <f t="shared" si="138"/>
        <v>6</v>
      </c>
      <c r="L3194" s="3" t="str">
        <f t="shared" si="139"/>
        <v>MUITO BOM</v>
      </c>
      <c r="N3194">
        <v>98.39</v>
      </c>
      <c r="O3194">
        <v>25.563909774436091</v>
      </c>
    </row>
    <row r="3195" spans="1:15" x14ac:dyDescent="0.25">
      <c r="A3195" s="11">
        <v>46101</v>
      </c>
      <c r="B3195" t="s">
        <v>15</v>
      </c>
      <c r="C3195" t="s">
        <v>16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 t="shared" si="136"/>
        <v>12</v>
      </c>
      <c r="J3195" s="3">
        <f t="shared" si="137"/>
        <v>16</v>
      </c>
      <c r="K3195" s="3">
        <f t="shared" si="138"/>
        <v>-4</v>
      </c>
      <c r="L3195" s="3" t="str">
        <f t="shared" si="139"/>
        <v>ATENÇÃO</v>
      </c>
      <c r="N3195">
        <v>94.29</v>
      </c>
      <c r="O3195">
        <v>25.647668393782389</v>
      </c>
    </row>
    <row r="3196" spans="1:15" x14ac:dyDescent="0.25">
      <c r="A3196" s="11">
        <v>46101</v>
      </c>
      <c r="B3196" t="s">
        <v>17</v>
      </c>
      <c r="C3196" t="s">
        <v>18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f t="shared" si="136"/>
        <v>0</v>
      </c>
      <c r="J3196" s="3">
        <f t="shared" si="137"/>
        <v>20</v>
      </c>
      <c r="K3196" s="3">
        <f t="shared" si="138"/>
        <v>-20</v>
      </c>
      <c r="L3196" s="3" t="str">
        <f t="shared" si="139"/>
        <v>CRÍTICO</v>
      </c>
      <c r="N3196">
        <v>98.26</v>
      </c>
      <c r="O3196">
        <v>26.666666666666671</v>
      </c>
    </row>
    <row r="3197" spans="1:15" x14ac:dyDescent="0.25">
      <c r="A3197" s="11">
        <v>46101</v>
      </c>
      <c r="B3197" t="s">
        <v>19</v>
      </c>
      <c r="C3197" t="s">
        <v>20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 t="shared" si="136"/>
        <v>18</v>
      </c>
      <c r="J3197" s="3">
        <f t="shared" si="137"/>
        <v>13</v>
      </c>
      <c r="K3197" s="3">
        <f t="shared" si="138"/>
        <v>5</v>
      </c>
      <c r="L3197" s="3" t="str">
        <f t="shared" si="139"/>
        <v>OPORTUNO</v>
      </c>
      <c r="N3197">
        <v>98.2</v>
      </c>
      <c r="O3197">
        <v>23.37962962962963</v>
      </c>
    </row>
    <row r="3198" spans="1:15" x14ac:dyDescent="0.25">
      <c r="A3198" s="11">
        <v>46101</v>
      </c>
      <c r="B3198" t="s">
        <v>21</v>
      </c>
      <c r="C3198" t="s">
        <v>18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 t="shared" si="136"/>
        <v>21</v>
      </c>
      <c r="J3198" s="3">
        <f t="shared" si="137"/>
        <v>20</v>
      </c>
      <c r="K3198" s="3">
        <f t="shared" si="138"/>
        <v>1</v>
      </c>
      <c r="L3198" s="3" t="str">
        <f t="shared" si="139"/>
        <v>OPORTUNO</v>
      </c>
      <c r="N3198">
        <v>97.3</v>
      </c>
      <c r="O3198">
        <v>23.84769539078156</v>
      </c>
    </row>
    <row r="3199" spans="1:15" x14ac:dyDescent="0.25">
      <c r="A3199" s="11">
        <v>46101</v>
      </c>
      <c r="B3199" t="s">
        <v>22</v>
      </c>
      <c r="C3199" t="s">
        <v>23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 t="shared" si="136"/>
        <v>10</v>
      </c>
      <c r="J3199" s="3">
        <f t="shared" si="137"/>
        <v>6</v>
      </c>
      <c r="K3199" s="3">
        <f t="shared" si="138"/>
        <v>4</v>
      </c>
      <c r="L3199" s="3" t="str">
        <f t="shared" si="139"/>
        <v>OPORTUNO</v>
      </c>
      <c r="N3199">
        <v>100</v>
      </c>
      <c r="O3199">
        <v>25.268817204301079</v>
      </c>
    </row>
    <row r="3200" spans="1:15" x14ac:dyDescent="0.25">
      <c r="A3200" s="11">
        <v>46101</v>
      </c>
      <c r="B3200" t="s">
        <v>24</v>
      </c>
      <c r="C3200" t="s">
        <v>16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 t="shared" si="136"/>
        <v>12</v>
      </c>
      <c r="J3200" s="3">
        <f t="shared" si="137"/>
        <v>16</v>
      </c>
      <c r="K3200" s="3">
        <f t="shared" si="138"/>
        <v>-4</v>
      </c>
      <c r="L3200" s="3" t="str">
        <f t="shared" si="139"/>
        <v>ATENÇÃO</v>
      </c>
      <c r="N3200">
        <v>99.32</v>
      </c>
      <c r="O3200">
        <v>22.822822822822818</v>
      </c>
    </row>
    <row r="3201" spans="1:15" x14ac:dyDescent="0.25">
      <c r="A3201" s="11">
        <v>46101</v>
      </c>
      <c r="B3201" t="s">
        <v>25</v>
      </c>
      <c r="C3201" t="s">
        <v>16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 t="shared" si="136"/>
        <v>24</v>
      </c>
      <c r="J3201" s="3">
        <f t="shared" si="137"/>
        <v>16</v>
      </c>
      <c r="K3201" s="3">
        <f t="shared" si="138"/>
        <v>8</v>
      </c>
      <c r="L3201" s="3" t="str">
        <f t="shared" si="139"/>
        <v>MUITO BOM</v>
      </c>
      <c r="N3201">
        <v>100</v>
      </c>
      <c r="O3201">
        <v>27.966101694915249</v>
      </c>
    </row>
    <row r="3202" spans="1:15" x14ac:dyDescent="0.25">
      <c r="A3202" s="11">
        <v>46101</v>
      </c>
      <c r="B3202" t="s">
        <v>26</v>
      </c>
      <c r="C3202" t="s">
        <v>23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f t="shared" si="136"/>
        <v>0</v>
      </c>
      <c r="J3202" s="3">
        <f t="shared" si="137"/>
        <v>6</v>
      </c>
      <c r="K3202" s="3">
        <f t="shared" si="138"/>
        <v>-6</v>
      </c>
      <c r="L3202" s="3" t="str">
        <f t="shared" si="139"/>
        <v>CRÍTICO</v>
      </c>
      <c r="N3202">
        <v>100</v>
      </c>
      <c r="O3202">
        <v>30.434782608695659</v>
      </c>
    </row>
    <row r="3203" spans="1:15" x14ac:dyDescent="0.25">
      <c r="A3203" s="11">
        <v>46101</v>
      </c>
      <c r="B3203" t="s">
        <v>27</v>
      </c>
      <c r="C3203" t="s">
        <v>20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 t="shared" si="136"/>
        <v>23</v>
      </c>
      <c r="J3203" s="3">
        <f t="shared" si="137"/>
        <v>13</v>
      </c>
      <c r="K3203" s="3">
        <f t="shared" si="138"/>
        <v>10</v>
      </c>
      <c r="L3203" s="3" t="str">
        <f t="shared" si="139"/>
        <v>MUITO BOM</v>
      </c>
      <c r="N3203">
        <v>96.51</v>
      </c>
      <c r="O3203">
        <v>22.802850356294542</v>
      </c>
    </row>
    <row r="3204" spans="1:15" x14ac:dyDescent="0.25">
      <c r="A3204" s="11">
        <v>46101</v>
      </c>
      <c r="B3204" t="s">
        <v>28</v>
      </c>
      <c r="C3204" t="s">
        <v>18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f t="shared" si="136"/>
        <v>0</v>
      </c>
      <c r="J3204" s="3">
        <f t="shared" si="137"/>
        <v>20</v>
      </c>
      <c r="K3204" s="3">
        <f t="shared" si="138"/>
        <v>-20</v>
      </c>
      <c r="L3204" s="3" t="str">
        <f t="shared" si="139"/>
        <v>CRÍTICO</v>
      </c>
      <c r="N3204">
        <v>92.68</v>
      </c>
      <c r="O3204">
        <v>27.777777777777779</v>
      </c>
    </row>
    <row r="3205" spans="1:15" x14ac:dyDescent="0.25">
      <c r="A3205" s="11">
        <v>46101</v>
      </c>
      <c r="B3205" t="s">
        <v>29</v>
      </c>
      <c r="C3205" t="s">
        <v>16</v>
      </c>
      <c r="D3205">
        <v>0</v>
      </c>
      <c r="E3205">
        <v>0</v>
      </c>
      <c r="F3205">
        <v>0</v>
      </c>
      <c r="G3205">
        <v>0</v>
      </c>
      <c r="H3205">
        <v>0</v>
      </c>
      <c r="I3205" s="3">
        <f t="shared" si="136"/>
        <v>0</v>
      </c>
      <c r="J3205" s="3">
        <f t="shared" si="137"/>
        <v>16</v>
      </c>
      <c r="K3205" s="3">
        <f t="shared" si="138"/>
        <v>-16</v>
      </c>
      <c r="L3205" s="3" t="str">
        <f t="shared" si="139"/>
        <v>CRÍTICO</v>
      </c>
      <c r="N3205">
        <v>99.03</v>
      </c>
      <c r="O3205">
        <v>23.991507430997881</v>
      </c>
    </row>
    <row r="3206" spans="1:15" x14ac:dyDescent="0.25">
      <c r="A3206" s="11">
        <v>46101</v>
      </c>
      <c r="B3206" t="s">
        <v>30</v>
      </c>
      <c r="C3206" t="s">
        <v>20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 t="shared" si="136"/>
        <v>22</v>
      </c>
      <c r="J3206" s="3">
        <f t="shared" si="137"/>
        <v>13</v>
      </c>
      <c r="K3206" s="3">
        <f t="shared" si="138"/>
        <v>9</v>
      </c>
      <c r="L3206" s="3" t="str">
        <f t="shared" si="139"/>
        <v>MUITO BOM</v>
      </c>
      <c r="N3206">
        <v>98.41</v>
      </c>
      <c r="O3206">
        <v>28.138528138528141</v>
      </c>
    </row>
    <row r="3207" spans="1:15" x14ac:dyDescent="0.25">
      <c r="A3207" s="11">
        <v>46101</v>
      </c>
      <c r="B3207" t="s">
        <v>31</v>
      </c>
      <c r="C3207" t="s">
        <v>18</v>
      </c>
      <c r="D3207">
        <v>0</v>
      </c>
      <c r="E3207">
        <v>0</v>
      </c>
      <c r="F3207">
        <v>0</v>
      </c>
      <c r="G3207">
        <v>0</v>
      </c>
      <c r="H3207">
        <v>0</v>
      </c>
      <c r="I3207" s="3">
        <f t="shared" si="136"/>
        <v>0</v>
      </c>
      <c r="J3207" s="3">
        <f t="shared" si="137"/>
        <v>20</v>
      </c>
      <c r="K3207" s="3">
        <f t="shared" si="138"/>
        <v>-20</v>
      </c>
      <c r="L3207" s="3" t="str">
        <f t="shared" si="139"/>
        <v>CRÍTICO</v>
      </c>
      <c r="N3207">
        <v>98.73</v>
      </c>
      <c r="O3207">
        <v>29.142857142857139</v>
      </c>
    </row>
    <row r="3208" spans="1:15" x14ac:dyDescent="0.25">
      <c r="A3208" s="11">
        <v>46101</v>
      </c>
      <c r="B3208" t="s">
        <v>32</v>
      </c>
      <c r="C3208" t="s">
        <v>23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 t="shared" si="136"/>
        <v>8</v>
      </c>
      <c r="J3208" s="3">
        <f t="shared" si="137"/>
        <v>6</v>
      </c>
      <c r="K3208" s="3">
        <f t="shared" si="138"/>
        <v>2</v>
      </c>
      <c r="L3208" s="3" t="str">
        <f t="shared" si="139"/>
        <v>OPORTUNO</v>
      </c>
      <c r="N3208">
        <v>90.48</v>
      </c>
      <c r="O3208">
        <v>20.68965517241379</v>
      </c>
    </row>
    <row r="3209" spans="1:15" x14ac:dyDescent="0.25">
      <c r="A3209" s="11">
        <v>46101</v>
      </c>
      <c r="B3209" t="s">
        <v>33</v>
      </c>
      <c r="C3209" t="s">
        <v>16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 t="shared" si="136"/>
        <v>15</v>
      </c>
      <c r="J3209" s="3">
        <f t="shared" si="137"/>
        <v>16</v>
      </c>
      <c r="K3209" s="3">
        <f t="shared" si="138"/>
        <v>-1</v>
      </c>
      <c r="L3209" s="3" t="str">
        <f t="shared" si="139"/>
        <v>ATENÇÃO</v>
      </c>
      <c r="N3209">
        <v>98.06</v>
      </c>
      <c r="O3209">
        <v>24.789915966386559</v>
      </c>
    </row>
    <row r="3210" spans="1:15" x14ac:dyDescent="0.25">
      <c r="A3210" s="11">
        <v>46101</v>
      </c>
      <c r="B3210" t="s">
        <v>34</v>
      </c>
      <c r="C3210" t="s">
        <v>18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 t="shared" si="136"/>
        <v>27</v>
      </c>
      <c r="J3210" s="3">
        <f t="shared" si="137"/>
        <v>20</v>
      </c>
      <c r="K3210" s="3">
        <f t="shared" si="138"/>
        <v>7</v>
      </c>
      <c r="L3210" s="3" t="str">
        <f t="shared" si="139"/>
        <v>MUITO BOM</v>
      </c>
      <c r="N3210">
        <v>97.78</v>
      </c>
      <c r="O3210">
        <v>25.494071146245059</v>
      </c>
    </row>
    <row r="3211" spans="1:15" x14ac:dyDescent="0.25">
      <c r="A3211" s="11">
        <v>46101</v>
      </c>
      <c r="B3211" t="s">
        <v>35</v>
      </c>
      <c r="C3211" t="s">
        <v>16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 t="shared" si="136"/>
        <v>10</v>
      </c>
      <c r="J3211" s="3">
        <f t="shared" si="137"/>
        <v>16</v>
      </c>
      <c r="K3211" s="3">
        <f t="shared" si="138"/>
        <v>-6</v>
      </c>
      <c r="L3211" s="3" t="str">
        <f t="shared" si="139"/>
        <v>CRÍTICO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36</v>
      </c>
      <c r="C3212" t="s">
        <v>20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 t="shared" si="136"/>
        <v>15</v>
      </c>
      <c r="J3212" s="3">
        <f t="shared" si="137"/>
        <v>14</v>
      </c>
      <c r="K3212" s="3">
        <f t="shared" si="138"/>
        <v>1</v>
      </c>
      <c r="L3212" s="3" t="str">
        <f t="shared" si="139"/>
        <v>OPORTUNO</v>
      </c>
      <c r="N3212">
        <v>99.28</v>
      </c>
      <c r="O3212">
        <v>27.689243027888441</v>
      </c>
    </row>
    <row r="3213" spans="1:15" x14ac:dyDescent="0.25">
      <c r="A3213" s="11">
        <v>46101</v>
      </c>
      <c r="B3213" t="s">
        <v>37</v>
      </c>
      <c r="C3213" t="s">
        <v>16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 t="shared" si="136"/>
        <v>28</v>
      </c>
      <c r="J3213" s="3">
        <f t="shared" si="137"/>
        <v>16</v>
      </c>
      <c r="K3213" s="3">
        <f t="shared" si="138"/>
        <v>12</v>
      </c>
      <c r="L3213" s="3" t="str">
        <f t="shared" si="139"/>
        <v>MUITO BOM</v>
      </c>
      <c r="N3213">
        <v>100</v>
      </c>
      <c r="O3213">
        <v>27.04918032786885</v>
      </c>
    </row>
    <row r="3214" spans="1:15" x14ac:dyDescent="0.25">
      <c r="A3214" s="11">
        <v>46101</v>
      </c>
      <c r="B3214" t="s">
        <v>38</v>
      </c>
      <c r="C3214" t="s">
        <v>18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 t="shared" si="136"/>
        <v>38</v>
      </c>
      <c r="J3214" s="3">
        <f t="shared" si="137"/>
        <v>20</v>
      </c>
      <c r="K3214" s="3">
        <f t="shared" si="138"/>
        <v>18</v>
      </c>
      <c r="L3214" s="3" t="str">
        <f t="shared" si="139"/>
        <v>MUITO BOM</v>
      </c>
      <c r="N3214">
        <v>97.83</v>
      </c>
      <c r="O3214">
        <v>26.315789473684209</v>
      </c>
    </row>
    <row r="3215" spans="1:15" x14ac:dyDescent="0.25">
      <c r="A3215" s="11">
        <v>46101</v>
      </c>
      <c r="B3215" t="s">
        <v>39</v>
      </c>
      <c r="C3215" t="s">
        <v>18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 t="shared" si="136"/>
        <v>3</v>
      </c>
      <c r="J3215" s="3">
        <f t="shared" si="137"/>
        <v>20</v>
      </c>
      <c r="K3215" s="3">
        <f t="shared" si="138"/>
        <v>-17</v>
      </c>
      <c r="L3215" s="3" t="str">
        <f t="shared" si="139"/>
        <v>CRÍTICO</v>
      </c>
      <c r="N3215">
        <v>100</v>
      </c>
      <c r="O3215">
        <v>26.701570680628269</v>
      </c>
    </row>
    <row r="3216" spans="1:15" x14ac:dyDescent="0.25">
      <c r="A3216" s="11">
        <v>46101</v>
      </c>
      <c r="B3216" t="s">
        <v>40</v>
      </c>
      <c r="C3216" t="s">
        <v>16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f t="shared" si="136"/>
        <v>0</v>
      </c>
      <c r="J3216" s="3">
        <f t="shared" si="137"/>
        <v>16</v>
      </c>
      <c r="K3216" s="3">
        <f t="shared" si="138"/>
        <v>-16</v>
      </c>
      <c r="L3216" s="3" t="str">
        <f t="shared" si="139"/>
        <v>CRÍTICO</v>
      </c>
      <c r="N3216">
        <v>97.47</v>
      </c>
      <c r="O3216">
        <v>22.887323943661968</v>
      </c>
    </row>
    <row r="3217" spans="1:15" x14ac:dyDescent="0.25">
      <c r="A3217" s="11">
        <v>46101</v>
      </c>
      <c r="B3217" t="s">
        <v>41</v>
      </c>
      <c r="C3217" t="s">
        <v>18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f t="shared" si="136"/>
        <v>0</v>
      </c>
      <c r="J3217" s="3">
        <f t="shared" si="137"/>
        <v>20</v>
      </c>
      <c r="K3217" s="3">
        <f t="shared" si="138"/>
        <v>-20</v>
      </c>
      <c r="L3217" s="3" t="str">
        <f t="shared" si="139"/>
        <v>CRÍTICO</v>
      </c>
      <c r="N3217">
        <v>0</v>
      </c>
      <c r="O3217">
        <v>0</v>
      </c>
    </row>
    <row r="3218" spans="1:15" x14ac:dyDescent="0.25">
      <c r="A3218" s="11">
        <v>46101</v>
      </c>
      <c r="B3218" t="s">
        <v>42</v>
      </c>
      <c r="C3218" t="s">
        <v>43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 t="shared" si="136"/>
        <v>22</v>
      </c>
      <c r="J3218" s="3">
        <f t="shared" si="137"/>
        <v>11</v>
      </c>
      <c r="K3218" s="3">
        <f t="shared" si="138"/>
        <v>11</v>
      </c>
      <c r="L3218" s="3" t="str">
        <f t="shared" si="139"/>
        <v>MUITO BOM</v>
      </c>
      <c r="N3218">
        <v>98.31</v>
      </c>
      <c r="O3218">
        <v>24.920127795527151</v>
      </c>
    </row>
    <row r="3219" spans="1:15" x14ac:dyDescent="0.25">
      <c r="A3219" s="11">
        <v>46101</v>
      </c>
      <c r="B3219" t="s">
        <v>44</v>
      </c>
      <c r="C3219" t="s">
        <v>18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 t="shared" ref="I3219:I3282" si="140">E3219+G3219+H3219</f>
        <v>5</v>
      </c>
      <c r="J3219" s="3">
        <f t="shared" ref="J3219:J3282" si="141"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20</v>
      </c>
      <c r="K3219" s="3">
        <f t="shared" ref="K3219:K3282" si="142">I3219-J3219</f>
        <v>-15</v>
      </c>
      <c r="L3219" s="3" t="str">
        <f t="shared" ref="L3219:L3282" si="143">IF(K3219&lt;-5,"CRÍTICO",IF(K3219&lt;0,"ATENÇÃO",IF(K3219&lt;=5,"OPORTUNO","MUITO BOM")))</f>
        <v>CRÍTICO</v>
      </c>
      <c r="N3219">
        <v>96.81</v>
      </c>
      <c r="O3219">
        <v>32.365145228215773</v>
      </c>
    </row>
    <row r="3220" spans="1:15" x14ac:dyDescent="0.25">
      <c r="A3220" s="11">
        <v>46101</v>
      </c>
      <c r="B3220" t="s">
        <v>45</v>
      </c>
      <c r="C3220" t="s">
        <v>43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 t="shared" si="140"/>
        <v>12</v>
      </c>
      <c r="J3220" s="3">
        <f t="shared" si="141"/>
        <v>11</v>
      </c>
      <c r="K3220" s="3">
        <f t="shared" si="142"/>
        <v>1</v>
      </c>
      <c r="L3220" s="3" t="str">
        <f t="shared" si="143"/>
        <v>OPORTUNO</v>
      </c>
      <c r="N3220">
        <v>100</v>
      </c>
      <c r="O3220">
        <v>26.47058823529412</v>
      </c>
    </row>
    <row r="3221" spans="1:15" x14ac:dyDescent="0.25">
      <c r="A3221" s="11">
        <v>46101</v>
      </c>
      <c r="B3221" t="s">
        <v>46</v>
      </c>
      <c r="C3221" t="s">
        <v>18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 t="shared" si="140"/>
        <v>19</v>
      </c>
      <c r="J3221" s="3">
        <f t="shared" si="141"/>
        <v>20</v>
      </c>
      <c r="K3221" s="3">
        <f t="shared" si="142"/>
        <v>-1</v>
      </c>
      <c r="L3221" s="3" t="str">
        <f t="shared" si="143"/>
        <v>ATENÇÃO</v>
      </c>
      <c r="N3221">
        <v>100</v>
      </c>
      <c r="O3221">
        <v>28.490028490028489</v>
      </c>
    </row>
    <row r="3222" spans="1:15" x14ac:dyDescent="0.25">
      <c r="A3222" s="11">
        <v>46101</v>
      </c>
      <c r="B3222" t="s">
        <v>47</v>
      </c>
      <c r="C3222" t="s">
        <v>16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 t="shared" si="140"/>
        <v>23</v>
      </c>
      <c r="J3222" s="3">
        <f t="shared" si="141"/>
        <v>16</v>
      </c>
      <c r="K3222" s="3">
        <f t="shared" si="142"/>
        <v>7</v>
      </c>
      <c r="L3222" s="3" t="str">
        <f t="shared" si="143"/>
        <v>MUITO BOM</v>
      </c>
      <c r="N3222">
        <v>99.14</v>
      </c>
      <c r="O3222">
        <v>27.2289156626506</v>
      </c>
    </row>
    <row r="3223" spans="1:15" x14ac:dyDescent="0.25">
      <c r="A3223" s="11">
        <v>46101</v>
      </c>
      <c r="B3223" t="s">
        <v>48</v>
      </c>
      <c r="C3223" t="s">
        <v>16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f t="shared" si="140"/>
        <v>0</v>
      </c>
      <c r="J3223" s="3">
        <f t="shared" si="141"/>
        <v>16</v>
      </c>
      <c r="K3223" s="3">
        <f t="shared" si="142"/>
        <v>-16</v>
      </c>
      <c r="L3223" s="3" t="str">
        <f t="shared" si="143"/>
        <v>CRÍTICO</v>
      </c>
      <c r="N3223">
        <v>97.52</v>
      </c>
      <c r="O3223">
        <v>28.205128205128201</v>
      </c>
    </row>
    <row r="3224" spans="1:15" x14ac:dyDescent="0.25">
      <c r="A3224" s="11">
        <v>46101</v>
      </c>
      <c r="B3224" t="s">
        <v>49</v>
      </c>
      <c r="C3224" t="s">
        <v>18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f t="shared" si="140"/>
        <v>0</v>
      </c>
      <c r="J3224" s="3">
        <f t="shared" si="141"/>
        <v>20</v>
      </c>
      <c r="K3224" s="3">
        <f t="shared" si="142"/>
        <v>-20</v>
      </c>
      <c r="L3224" s="3" t="str">
        <f t="shared" si="143"/>
        <v>CRÍTICO</v>
      </c>
      <c r="N3224">
        <v>90</v>
      </c>
      <c r="O3224">
        <v>24.186046511627911</v>
      </c>
    </row>
    <row r="3225" spans="1:15" x14ac:dyDescent="0.25">
      <c r="A3225" s="11">
        <v>46101</v>
      </c>
      <c r="B3225" t="s">
        <v>50</v>
      </c>
      <c r="C3225" t="s">
        <v>20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 t="shared" si="140"/>
        <v>25</v>
      </c>
      <c r="J3225" s="3">
        <f t="shared" si="141"/>
        <v>13</v>
      </c>
      <c r="K3225" s="3">
        <f t="shared" si="142"/>
        <v>12</v>
      </c>
      <c r="L3225" s="3" t="str">
        <f t="shared" si="143"/>
        <v>MUITO BOM</v>
      </c>
      <c r="N3225">
        <v>98.9</v>
      </c>
      <c r="O3225">
        <v>26.763990267639901</v>
      </c>
    </row>
    <row r="3226" spans="1:15" x14ac:dyDescent="0.25">
      <c r="A3226" s="11">
        <v>46101</v>
      </c>
      <c r="B3226" t="s">
        <v>51</v>
      </c>
      <c r="C3226" t="s">
        <v>23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 t="shared" si="140"/>
        <v>7</v>
      </c>
      <c r="J3226" s="3">
        <f t="shared" si="141"/>
        <v>6</v>
      </c>
      <c r="K3226" s="3">
        <f t="shared" si="142"/>
        <v>1</v>
      </c>
      <c r="L3226" s="3" t="str">
        <f t="shared" si="143"/>
        <v>OPORTUNO</v>
      </c>
      <c r="N3226">
        <v>88.89</v>
      </c>
      <c r="O3226">
        <v>25.263157894736839</v>
      </c>
    </row>
    <row r="3227" spans="1:15" x14ac:dyDescent="0.25">
      <c r="A3227" s="11">
        <v>46101</v>
      </c>
      <c r="B3227" t="s">
        <v>52</v>
      </c>
      <c r="C3227" t="s">
        <v>18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 t="shared" si="140"/>
        <v>40</v>
      </c>
      <c r="J3227" s="3">
        <f t="shared" si="141"/>
        <v>20</v>
      </c>
      <c r="K3227" s="3">
        <f t="shared" si="142"/>
        <v>20</v>
      </c>
      <c r="L3227" s="3" t="str">
        <f t="shared" si="143"/>
        <v>MUITO BOM</v>
      </c>
      <c r="N3227">
        <v>98.86</v>
      </c>
      <c r="O3227">
        <v>28.959276018099551</v>
      </c>
    </row>
    <row r="3228" spans="1:15" x14ac:dyDescent="0.25">
      <c r="A3228" s="11">
        <v>46101</v>
      </c>
      <c r="B3228" t="s">
        <v>53</v>
      </c>
      <c r="C3228" t="s">
        <v>18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f t="shared" si="140"/>
        <v>0</v>
      </c>
      <c r="J3228" s="3">
        <f t="shared" si="141"/>
        <v>20</v>
      </c>
      <c r="K3228" s="3">
        <f t="shared" si="142"/>
        <v>-20</v>
      </c>
      <c r="L3228" s="3" t="str">
        <f t="shared" si="143"/>
        <v>CRÍTICO</v>
      </c>
      <c r="N3228">
        <v>98.06</v>
      </c>
      <c r="O3228">
        <v>22.40566037735849</v>
      </c>
    </row>
    <row r="3229" spans="1:15" x14ac:dyDescent="0.25">
      <c r="A3229" s="11">
        <v>46101</v>
      </c>
      <c r="B3229" t="s">
        <v>54</v>
      </c>
      <c r="C3229" t="s">
        <v>23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 t="shared" si="140"/>
        <v>4</v>
      </c>
      <c r="J3229" s="3">
        <f t="shared" si="141"/>
        <v>6</v>
      </c>
      <c r="K3229" s="3">
        <f t="shared" si="142"/>
        <v>-2</v>
      </c>
      <c r="L3229" s="3" t="str">
        <f t="shared" si="143"/>
        <v>ATENÇÃO</v>
      </c>
      <c r="N3229">
        <v>95.83</v>
      </c>
      <c r="O3229">
        <v>25.773195876288661</v>
      </c>
    </row>
    <row r="3230" spans="1:15" x14ac:dyDescent="0.25">
      <c r="A3230" s="11">
        <v>46101</v>
      </c>
      <c r="B3230" t="s">
        <v>55</v>
      </c>
      <c r="C3230" t="s">
        <v>43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f t="shared" si="140"/>
        <v>0</v>
      </c>
      <c r="J3230" s="3">
        <f t="shared" si="141"/>
        <v>11</v>
      </c>
      <c r="K3230" s="3">
        <f t="shared" si="142"/>
        <v>-11</v>
      </c>
      <c r="L3230" s="3" t="str">
        <f t="shared" si="143"/>
        <v>CRÍTICO</v>
      </c>
      <c r="N3230">
        <v>100</v>
      </c>
      <c r="O3230">
        <v>15.38461538461539</v>
      </c>
    </row>
    <row r="3231" spans="1:15" x14ac:dyDescent="0.25">
      <c r="A3231" s="11">
        <v>46101</v>
      </c>
      <c r="B3231" t="s">
        <v>56</v>
      </c>
      <c r="C3231" t="s">
        <v>16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 t="shared" si="140"/>
        <v>34</v>
      </c>
      <c r="J3231" s="3">
        <f t="shared" si="141"/>
        <v>16</v>
      </c>
      <c r="K3231" s="3">
        <f t="shared" si="142"/>
        <v>18</v>
      </c>
      <c r="L3231" s="3" t="str">
        <f t="shared" si="143"/>
        <v>MUITO BOM</v>
      </c>
      <c r="N3231">
        <v>100</v>
      </c>
      <c r="O3231">
        <v>27.514792899408281</v>
      </c>
    </row>
    <row r="3232" spans="1:15" x14ac:dyDescent="0.25">
      <c r="A3232" s="11">
        <v>46101</v>
      </c>
      <c r="B3232" t="s">
        <v>57</v>
      </c>
      <c r="C3232" t="s">
        <v>43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 t="shared" si="140"/>
        <v>13</v>
      </c>
      <c r="J3232" s="3">
        <f t="shared" si="141"/>
        <v>11</v>
      </c>
      <c r="K3232" s="3">
        <f t="shared" si="142"/>
        <v>2</v>
      </c>
      <c r="L3232" s="3" t="str">
        <f t="shared" si="143"/>
        <v>OPORTUNO</v>
      </c>
      <c r="N3232">
        <v>100</v>
      </c>
      <c r="O3232">
        <v>24.875621890547269</v>
      </c>
    </row>
    <row r="3233" spans="1:15" x14ac:dyDescent="0.25">
      <c r="A3233" s="11">
        <v>46101</v>
      </c>
      <c r="B3233" t="s">
        <v>58</v>
      </c>
      <c r="C3233" t="s">
        <v>43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 t="shared" si="140"/>
        <v>16</v>
      </c>
      <c r="J3233" s="3">
        <f t="shared" si="141"/>
        <v>11</v>
      </c>
      <c r="K3233" s="3">
        <f t="shared" si="142"/>
        <v>5</v>
      </c>
      <c r="L3233" s="3" t="str">
        <f t="shared" si="143"/>
        <v>OPORTUNO</v>
      </c>
      <c r="N3233">
        <v>100</v>
      </c>
      <c r="O3233">
        <v>28.108108108108109</v>
      </c>
    </row>
    <row r="3234" spans="1:15" x14ac:dyDescent="0.25">
      <c r="A3234" s="11">
        <v>46101</v>
      </c>
      <c r="B3234" t="s">
        <v>59</v>
      </c>
      <c r="C3234" t="s">
        <v>23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f t="shared" si="140"/>
        <v>0</v>
      </c>
      <c r="J3234" s="3">
        <f t="shared" si="141"/>
        <v>6</v>
      </c>
      <c r="K3234" s="3">
        <f t="shared" si="142"/>
        <v>-6</v>
      </c>
      <c r="L3234" s="3" t="str">
        <f t="shared" si="143"/>
        <v>CRÍTICO</v>
      </c>
      <c r="N3234">
        <v>100</v>
      </c>
      <c r="O3234">
        <v>35</v>
      </c>
    </row>
    <row r="3235" spans="1:15" x14ac:dyDescent="0.25">
      <c r="A3235" s="11">
        <v>46101</v>
      </c>
      <c r="B3235" t="s">
        <v>60</v>
      </c>
      <c r="C3235" t="s">
        <v>20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 t="shared" si="140"/>
        <v>20</v>
      </c>
      <c r="J3235" s="3">
        <f t="shared" si="141"/>
        <v>13</v>
      </c>
      <c r="K3235" s="3">
        <f t="shared" si="142"/>
        <v>7</v>
      </c>
      <c r="L3235" s="3" t="str">
        <f t="shared" si="143"/>
        <v>MUITO BOM</v>
      </c>
      <c r="N3235">
        <v>95.35</v>
      </c>
      <c r="O3235">
        <v>28.61538461538461</v>
      </c>
    </row>
    <row r="3236" spans="1:15" x14ac:dyDescent="0.25">
      <c r="A3236" s="11">
        <v>46101</v>
      </c>
      <c r="B3236" t="s">
        <v>61</v>
      </c>
      <c r="C3236" t="s">
        <v>18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 t="shared" si="140"/>
        <v>34</v>
      </c>
      <c r="J3236" s="3">
        <f t="shared" si="141"/>
        <v>20</v>
      </c>
      <c r="K3236" s="3">
        <f t="shared" si="142"/>
        <v>14</v>
      </c>
      <c r="L3236" s="3" t="str">
        <f t="shared" si="143"/>
        <v>MUITO BOM</v>
      </c>
      <c r="N3236">
        <v>98.26</v>
      </c>
      <c r="O3236">
        <v>27.54491017964072</v>
      </c>
    </row>
    <row r="3237" spans="1:15" x14ac:dyDescent="0.25">
      <c r="A3237" s="11">
        <v>46101</v>
      </c>
      <c r="B3237" t="s">
        <v>62</v>
      </c>
      <c r="C3237" t="s">
        <v>20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 t="shared" si="140"/>
        <v>18</v>
      </c>
      <c r="J3237" s="3">
        <f t="shared" si="141"/>
        <v>13</v>
      </c>
      <c r="K3237" s="3">
        <f t="shared" si="142"/>
        <v>5</v>
      </c>
      <c r="L3237" s="3" t="str">
        <f t="shared" si="143"/>
        <v>OPORTUNO</v>
      </c>
      <c r="N3237">
        <v>98.55</v>
      </c>
      <c r="O3237">
        <v>25.337837837837839</v>
      </c>
    </row>
    <row r="3238" spans="1:15" x14ac:dyDescent="0.25">
      <c r="A3238" s="11">
        <v>46101</v>
      </c>
      <c r="B3238" t="s">
        <v>63</v>
      </c>
      <c r="C3238" t="s">
        <v>18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 t="shared" si="140"/>
        <v>32</v>
      </c>
      <c r="J3238" s="3">
        <f t="shared" si="141"/>
        <v>20</v>
      </c>
      <c r="K3238" s="3">
        <f t="shared" si="142"/>
        <v>12</v>
      </c>
      <c r="L3238" s="3" t="str">
        <f t="shared" si="143"/>
        <v>MUITO BOM</v>
      </c>
      <c r="N3238">
        <v>98.39</v>
      </c>
      <c r="O3238">
        <v>25.563909774436091</v>
      </c>
    </row>
    <row r="3239" spans="1:15" x14ac:dyDescent="0.25">
      <c r="A3239" s="11">
        <v>46104</v>
      </c>
      <c r="B3239" t="s">
        <v>15</v>
      </c>
      <c r="C3239" t="s">
        <v>16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 t="shared" si="140"/>
        <v>25</v>
      </c>
      <c r="J3239" s="3">
        <f t="shared" si="141"/>
        <v>16</v>
      </c>
      <c r="K3239" s="3">
        <f t="shared" si="142"/>
        <v>9</v>
      </c>
      <c r="L3239" s="3" t="str">
        <f t="shared" si="143"/>
        <v>MUITO BOM</v>
      </c>
      <c r="N3239">
        <v>94.29</v>
      </c>
      <c r="O3239">
        <v>25.647668393782389</v>
      </c>
    </row>
    <row r="3240" spans="1:15" x14ac:dyDescent="0.25">
      <c r="A3240" s="11">
        <v>46104</v>
      </c>
      <c r="B3240" t="s">
        <v>17</v>
      </c>
      <c r="C3240" t="s">
        <v>18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f t="shared" si="140"/>
        <v>0</v>
      </c>
      <c r="J3240" s="3">
        <f t="shared" si="141"/>
        <v>20</v>
      </c>
      <c r="K3240" s="3">
        <f t="shared" si="142"/>
        <v>-20</v>
      </c>
      <c r="L3240" s="3" t="str">
        <f t="shared" si="143"/>
        <v>CRÍTICO</v>
      </c>
      <c r="N3240">
        <v>98.26</v>
      </c>
      <c r="O3240">
        <v>26.666666666666671</v>
      </c>
    </row>
    <row r="3241" spans="1:15" x14ac:dyDescent="0.25">
      <c r="A3241" s="11">
        <v>46104</v>
      </c>
      <c r="B3241" t="s">
        <v>19</v>
      </c>
      <c r="C3241" t="s">
        <v>20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 t="shared" si="140"/>
        <v>22</v>
      </c>
      <c r="J3241" s="3">
        <f t="shared" si="141"/>
        <v>13</v>
      </c>
      <c r="K3241" s="3">
        <f t="shared" si="142"/>
        <v>9</v>
      </c>
      <c r="L3241" s="3" t="str">
        <f t="shared" si="143"/>
        <v>MUITO BOM</v>
      </c>
      <c r="N3241">
        <v>98.2</v>
      </c>
      <c r="O3241">
        <v>23.37962962962963</v>
      </c>
    </row>
    <row r="3242" spans="1:15" x14ac:dyDescent="0.25">
      <c r="A3242" s="11">
        <v>46104</v>
      </c>
      <c r="B3242" t="s">
        <v>21</v>
      </c>
      <c r="C3242" t="s">
        <v>18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 t="shared" si="140"/>
        <v>18</v>
      </c>
      <c r="J3242" s="3">
        <f t="shared" si="141"/>
        <v>20</v>
      </c>
      <c r="K3242" s="3">
        <f t="shared" si="142"/>
        <v>-2</v>
      </c>
      <c r="L3242" s="3" t="str">
        <f t="shared" si="143"/>
        <v>ATENÇÃO</v>
      </c>
      <c r="N3242">
        <v>97.3</v>
      </c>
      <c r="O3242">
        <v>23.84769539078156</v>
      </c>
    </row>
    <row r="3243" spans="1:15" x14ac:dyDescent="0.25">
      <c r="A3243" s="11">
        <v>46104</v>
      </c>
      <c r="B3243" t="s">
        <v>22</v>
      </c>
      <c r="C3243" t="s">
        <v>23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 t="shared" si="140"/>
        <v>10</v>
      </c>
      <c r="J3243" s="3">
        <f t="shared" si="141"/>
        <v>6</v>
      </c>
      <c r="K3243" s="3">
        <f t="shared" si="142"/>
        <v>4</v>
      </c>
      <c r="L3243" s="3" t="str">
        <f t="shared" si="143"/>
        <v>OPORTUNO</v>
      </c>
      <c r="N3243">
        <v>100</v>
      </c>
      <c r="O3243">
        <v>25.268817204301079</v>
      </c>
    </row>
    <row r="3244" spans="1:15" x14ac:dyDescent="0.25">
      <c r="A3244" s="11">
        <v>46104</v>
      </c>
      <c r="B3244" t="s">
        <v>24</v>
      </c>
      <c r="C3244" t="s">
        <v>16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 t="shared" si="140"/>
        <v>21</v>
      </c>
      <c r="J3244" s="3">
        <f t="shared" si="141"/>
        <v>16</v>
      </c>
      <c r="K3244" s="3">
        <f t="shared" si="142"/>
        <v>5</v>
      </c>
      <c r="L3244" s="3" t="str">
        <f t="shared" si="143"/>
        <v>OPORTUNO</v>
      </c>
      <c r="N3244">
        <v>99.32</v>
      </c>
      <c r="O3244">
        <v>22.822822822822818</v>
      </c>
    </row>
    <row r="3245" spans="1:15" x14ac:dyDescent="0.25">
      <c r="A3245" s="11">
        <v>46104</v>
      </c>
      <c r="B3245" t="s">
        <v>25</v>
      </c>
      <c r="C3245" t="s">
        <v>16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 t="shared" si="140"/>
        <v>17</v>
      </c>
      <c r="J3245" s="3">
        <f t="shared" si="141"/>
        <v>16</v>
      </c>
      <c r="K3245" s="3">
        <f t="shared" si="142"/>
        <v>1</v>
      </c>
      <c r="L3245" s="3" t="str">
        <f t="shared" si="143"/>
        <v>OPORTUNO</v>
      </c>
      <c r="N3245">
        <v>100</v>
      </c>
      <c r="O3245">
        <v>27.966101694915249</v>
      </c>
    </row>
    <row r="3246" spans="1:15" x14ac:dyDescent="0.25">
      <c r="A3246" s="11">
        <v>46104</v>
      </c>
      <c r="B3246" t="s">
        <v>26</v>
      </c>
      <c r="C3246" t="s">
        <v>23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f t="shared" si="140"/>
        <v>0</v>
      </c>
      <c r="J3246" s="3">
        <f t="shared" si="141"/>
        <v>6</v>
      </c>
      <c r="K3246" s="3">
        <f t="shared" si="142"/>
        <v>-6</v>
      </c>
      <c r="L3246" s="3" t="str">
        <f t="shared" si="143"/>
        <v>CRÍTICO</v>
      </c>
      <c r="N3246">
        <v>100</v>
      </c>
      <c r="O3246">
        <v>30.434782608695659</v>
      </c>
    </row>
    <row r="3247" spans="1:15" x14ac:dyDescent="0.25">
      <c r="A3247" s="11">
        <v>46104</v>
      </c>
      <c r="B3247" t="s">
        <v>27</v>
      </c>
      <c r="C3247" t="s">
        <v>20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 t="shared" si="140"/>
        <v>22</v>
      </c>
      <c r="J3247" s="3">
        <f t="shared" si="141"/>
        <v>13</v>
      </c>
      <c r="K3247" s="3">
        <f t="shared" si="142"/>
        <v>9</v>
      </c>
      <c r="L3247" s="3" t="str">
        <f t="shared" si="143"/>
        <v>MUITO BOM</v>
      </c>
      <c r="N3247">
        <v>96.51</v>
      </c>
      <c r="O3247">
        <v>22.802850356294542</v>
      </c>
    </row>
    <row r="3248" spans="1:15" x14ac:dyDescent="0.25">
      <c r="A3248" s="11">
        <v>46104</v>
      </c>
      <c r="B3248" t="s">
        <v>28</v>
      </c>
      <c r="C3248" t="s">
        <v>18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 t="shared" si="140"/>
        <v>6</v>
      </c>
      <c r="J3248" s="3">
        <f t="shared" si="141"/>
        <v>20</v>
      </c>
      <c r="K3248" s="3">
        <f t="shared" si="142"/>
        <v>-14</v>
      </c>
      <c r="L3248" s="3" t="str">
        <f t="shared" si="143"/>
        <v>CRÍTICO</v>
      </c>
      <c r="N3248">
        <v>92.68</v>
      </c>
      <c r="O3248">
        <v>27.777777777777779</v>
      </c>
    </row>
    <row r="3249" spans="1:15" x14ac:dyDescent="0.25">
      <c r="A3249" s="11">
        <v>46104</v>
      </c>
      <c r="B3249" t="s">
        <v>29</v>
      </c>
      <c r="C3249" t="s">
        <v>16</v>
      </c>
      <c r="D3249">
        <v>0</v>
      </c>
      <c r="E3249">
        <v>0</v>
      </c>
      <c r="F3249">
        <v>0</v>
      </c>
      <c r="G3249">
        <v>0</v>
      </c>
      <c r="H3249">
        <v>0</v>
      </c>
      <c r="I3249" s="3">
        <f t="shared" si="140"/>
        <v>0</v>
      </c>
      <c r="J3249" s="3">
        <f t="shared" si="141"/>
        <v>16</v>
      </c>
      <c r="K3249" s="3">
        <f t="shared" si="142"/>
        <v>-16</v>
      </c>
      <c r="L3249" s="3" t="str">
        <f t="shared" si="143"/>
        <v>CRÍTICO</v>
      </c>
      <c r="N3249">
        <v>99.03</v>
      </c>
      <c r="O3249">
        <v>23.991507430997881</v>
      </c>
    </row>
    <row r="3250" spans="1:15" x14ac:dyDescent="0.25">
      <c r="A3250" s="11">
        <v>46104</v>
      </c>
      <c r="B3250" t="s">
        <v>30</v>
      </c>
      <c r="C3250" t="s">
        <v>20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 t="shared" si="140"/>
        <v>18</v>
      </c>
      <c r="J3250" s="3">
        <f t="shared" si="141"/>
        <v>13</v>
      </c>
      <c r="K3250" s="3">
        <f t="shared" si="142"/>
        <v>5</v>
      </c>
      <c r="L3250" s="3" t="str">
        <f t="shared" si="143"/>
        <v>OPORTUNO</v>
      </c>
      <c r="N3250">
        <v>98.41</v>
      </c>
      <c r="O3250">
        <v>28.138528138528141</v>
      </c>
    </row>
    <row r="3251" spans="1:15" x14ac:dyDescent="0.25">
      <c r="A3251" s="11">
        <v>46104</v>
      </c>
      <c r="B3251" t="s">
        <v>31</v>
      </c>
      <c r="C3251" t="s">
        <v>18</v>
      </c>
      <c r="D3251">
        <v>0</v>
      </c>
      <c r="E3251">
        <v>0</v>
      </c>
      <c r="F3251">
        <v>0</v>
      </c>
      <c r="G3251">
        <v>0</v>
      </c>
      <c r="H3251">
        <v>0</v>
      </c>
      <c r="I3251" s="3">
        <f t="shared" si="140"/>
        <v>0</v>
      </c>
      <c r="J3251" s="3">
        <f t="shared" si="141"/>
        <v>20</v>
      </c>
      <c r="K3251" s="3">
        <f t="shared" si="142"/>
        <v>-20</v>
      </c>
      <c r="L3251" s="3" t="str">
        <f t="shared" si="143"/>
        <v>CRÍTICO</v>
      </c>
      <c r="N3251">
        <v>98.73</v>
      </c>
      <c r="O3251">
        <v>29.142857142857139</v>
      </c>
    </row>
    <row r="3252" spans="1:15" x14ac:dyDescent="0.25">
      <c r="A3252" s="11">
        <v>46104</v>
      </c>
      <c r="B3252" t="s">
        <v>32</v>
      </c>
      <c r="C3252" t="s">
        <v>23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 t="shared" si="140"/>
        <v>6</v>
      </c>
      <c r="J3252" s="3">
        <f t="shared" si="141"/>
        <v>6</v>
      </c>
      <c r="K3252" s="3">
        <f t="shared" si="142"/>
        <v>0</v>
      </c>
      <c r="L3252" s="3" t="str">
        <f t="shared" si="143"/>
        <v>OPORTUNO</v>
      </c>
      <c r="N3252">
        <v>90.48</v>
      </c>
      <c r="O3252">
        <v>20.68965517241379</v>
      </c>
    </row>
    <row r="3253" spans="1:15" x14ac:dyDescent="0.25">
      <c r="A3253" s="11">
        <v>46104</v>
      </c>
      <c r="B3253" t="s">
        <v>33</v>
      </c>
      <c r="C3253" t="s">
        <v>16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 t="shared" si="140"/>
        <v>25</v>
      </c>
      <c r="J3253" s="3">
        <f t="shared" si="141"/>
        <v>16</v>
      </c>
      <c r="K3253" s="3">
        <f t="shared" si="142"/>
        <v>9</v>
      </c>
      <c r="L3253" s="3" t="str">
        <f t="shared" si="143"/>
        <v>MUITO BOM</v>
      </c>
      <c r="N3253">
        <v>98.06</v>
      </c>
      <c r="O3253">
        <v>24.789915966386559</v>
      </c>
    </row>
    <row r="3254" spans="1:15" x14ac:dyDescent="0.25">
      <c r="A3254" s="11">
        <v>46104</v>
      </c>
      <c r="B3254" t="s">
        <v>34</v>
      </c>
      <c r="C3254" t="s">
        <v>18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 t="shared" si="140"/>
        <v>27</v>
      </c>
      <c r="J3254" s="3">
        <f t="shared" si="141"/>
        <v>20</v>
      </c>
      <c r="K3254" s="3">
        <f t="shared" si="142"/>
        <v>7</v>
      </c>
      <c r="L3254" s="3" t="str">
        <f t="shared" si="143"/>
        <v>MUITO BOM</v>
      </c>
      <c r="N3254">
        <v>97.78</v>
      </c>
      <c r="O3254">
        <v>25.494071146245059</v>
      </c>
    </row>
    <row r="3255" spans="1:15" x14ac:dyDescent="0.25">
      <c r="A3255" s="11">
        <v>46104</v>
      </c>
      <c r="B3255" t="s">
        <v>35</v>
      </c>
      <c r="C3255" t="s">
        <v>16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 t="shared" si="140"/>
        <v>26</v>
      </c>
      <c r="J3255" s="3">
        <f t="shared" si="141"/>
        <v>16</v>
      </c>
      <c r="K3255" s="3">
        <f t="shared" si="142"/>
        <v>10</v>
      </c>
      <c r="L3255" s="3" t="str">
        <f t="shared" si="143"/>
        <v>MUITO BOM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36</v>
      </c>
      <c r="C3256" t="s">
        <v>20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 t="shared" si="140"/>
        <v>12</v>
      </c>
      <c r="J3256" s="3">
        <f t="shared" si="141"/>
        <v>9</v>
      </c>
      <c r="K3256" s="3">
        <f t="shared" si="142"/>
        <v>3</v>
      </c>
      <c r="L3256" s="3" t="str">
        <f t="shared" si="143"/>
        <v>OPORTUNO</v>
      </c>
      <c r="N3256">
        <v>99.28</v>
      </c>
      <c r="O3256">
        <v>27.689243027888441</v>
      </c>
    </row>
    <row r="3257" spans="1:15" x14ac:dyDescent="0.25">
      <c r="A3257" s="11">
        <v>46104</v>
      </c>
      <c r="B3257" t="s">
        <v>37</v>
      </c>
      <c r="C3257" t="s">
        <v>16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 t="shared" si="140"/>
        <v>29</v>
      </c>
      <c r="J3257" s="3">
        <f t="shared" si="141"/>
        <v>16</v>
      </c>
      <c r="K3257" s="3">
        <f t="shared" si="142"/>
        <v>13</v>
      </c>
      <c r="L3257" s="3" t="str">
        <f t="shared" si="143"/>
        <v>MUITO BOM</v>
      </c>
      <c r="N3257">
        <v>100</v>
      </c>
      <c r="O3257">
        <v>27.04918032786885</v>
      </c>
    </row>
    <row r="3258" spans="1:15" x14ac:dyDescent="0.25">
      <c r="A3258" s="11">
        <v>46104</v>
      </c>
      <c r="B3258" t="s">
        <v>38</v>
      </c>
      <c r="C3258" t="s">
        <v>18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 t="shared" si="140"/>
        <v>30</v>
      </c>
      <c r="J3258" s="3">
        <f t="shared" si="141"/>
        <v>20</v>
      </c>
      <c r="K3258" s="3">
        <f t="shared" si="142"/>
        <v>10</v>
      </c>
      <c r="L3258" s="3" t="str">
        <f t="shared" si="143"/>
        <v>MUITO BOM</v>
      </c>
      <c r="N3258">
        <v>97.83</v>
      </c>
      <c r="O3258">
        <v>26.315789473684209</v>
      </c>
    </row>
    <row r="3259" spans="1:15" x14ac:dyDescent="0.25">
      <c r="A3259" s="11">
        <v>46104</v>
      </c>
      <c r="B3259" t="s">
        <v>39</v>
      </c>
      <c r="C3259" t="s">
        <v>18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 t="shared" si="140"/>
        <v>6</v>
      </c>
      <c r="J3259" s="3">
        <f t="shared" si="141"/>
        <v>20</v>
      </c>
      <c r="K3259" s="3">
        <f t="shared" si="142"/>
        <v>-14</v>
      </c>
      <c r="L3259" s="3" t="str">
        <f t="shared" si="143"/>
        <v>CRÍTICO</v>
      </c>
      <c r="N3259">
        <v>100</v>
      </c>
      <c r="O3259">
        <v>26.701570680628269</v>
      </c>
    </row>
    <row r="3260" spans="1:15" x14ac:dyDescent="0.25">
      <c r="A3260" s="11">
        <v>46104</v>
      </c>
      <c r="B3260" t="s">
        <v>40</v>
      </c>
      <c r="C3260" t="s">
        <v>16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f t="shared" si="140"/>
        <v>0</v>
      </c>
      <c r="J3260" s="3">
        <f t="shared" si="141"/>
        <v>16</v>
      </c>
      <c r="K3260" s="3">
        <f t="shared" si="142"/>
        <v>-16</v>
      </c>
      <c r="L3260" s="3" t="str">
        <f t="shared" si="143"/>
        <v>CRÍTICO</v>
      </c>
      <c r="N3260">
        <v>97.47</v>
      </c>
      <c r="O3260">
        <v>22.887323943661968</v>
      </c>
    </row>
    <row r="3261" spans="1:15" x14ac:dyDescent="0.25">
      <c r="A3261" s="11">
        <v>46104</v>
      </c>
      <c r="B3261" t="s">
        <v>41</v>
      </c>
      <c r="C3261" t="s">
        <v>18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f t="shared" si="140"/>
        <v>0</v>
      </c>
      <c r="J3261" s="3">
        <f t="shared" si="141"/>
        <v>20</v>
      </c>
      <c r="K3261" s="3">
        <f t="shared" si="142"/>
        <v>-20</v>
      </c>
      <c r="L3261" s="3" t="str">
        <f t="shared" si="143"/>
        <v>CRÍTICO</v>
      </c>
      <c r="N3261">
        <v>0</v>
      </c>
      <c r="O3261">
        <v>0</v>
      </c>
    </row>
    <row r="3262" spans="1:15" x14ac:dyDescent="0.25">
      <c r="A3262" s="11">
        <v>46104</v>
      </c>
      <c r="B3262" t="s">
        <v>42</v>
      </c>
      <c r="C3262" t="s">
        <v>43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 t="shared" si="140"/>
        <v>9</v>
      </c>
      <c r="J3262" s="3">
        <f t="shared" si="141"/>
        <v>12</v>
      </c>
      <c r="K3262" s="3">
        <f t="shared" si="142"/>
        <v>-3</v>
      </c>
      <c r="L3262" s="3" t="str">
        <f t="shared" si="143"/>
        <v>ATENÇÃO</v>
      </c>
      <c r="N3262">
        <v>98.31</v>
      </c>
      <c r="O3262">
        <v>24.920127795527151</v>
      </c>
    </row>
    <row r="3263" spans="1:15" x14ac:dyDescent="0.25">
      <c r="A3263" s="11">
        <v>46104</v>
      </c>
      <c r="B3263" t="s">
        <v>44</v>
      </c>
      <c r="C3263" t="s">
        <v>18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 t="shared" si="140"/>
        <v>13</v>
      </c>
      <c r="J3263" s="3">
        <f t="shared" si="141"/>
        <v>20</v>
      </c>
      <c r="K3263" s="3">
        <f t="shared" si="142"/>
        <v>-7</v>
      </c>
      <c r="L3263" s="3" t="str">
        <f t="shared" si="143"/>
        <v>CRÍTICO</v>
      </c>
      <c r="N3263">
        <v>96.81</v>
      </c>
      <c r="O3263">
        <v>32.365145228215773</v>
      </c>
    </row>
    <row r="3264" spans="1:15" x14ac:dyDescent="0.25">
      <c r="A3264" s="11">
        <v>46104</v>
      </c>
      <c r="B3264" t="s">
        <v>45</v>
      </c>
      <c r="C3264" t="s">
        <v>43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 t="shared" si="140"/>
        <v>16</v>
      </c>
      <c r="J3264" s="3">
        <f t="shared" si="141"/>
        <v>12</v>
      </c>
      <c r="K3264" s="3">
        <f t="shared" si="142"/>
        <v>4</v>
      </c>
      <c r="L3264" s="3" t="str">
        <f t="shared" si="143"/>
        <v>OPORTUNO</v>
      </c>
      <c r="N3264">
        <v>100</v>
      </c>
      <c r="O3264">
        <v>26.47058823529412</v>
      </c>
    </row>
    <row r="3265" spans="1:15" x14ac:dyDescent="0.25">
      <c r="A3265" s="11">
        <v>46104</v>
      </c>
      <c r="B3265" t="s">
        <v>46</v>
      </c>
      <c r="C3265" t="s">
        <v>18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 t="shared" si="140"/>
        <v>15</v>
      </c>
      <c r="J3265" s="3">
        <f t="shared" si="141"/>
        <v>20</v>
      </c>
      <c r="K3265" s="3">
        <f t="shared" si="142"/>
        <v>-5</v>
      </c>
      <c r="L3265" s="3" t="str">
        <f t="shared" si="143"/>
        <v>ATENÇÃO</v>
      </c>
      <c r="N3265">
        <v>100</v>
      </c>
      <c r="O3265">
        <v>28.490028490028489</v>
      </c>
    </row>
    <row r="3266" spans="1:15" x14ac:dyDescent="0.25">
      <c r="A3266" s="11">
        <v>46104</v>
      </c>
      <c r="B3266" t="s">
        <v>47</v>
      </c>
      <c r="C3266" t="s">
        <v>16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 t="shared" si="140"/>
        <v>19</v>
      </c>
      <c r="J3266" s="3">
        <f t="shared" si="141"/>
        <v>16</v>
      </c>
      <c r="K3266" s="3">
        <f t="shared" si="142"/>
        <v>3</v>
      </c>
      <c r="L3266" s="3" t="str">
        <f t="shared" si="143"/>
        <v>OPORTUNO</v>
      </c>
      <c r="N3266">
        <v>99.14</v>
      </c>
      <c r="O3266">
        <v>27.2289156626506</v>
      </c>
    </row>
    <row r="3267" spans="1:15" x14ac:dyDescent="0.25">
      <c r="A3267" s="11">
        <v>46104</v>
      </c>
      <c r="B3267" t="s">
        <v>48</v>
      </c>
      <c r="C3267" t="s">
        <v>16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f t="shared" si="140"/>
        <v>0</v>
      </c>
      <c r="J3267" s="3">
        <f t="shared" si="141"/>
        <v>16</v>
      </c>
      <c r="K3267" s="3">
        <f t="shared" si="142"/>
        <v>-16</v>
      </c>
      <c r="L3267" s="3" t="str">
        <f t="shared" si="143"/>
        <v>CRÍTICO</v>
      </c>
      <c r="N3267">
        <v>97.52</v>
      </c>
      <c r="O3267">
        <v>28.205128205128201</v>
      </c>
    </row>
    <row r="3268" spans="1:15" x14ac:dyDescent="0.25">
      <c r="A3268" s="11">
        <v>46104</v>
      </c>
      <c r="B3268" t="s">
        <v>49</v>
      </c>
      <c r="C3268" t="s">
        <v>18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f t="shared" si="140"/>
        <v>0</v>
      </c>
      <c r="J3268" s="3">
        <f t="shared" si="141"/>
        <v>20</v>
      </c>
      <c r="K3268" s="3">
        <f t="shared" si="142"/>
        <v>-20</v>
      </c>
      <c r="L3268" s="3" t="str">
        <f t="shared" si="143"/>
        <v>CRÍTICO</v>
      </c>
      <c r="N3268">
        <v>90</v>
      </c>
      <c r="O3268">
        <v>24.186046511627911</v>
      </c>
    </row>
    <row r="3269" spans="1:15" x14ac:dyDescent="0.25">
      <c r="A3269" s="11">
        <v>46104</v>
      </c>
      <c r="B3269" t="s">
        <v>50</v>
      </c>
      <c r="C3269" t="s">
        <v>20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 t="shared" si="140"/>
        <v>21</v>
      </c>
      <c r="J3269" s="3">
        <f t="shared" si="141"/>
        <v>13</v>
      </c>
      <c r="K3269" s="3">
        <f t="shared" si="142"/>
        <v>8</v>
      </c>
      <c r="L3269" s="3" t="str">
        <f t="shared" si="143"/>
        <v>MUITO BOM</v>
      </c>
      <c r="N3269">
        <v>98.9</v>
      </c>
      <c r="O3269">
        <v>26.763990267639901</v>
      </c>
    </row>
    <row r="3270" spans="1:15" x14ac:dyDescent="0.25">
      <c r="A3270" s="11">
        <v>46104</v>
      </c>
      <c r="B3270" t="s">
        <v>51</v>
      </c>
      <c r="C3270" t="s">
        <v>23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 t="shared" si="140"/>
        <v>8</v>
      </c>
      <c r="J3270" s="3">
        <f t="shared" si="141"/>
        <v>6</v>
      </c>
      <c r="K3270" s="3">
        <f t="shared" si="142"/>
        <v>2</v>
      </c>
      <c r="L3270" s="3" t="str">
        <f t="shared" si="143"/>
        <v>OPORTUNO</v>
      </c>
      <c r="N3270">
        <v>88.89</v>
      </c>
      <c r="O3270">
        <v>25.263157894736839</v>
      </c>
    </row>
    <row r="3271" spans="1:15" x14ac:dyDescent="0.25">
      <c r="A3271" s="11">
        <v>46104</v>
      </c>
      <c r="B3271" t="s">
        <v>52</v>
      </c>
      <c r="C3271" t="s">
        <v>18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 t="shared" si="140"/>
        <v>20</v>
      </c>
      <c r="J3271" s="3">
        <f t="shared" si="141"/>
        <v>20</v>
      </c>
      <c r="K3271" s="3">
        <f t="shared" si="142"/>
        <v>0</v>
      </c>
      <c r="L3271" s="3" t="str">
        <f t="shared" si="143"/>
        <v>OPORTUNO</v>
      </c>
      <c r="N3271">
        <v>98.86</v>
      </c>
      <c r="O3271">
        <v>28.959276018099551</v>
      </c>
    </row>
    <row r="3272" spans="1:15" x14ac:dyDescent="0.25">
      <c r="A3272" s="11">
        <v>46104</v>
      </c>
      <c r="B3272" t="s">
        <v>53</v>
      </c>
      <c r="C3272" t="s">
        <v>18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 t="shared" si="140"/>
        <v>30</v>
      </c>
      <c r="J3272" s="3">
        <f t="shared" si="141"/>
        <v>20</v>
      </c>
      <c r="K3272" s="3">
        <f t="shared" si="142"/>
        <v>10</v>
      </c>
      <c r="L3272" s="3" t="str">
        <f t="shared" si="143"/>
        <v>MUITO BOM</v>
      </c>
      <c r="N3272">
        <v>98.06</v>
      </c>
      <c r="O3272">
        <v>22.40566037735849</v>
      </c>
    </row>
    <row r="3273" spans="1:15" x14ac:dyDescent="0.25">
      <c r="A3273" s="11">
        <v>46104</v>
      </c>
      <c r="B3273" t="s">
        <v>54</v>
      </c>
      <c r="C3273" t="s">
        <v>23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 t="shared" si="140"/>
        <v>4</v>
      </c>
      <c r="J3273" s="3">
        <f t="shared" si="141"/>
        <v>6</v>
      </c>
      <c r="K3273" s="3">
        <f t="shared" si="142"/>
        <v>-2</v>
      </c>
      <c r="L3273" s="3" t="str">
        <f t="shared" si="143"/>
        <v>ATENÇÃO</v>
      </c>
      <c r="N3273">
        <v>95.83</v>
      </c>
      <c r="O3273">
        <v>25.773195876288661</v>
      </c>
    </row>
    <row r="3274" spans="1:15" x14ac:dyDescent="0.25">
      <c r="A3274" s="11">
        <v>46104</v>
      </c>
      <c r="B3274" t="s">
        <v>55</v>
      </c>
      <c r="C3274" t="s">
        <v>43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f t="shared" si="140"/>
        <v>0</v>
      </c>
      <c r="J3274" s="3">
        <f t="shared" si="141"/>
        <v>12</v>
      </c>
      <c r="K3274" s="3">
        <f t="shared" si="142"/>
        <v>-12</v>
      </c>
      <c r="L3274" s="3" t="str">
        <f t="shared" si="143"/>
        <v>CRÍTICO</v>
      </c>
      <c r="N3274">
        <v>100</v>
      </c>
      <c r="O3274">
        <v>15.38461538461539</v>
      </c>
    </row>
    <row r="3275" spans="1:15" x14ac:dyDescent="0.25">
      <c r="A3275" s="11">
        <v>46104</v>
      </c>
      <c r="B3275" t="s">
        <v>56</v>
      </c>
      <c r="C3275" t="s">
        <v>16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 t="shared" si="140"/>
        <v>20</v>
      </c>
      <c r="J3275" s="3">
        <f t="shared" si="141"/>
        <v>16</v>
      </c>
      <c r="K3275" s="3">
        <f t="shared" si="142"/>
        <v>4</v>
      </c>
      <c r="L3275" s="3" t="str">
        <f t="shared" si="143"/>
        <v>OPORTUNO</v>
      </c>
      <c r="N3275">
        <v>100</v>
      </c>
      <c r="O3275">
        <v>27.514792899408281</v>
      </c>
    </row>
    <row r="3276" spans="1:15" x14ac:dyDescent="0.25">
      <c r="A3276" s="11">
        <v>46104</v>
      </c>
      <c r="B3276" t="s">
        <v>57</v>
      </c>
      <c r="C3276" t="s">
        <v>43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 t="shared" si="140"/>
        <v>16</v>
      </c>
      <c r="J3276" s="3">
        <f t="shared" si="141"/>
        <v>12</v>
      </c>
      <c r="K3276" s="3">
        <f t="shared" si="142"/>
        <v>4</v>
      </c>
      <c r="L3276" s="3" t="str">
        <f t="shared" si="143"/>
        <v>OPORTUNO</v>
      </c>
      <c r="N3276">
        <v>100</v>
      </c>
      <c r="O3276">
        <v>24.875621890547269</v>
      </c>
    </row>
    <row r="3277" spans="1:15" x14ac:dyDescent="0.25">
      <c r="A3277" s="11">
        <v>46104</v>
      </c>
      <c r="B3277" t="s">
        <v>58</v>
      </c>
      <c r="C3277" t="s">
        <v>43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 t="shared" si="140"/>
        <v>16</v>
      </c>
      <c r="J3277" s="3">
        <f t="shared" si="141"/>
        <v>12</v>
      </c>
      <c r="K3277" s="3">
        <f t="shared" si="142"/>
        <v>4</v>
      </c>
      <c r="L3277" s="3" t="str">
        <f t="shared" si="143"/>
        <v>OPORTUNO</v>
      </c>
      <c r="N3277">
        <v>100</v>
      </c>
      <c r="O3277">
        <v>28.108108108108109</v>
      </c>
    </row>
    <row r="3278" spans="1:15" x14ac:dyDescent="0.25">
      <c r="A3278" s="11">
        <v>46104</v>
      </c>
      <c r="B3278" t="s">
        <v>59</v>
      </c>
      <c r="C3278" t="s">
        <v>23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f t="shared" si="140"/>
        <v>0</v>
      </c>
      <c r="J3278" s="3">
        <f t="shared" si="141"/>
        <v>6</v>
      </c>
      <c r="K3278" s="3">
        <f t="shared" si="142"/>
        <v>-6</v>
      </c>
      <c r="L3278" s="3" t="str">
        <f t="shared" si="143"/>
        <v>CRÍTICO</v>
      </c>
      <c r="N3278">
        <v>100</v>
      </c>
      <c r="O3278">
        <v>35</v>
      </c>
    </row>
    <row r="3279" spans="1:15" x14ac:dyDescent="0.25">
      <c r="A3279" s="11">
        <v>46104</v>
      </c>
      <c r="B3279" t="s">
        <v>60</v>
      </c>
      <c r="C3279" t="s">
        <v>20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 t="shared" si="140"/>
        <v>19</v>
      </c>
      <c r="J3279" s="3">
        <f t="shared" si="141"/>
        <v>13</v>
      </c>
      <c r="K3279" s="3">
        <f t="shared" si="142"/>
        <v>6</v>
      </c>
      <c r="L3279" s="3" t="str">
        <f t="shared" si="143"/>
        <v>MUITO BOM</v>
      </c>
      <c r="N3279">
        <v>95.35</v>
      </c>
      <c r="O3279">
        <v>28.61538461538461</v>
      </c>
    </row>
    <row r="3280" spans="1:15" x14ac:dyDescent="0.25">
      <c r="A3280" s="11">
        <v>46104</v>
      </c>
      <c r="B3280" t="s">
        <v>61</v>
      </c>
      <c r="C3280" t="s">
        <v>18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 t="shared" si="140"/>
        <v>25</v>
      </c>
      <c r="J3280" s="3">
        <f t="shared" si="141"/>
        <v>20</v>
      </c>
      <c r="K3280" s="3">
        <f t="shared" si="142"/>
        <v>5</v>
      </c>
      <c r="L3280" s="3" t="str">
        <f t="shared" si="143"/>
        <v>OPORTUNO</v>
      </c>
      <c r="N3280">
        <v>98.26</v>
      </c>
      <c r="O3280">
        <v>27.54491017964072</v>
      </c>
    </row>
    <row r="3281" spans="1:15" x14ac:dyDescent="0.25">
      <c r="A3281" s="11">
        <v>46104</v>
      </c>
      <c r="B3281" t="s">
        <v>62</v>
      </c>
      <c r="C3281" t="s">
        <v>20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 t="shared" si="140"/>
        <v>10</v>
      </c>
      <c r="J3281" s="3">
        <f t="shared" si="141"/>
        <v>13</v>
      </c>
      <c r="K3281" s="3">
        <f t="shared" si="142"/>
        <v>-3</v>
      </c>
      <c r="L3281" s="3" t="str">
        <f t="shared" si="143"/>
        <v>ATENÇÃO</v>
      </c>
      <c r="N3281">
        <v>98.55</v>
      </c>
      <c r="O3281">
        <v>25.337837837837839</v>
      </c>
    </row>
    <row r="3282" spans="1:15" x14ac:dyDescent="0.25">
      <c r="A3282" s="11">
        <v>46104</v>
      </c>
      <c r="B3282" t="s">
        <v>63</v>
      </c>
      <c r="C3282" t="s">
        <v>18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 t="shared" si="140"/>
        <v>24</v>
      </c>
      <c r="J3282" s="3">
        <f t="shared" si="141"/>
        <v>20</v>
      </c>
      <c r="K3282" s="3">
        <f t="shared" si="142"/>
        <v>4</v>
      </c>
      <c r="L3282" s="3" t="str">
        <f t="shared" si="143"/>
        <v>OPORTUNO</v>
      </c>
      <c r="N3282">
        <v>98.39</v>
      </c>
      <c r="O3282">
        <v>25.563909774436091</v>
      </c>
    </row>
    <row r="3283" spans="1:15" x14ac:dyDescent="0.25">
      <c r="A3283" s="11">
        <v>46105</v>
      </c>
      <c r="B3283" t="s">
        <v>15</v>
      </c>
      <c r="C3283" t="s">
        <v>16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 t="shared" ref="I3283:I3346" si="144">E3283+G3283+H3283</f>
        <v>21</v>
      </c>
      <c r="J3283" s="3">
        <f t="shared" ref="J3283:J3346" si="145"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20</v>
      </c>
      <c r="K3283" s="3">
        <f t="shared" ref="K3283:K3346" si="146">I3283-J3283</f>
        <v>1</v>
      </c>
      <c r="L3283" s="3" t="str">
        <f t="shared" ref="L3283:L3346" si="147">IF(K3283&lt;-5,"CRÍTICO",IF(K3283&lt;0,"ATENÇÃO",IF(K3283&lt;=5,"OPORTUNO","MUITO BOM")))</f>
        <v>OPORTUNO</v>
      </c>
      <c r="N3283">
        <v>94.29</v>
      </c>
      <c r="O3283">
        <v>25.647668393782389</v>
      </c>
    </row>
    <row r="3284" spans="1:15" x14ac:dyDescent="0.25">
      <c r="A3284" s="11">
        <v>46105</v>
      </c>
      <c r="B3284" t="s">
        <v>17</v>
      </c>
      <c r="C3284" t="s">
        <v>18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f t="shared" si="144"/>
        <v>0</v>
      </c>
      <c r="J3284" s="3">
        <f t="shared" si="145"/>
        <v>25</v>
      </c>
      <c r="K3284" s="3">
        <f t="shared" si="146"/>
        <v>-25</v>
      </c>
      <c r="L3284" s="3" t="str">
        <f t="shared" si="147"/>
        <v>CRÍTICO</v>
      </c>
      <c r="N3284">
        <v>98.26</v>
      </c>
      <c r="O3284">
        <v>26.666666666666671</v>
      </c>
    </row>
    <row r="3285" spans="1:15" x14ac:dyDescent="0.25">
      <c r="A3285" s="11">
        <v>46105</v>
      </c>
      <c r="B3285" t="s">
        <v>19</v>
      </c>
      <c r="C3285" t="s">
        <v>20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 t="shared" si="144"/>
        <v>26</v>
      </c>
      <c r="J3285" s="3">
        <f t="shared" si="145"/>
        <v>17</v>
      </c>
      <c r="K3285" s="3">
        <f t="shared" si="146"/>
        <v>9</v>
      </c>
      <c r="L3285" s="3" t="str">
        <f t="shared" si="147"/>
        <v>MUITO BOM</v>
      </c>
      <c r="N3285">
        <v>98.2</v>
      </c>
      <c r="O3285">
        <v>23.37962962962963</v>
      </c>
    </row>
    <row r="3286" spans="1:15" x14ac:dyDescent="0.25">
      <c r="A3286" s="11">
        <v>46105</v>
      </c>
      <c r="B3286" t="s">
        <v>21</v>
      </c>
      <c r="C3286" t="s">
        <v>18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 t="shared" si="144"/>
        <v>34</v>
      </c>
      <c r="J3286" s="3">
        <f t="shared" si="145"/>
        <v>25</v>
      </c>
      <c r="K3286" s="3">
        <f t="shared" si="146"/>
        <v>9</v>
      </c>
      <c r="L3286" s="3" t="str">
        <f t="shared" si="147"/>
        <v>MUITO BOM</v>
      </c>
      <c r="N3286">
        <v>97.3</v>
      </c>
      <c r="O3286">
        <v>23.84769539078156</v>
      </c>
    </row>
    <row r="3287" spans="1:15" x14ac:dyDescent="0.25">
      <c r="A3287" s="11">
        <v>46105</v>
      </c>
      <c r="B3287" t="s">
        <v>22</v>
      </c>
      <c r="C3287" t="s">
        <v>23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 t="shared" si="144"/>
        <v>9</v>
      </c>
      <c r="J3287" s="3">
        <f t="shared" si="145"/>
        <v>7</v>
      </c>
      <c r="K3287" s="3">
        <f t="shared" si="146"/>
        <v>2</v>
      </c>
      <c r="L3287" s="3" t="str">
        <f t="shared" si="147"/>
        <v>OPORTUNO</v>
      </c>
      <c r="N3287">
        <v>100</v>
      </c>
      <c r="O3287">
        <v>25.268817204301079</v>
      </c>
    </row>
    <row r="3288" spans="1:15" x14ac:dyDescent="0.25">
      <c r="A3288" s="11">
        <v>46105</v>
      </c>
      <c r="B3288" t="s">
        <v>24</v>
      </c>
      <c r="C3288" t="s">
        <v>16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 t="shared" si="144"/>
        <v>32</v>
      </c>
      <c r="J3288" s="3">
        <f t="shared" si="145"/>
        <v>20</v>
      </c>
      <c r="K3288" s="3">
        <f t="shared" si="146"/>
        <v>12</v>
      </c>
      <c r="L3288" s="3" t="str">
        <f t="shared" si="147"/>
        <v>MUITO BOM</v>
      </c>
      <c r="N3288">
        <v>99.32</v>
      </c>
      <c r="O3288">
        <v>22.822822822822818</v>
      </c>
    </row>
    <row r="3289" spans="1:15" x14ac:dyDescent="0.25">
      <c r="A3289" s="11">
        <v>46105</v>
      </c>
      <c r="B3289" t="s">
        <v>25</v>
      </c>
      <c r="C3289" t="s">
        <v>16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 t="shared" si="144"/>
        <v>22</v>
      </c>
      <c r="J3289" s="3">
        <f t="shared" si="145"/>
        <v>20</v>
      </c>
      <c r="K3289" s="3">
        <f t="shared" si="146"/>
        <v>2</v>
      </c>
      <c r="L3289" s="3" t="str">
        <f t="shared" si="147"/>
        <v>OPORTUNO</v>
      </c>
      <c r="N3289">
        <v>100</v>
      </c>
      <c r="O3289">
        <v>27.966101694915249</v>
      </c>
    </row>
    <row r="3290" spans="1:15" x14ac:dyDescent="0.25">
      <c r="A3290" s="11">
        <v>46105</v>
      </c>
      <c r="B3290" t="s">
        <v>26</v>
      </c>
      <c r="C3290" t="s">
        <v>23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 t="shared" si="144"/>
        <v>4</v>
      </c>
      <c r="J3290" s="3">
        <f t="shared" si="145"/>
        <v>7</v>
      </c>
      <c r="K3290" s="3">
        <f t="shared" si="146"/>
        <v>-3</v>
      </c>
      <c r="L3290" s="3" t="str">
        <f t="shared" si="147"/>
        <v>ATENÇÃO</v>
      </c>
      <c r="N3290">
        <v>100</v>
      </c>
      <c r="O3290">
        <v>30.434782608695659</v>
      </c>
    </row>
    <row r="3291" spans="1:15" x14ac:dyDescent="0.25">
      <c r="A3291" s="11">
        <v>46105</v>
      </c>
      <c r="B3291" t="s">
        <v>27</v>
      </c>
      <c r="C3291" t="s">
        <v>20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 t="shared" si="144"/>
        <v>28</v>
      </c>
      <c r="J3291" s="3">
        <f t="shared" si="145"/>
        <v>17</v>
      </c>
      <c r="K3291" s="3">
        <f t="shared" si="146"/>
        <v>11</v>
      </c>
      <c r="L3291" s="3" t="str">
        <f t="shared" si="147"/>
        <v>MUITO BOM</v>
      </c>
      <c r="N3291">
        <v>96.51</v>
      </c>
      <c r="O3291">
        <v>22.802850356294542</v>
      </c>
    </row>
    <row r="3292" spans="1:15" x14ac:dyDescent="0.25">
      <c r="A3292" s="11">
        <v>46105</v>
      </c>
      <c r="B3292" t="s">
        <v>28</v>
      </c>
      <c r="C3292" t="s">
        <v>18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 t="shared" si="144"/>
        <v>33</v>
      </c>
      <c r="J3292" s="3">
        <f t="shared" si="145"/>
        <v>25</v>
      </c>
      <c r="K3292" s="3">
        <f t="shared" si="146"/>
        <v>8</v>
      </c>
      <c r="L3292" s="3" t="str">
        <f t="shared" si="147"/>
        <v>MUITO BOM</v>
      </c>
      <c r="N3292">
        <v>92.68</v>
      </c>
      <c r="O3292">
        <v>27.777777777777779</v>
      </c>
    </row>
    <row r="3293" spans="1:15" x14ac:dyDescent="0.25">
      <c r="A3293" s="11">
        <v>46105</v>
      </c>
      <c r="B3293" t="s">
        <v>29</v>
      </c>
      <c r="C3293" t="s">
        <v>16</v>
      </c>
      <c r="D3293">
        <v>0</v>
      </c>
      <c r="E3293">
        <v>0</v>
      </c>
      <c r="F3293">
        <v>0</v>
      </c>
      <c r="G3293">
        <v>0</v>
      </c>
      <c r="H3293">
        <v>0</v>
      </c>
      <c r="I3293" s="3">
        <f t="shared" si="144"/>
        <v>0</v>
      </c>
      <c r="J3293" s="3">
        <f t="shared" si="145"/>
        <v>20</v>
      </c>
      <c r="K3293" s="3">
        <f t="shared" si="146"/>
        <v>-20</v>
      </c>
      <c r="L3293" s="3" t="str">
        <f t="shared" si="147"/>
        <v>CRÍTICO</v>
      </c>
      <c r="N3293">
        <v>99.03</v>
      </c>
      <c r="O3293">
        <v>23.991507430997881</v>
      </c>
    </row>
    <row r="3294" spans="1:15" x14ac:dyDescent="0.25">
      <c r="A3294" s="11">
        <v>46105</v>
      </c>
      <c r="B3294" t="s">
        <v>30</v>
      </c>
      <c r="C3294" t="s">
        <v>20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 t="shared" si="144"/>
        <v>21</v>
      </c>
      <c r="J3294" s="3">
        <f t="shared" si="145"/>
        <v>17</v>
      </c>
      <c r="K3294" s="3">
        <f t="shared" si="146"/>
        <v>4</v>
      </c>
      <c r="L3294" s="3" t="str">
        <f t="shared" si="147"/>
        <v>OPORTUNO</v>
      </c>
      <c r="N3294">
        <v>98.41</v>
      </c>
      <c r="O3294">
        <v>28.138528138528141</v>
      </c>
    </row>
    <row r="3295" spans="1:15" x14ac:dyDescent="0.25">
      <c r="A3295" s="11">
        <v>46105</v>
      </c>
      <c r="B3295" t="s">
        <v>31</v>
      </c>
      <c r="C3295" t="s">
        <v>18</v>
      </c>
      <c r="D3295">
        <v>0</v>
      </c>
      <c r="E3295">
        <v>0</v>
      </c>
      <c r="F3295">
        <v>0</v>
      </c>
      <c r="G3295">
        <v>0</v>
      </c>
      <c r="H3295">
        <v>0</v>
      </c>
      <c r="I3295" s="3">
        <f t="shared" si="144"/>
        <v>0</v>
      </c>
      <c r="J3295" s="3">
        <f t="shared" si="145"/>
        <v>25</v>
      </c>
      <c r="K3295" s="3">
        <f t="shared" si="146"/>
        <v>-25</v>
      </c>
      <c r="L3295" s="3" t="str">
        <f t="shared" si="147"/>
        <v>CRÍTICO</v>
      </c>
      <c r="N3295">
        <v>98.73</v>
      </c>
      <c r="O3295">
        <v>29.142857142857139</v>
      </c>
    </row>
    <row r="3296" spans="1:15" x14ac:dyDescent="0.25">
      <c r="A3296" s="11">
        <v>46105</v>
      </c>
      <c r="B3296" t="s">
        <v>32</v>
      </c>
      <c r="C3296" t="s">
        <v>23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 t="shared" si="144"/>
        <v>4</v>
      </c>
      <c r="J3296" s="3">
        <f t="shared" si="145"/>
        <v>7</v>
      </c>
      <c r="K3296" s="3">
        <f t="shared" si="146"/>
        <v>-3</v>
      </c>
      <c r="L3296" s="3" t="str">
        <f t="shared" si="147"/>
        <v>ATENÇÃO</v>
      </c>
      <c r="N3296">
        <v>90.48</v>
      </c>
      <c r="O3296">
        <v>20.68965517241379</v>
      </c>
    </row>
    <row r="3297" spans="1:15" x14ac:dyDescent="0.25">
      <c r="A3297" s="11">
        <v>46105</v>
      </c>
      <c r="B3297" t="s">
        <v>33</v>
      </c>
      <c r="C3297" t="s">
        <v>16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 t="shared" si="144"/>
        <v>14</v>
      </c>
      <c r="J3297" s="3">
        <f t="shared" si="145"/>
        <v>20</v>
      </c>
      <c r="K3297" s="3">
        <f t="shared" si="146"/>
        <v>-6</v>
      </c>
      <c r="L3297" s="3" t="str">
        <f t="shared" si="147"/>
        <v>CRÍTICO</v>
      </c>
      <c r="N3297">
        <v>98.06</v>
      </c>
      <c r="O3297">
        <v>24.789915966386559</v>
      </c>
    </row>
    <row r="3298" spans="1:15" x14ac:dyDescent="0.25">
      <c r="A3298" s="11">
        <v>46105</v>
      </c>
      <c r="B3298" t="s">
        <v>34</v>
      </c>
      <c r="C3298" t="s">
        <v>18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 t="shared" si="144"/>
        <v>24</v>
      </c>
      <c r="J3298" s="3">
        <f t="shared" si="145"/>
        <v>25</v>
      </c>
      <c r="K3298" s="3">
        <f t="shared" si="146"/>
        <v>-1</v>
      </c>
      <c r="L3298" s="3" t="str">
        <f t="shared" si="147"/>
        <v>ATENÇÃO</v>
      </c>
      <c r="N3298">
        <v>97.78</v>
      </c>
      <c r="O3298">
        <v>25.494071146245059</v>
      </c>
    </row>
    <row r="3299" spans="1:15" x14ac:dyDescent="0.25">
      <c r="A3299" s="11">
        <v>46105</v>
      </c>
      <c r="B3299" t="s">
        <v>35</v>
      </c>
      <c r="C3299" t="s">
        <v>16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 t="shared" si="144"/>
        <v>22</v>
      </c>
      <c r="J3299" s="3">
        <f t="shared" si="145"/>
        <v>20</v>
      </c>
      <c r="K3299" s="3">
        <f t="shared" si="146"/>
        <v>2</v>
      </c>
      <c r="L3299" s="3" t="str">
        <f t="shared" si="147"/>
        <v>OPORTUNO</v>
      </c>
      <c r="N3299">
        <v>98.02</v>
      </c>
      <c r="O3299">
        <v>23.484848484848481</v>
      </c>
    </row>
    <row r="3300" spans="1:15" hidden="1" x14ac:dyDescent="0.25">
      <c r="A3300" s="11">
        <v>46140</v>
      </c>
      <c r="B3300" t="s">
        <v>36</v>
      </c>
      <c r="C3300" t="s">
        <v>20</v>
      </c>
      <c r="D3300">
        <v>9</v>
      </c>
      <c r="E3300">
        <v>5</v>
      </c>
      <c r="F3300">
        <v>10.29</v>
      </c>
      <c r="G3300">
        <v>0</v>
      </c>
      <c r="H3300">
        <v>0</v>
      </c>
      <c r="I3300" s="3">
        <f t="shared" si="144"/>
        <v>5</v>
      </c>
      <c r="J3300" s="3">
        <f t="shared" si="145"/>
        <v>21</v>
      </c>
      <c r="K3300" s="3">
        <f t="shared" si="146"/>
        <v>-16</v>
      </c>
      <c r="L3300" s="3" t="str">
        <f t="shared" si="147"/>
        <v>CRÍTICO</v>
      </c>
      <c r="N3300">
        <v>99.28</v>
      </c>
      <c r="O3300">
        <v>27.689243027888441</v>
      </c>
    </row>
    <row r="3301" spans="1:15" x14ac:dyDescent="0.25">
      <c r="A3301" s="11">
        <v>46105</v>
      </c>
      <c r="B3301" t="s">
        <v>37</v>
      </c>
      <c r="C3301" t="s">
        <v>16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 t="shared" si="144"/>
        <v>23</v>
      </c>
      <c r="J3301" s="3">
        <f t="shared" si="145"/>
        <v>20</v>
      </c>
      <c r="K3301" s="3">
        <f t="shared" si="146"/>
        <v>3</v>
      </c>
      <c r="L3301" s="3" t="str">
        <f t="shared" si="147"/>
        <v>OPORTUNO</v>
      </c>
      <c r="N3301">
        <v>100</v>
      </c>
      <c r="O3301">
        <v>27.04918032786885</v>
      </c>
    </row>
    <row r="3302" spans="1:15" x14ac:dyDescent="0.25">
      <c r="A3302" s="11">
        <v>46105</v>
      </c>
      <c r="B3302" t="s">
        <v>38</v>
      </c>
      <c r="C3302" t="s">
        <v>18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 t="shared" si="144"/>
        <v>32</v>
      </c>
      <c r="J3302" s="3">
        <f t="shared" si="145"/>
        <v>25</v>
      </c>
      <c r="K3302" s="3">
        <f t="shared" si="146"/>
        <v>7</v>
      </c>
      <c r="L3302" s="3" t="str">
        <f t="shared" si="147"/>
        <v>MUITO BOM</v>
      </c>
      <c r="N3302">
        <v>97.83</v>
      </c>
      <c r="O3302">
        <v>26.315789473684209</v>
      </c>
    </row>
    <row r="3303" spans="1:15" x14ac:dyDescent="0.25">
      <c r="A3303" s="11">
        <v>46105</v>
      </c>
      <c r="B3303" t="s">
        <v>39</v>
      </c>
      <c r="C3303" t="s">
        <v>18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 t="shared" si="144"/>
        <v>24</v>
      </c>
      <c r="J3303" s="3">
        <f t="shared" si="145"/>
        <v>25</v>
      </c>
      <c r="K3303" s="3">
        <f t="shared" si="146"/>
        <v>-1</v>
      </c>
      <c r="L3303" s="3" t="str">
        <f t="shared" si="147"/>
        <v>ATENÇÃO</v>
      </c>
      <c r="N3303">
        <v>100</v>
      </c>
      <c r="O3303">
        <v>26.701570680628269</v>
      </c>
    </row>
    <row r="3304" spans="1:15" x14ac:dyDescent="0.25">
      <c r="A3304" s="11">
        <v>46105</v>
      </c>
      <c r="B3304" t="s">
        <v>40</v>
      </c>
      <c r="C3304" t="s">
        <v>16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f t="shared" si="144"/>
        <v>0</v>
      </c>
      <c r="J3304" s="3">
        <f t="shared" si="145"/>
        <v>20</v>
      </c>
      <c r="K3304" s="3">
        <f t="shared" si="146"/>
        <v>-20</v>
      </c>
      <c r="L3304" s="3" t="str">
        <f t="shared" si="147"/>
        <v>CRÍTICO</v>
      </c>
      <c r="N3304">
        <v>97.47</v>
      </c>
      <c r="O3304">
        <v>22.887323943661968</v>
      </c>
    </row>
    <row r="3305" spans="1:15" x14ac:dyDescent="0.25">
      <c r="A3305" s="11">
        <v>46105</v>
      </c>
      <c r="B3305" t="s">
        <v>41</v>
      </c>
      <c r="C3305" t="s">
        <v>18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f t="shared" si="144"/>
        <v>0</v>
      </c>
      <c r="J3305" s="3">
        <f t="shared" si="145"/>
        <v>25</v>
      </c>
      <c r="K3305" s="3">
        <f t="shared" si="146"/>
        <v>-25</v>
      </c>
      <c r="L3305" s="3" t="str">
        <f t="shared" si="147"/>
        <v>CRÍTICO</v>
      </c>
      <c r="N3305">
        <v>0</v>
      </c>
      <c r="O3305">
        <v>0</v>
      </c>
    </row>
    <row r="3306" spans="1:15" x14ac:dyDescent="0.25">
      <c r="A3306" s="11">
        <v>46105</v>
      </c>
      <c r="B3306" t="s">
        <v>42</v>
      </c>
      <c r="C3306" t="s">
        <v>43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 t="shared" si="144"/>
        <v>24</v>
      </c>
      <c r="J3306" s="3">
        <f t="shared" si="145"/>
        <v>15</v>
      </c>
      <c r="K3306" s="3">
        <f t="shared" si="146"/>
        <v>9</v>
      </c>
      <c r="L3306" s="3" t="str">
        <f t="shared" si="147"/>
        <v>MUITO BOM</v>
      </c>
      <c r="N3306">
        <v>98.31</v>
      </c>
      <c r="O3306">
        <v>24.920127795527151</v>
      </c>
    </row>
    <row r="3307" spans="1:15" x14ac:dyDescent="0.25">
      <c r="A3307" s="11">
        <v>46105</v>
      </c>
      <c r="B3307" t="s">
        <v>44</v>
      </c>
      <c r="C3307" t="s">
        <v>18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 t="shared" si="144"/>
        <v>20</v>
      </c>
      <c r="J3307" s="3">
        <f t="shared" si="145"/>
        <v>25</v>
      </c>
      <c r="K3307" s="3">
        <f t="shared" si="146"/>
        <v>-5</v>
      </c>
      <c r="L3307" s="3" t="str">
        <f t="shared" si="147"/>
        <v>ATENÇÃO</v>
      </c>
      <c r="N3307">
        <v>96.81</v>
      </c>
      <c r="O3307">
        <v>32.365145228215773</v>
      </c>
    </row>
    <row r="3308" spans="1:15" x14ac:dyDescent="0.25">
      <c r="A3308" s="11">
        <v>46105</v>
      </c>
      <c r="B3308" t="s">
        <v>45</v>
      </c>
      <c r="C3308" t="s">
        <v>43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 t="shared" si="144"/>
        <v>14</v>
      </c>
      <c r="J3308" s="3">
        <f t="shared" si="145"/>
        <v>15</v>
      </c>
      <c r="K3308" s="3">
        <f t="shared" si="146"/>
        <v>-1</v>
      </c>
      <c r="L3308" s="3" t="str">
        <f t="shared" si="147"/>
        <v>ATENÇÃO</v>
      </c>
      <c r="N3308">
        <v>100</v>
      </c>
      <c r="O3308">
        <v>26.47058823529412</v>
      </c>
    </row>
    <row r="3309" spans="1:15" x14ac:dyDescent="0.25">
      <c r="A3309" s="11">
        <v>46105</v>
      </c>
      <c r="B3309" t="s">
        <v>46</v>
      </c>
      <c r="C3309" t="s">
        <v>18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 t="shared" si="144"/>
        <v>25</v>
      </c>
      <c r="J3309" s="3">
        <f t="shared" si="145"/>
        <v>25</v>
      </c>
      <c r="K3309" s="3">
        <f t="shared" si="146"/>
        <v>0</v>
      </c>
      <c r="L3309" s="3" t="str">
        <f t="shared" si="147"/>
        <v>OPORTUNO</v>
      </c>
      <c r="N3309">
        <v>100</v>
      </c>
      <c r="O3309">
        <v>28.490028490028489</v>
      </c>
    </row>
    <row r="3310" spans="1:15" x14ac:dyDescent="0.25">
      <c r="A3310" s="11">
        <v>46105</v>
      </c>
      <c r="B3310" t="s">
        <v>47</v>
      </c>
      <c r="C3310" t="s">
        <v>16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 t="shared" si="144"/>
        <v>18</v>
      </c>
      <c r="J3310" s="3">
        <f t="shared" si="145"/>
        <v>20</v>
      </c>
      <c r="K3310" s="3">
        <f t="shared" si="146"/>
        <v>-2</v>
      </c>
      <c r="L3310" s="3" t="str">
        <f t="shared" si="147"/>
        <v>ATENÇÃO</v>
      </c>
      <c r="N3310">
        <v>99.14</v>
      </c>
      <c r="O3310">
        <v>27.2289156626506</v>
      </c>
    </row>
    <row r="3311" spans="1:15" x14ac:dyDescent="0.25">
      <c r="A3311" s="11">
        <v>46105</v>
      </c>
      <c r="B3311" t="s">
        <v>48</v>
      </c>
      <c r="C3311" t="s">
        <v>16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f t="shared" si="144"/>
        <v>0</v>
      </c>
      <c r="J3311" s="3">
        <f t="shared" si="145"/>
        <v>20</v>
      </c>
      <c r="K3311" s="3">
        <f t="shared" si="146"/>
        <v>-20</v>
      </c>
      <c r="L3311" s="3" t="str">
        <f t="shared" si="147"/>
        <v>CRÍTICO</v>
      </c>
      <c r="N3311">
        <v>97.52</v>
      </c>
      <c r="O3311">
        <v>28.205128205128201</v>
      </c>
    </row>
    <row r="3312" spans="1:15" x14ac:dyDescent="0.25">
      <c r="A3312" s="11">
        <v>46105</v>
      </c>
      <c r="B3312" t="s">
        <v>49</v>
      </c>
      <c r="C3312" t="s">
        <v>18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f t="shared" si="144"/>
        <v>0</v>
      </c>
      <c r="J3312" s="3">
        <f t="shared" si="145"/>
        <v>25</v>
      </c>
      <c r="K3312" s="3">
        <f t="shared" si="146"/>
        <v>-25</v>
      </c>
      <c r="L3312" s="3" t="str">
        <f t="shared" si="147"/>
        <v>CRÍTICO</v>
      </c>
      <c r="N3312">
        <v>90</v>
      </c>
      <c r="O3312">
        <v>24.186046511627911</v>
      </c>
    </row>
    <row r="3313" spans="1:15" x14ac:dyDescent="0.25">
      <c r="A3313" s="11">
        <v>46105</v>
      </c>
      <c r="B3313" t="s">
        <v>50</v>
      </c>
      <c r="C3313" t="s">
        <v>20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 t="shared" si="144"/>
        <v>25</v>
      </c>
      <c r="J3313" s="3">
        <f t="shared" si="145"/>
        <v>17</v>
      </c>
      <c r="K3313" s="3">
        <f t="shared" si="146"/>
        <v>8</v>
      </c>
      <c r="L3313" s="3" t="str">
        <f t="shared" si="147"/>
        <v>MUITO BOM</v>
      </c>
      <c r="N3313">
        <v>98.9</v>
      </c>
      <c r="O3313">
        <v>26.763990267639901</v>
      </c>
    </row>
    <row r="3314" spans="1:15" x14ac:dyDescent="0.25">
      <c r="A3314" s="11">
        <v>46105</v>
      </c>
      <c r="B3314" t="s">
        <v>51</v>
      </c>
      <c r="C3314" t="s">
        <v>23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 t="shared" si="144"/>
        <v>6</v>
      </c>
      <c r="J3314" s="3">
        <f t="shared" si="145"/>
        <v>7</v>
      </c>
      <c r="K3314" s="3">
        <f t="shared" si="146"/>
        <v>-1</v>
      </c>
      <c r="L3314" s="3" t="str">
        <f t="shared" si="147"/>
        <v>ATENÇÃO</v>
      </c>
      <c r="N3314">
        <v>88.89</v>
      </c>
      <c r="O3314">
        <v>25.263157894736839</v>
      </c>
    </row>
    <row r="3315" spans="1:15" x14ac:dyDescent="0.25">
      <c r="A3315" s="11">
        <v>46105</v>
      </c>
      <c r="B3315" t="s">
        <v>52</v>
      </c>
      <c r="C3315" t="s">
        <v>18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 t="shared" si="144"/>
        <v>22</v>
      </c>
      <c r="J3315" s="3">
        <f t="shared" si="145"/>
        <v>25</v>
      </c>
      <c r="K3315" s="3">
        <f t="shared" si="146"/>
        <v>-3</v>
      </c>
      <c r="L3315" s="3" t="str">
        <f t="shared" si="147"/>
        <v>ATENÇÃO</v>
      </c>
      <c r="N3315">
        <v>98.86</v>
      </c>
      <c r="O3315">
        <v>28.959276018099551</v>
      </c>
    </row>
    <row r="3316" spans="1:15" x14ac:dyDescent="0.25">
      <c r="A3316" s="11">
        <v>46105</v>
      </c>
      <c r="B3316" t="s">
        <v>53</v>
      </c>
      <c r="C3316" t="s">
        <v>18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 t="shared" si="144"/>
        <v>23</v>
      </c>
      <c r="J3316" s="3">
        <f t="shared" si="145"/>
        <v>25</v>
      </c>
      <c r="K3316" s="3">
        <f t="shared" si="146"/>
        <v>-2</v>
      </c>
      <c r="L3316" s="3" t="str">
        <f t="shared" si="147"/>
        <v>ATENÇÃO</v>
      </c>
      <c r="N3316">
        <v>98.06</v>
      </c>
      <c r="O3316">
        <v>22.40566037735849</v>
      </c>
    </row>
    <row r="3317" spans="1:15" x14ac:dyDescent="0.25">
      <c r="A3317" s="11">
        <v>46105</v>
      </c>
      <c r="B3317" t="s">
        <v>54</v>
      </c>
      <c r="C3317" t="s">
        <v>23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 t="shared" si="144"/>
        <v>16</v>
      </c>
      <c r="J3317" s="3">
        <f t="shared" si="145"/>
        <v>7</v>
      </c>
      <c r="K3317" s="3">
        <f t="shared" si="146"/>
        <v>9</v>
      </c>
      <c r="L3317" s="3" t="str">
        <f t="shared" si="147"/>
        <v>MUITO BOM</v>
      </c>
      <c r="N3317">
        <v>95.83</v>
      </c>
      <c r="O3317">
        <v>25.773195876288661</v>
      </c>
    </row>
    <row r="3318" spans="1:15" x14ac:dyDescent="0.25">
      <c r="A3318" s="11">
        <v>46105</v>
      </c>
      <c r="B3318" t="s">
        <v>55</v>
      </c>
      <c r="C3318" t="s">
        <v>43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f t="shared" si="144"/>
        <v>0</v>
      </c>
      <c r="J3318" s="3">
        <f t="shared" si="145"/>
        <v>15</v>
      </c>
      <c r="K3318" s="3">
        <f t="shared" si="146"/>
        <v>-15</v>
      </c>
      <c r="L3318" s="3" t="str">
        <f t="shared" si="147"/>
        <v>CRÍTICO</v>
      </c>
      <c r="N3318">
        <v>100</v>
      </c>
      <c r="O3318">
        <v>15.38461538461539</v>
      </c>
    </row>
    <row r="3319" spans="1:15" x14ac:dyDescent="0.25">
      <c r="A3319" s="11">
        <v>46105</v>
      </c>
      <c r="B3319" t="s">
        <v>56</v>
      </c>
      <c r="C3319" t="s">
        <v>16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 t="shared" si="144"/>
        <v>21</v>
      </c>
      <c r="J3319" s="3">
        <f t="shared" si="145"/>
        <v>20</v>
      </c>
      <c r="K3319" s="3">
        <f t="shared" si="146"/>
        <v>1</v>
      </c>
      <c r="L3319" s="3" t="str">
        <f t="shared" si="147"/>
        <v>OPORTUNO</v>
      </c>
      <c r="N3319">
        <v>100</v>
      </c>
      <c r="O3319">
        <v>27.514792899408281</v>
      </c>
    </row>
    <row r="3320" spans="1:15" x14ac:dyDescent="0.25">
      <c r="A3320" s="11">
        <v>46105</v>
      </c>
      <c r="B3320" t="s">
        <v>57</v>
      </c>
      <c r="C3320" t="s">
        <v>43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 t="shared" si="144"/>
        <v>13</v>
      </c>
      <c r="J3320" s="3">
        <f t="shared" si="145"/>
        <v>15</v>
      </c>
      <c r="K3320" s="3">
        <f t="shared" si="146"/>
        <v>-2</v>
      </c>
      <c r="L3320" s="3" t="str">
        <f t="shared" si="147"/>
        <v>ATENÇÃO</v>
      </c>
      <c r="N3320">
        <v>100</v>
      </c>
      <c r="O3320">
        <v>24.875621890547269</v>
      </c>
    </row>
    <row r="3321" spans="1:15" x14ac:dyDescent="0.25">
      <c r="A3321" s="11">
        <v>46105</v>
      </c>
      <c r="B3321" t="s">
        <v>58</v>
      </c>
      <c r="C3321" t="s">
        <v>43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 t="shared" si="144"/>
        <v>12</v>
      </c>
      <c r="J3321" s="3">
        <f t="shared" si="145"/>
        <v>15</v>
      </c>
      <c r="K3321" s="3">
        <f t="shared" si="146"/>
        <v>-3</v>
      </c>
      <c r="L3321" s="3" t="str">
        <f t="shared" si="147"/>
        <v>ATENÇÃO</v>
      </c>
      <c r="N3321">
        <v>100</v>
      </c>
      <c r="O3321">
        <v>28.108108108108109</v>
      </c>
    </row>
    <row r="3322" spans="1:15" x14ac:dyDescent="0.25">
      <c r="A3322" s="11">
        <v>46105</v>
      </c>
      <c r="B3322" t="s">
        <v>59</v>
      </c>
      <c r="C3322" t="s">
        <v>23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 t="shared" si="144"/>
        <v>3</v>
      </c>
      <c r="J3322" s="3">
        <f t="shared" si="145"/>
        <v>7</v>
      </c>
      <c r="K3322" s="3">
        <f t="shared" si="146"/>
        <v>-4</v>
      </c>
      <c r="L3322" s="3" t="str">
        <f t="shared" si="147"/>
        <v>ATENÇÃO</v>
      </c>
      <c r="N3322">
        <v>100</v>
      </c>
      <c r="O3322">
        <v>35</v>
      </c>
    </row>
    <row r="3323" spans="1:15" x14ac:dyDescent="0.25">
      <c r="A3323" s="11">
        <v>46105</v>
      </c>
      <c r="B3323" t="s">
        <v>60</v>
      </c>
      <c r="C3323" t="s">
        <v>20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 t="shared" si="144"/>
        <v>25</v>
      </c>
      <c r="J3323" s="3">
        <f t="shared" si="145"/>
        <v>17</v>
      </c>
      <c r="K3323" s="3">
        <f t="shared" si="146"/>
        <v>8</v>
      </c>
      <c r="L3323" s="3" t="str">
        <f t="shared" si="147"/>
        <v>MUITO BOM</v>
      </c>
      <c r="N3323">
        <v>95.35</v>
      </c>
      <c r="O3323">
        <v>28.61538461538461</v>
      </c>
    </row>
    <row r="3324" spans="1:15" x14ac:dyDescent="0.25">
      <c r="A3324" s="11">
        <v>46105</v>
      </c>
      <c r="B3324" t="s">
        <v>61</v>
      </c>
      <c r="C3324" t="s">
        <v>18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 t="shared" si="144"/>
        <v>34</v>
      </c>
      <c r="J3324" s="3">
        <f t="shared" si="145"/>
        <v>25</v>
      </c>
      <c r="K3324" s="3">
        <f t="shared" si="146"/>
        <v>9</v>
      </c>
      <c r="L3324" s="3" t="str">
        <f t="shared" si="147"/>
        <v>MUITO BOM</v>
      </c>
      <c r="N3324">
        <v>98.26</v>
      </c>
      <c r="O3324">
        <v>27.54491017964072</v>
      </c>
    </row>
    <row r="3325" spans="1:15" x14ac:dyDescent="0.25">
      <c r="A3325" s="11">
        <v>46105</v>
      </c>
      <c r="B3325" t="s">
        <v>62</v>
      </c>
      <c r="C3325" t="s">
        <v>20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 t="shared" si="144"/>
        <v>11</v>
      </c>
      <c r="J3325" s="3">
        <f t="shared" si="145"/>
        <v>17</v>
      </c>
      <c r="K3325" s="3">
        <f t="shared" si="146"/>
        <v>-6</v>
      </c>
      <c r="L3325" s="3" t="str">
        <f t="shared" si="147"/>
        <v>CRÍTICO</v>
      </c>
      <c r="N3325">
        <v>98.55</v>
      </c>
      <c r="O3325">
        <v>25.337837837837839</v>
      </c>
    </row>
    <row r="3326" spans="1:15" x14ac:dyDescent="0.25">
      <c r="A3326" s="11">
        <v>46105</v>
      </c>
      <c r="B3326" t="s">
        <v>63</v>
      </c>
      <c r="C3326" t="s">
        <v>18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 t="shared" si="144"/>
        <v>27</v>
      </c>
      <c r="J3326" s="3">
        <f t="shared" si="145"/>
        <v>25</v>
      </c>
      <c r="K3326" s="3">
        <f t="shared" si="146"/>
        <v>2</v>
      </c>
      <c r="L3326" s="3" t="str">
        <f t="shared" si="147"/>
        <v>OPORTUNO</v>
      </c>
      <c r="N3326">
        <v>98.39</v>
      </c>
      <c r="O3326">
        <v>25.563909774436091</v>
      </c>
    </row>
    <row r="3327" spans="1:15" x14ac:dyDescent="0.25">
      <c r="A3327" s="11">
        <v>46106</v>
      </c>
      <c r="B3327" t="s">
        <v>15</v>
      </c>
      <c r="C3327" t="s">
        <v>16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 t="shared" si="144"/>
        <v>18</v>
      </c>
      <c r="J3327" s="3">
        <f t="shared" si="145"/>
        <v>18</v>
      </c>
      <c r="K3327" s="3">
        <f t="shared" si="146"/>
        <v>0</v>
      </c>
      <c r="L3327" s="3" t="str">
        <f t="shared" si="147"/>
        <v>OPORTUNO</v>
      </c>
      <c r="N3327">
        <v>94.29</v>
      </c>
      <c r="O3327">
        <v>25.647668393782389</v>
      </c>
    </row>
    <row r="3328" spans="1:15" x14ac:dyDescent="0.25">
      <c r="A3328" s="11">
        <v>46106</v>
      </c>
      <c r="B3328" t="s">
        <v>17</v>
      </c>
      <c r="C3328" t="s">
        <v>18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f t="shared" si="144"/>
        <v>0</v>
      </c>
      <c r="J3328" s="3">
        <f t="shared" si="145"/>
        <v>22</v>
      </c>
      <c r="K3328" s="3">
        <f t="shared" si="146"/>
        <v>-22</v>
      </c>
      <c r="L3328" s="3" t="str">
        <f t="shared" si="147"/>
        <v>CRÍTICO</v>
      </c>
      <c r="N3328">
        <v>98.26</v>
      </c>
      <c r="O3328">
        <v>26.666666666666671</v>
      </c>
    </row>
    <row r="3329" spans="1:15" x14ac:dyDescent="0.25">
      <c r="A3329" s="11">
        <v>46106</v>
      </c>
      <c r="B3329" t="s">
        <v>19</v>
      </c>
      <c r="C3329" t="s">
        <v>20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 t="shared" si="144"/>
        <v>18</v>
      </c>
      <c r="J3329" s="3">
        <f t="shared" si="145"/>
        <v>15</v>
      </c>
      <c r="K3329" s="3">
        <f t="shared" si="146"/>
        <v>3</v>
      </c>
      <c r="L3329" s="3" t="str">
        <f t="shared" si="147"/>
        <v>OPORTUNO</v>
      </c>
      <c r="N3329">
        <v>98.2</v>
      </c>
      <c r="O3329">
        <v>23.37962962962963</v>
      </c>
    </row>
    <row r="3330" spans="1:15" x14ac:dyDescent="0.25">
      <c r="A3330" s="11">
        <v>46106</v>
      </c>
      <c r="B3330" t="s">
        <v>21</v>
      </c>
      <c r="C3330" t="s">
        <v>18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 t="shared" si="144"/>
        <v>22</v>
      </c>
      <c r="J3330" s="3">
        <f t="shared" si="145"/>
        <v>22</v>
      </c>
      <c r="K3330" s="3">
        <f t="shared" si="146"/>
        <v>0</v>
      </c>
      <c r="L3330" s="3" t="str">
        <f t="shared" si="147"/>
        <v>OPORTUNO</v>
      </c>
      <c r="N3330">
        <v>97.3</v>
      </c>
      <c r="O3330">
        <v>23.84769539078156</v>
      </c>
    </row>
    <row r="3331" spans="1:15" x14ac:dyDescent="0.25">
      <c r="A3331" s="11">
        <v>46106</v>
      </c>
      <c r="B3331" t="s">
        <v>22</v>
      </c>
      <c r="C3331" t="s">
        <v>23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 t="shared" si="144"/>
        <v>9</v>
      </c>
      <c r="J3331" s="3">
        <f t="shared" si="145"/>
        <v>6</v>
      </c>
      <c r="K3331" s="3">
        <f t="shared" si="146"/>
        <v>3</v>
      </c>
      <c r="L3331" s="3" t="str">
        <f t="shared" si="147"/>
        <v>OPORTUNO</v>
      </c>
      <c r="N3331">
        <v>100</v>
      </c>
      <c r="O3331">
        <v>25.268817204301079</v>
      </c>
    </row>
    <row r="3332" spans="1:15" x14ac:dyDescent="0.25">
      <c r="A3332" s="11">
        <v>46106</v>
      </c>
      <c r="B3332" t="s">
        <v>24</v>
      </c>
      <c r="C3332" t="s">
        <v>16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 t="shared" si="144"/>
        <v>29</v>
      </c>
      <c r="J3332" s="3">
        <f t="shared" si="145"/>
        <v>18</v>
      </c>
      <c r="K3332" s="3">
        <f t="shared" si="146"/>
        <v>11</v>
      </c>
      <c r="L3332" s="3" t="str">
        <f t="shared" si="147"/>
        <v>MUITO BOM</v>
      </c>
      <c r="N3332">
        <v>99.32</v>
      </c>
      <c r="O3332">
        <v>22.822822822822818</v>
      </c>
    </row>
    <row r="3333" spans="1:15" x14ac:dyDescent="0.25">
      <c r="A3333" s="11">
        <v>46106</v>
      </c>
      <c r="B3333" t="s">
        <v>25</v>
      </c>
      <c r="C3333" t="s">
        <v>16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 t="shared" si="144"/>
        <v>18</v>
      </c>
      <c r="J3333" s="3">
        <f t="shared" si="145"/>
        <v>18</v>
      </c>
      <c r="K3333" s="3">
        <f t="shared" si="146"/>
        <v>0</v>
      </c>
      <c r="L3333" s="3" t="str">
        <f t="shared" si="147"/>
        <v>OPORTUNO</v>
      </c>
      <c r="N3333">
        <v>100</v>
      </c>
      <c r="O3333">
        <v>27.966101694915249</v>
      </c>
    </row>
    <row r="3334" spans="1:15" x14ac:dyDescent="0.25">
      <c r="A3334" s="11">
        <v>46106</v>
      </c>
      <c r="B3334" t="s">
        <v>26</v>
      </c>
      <c r="C3334" t="s">
        <v>23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 t="shared" si="144"/>
        <v>4</v>
      </c>
      <c r="J3334" s="3">
        <f t="shared" si="145"/>
        <v>6</v>
      </c>
      <c r="K3334" s="3">
        <f t="shared" si="146"/>
        <v>-2</v>
      </c>
      <c r="L3334" s="3" t="str">
        <f t="shared" si="147"/>
        <v>ATENÇÃO</v>
      </c>
      <c r="N3334">
        <v>100</v>
      </c>
      <c r="O3334">
        <v>30.434782608695659</v>
      </c>
    </row>
    <row r="3335" spans="1:15" x14ac:dyDescent="0.25">
      <c r="A3335" s="11">
        <v>46106</v>
      </c>
      <c r="B3335" t="s">
        <v>27</v>
      </c>
      <c r="C3335" t="s">
        <v>20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 t="shared" si="144"/>
        <v>20</v>
      </c>
      <c r="J3335" s="3">
        <f t="shared" si="145"/>
        <v>15</v>
      </c>
      <c r="K3335" s="3">
        <f t="shared" si="146"/>
        <v>5</v>
      </c>
      <c r="L3335" s="3" t="str">
        <f t="shared" si="147"/>
        <v>OPORTUNO</v>
      </c>
      <c r="N3335">
        <v>96.51</v>
      </c>
      <c r="O3335">
        <v>22.802850356294542</v>
      </c>
    </row>
    <row r="3336" spans="1:15" x14ac:dyDescent="0.25">
      <c r="A3336" s="11">
        <v>46106</v>
      </c>
      <c r="B3336" t="s">
        <v>28</v>
      </c>
      <c r="C3336" t="s">
        <v>18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 t="shared" si="144"/>
        <v>27</v>
      </c>
      <c r="J3336" s="3">
        <f t="shared" si="145"/>
        <v>22</v>
      </c>
      <c r="K3336" s="3">
        <f t="shared" si="146"/>
        <v>5</v>
      </c>
      <c r="L3336" s="3" t="str">
        <f t="shared" si="147"/>
        <v>OPORTUNO</v>
      </c>
      <c r="N3336">
        <v>92.68</v>
      </c>
      <c r="O3336">
        <v>27.777777777777779</v>
      </c>
    </row>
    <row r="3337" spans="1:15" x14ac:dyDescent="0.25">
      <c r="A3337" s="11">
        <v>46106</v>
      </c>
      <c r="B3337" t="s">
        <v>29</v>
      </c>
      <c r="C3337" t="s">
        <v>16</v>
      </c>
      <c r="D3337">
        <v>0</v>
      </c>
      <c r="E3337">
        <v>0</v>
      </c>
      <c r="F3337">
        <v>0</v>
      </c>
      <c r="G3337">
        <v>0</v>
      </c>
      <c r="H3337">
        <v>0</v>
      </c>
      <c r="I3337" s="3">
        <f t="shared" si="144"/>
        <v>0</v>
      </c>
      <c r="J3337" s="3">
        <f t="shared" si="145"/>
        <v>18</v>
      </c>
      <c r="K3337" s="3">
        <f t="shared" si="146"/>
        <v>-18</v>
      </c>
      <c r="L3337" s="3" t="str">
        <f t="shared" si="147"/>
        <v>CRÍTICO</v>
      </c>
      <c r="N3337">
        <v>99.03</v>
      </c>
      <c r="O3337">
        <v>23.991507430997881</v>
      </c>
    </row>
    <row r="3338" spans="1:15" x14ac:dyDescent="0.25">
      <c r="A3338" s="11">
        <v>46106</v>
      </c>
      <c r="B3338" t="s">
        <v>30</v>
      </c>
      <c r="C3338" t="s">
        <v>20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 t="shared" si="144"/>
        <v>20</v>
      </c>
      <c r="J3338" s="3">
        <f t="shared" si="145"/>
        <v>15</v>
      </c>
      <c r="K3338" s="3">
        <f t="shared" si="146"/>
        <v>5</v>
      </c>
      <c r="L3338" s="3" t="str">
        <f t="shared" si="147"/>
        <v>OPORTUNO</v>
      </c>
      <c r="N3338">
        <v>98.41</v>
      </c>
      <c r="O3338">
        <v>28.138528138528141</v>
      </c>
    </row>
    <row r="3339" spans="1:15" x14ac:dyDescent="0.25">
      <c r="A3339" s="11">
        <v>46106</v>
      </c>
      <c r="B3339" t="s">
        <v>31</v>
      </c>
      <c r="C3339" t="s">
        <v>18</v>
      </c>
      <c r="D3339">
        <v>0</v>
      </c>
      <c r="E3339">
        <v>0</v>
      </c>
      <c r="F3339">
        <v>0</v>
      </c>
      <c r="G3339">
        <v>0</v>
      </c>
      <c r="H3339">
        <v>0</v>
      </c>
      <c r="I3339" s="3">
        <f t="shared" si="144"/>
        <v>0</v>
      </c>
      <c r="J3339" s="3">
        <f t="shared" si="145"/>
        <v>22</v>
      </c>
      <c r="K3339" s="3">
        <f t="shared" si="146"/>
        <v>-22</v>
      </c>
      <c r="L3339" s="3" t="str">
        <f t="shared" si="147"/>
        <v>CRÍTICO</v>
      </c>
      <c r="N3339">
        <v>98.73</v>
      </c>
      <c r="O3339">
        <v>29.142857142857139</v>
      </c>
    </row>
    <row r="3340" spans="1:15" x14ac:dyDescent="0.25">
      <c r="A3340" s="11">
        <v>46106</v>
      </c>
      <c r="B3340" t="s">
        <v>32</v>
      </c>
      <c r="C3340" t="s">
        <v>23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 t="shared" si="144"/>
        <v>7</v>
      </c>
      <c r="J3340" s="3">
        <f t="shared" si="145"/>
        <v>6</v>
      </c>
      <c r="K3340" s="3">
        <f t="shared" si="146"/>
        <v>1</v>
      </c>
      <c r="L3340" s="3" t="str">
        <f t="shared" si="147"/>
        <v>OPORTUNO</v>
      </c>
      <c r="N3340">
        <v>90.48</v>
      </c>
      <c r="O3340">
        <v>20.68965517241379</v>
      </c>
    </row>
    <row r="3341" spans="1:15" x14ac:dyDescent="0.25">
      <c r="A3341" s="11">
        <v>46106</v>
      </c>
      <c r="B3341" t="s">
        <v>33</v>
      </c>
      <c r="C3341" t="s">
        <v>16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 t="shared" si="144"/>
        <v>23</v>
      </c>
      <c r="J3341" s="3">
        <f t="shared" si="145"/>
        <v>18</v>
      </c>
      <c r="K3341" s="3">
        <f t="shared" si="146"/>
        <v>5</v>
      </c>
      <c r="L3341" s="3" t="str">
        <f t="shared" si="147"/>
        <v>OPORTUNO</v>
      </c>
      <c r="N3341">
        <v>98.06</v>
      </c>
      <c r="O3341">
        <v>24.789915966386559</v>
      </c>
    </row>
    <row r="3342" spans="1:15" x14ac:dyDescent="0.25">
      <c r="A3342" s="11">
        <v>46106</v>
      </c>
      <c r="B3342" t="s">
        <v>34</v>
      </c>
      <c r="C3342" t="s">
        <v>18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 t="shared" si="144"/>
        <v>19</v>
      </c>
      <c r="J3342" s="3">
        <f t="shared" si="145"/>
        <v>22</v>
      </c>
      <c r="K3342" s="3">
        <f t="shared" si="146"/>
        <v>-3</v>
      </c>
      <c r="L3342" s="3" t="str">
        <f t="shared" si="147"/>
        <v>ATENÇÃO</v>
      </c>
      <c r="N3342">
        <v>97.78</v>
      </c>
      <c r="O3342">
        <v>25.494071146245059</v>
      </c>
    </row>
    <row r="3343" spans="1:15" x14ac:dyDescent="0.25">
      <c r="A3343" s="11">
        <v>46106</v>
      </c>
      <c r="B3343" t="s">
        <v>35</v>
      </c>
      <c r="C3343" t="s">
        <v>16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 t="shared" si="144"/>
        <v>17</v>
      </c>
      <c r="J3343" s="3">
        <f t="shared" si="145"/>
        <v>18</v>
      </c>
      <c r="K3343" s="3">
        <f t="shared" si="146"/>
        <v>-1</v>
      </c>
      <c r="L3343" s="3" t="str">
        <f t="shared" si="147"/>
        <v>ATENÇÃO</v>
      </c>
      <c r="N3343">
        <v>98.02</v>
      </c>
      <c r="O3343">
        <v>23.484848484848481</v>
      </c>
    </row>
    <row r="3344" spans="1:15" hidden="1" x14ac:dyDescent="0.25">
      <c r="A3344" s="11">
        <v>46141</v>
      </c>
      <c r="B3344" t="s">
        <v>36</v>
      </c>
      <c r="C3344" t="s">
        <v>20</v>
      </c>
      <c r="D3344">
        <v>0</v>
      </c>
      <c r="E3344">
        <v>0</v>
      </c>
      <c r="F3344">
        <v>0</v>
      </c>
      <c r="G3344">
        <v>0</v>
      </c>
      <c r="H3344">
        <v>0</v>
      </c>
      <c r="I3344" s="3">
        <f t="shared" si="144"/>
        <v>0</v>
      </c>
      <c r="J3344" s="3">
        <f t="shared" si="145"/>
        <v>22</v>
      </c>
      <c r="K3344" s="3">
        <f t="shared" si="146"/>
        <v>-22</v>
      </c>
      <c r="L3344" s="3" t="str">
        <f t="shared" si="147"/>
        <v>CRÍTICO</v>
      </c>
      <c r="N3344">
        <v>99.28</v>
      </c>
      <c r="O3344">
        <v>27.689243027888441</v>
      </c>
    </row>
    <row r="3345" spans="1:15" x14ac:dyDescent="0.25">
      <c r="A3345" s="11">
        <v>46106</v>
      </c>
      <c r="B3345" t="s">
        <v>37</v>
      </c>
      <c r="C3345" t="s">
        <v>16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 t="shared" si="144"/>
        <v>20</v>
      </c>
      <c r="J3345" s="3">
        <f t="shared" si="145"/>
        <v>18</v>
      </c>
      <c r="K3345" s="3">
        <f t="shared" si="146"/>
        <v>2</v>
      </c>
      <c r="L3345" s="3" t="str">
        <f t="shared" si="147"/>
        <v>OPORTUNO</v>
      </c>
      <c r="N3345">
        <v>100</v>
      </c>
      <c r="O3345">
        <v>27.04918032786885</v>
      </c>
    </row>
    <row r="3346" spans="1:15" x14ac:dyDescent="0.25">
      <c r="A3346" s="11">
        <v>46106</v>
      </c>
      <c r="B3346" t="s">
        <v>38</v>
      </c>
      <c r="C3346" t="s">
        <v>18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 t="shared" si="144"/>
        <v>29</v>
      </c>
      <c r="J3346" s="3">
        <f t="shared" si="145"/>
        <v>22</v>
      </c>
      <c r="K3346" s="3">
        <f t="shared" si="146"/>
        <v>7</v>
      </c>
      <c r="L3346" s="3" t="str">
        <f t="shared" si="147"/>
        <v>MUITO BOM</v>
      </c>
      <c r="N3346">
        <v>97.83</v>
      </c>
      <c r="O3346">
        <v>26.315789473684209</v>
      </c>
    </row>
    <row r="3347" spans="1:15" x14ac:dyDescent="0.25">
      <c r="A3347" s="11">
        <v>46106</v>
      </c>
      <c r="B3347" t="s">
        <v>39</v>
      </c>
      <c r="C3347" t="s">
        <v>18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 t="shared" ref="I3347:I3410" si="148">E3347+G3347+H3347</f>
        <v>15</v>
      </c>
      <c r="J3347" s="3">
        <f t="shared" ref="J3347:J3410" si="149"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22</v>
      </c>
      <c r="K3347" s="3">
        <f t="shared" ref="K3347:K3410" si="150">I3347-J3347</f>
        <v>-7</v>
      </c>
      <c r="L3347" s="3" t="str">
        <f t="shared" ref="L3347:L3410" si="151">IF(K3347&lt;-5,"CRÍTICO",IF(K3347&lt;0,"ATENÇÃO",IF(K3347&lt;=5,"OPORTUNO","MUITO BOM")))</f>
        <v>CRÍTICO</v>
      </c>
      <c r="N3347">
        <v>100</v>
      </c>
      <c r="O3347">
        <v>26.701570680628269</v>
      </c>
    </row>
    <row r="3348" spans="1:15" x14ac:dyDescent="0.25">
      <c r="A3348" s="11">
        <v>46106</v>
      </c>
      <c r="B3348" t="s">
        <v>40</v>
      </c>
      <c r="C3348" t="s">
        <v>16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f t="shared" si="148"/>
        <v>0</v>
      </c>
      <c r="J3348" s="3">
        <f t="shared" si="149"/>
        <v>18</v>
      </c>
      <c r="K3348" s="3">
        <f t="shared" si="150"/>
        <v>-18</v>
      </c>
      <c r="L3348" s="3" t="str">
        <f t="shared" si="151"/>
        <v>CRÍTICO</v>
      </c>
      <c r="N3348">
        <v>97.47</v>
      </c>
      <c r="O3348">
        <v>22.887323943661968</v>
      </c>
    </row>
    <row r="3349" spans="1:15" x14ac:dyDescent="0.25">
      <c r="A3349" s="11">
        <v>46106</v>
      </c>
      <c r="B3349" t="s">
        <v>41</v>
      </c>
      <c r="C3349" t="s">
        <v>18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f t="shared" si="148"/>
        <v>0</v>
      </c>
      <c r="J3349" s="3">
        <f t="shared" si="149"/>
        <v>22</v>
      </c>
      <c r="K3349" s="3">
        <f t="shared" si="150"/>
        <v>-22</v>
      </c>
      <c r="L3349" s="3" t="str">
        <f t="shared" si="151"/>
        <v>CRÍTICO</v>
      </c>
      <c r="N3349">
        <v>0</v>
      </c>
      <c r="O3349">
        <v>0</v>
      </c>
    </row>
    <row r="3350" spans="1:15" x14ac:dyDescent="0.25">
      <c r="A3350" s="11">
        <v>46106</v>
      </c>
      <c r="B3350" t="s">
        <v>42</v>
      </c>
      <c r="C3350" t="s">
        <v>43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 t="shared" si="148"/>
        <v>14</v>
      </c>
      <c r="J3350" s="3">
        <f t="shared" si="149"/>
        <v>13</v>
      </c>
      <c r="K3350" s="3">
        <f t="shared" si="150"/>
        <v>1</v>
      </c>
      <c r="L3350" s="3" t="str">
        <f t="shared" si="151"/>
        <v>OPORTUNO</v>
      </c>
      <c r="N3350">
        <v>98.31</v>
      </c>
      <c r="O3350">
        <v>24.920127795527151</v>
      </c>
    </row>
    <row r="3351" spans="1:15" x14ac:dyDescent="0.25">
      <c r="A3351" s="11">
        <v>46106</v>
      </c>
      <c r="B3351" t="s">
        <v>44</v>
      </c>
      <c r="C3351" t="s">
        <v>18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 t="shared" si="148"/>
        <v>18</v>
      </c>
      <c r="J3351" s="3">
        <f t="shared" si="149"/>
        <v>22</v>
      </c>
      <c r="K3351" s="3">
        <f t="shared" si="150"/>
        <v>-4</v>
      </c>
      <c r="L3351" s="3" t="str">
        <f t="shared" si="151"/>
        <v>ATENÇÃO</v>
      </c>
      <c r="N3351">
        <v>96.81</v>
      </c>
      <c r="O3351">
        <v>32.365145228215773</v>
      </c>
    </row>
    <row r="3352" spans="1:15" x14ac:dyDescent="0.25">
      <c r="A3352" s="11">
        <v>46106</v>
      </c>
      <c r="B3352" t="s">
        <v>45</v>
      </c>
      <c r="C3352" t="s">
        <v>43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 t="shared" si="148"/>
        <v>15</v>
      </c>
      <c r="J3352" s="3">
        <f t="shared" si="149"/>
        <v>13</v>
      </c>
      <c r="K3352" s="3">
        <f t="shared" si="150"/>
        <v>2</v>
      </c>
      <c r="L3352" s="3" t="str">
        <f t="shared" si="151"/>
        <v>OPORTUNO</v>
      </c>
      <c r="N3352">
        <v>100</v>
      </c>
      <c r="O3352">
        <v>26.47058823529412</v>
      </c>
    </row>
    <row r="3353" spans="1:15" x14ac:dyDescent="0.25">
      <c r="A3353" s="11">
        <v>46106</v>
      </c>
      <c r="B3353" t="s">
        <v>46</v>
      </c>
      <c r="C3353" t="s">
        <v>18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 t="shared" si="148"/>
        <v>24</v>
      </c>
      <c r="J3353" s="3">
        <f t="shared" si="149"/>
        <v>22</v>
      </c>
      <c r="K3353" s="3">
        <f t="shared" si="150"/>
        <v>2</v>
      </c>
      <c r="L3353" s="3" t="str">
        <f t="shared" si="151"/>
        <v>OPORTUNO</v>
      </c>
      <c r="N3353">
        <v>100</v>
      </c>
      <c r="O3353">
        <v>28.490028490028489</v>
      </c>
    </row>
    <row r="3354" spans="1:15" x14ac:dyDescent="0.25">
      <c r="A3354" s="11">
        <v>46106</v>
      </c>
      <c r="B3354" t="s">
        <v>47</v>
      </c>
      <c r="C3354" t="s">
        <v>16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 t="shared" si="148"/>
        <v>23</v>
      </c>
      <c r="J3354" s="3">
        <f t="shared" si="149"/>
        <v>18</v>
      </c>
      <c r="K3354" s="3">
        <f t="shared" si="150"/>
        <v>5</v>
      </c>
      <c r="L3354" s="3" t="str">
        <f t="shared" si="151"/>
        <v>OPORTUNO</v>
      </c>
      <c r="N3354">
        <v>99.14</v>
      </c>
      <c r="O3354">
        <v>27.2289156626506</v>
      </c>
    </row>
    <row r="3355" spans="1:15" x14ac:dyDescent="0.25">
      <c r="A3355" s="11">
        <v>46106</v>
      </c>
      <c r="B3355" t="s">
        <v>48</v>
      </c>
      <c r="C3355" t="s">
        <v>16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f t="shared" si="148"/>
        <v>0</v>
      </c>
      <c r="J3355" s="3">
        <f t="shared" si="149"/>
        <v>18</v>
      </c>
      <c r="K3355" s="3">
        <f t="shared" si="150"/>
        <v>-18</v>
      </c>
      <c r="L3355" s="3" t="str">
        <f t="shared" si="151"/>
        <v>CRÍTICO</v>
      </c>
      <c r="N3355">
        <v>97.52</v>
      </c>
      <c r="O3355">
        <v>28.205128205128201</v>
      </c>
    </row>
    <row r="3356" spans="1:15" x14ac:dyDescent="0.25">
      <c r="A3356" s="11">
        <v>46106</v>
      </c>
      <c r="B3356" t="s">
        <v>49</v>
      </c>
      <c r="C3356" t="s">
        <v>18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f t="shared" si="148"/>
        <v>0</v>
      </c>
      <c r="J3356" s="3">
        <f t="shared" si="149"/>
        <v>22</v>
      </c>
      <c r="K3356" s="3">
        <f t="shared" si="150"/>
        <v>-22</v>
      </c>
      <c r="L3356" s="3" t="str">
        <f t="shared" si="151"/>
        <v>CRÍTICO</v>
      </c>
      <c r="N3356">
        <v>90</v>
      </c>
      <c r="O3356">
        <v>24.186046511627911</v>
      </c>
    </row>
    <row r="3357" spans="1:15" x14ac:dyDescent="0.25">
      <c r="A3357" s="11">
        <v>46106</v>
      </c>
      <c r="B3357" t="s">
        <v>50</v>
      </c>
      <c r="C3357" t="s">
        <v>20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 t="shared" si="148"/>
        <v>17</v>
      </c>
      <c r="J3357" s="3">
        <f t="shared" si="149"/>
        <v>15</v>
      </c>
      <c r="K3357" s="3">
        <f t="shared" si="150"/>
        <v>2</v>
      </c>
      <c r="L3357" s="3" t="str">
        <f t="shared" si="151"/>
        <v>OPORTUNO</v>
      </c>
      <c r="N3357">
        <v>98.9</v>
      </c>
      <c r="O3357">
        <v>26.763990267639901</v>
      </c>
    </row>
    <row r="3358" spans="1:15" x14ac:dyDescent="0.25">
      <c r="A3358" s="11">
        <v>46106</v>
      </c>
      <c r="B3358" t="s">
        <v>51</v>
      </c>
      <c r="C3358" t="s">
        <v>23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 t="shared" si="148"/>
        <v>7</v>
      </c>
      <c r="J3358" s="3">
        <f t="shared" si="149"/>
        <v>6</v>
      </c>
      <c r="K3358" s="3">
        <f t="shared" si="150"/>
        <v>1</v>
      </c>
      <c r="L3358" s="3" t="str">
        <f t="shared" si="151"/>
        <v>OPORTUNO</v>
      </c>
      <c r="N3358">
        <v>88.89</v>
      </c>
      <c r="O3358">
        <v>25.263157894736839</v>
      </c>
    </row>
    <row r="3359" spans="1:15" x14ac:dyDescent="0.25">
      <c r="A3359" s="11">
        <v>46106</v>
      </c>
      <c r="B3359" t="s">
        <v>52</v>
      </c>
      <c r="C3359" t="s">
        <v>18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 t="shared" si="148"/>
        <v>30</v>
      </c>
      <c r="J3359" s="3">
        <f t="shared" si="149"/>
        <v>22</v>
      </c>
      <c r="K3359" s="3">
        <f t="shared" si="150"/>
        <v>8</v>
      </c>
      <c r="L3359" s="3" t="str">
        <f t="shared" si="151"/>
        <v>MUITO BOM</v>
      </c>
      <c r="N3359">
        <v>98.86</v>
      </c>
      <c r="O3359">
        <v>28.959276018099551</v>
      </c>
    </row>
    <row r="3360" spans="1:15" x14ac:dyDescent="0.25">
      <c r="A3360" s="11">
        <v>46106</v>
      </c>
      <c r="B3360" t="s">
        <v>53</v>
      </c>
      <c r="C3360" t="s">
        <v>18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 t="shared" si="148"/>
        <v>24</v>
      </c>
      <c r="J3360" s="3">
        <f t="shared" si="149"/>
        <v>22</v>
      </c>
      <c r="K3360" s="3">
        <f t="shared" si="150"/>
        <v>2</v>
      </c>
      <c r="L3360" s="3" t="str">
        <f t="shared" si="151"/>
        <v>OPORTUNO</v>
      </c>
      <c r="N3360">
        <v>98.06</v>
      </c>
      <c r="O3360">
        <v>22.40566037735849</v>
      </c>
    </row>
    <row r="3361" spans="1:15" x14ac:dyDescent="0.25">
      <c r="A3361" s="11">
        <v>46106</v>
      </c>
      <c r="B3361" t="s">
        <v>54</v>
      </c>
      <c r="C3361" t="s">
        <v>23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 t="shared" si="148"/>
        <v>13</v>
      </c>
      <c r="J3361" s="3">
        <f t="shared" si="149"/>
        <v>6</v>
      </c>
      <c r="K3361" s="3">
        <f t="shared" si="150"/>
        <v>7</v>
      </c>
      <c r="L3361" s="3" t="str">
        <f t="shared" si="151"/>
        <v>MUITO BOM</v>
      </c>
      <c r="N3361">
        <v>95.83</v>
      </c>
      <c r="O3361">
        <v>25.773195876288661</v>
      </c>
    </row>
    <row r="3362" spans="1:15" x14ac:dyDescent="0.25">
      <c r="A3362" s="11">
        <v>46106</v>
      </c>
      <c r="B3362" t="s">
        <v>55</v>
      </c>
      <c r="C3362" t="s">
        <v>43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f t="shared" si="148"/>
        <v>0</v>
      </c>
      <c r="J3362" s="3">
        <f t="shared" si="149"/>
        <v>13</v>
      </c>
      <c r="K3362" s="3">
        <f t="shared" si="150"/>
        <v>-13</v>
      </c>
      <c r="L3362" s="3" t="str">
        <f t="shared" si="151"/>
        <v>CRÍTICO</v>
      </c>
      <c r="N3362">
        <v>100</v>
      </c>
      <c r="O3362">
        <v>15.38461538461539</v>
      </c>
    </row>
    <row r="3363" spans="1:15" x14ac:dyDescent="0.25">
      <c r="A3363" s="11">
        <v>46106</v>
      </c>
      <c r="B3363" t="s">
        <v>56</v>
      </c>
      <c r="C3363" t="s">
        <v>16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 t="shared" si="148"/>
        <v>5</v>
      </c>
      <c r="J3363" s="3">
        <f t="shared" si="149"/>
        <v>18</v>
      </c>
      <c r="K3363" s="3">
        <f t="shared" si="150"/>
        <v>-13</v>
      </c>
      <c r="L3363" s="3" t="str">
        <f t="shared" si="151"/>
        <v>CRÍTICO</v>
      </c>
      <c r="N3363">
        <v>100</v>
      </c>
      <c r="O3363">
        <v>27.514792899408281</v>
      </c>
    </row>
    <row r="3364" spans="1:15" x14ac:dyDescent="0.25">
      <c r="A3364" s="11">
        <v>46106</v>
      </c>
      <c r="B3364" t="s">
        <v>57</v>
      </c>
      <c r="C3364" t="s">
        <v>43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 t="shared" si="148"/>
        <v>16</v>
      </c>
      <c r="J3364" s="3">
        <f t="shared" si="149"/>
        <v>13</v>
      </c>
      <c r="K3364" s="3">
        <f t="shared" si="150"/>
        <v>3</v>
      </c>
      <c r="L3364" s="3" t="str">
        <f t="shared" si="151"/>
        <v>OPORTUNO</v>
      </c>
      <c r="N3364">
        <v>100</v>
      </c>
      <c r="O3364">
        <v>24.875621890547269</v>
      </c>
    </row>
    <row r="3365" spans="1:15" x14ac:dyDescent="0.25">
      <c r="A3365" s="11">
        <v>46106</v>
      </c>
      <c r="B3365" t="s">
        <v>58</v>
      </c>
      <c r="C3365" t="s">
        <v>43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 t="shared" si="148"/>
        <v>16</v>
      </c>
      <c r="J3365" s="3">
        <f t="shared" si="149"/>
        <v>13</v>
      </c>
      <c r="K3365" s="3">
        <f t="shared" si="150"/>
        <v>3</v>
      </c>
      <c r="L3365" s="3" t="str">
        <f t="shared" si="151"/>
        <v>OPORTUNO</v>
      </c>
      <c r="N3365">
        <v>100</v>
      </c>
      <c r="O3365">
        <v>28.108108108108109</v>
      </c>
    </row>
    <row r="3366" spans="1:15" x14ac:dyDescent="0.25">
      <c r="A3366" s="11">
        <v>46106</v>
      </c>
      <c r="B3366" t="s">
        <v>59</v>
      </c>
      <c r="C3366" t="s">
        <v>23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 t="shared" si="148"/>
        <v>5</v>
      </c>
      <c r="J3366" s="3">
        <f t="shared" si="149"/>
        <v>6</v>
      </c>
      <c r="K3366" s="3">
        <f t="shared" si="150"/>
        <v>-1</v>
      </c>
      <c r="L3366" s="3" t="str">
        <f t="shared" si="151"/>
        <v>ATENÇÃO</v>
      </c>
      <c r="N3366">
        <v>100</v>
      </c>
      <c r="O3366">
        <v>35</v>
      </c>
    </row>
    <row r="3367" spans="1:15" x14ac:dyDescent="0.25">
      <c r="A3367" s="11">
        <v>46106</v>
      </c>
      <c r="B3367" t="s">
        <v>60</v>
      </c>
      <c r="C3367" t="s">
        <v>20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 t="shared" si="148"/>
        <v>17</v>
      </c>
      <c r="J3367" s="3">
        <f t="shared" si="149"/>
        <v>15</v>
      </c>
      <c r="K3367" s="3">
        <f t="shared" si="150"/>
        <v>2</v>
      </c>
      <c r="L3367" s="3" t="str">
        <f t="shared" si="151"/>
        <v>OPORTUNO</v>
      </c>
      <c r="N3367">
        <v>95.35</v>
      </c>
      <c r="O3367">
        <v>28.61538461538461</v>
      </c>
    </row>
    <row r="3368" spans="1:15" x14ac:dyDescent="0.25">
      <c r="A3368" s="11">
        <v>46106</v>
      </c>
      <c r="B3368" t="s">
        <v>61</v>
      </c>
      <c r="C3368" t="s">
        <v>18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 t="shared" si="148"/>
        <v>31</v>
      </c>
      <c r="J3368" s="3">
        <f t="shared" si="149"/>
        <v>22</v>
      </c>
      <c r="K3368" s="3">
        <f t="shared" si="150"/>
        <v>9</v>
      </c>
      <c r="L3368" s="3" t="str">
        <f t="shared" si="151"/>
        <v>MUITO BOM</v>
      </c>
      <c r="N3368">
        <v>98.26</v>
      </c>
      <c r="O3368">
        <v>27.54491017964072</v>
      </c>
    </row>
    <row r="3369" spans="1:15" x14ac:dyDescent="0.25">
      <c r="A3369" s="11">
        <v>46106</v>
      </c>
      <c r="B3369" t="s">
        <v>62</v>
      </c>
      <c r="C3369" t="s">
        <v>20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 t="shared" si="148"/>
        <v>12</v>
      </c>
      <c r="J3369" s="3">
        <f t="shared" si="149"/>
        <v>15</v>
      </c>
      <c r="K3369" s="3">
        <f t="shared" si="150"/>
        <v>-3</v>
      </c>
      <c r="L3369" s="3" t="str">
        <f t="shared" si="151"/>
        <v>ATENÇÃO</v>
      </c>
      <c r="N3369">
        <v>98.55</v>
      </c>
      <c r="O3369">
        <v>25.337837837837839</v>
      </c>
    </row>
    <row r="3370" spans="1:15" x14ac:dyDescent="0.25">
      <c r="A3370" s="11">
        <v>46106</v>
      </c>
      <c r="B3370" t="s">
        <v>63</v>
      </c>
      <c r="C3370" t="s">
        <v>18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 t="shared" si="148"/>
        <v>21</v>
      </c>
      <c r="J3370" s="3">
        <f t="shared" si="149"/>
        <v>22</v>
      </c>
      <c r="K3370" s="3">
        <f t="shared" si="150"/>
        <v>-1</v>
      </c>
      <c r="L3370" s="3" t="str">
        <f t="shared" si="151"/>
        <v>ATENÇÃO</v>
      </c>
      <c r="N3370">
        <v>98.39</v>
      </c>
      <c r="O3370">
        <v>25.563909774436091</v>
      </c>
    </row>
    <row r="3371" spans="1:15" x14ac:dyDescent="0.25">
      <c r="A3371" s="11">
        <v>46107</v>
      </c>
      <c r="B3371" t="s">
        <v>15</v>
      </c>
      <c r="C3371" t="s">
        <v>16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 t="shared" si="148"/>
        <v>28</v>
      </c>
      <c r="J3371" s="3">
        <f t="shared" si="149"/>
        <v>21</v>
      </c>
      <c r="K3371" s="3">
        <f t="shared" si="150"/>
        <v>7</v>
      </c>
      <c r="L3371" s="3" t="str">
        <f t="shared" si="151"/>
        <v>MUITO BOM</v>
      </c>
      <c r="N3371">
        <v>94.29</v>
      </c>
      <c r="O3371">
        <v>25.647668393782389</v>
      </c>
    </row>
    <row r="3372" spans="1:15" x14ac:dyDescent="0.25">
      <c r="A3372" s="11">
        <v>46107</v>
      </c>
      <c r="B3372" t="s">
        <v>17</v>
      </c>
      <c r="C3372" t="s">
        <v>18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f t="shared" si="148"/>
        <v>0</v>
      </c>
      <c r="J3372" s="3">
        <f t="shared" si="149"/>
        <v>26</v>
      </c>
      <c r="K3372" s="3">
        <f t="shared" si="150"/>
        <v>-26</v>
      </c>
      <c r="L3372" s="3" t="str">
        <f t="shared" si="151"/>
        <v>CRÍTICO</v>
      </c>
      <c r="N3372">
        <v>98.26</v>
      </c>
      <c r="O3372">
        <v>26.666666666666671</v>
      </c>
    </row>
    <row r="3373" spans="1:15" x14ac:dyDescent="0.25">
      <c r="A3373" s="11">
        <v>46107</v>
      </c>
      <c r="B3373" t="s">
        <v>19</v>
      </c>
      <c r="C3373" t="s">
        <v>20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 t="shared" si="148"/>
        <v>21</v>
      </c>
      <c r="J3373" s="3">
        <f t="shared" si="149"/>
        <v>17</v>
      </c>
      <c r="K3373" s="3">
        <f t="shared" si="150"/>
        <v>4</v>
      </c>
      <c r="L3373" s="3" t="str">
        <f t="shared" si="151"/>
        <v>OPORTUNO</v>
      </c>
      <c r="N3373">
        <v>98.2</v>
      </c>
      <c r="O3373">
        <v>23.37962962962963</v>
      </c>
    </row>
    <row r="3374" spans="1:15" x14ac:dyDescent="0.25">
      <c r="A3374" s="11">
        <v>46107</v>
      </c>
      <c r="B3374" t="s">
        <v>21</v>
      </c>
      <c r="C3374" t="s">
        <v>18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 t="shared" si="148"/>
        <v>32</v>
      </c>
      <c r="J3374" s="3">
        <f t="shared" si="149"/>
        <v>26</v>
      </c>
      <c r="K3374" s="3">
        <f t="shared" si="150"/>
        <v>6</v>
      </c>
      <c r="L3374" s="3" t="str">
        <f t="shared" si="151"/>
        <v>MUITO BOM</v>
      </c>
      <c r="N3374">
        <v>97.3</v>
      </c>
      <c r="O3374">
        <v>23.84769539078156</v>
      </c>
    </row>
    <row r="3375" spans="1:15" x14ac:dyDescent="0.25">
      <c r="A3375" s="11">
        <v>46107</v>
      </c>
      <c r="B3375" t="s">
        <v>22</v>
      </c>
      <c r="C3375" t="s">
        <v>23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 t="shared" si="148"/>
        <v>20</v>
      </c>
      <c r="J3375" s="3">
        <f t="shared" si="149"/>
        <v>7</v>
      </c>
      <c r="K3375" s="3">
        <f t="shared" si="150"/>
        <v>13</v>
      </c>
      <c r="L3375" s="3" t="str">
        <f t="shared" si="151"/>
        <v>MUITO BOM</v>
      </c>
      <c r="N3375">
        <v>100</v>
      </c>
      <c r="O3375">
        <v>25.268817204301079</v>
      </c>
    </row>
    <row r="3376" spans="1:15" x14ac:dyDescent="0.25">
      <c r="A3376" s="11">
        <v>46107</v>
      </c>
      <c r="B3376" t="s">
        <v>24</v>
      </c>
      <c r="C3376" t="s">
        <v>16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 t="shared" si="148"/>
        <v>31</v>
      </c>
      <c r="J3376" s="3">
        <f t="shared" si="149"/>
        <v>21</v>
      </c>
      <c r="K3376" s="3">
        <f t="shared" si="150"/>
        <v>10</v>
      </c>
      <c r="L3376" s="3" t="str">
        <f t="shared" si="151"/>
        <v>MUITO BOM</v>
      </c>
      <c r="N3376">
        <v>99.32</v>
      </c>
      <c r="O3376">
        <v>22.822822822822818</v>
      </c>
    </row>
    <row r="3377" spans="1:15" x14ac:dyDescent="0.25">
      <c r="A3377" s="11">
        <v>46107</v>
      </c>
      <c r="B3377" t="s">
        <v>25</v>
      </c>
      <c r="C3377" t="s">
        <v>16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 t="shared" si="148"/>
        <v>18</v>
      </c>
      <c r="J3377" s="3">
        <f t="shared" si="149"/>
        <v>21</v>
      </c>
      <c r="K3377" s="3">
        <f t="shared" si="150"/>
        <v>-3</v>
      </c>
      <c r="L3377" s="3" t="str">
        <f t="shared" si="151"/>
        <v>ATENÇÃO</v>
      </c>
      <c r="N3377">
        <v>100</v>
      </c>
      <c r="O3377">
        <v>27.966101694915249</v>
      </c>
    </row>
    <row r="3378" spans="1:15" x14ac:dyDescent="0.25">
      <c r="A3378" s="11">
        <v>46107</v>
      </c>
      <c r="B3378" t="s">
        <v>26</v>
      </c>
      <c r="C3378" t="s">
        <v>23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 t="shared" si="148"/>
        <v>7</v>
      </c>
      <c r="J3378" s="3">
        <f t="shared" si="149"/>
        <v>7</v>
      </c>
      <c r="K3378" s="3">
        <f t="shared" si="150"/>
        <v>0</v>
      </c>
      <c r="L3378" s="3" t="str">
        <f t="shared" si="151"/>
        <v>OPORTUNO</v>
      </c>
      <c r="N3378">
        <v>100</v>
      </c>
      <c r="O3378">
        <v>30.434782608695659</v>
      </c>
    </row>
    <row r="3379" spans="1:15" x14ac:dyDescent="0.25">
      <c r="A3379" s="11">
        <v>46107</v>
      </c>
      <c r="B3379" t="s">
        <v>27</v>
      </c>
      <c r="C3379" t="s">
        <v>20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 t="shared" si="148"/>
        <v>22</v>
      </c>
      <c r="J3379" s="3">
        <f t="shared" si="149"/>
        <v>17</v>
      </c>
      <c r="K3379" s="3">
        <f t="shared" si="150"/>
        <v>5</v>
      </c>
      <c r="L3379" s="3" t="str">
        <f t="shared" si="151"/>
        <v>OPORTUNO</v>
      </c>
      <c r="N3379">
        <v>96.51</v>
      </c>
      <c r="O3379">
        <v>22.802850356294542</v>
      </c>
    </row>
    <row r="3380" spans="1:15" x14ac:dyDescent="0.25">
      <c r="A3380" s="11">
        <v>46107</v>
      </c>
      <c r="B3380" t="s">
        <v>28</v>
      </c>
      <c r="C3380" t="s">
        <v>18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 t="shared" si="148"/>
        <v>33</v>
      </c>
      <c r="J3380" s="3">
        <f t="shared" si="149"/>
        <v>26</v>
      </c>
      <c r="K3380" s="3">
        <f t="shared" si="150"/>
        <v>7</v>
      </c>
      <c r="L3380" s="3" t="str">
        <f t="shared" si="151"/>
        <v>MUITO BOM</v>
      </c>
      <c r="N3380">
        <v>92.68</v>
      </c>
      <c r="O3380">
        <v>27.777777777777779</v>
      </c>
    </row>
    <row r="3381" spans="1:15" x14ac:dyDescent="0.25">
      <c r="A3381" s="11">
        <v>46107</v>
      </c>
      <c r="B3381" t="s">
        <v>29</v>
      </c>
      <c r="C3381" t="s">
        <v>16</v>
      </c>
      <c r="D3381">
        <v>0</v>
      </c>
      <c r="E3381">
        <v>0</v>
      </c>
      <c r="F3381">
        <v>0</v>
      </c>
      <c r="G3381">
        <v>0</v>
      </c>
      <c r="H3381">
        <v>0</v>
      </c>
      <c r="I3381" s="3">
        <f t="shared" si="148"/>
        <v>0</v>
      </c>
      <c r="J3381" s="3">
        <f t="shared" si="149"/>
        <v>21</v>
      </c>
      <c r="K3381" s="3">
        <f t="shared" si="150"/>
        <v>-21</v>
      </c>
      <c r="L3381" s="3" t="str">
        <f t="shared" si="151"/>
        <v>CRÍTICO</v>
      </c>
      <c r="N3381">
        <v>99.03</v>
      </c>
      <c r="O3381">
        <v>23.991507430997881</v>
      </c>
    </row>
    <row r="3382" spans="1:15" x14ac:dyDescent="0.25">
      <c r="A3382" s="11">
        <v>46107</v>
      </c>
      <c r="B3382" t="s">
        <v>30</v>
      </c>
      <c r="C3382" t="s">
        <v>20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 t="shared" si="148"/>
        <v>17</v>
      </c>
      <c r="J3382" s="3">
        <f t="shared" si="149"/>
        <v>17</v>
      </c>
      <c r="K3382" s="3">
        <f t="shared" si="150"/>
        <v>0</v>
      </c>
      <c r="L3382" s="3" t="str">
        <f t="shared" si="151"/>
        <v>OPORTUNO</v>
      </c>
      <c r="N3382">
        <v>98.41</v>
      </c>
      <c r="O3382">
        <v>28.138528138528141</v>
      </c>
    </row>
    <row r="3383" spans="1:15" x14ac:dyDescent="0.25">
      <c r="A3383" s="11">
        <v>46107</v>
      </c>
      <c r="B3383" t="s">
        <v>31</v>
      </c>
      <c r="C3383" t="s">
        <v>18</v>
      </c>
      <c r="D3383">
        <v>0</v>
      </c>
      <c r="E3383">
        <v>0</v>
      </c>
      <c r="F3383">
        <v>0</v>
      </c>
      <c r="G3383">
        <v>0</v>
      </c>
      <c r="H3383">
        <v>0</v>
      </c>
      <c r="I3383" s="3">
        <f t="shared" si="148"/>
        <v>0</v>
      </c>
      <c r="J3383" s="3">
        <f t="shared" si="149"/>
        <v>26</v>
      </c>
      <c r="K3383" s="3">
        <f t="shared" si="150"/>
        <v>-26</v>
      </c>
      <c r="L3383" s="3" t="str">
        <f t="shared" si="151"/>
        <v>CRÍTICO</v>
      </c>
      <c r="N3383">
        <v>98.73</v>
      </c>
      <c r="O3383">
        <v>29.142857142857139</v>
      </c>
    </row>
    <row r="3384" spans="1:15" x14ac:dyDescent="0.25">
      <c r="A3384" s="11">
        <v>46107</v>
      </c>
      <c r="B3384" t="s">
        <v>32</v>
      </c>
      <c r="C3384" t="s">
        <v>23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 t="shared" si="148"/>
        <v>13</v>
      </c>
      <c r="J3384" s="3">
        <f t="shared" si="149"/>
        <v>7</v>
      </c>
      <c r="K3384" s="3">
        <f t="shared" si="150"/>
        <v>6</v>
      </c>
      <c r="L3384" s="3" t="str">
        <f t="shared" si="151"/>
        <v>MUITO BOM</v>
      </c>
      <c r="N3384">
        <v>90.48</v>
      </c>
      <c r="O3384">
        <v>20.68965517241379</v>
      </c>
    </row>
    <row r="3385" spans="1:15" x14ac:dyDescent="0.25">
      <c r="A3385" s="11">
        <v>46107</v>
      </c>
      <c r="B3385" t="s">
        <v>33</v>
      </c>
      <c r="C3385" t="s">
        <v>16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 t="shared" si="148"/>
        <v>26</v>
      </c>
      <c r="J3385" s="3">
        <f t="shared" si="149"/>
        <v>21</v>
      </c>
      <c r="K3385" s="3">
        <f t="shared" si="150"/>
        <v>5</v>
      </c>
      <c r="L3385" s="3" t="str">
        <f t="shared" si="151"/>
        <v>OPORTUNO</v>
      </c>
      <c r="N3385">
        <v>98.06</v>
      </c>
      <c r="O3385">
        <v>24.789915966386559</v>
      </c>
    </row>
    <row r="3386" spans="1:15" x14ac:dyDescent="0.25">
      <c r="A3386" s="11">
        <v>46107</v>
      </c>
      <c r="B3386" t="s">
        <v>34</v>
      </c>
      <c r="C3386" t="s">
        <v>18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 t="shared" si="148"/>
        <v>30</v>
      </c>
      <c r="J3386" s="3">
        <f t="shared" si="149"/>
        <v>26</v>
      </c>
      <c r="K3386" s="3">
        <f t="shared" si="150"/>
        <v>4</v>
      </c>
      <c r="L3386" s="3" t="str">
        <f t="shared" si="151"/>
        <v>OPORTUNO</v>
      </c>
      <c r="N3386">
        <v>97.78</v>
      </c>
      <c r="O3386">
        <v>25.494071146245059</v>
      </c>
    </row>
    <row r="3387" spans="1:15" x14ac:dyDescent="0.25">
      <c r="A3387" s="11">
        <v>46107</v>
      </c>
      <c r="B3387" t="s">
        <v>35</v>
      </c>
      <c r="C3387" t="s">
        <v>16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 t="shared" si="148"/>
        <v>23</v>
      </c>
      <c r="J3387" s="3">
        <f t="shared" si="149"/>
        <v>21</v>
      </c>
      <c r="K3387" s="3">
        <f t="shared" si="150"/>
        <v>2</v>
      </c>
      <c r="L3387" s="3" t="str">
        <f t="shared" si="151"/>
        <v>OPORTUNO</v>
      </c>
      <c r="N3387">
        <v>98.02</v>
      </c>
      <c r="O3387">
        <v>23.484848484848481</v>
      </c>
    </row>
    <row r="3388" spans="1:15" hidden="1" x14ac:dyDescent="0.25">
      <c r="A3388" s="11">
        <v>46142</v>
      </c>
      <c r="B3388" t="s">
        <v>36</v>
      </c>
      <c r="C3388" t="s">
        <v>20</v>
      </c>
      <c r="D3388">
        <v>3</v>
      </c>
      <c r="E3388">
        <v>3</v>
      </c>
      <c r="F3388">
        <v>15.05</v>
      </c>
      <c r="G3388">
        <v>0</v>
      </c>
      <c r="H3388">
        <v>0</v>
      </c>
      <c r="I3388" s="3">
        <f t="shared" si="148"/>
        <v>3</v>
      </c>
      <c r="J3388" s="3">
        <f t="shared" si="149"/>
        <v>20</v>
      </c>
      <c r="K3388" s="3">
        <f t="shared" si="150"/>
        <v>-17</v>
      </c>
      <c r="L3388" s="3" t="str">
        <f t="shared" si="151"/>
        <v>CRÍTICO</v>
      </c>
      <c r="N3388">
        <v>99.28</v>
      </c>
      <c r="O3388">
        <v>27.689243027888441</v>
      </c>
    </row>
    <row r="3389" spans="1:15" x14ac:dyDescent="0.25">
      <c r="A3389" s="11">
        <v>46107</v>
      </c>
      <c r="B3389" t="s">
        <v>37</v>
      </c>
      <c r="C3389" t="s">
        <v>16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 t="shared" si="148"/>
        <v>23</v>
      </c>
      <c r="J3389" s="3">
        <f t="shared" si="149"/>
        <v>21</v>
      </c>
      <c r="K3389" s="3">
        <f t="shared" si="150"/>
        <v>2</v>
      </c>
      <c r="L3389" s="3" t="str">
        <f t="shared" si="151"/>
        <v>OPORTUNO</v>
      </c>
      <c r="N3389">
        <v>100</v>
      </c>
      <c r="O3389">
        <v>27.04918032786885</v>
      </c>
    </row>
    <row r="3390" spans="1:15" x14ac:dyDescent="0.25">
      <c r="A3390" s="11">
        <v>46107</v>
      </c>
      <c r="B3390" t="s">
        <v>38</v>
      </c>
      <c r="C3390" t="s">
        <v>18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 t="shared" si="148"/>
        <v>38</v>
      </c>
      <c r="J3390" s="3">
        <f t="shared" si="149"/>
        <v>26</v>
      </c>
      <c r="K3390" s="3">
        <f t="shared" si="150"/>
        <v>12</v>
      </c>
      <c r="L3390" s="3" t="str">
        <f t="shared" si="151"/>
        <v>MUITO BOM</v>
      </c>
      <c r="N3390">
        <v>97.83</v>
      </c>
      <c r="O3390">
        <v>26.315789473684209</v>
      </c>
    </row>
    <row r="3391" spans="1:15" x14ac:dyDescent="0.25">
      <c r="A3391" s="11">
        <v>46107</v>
      </c>
      <c r="B3391" t="s">
        <v>39</v>
      </c>
      <c r="C3391" t="s">
        <v>18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 t="shared" si="148"/>
        <v>21</v>
      </c>
      <c r="J3391" s="3">
        <f t="shared" si="149"/>
        <v>26</v>
      </c>
      <c r="K3391" s="3">
        <f t="shared" si="150"/>
        <v>-5</v>
      </c>
      <c r="L3391" s="3" t="str">
        <f t="shared" si="151"/>
        <v>ATENÇÃO</v>
      </c>
      <c r="N3391">
        <v>100</v>
      </c>
      <c r="O3391">
        <v>26.701570680628269</v>
      </c>
    </row>
    <row r="3392" spans="1:15" x14ac:dyDescent="0.25">
      <c r="A3392" s="11">
        <v>46107</v>
      </c>
      <c r="B3392" t="s">
        <v>40</v>
      </c>
      <c r="C3392" t="s">
        <v>16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f t="shared" si="148"/>
        <v>0</v>
      </c>
      <c r="J3392" s="3">
        <f t="shared" si="149"/>
        <v>21</v>
      </c>
      <c r="K3392" s="3">
        <f t="shared" si="150"/>
        <v>-21</v>
      </c>
      <c r="L3392" s="3" t="str">
        <f t="shared" si="151"/>
        <v>CRÍTICO</v>
      </c>
      <c r="N3392">
        <v>97.47</v>
      </c>
      <c r="O3392">
        <v>22.887323943661968</v>
      </c>
    </row>
    <row r="3393" spans="1:15" x14ac:dyDescent="0.25">
      <c r="A3393" s="11">
        <v>46107</v>
      </c>
      <c r="B3393" t="s">
        <v>41</v>
      </c>
      <c r="C3393" t="s">
        <v>18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f t="shared" si="148"/>
        <v>0</v>
      </c>
      <c r="J3393" s="3">
        <f t="shared" si="149"/>
        <v>26</v>
      </c>
      <c r="K3393" s="3">
        <f t="shared" si="150"/>
        <v>-26</v>
      </c>
      <c r="L3393" s="3" t="str">
        <f t="shared" si="151"/>
        <v>CRÍTICO</v>
      </c>
      <c r="N3393">
        <v>0</v>
      </c>
      <c r="O3393">
        <v>0</v>
      </c>
    </row>
    <row r="3394" spans="1:15" x14ac:dyDescent="0.25">
      <c r="A3394" s="11">
        <v>46107</v>
      </c>
      <c r="B3394" t="s">
        <v>42</v>
      </c>
      <c r="C3394" t="s">
        <v>43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 t="shared" si="148"/>
        <v>22</v>
      </c>
      <c r="J3394" s="3">
        <f t="shared" si="149"/>
        <v>15</v>
      </c>
      <c r="K3394" s="3">
        <f t="shared" si="150"/>
        <v>7</v>
      </c>
      <c r="L3394" s="3" t="str">
        <f t="shared" si="151"/>
        <v>MUITO BOM</v>
      </c>
      <c r="N3394">
        <v>98.31</v>
      </c>
      <c r="O3394">
        <v>24.920127795527151</v>
      </c>
    </row>
    <row r="3395" spans="1:15" x14ac:dyDescent="0.25">
      <c r="A3395" s="11">
        <v>46107</v>
      </c>
      <c r="B3395" t="s">
        <v>44</v>
      </c>
      <c r="C3395" t="s">
        <v>18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 t="shared" si="148"/>
        <v>18</v>
      </c>
      <c r="J3395" s="3">
        <f t="shared" si="149"/>
        <v>26</v>
      </c>
      <c r="K3395" s="3">
        <f t="shared" si="150"/>
        <v>-8</v>
      </c>
      <c r="L3395" s="3" t="str">
        <f t="shared" si="151"/>
        <v>CRÍTICO</v>
      </c>
      <c r="N3395">
        <v>96.81</v>
      </c>
      <c r="O3395">
        <v>32.365145228215773</v>
      </c>
    </row>
    <row r="3396" spans="1:15" x14ac:dyDescent="0.25">
      <c r="A3396" s="11">
        <v>46107</v>
      </c>
      <c r="B3396" t="s">
        <v>45</v>
      </c>
      <c r="C3396" t="s">
        <v>43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 t="shared" si="148"/>
        <v>16</v>
      </c>
      <c r="J3396" s="3">
        <f t="shared" si="149"/>
        <v>15</v>
      </c>
      <c r="K3396" s="3">
        <f t="shared" si="150"/>
        <v>1</v>
      </c>
      <c r="L3396" s="3" t="str">
        <f t="shared" si="151"/>
        <v>OPORTUNO</v>
      </c>
      <c r="N3396">
        <v>100</v>
      </c>
      <c r="O3396">
        <v>26.47058823529412</v>
      </c>
    </row>
    <row r="3397" spans="1:15" x14ac:dyDescent="0.25">
      <c r="A3397" s="11">
        <v>46107</v>
      </c>
      <c r="B3397" t="s">
        <v>46</v>
      </c>
      <c r="C3397" t="s">
        <v>18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 t="shared" si="148"/>
        <v>24</v>
      </c>
      <c r="J3397" s="3">
        <f t="shared" si="149"/>
        <v>26</v>
      </c>
      <c r="K3397" s="3">
        <f t="shared" si="150"/>
        <v>-2</v>
      </c>
      <c r="L3397" s="3" t="str">
        <f t="shared" si="151"/>
        <v>ATENÇÃO</v>
      </c>
      <c r="N3397">
        <v>100</v>
      </c>
      <c r="O3397">
        <v>28.490028490028489</v>
      </c>
    </row>
    <row r="3398" spans="1:15" x14ac:dyDescent="0.25">
      <c r="A3398" s="11">
        <v>46107</v>
      </c>
      <c r="B3398" t="s">
        <v>47</v>
      </c>
      <c r="C3398" t="s">
        <v>16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 t="shared" si="148"/>
        <v>29</v>
      </c>
      <c r="J3398" s="3">
        <f t="shared" si="149"/>
        <v>21</v>
      </c>
      <c r="K3398" s="3">
        <f t="shared" si="150"/>
        <v>8</v>
      </c>
      <c r="L3398" s="3" t="str">
        <f t="shared" si="151"/>
        <v>MUITO BOM</v>
      </c>
      <c r="N3398">
        <v>99.14</v>
      </c>
      <c r="O3398">
        <v>27.2289156626506</v>
      </c>
    </row>
    <row r="3399" spans="1:15" x14ac:dyDescent="0.25">
      <c r="A3399" s="11">
        <v>46107</v>
      </c>
      <c r="B3399" t="s">
        <v>48</v>
      </c>
      <c r="C3399" t="s">
        <v>16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f t="shared" si="148"/>
        <v>0</v>
      </c>
      <c r="J3399" s="3">
        <f t="shared" si="149"/>
        <v>21</v>
      </c>
      <c r="K3399" s="3">
        <f t="shared" si="150"/>
        <v>-21</v>
      </c>
      <c r="L3399" s="3" t="str">
        <f t="shared" si="151"/>
        <v>CRÍTICO</v>
      </c>
      <c r="N3399">
        <v>97.52</v>
      </c>
      <c r="O3399">
        <v>28.205128205128201</v>
      </c>
    </row>
    <row r="3400" spans="1:15" x14ac:dyDescent="0.25">
      <c r="A3400" s="11">
        <v>46107</v>
      </c>
      <c r="B3400" t="s">
        <v>49</v>
      </c>
      <c r="C3400" t="s">
        <v>18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f t="shared" si="148"/>
        <v>0</v>
      </c>
      <c r="J3400" s="3">
        <f t="shared" si="149"/>
        <v>26</v>
      </c>
      <c r="K3400" s="3">
        <f t="shared" si="150"/>
        <v>-26</v>
      </c>
      <c r="L3400" s="3" t="str">
        <f t="shared" si="151"/>
        <v>CRÍTICO</v>
      </c>
      <c r="N3400">
        <v>90</v>
      </c>
      <c r="O3400">
        <v>24.186046511627911</v>
      </c>
    </row>
    <row r="3401" spans="1:15" x14ac:dyDescent="0.25">
      <c r="A3401" s="11">
        <v>46107</v>
      </c>
      <c r="B3401" t="s">
        <v>50</v>
      </c>
      <c r="C3401" t="s">
        <v>20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 t="shared" si="148"/>
        <v>31</v>
      </c>
      <c r="J3401" s="3">
        <f t="shared" si="149"/>
        <v>17</v>
      </c>
      <c r="K3401" s="3">
        <f t="shared" si="150"/>
        <v>14</v>
      </c>
      <c r="L3401" s="3" t="str">
        <f t="shared" si="151"/>
        <v>MUITO BOM</v>
      </c>
      <c r="N3401">
        <v>98.9</v>
      </c>
      <c r="O3401">
        <v>26.763990267639901</v>
      </c>
    </row>
    <row r="3402" spans="1:15" x14ac:dyDescent="0.25">
      <c r="A3402" s="11">
        <v>46107</v>
      </c>
      <c r="B3402" t="s">
        <v>51</v>
      </c>
      <c r="C3402" t="s">
        <v>23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 t="shared" si="148"/>
        <v>7</v>
      </c>
      <c r="J3402" s="3">
        <f t="shared" si="149"/>
        <v>7</v>
      </c>
      <c r="K3402" s="3">
        <f t="shared" si="150"/>
        <v>0</v>
      </c>
      <c r="L3402" s="3" t="str">
        <f t="shared" si="151"/>
        <v>OPORTUNO</v>
      </c>
      <c r="N3402">
        <v>88.89</v>
      </c>
      <c r="O3402">
        <v>25.263157894736839</v>
      </c>
    </row>
    <row r="3403" spans="1:15" x14ac:dyDescent="0.25">
      <c r="A3403" s="11">
        <v>46107</v>
      </c>
      <c r="B3403" t="s">
        <v>52</v>
      </c>
      <c r="C3403" t="s">
        <v>18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 t="shared" si="148"/>
        <v>22</v>
      </c>
      <c r="J3403" s="3">
        <f t="shared" si="149"/>
        <v>26</v>
      </c>
      <c r="K3403" s="3">
        <f t="shared" si="150"/>
        <v>-4</v>
      </c>
      <c r="L3403" s="3" t="str">
        <f t="shared" si="151"/>
        <v>ATENÇÃO</v>
      </c>
      <c r="N3403">
        <v>98.86</v>
      </c>
      <c r="O3403">
        <v>28.959276018099551</v>
      </c>
    </row>
    <row r="3404" spans="1:15" x14ac:dyDescent="0.25">
      <c r="A3404" s="11">
        <v>46107</v>
      </c>
      <c r="B3404" t="s">
        <v>53</v>
      </c>
      <c r="C3404" t="s">
        <v>18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 t="shared" si="148"/>
        <v>13</v>
      </c>
      <c r="J3404" s="3">
        <f t="shared" si="149"/>
        <v>26</v>
      </c>
      <c r="K3404" s="3">
        <f t="shared" si="150"/>
        <v>-13</v>
      </c>
      <c r="L3404" s="3" t="str">
        <f t="shared" si="151"/>
        <v>CRÍTICO</v>
      </c>
      <c r="N3404">
        <v>98.06</v>
      </c>
      <c r="O3404">
        <v>22.40566037735849</v>
      </c>
    </row>
    <row r="3405" spans="1:15" x14ac:dyDescent="0.25">
      <c r="A3405" s="11">
        <v>46107</v>
      </c>
      <c r="B3405" t="s">
        <v>54</v>
      </c>
      <c r="C3405" t="s">
        <v>23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 t="shared" si="148"/>
        <v>7</v>
      </c>
      <c r="J3405" s="3">
        <f t="shared" si="149"/>
        <v>7</v>
      </c>
      <c r="K3405" s="3">
        <f t="shared" si="150"/>
        <v>0</v>
      </c>
      <c r="L3405" s="3" t="str">
        <f t="shared" si="151"/>
        <v>OPORTUNO</v>
      </c>
      <c r="N3405">
        <v>95.83</v>
      </c>
      <c r="O3405">
        <v>25.773195876288661</v>
      </c>
    </row>
    <row r="3406" spans="1:15" x14ac:dyDescent="0.25">
      <c r="A3406" s="11">
        <v>46107</v>
      </c>
      <c r="B3406" t="s">
        <v>55</v>
      </c>
      <c r="C3406" t="s">
        <v>43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f t="shared" si="148"/>
        <v>0</v>
      </c>
      <c r="J3406" s="3">
        <f t="shared" si="149"/>
        <v>15</v>
      </c>
      <c r="K3406" s="3">
        <f t="shared" si="150"/>
        <v>-15</v>
      </c>
      <c r="L3406" s="3" t="str">
        <f t="shared" si="151"/>
        <v>CRÍTICO</v>
      </c>
      <c r="N3406">
        <v>100</v>
      </c>
      <c r="O3406">
        <v>15.38461538461539</v>
      </c>
    </row>
    <row r="3407" spans="1:15" x14ac:dyDescent="0.25">
      <c r="A3407" s="11">
        <v>46107</v>
      </c>
      <c r="B3407" t="s">
        <v>56</v>
      </c>
      <c r="C3407" t="s">
        <v>16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 t="shared" si="148"/>
        <v>6</v>
      </c>
      <c r="J3407" s="3">
        <f t="shared" si="149"/>
        <v>21</v>
      </c>
      <c r="K3407" s="3">
        <f t="shared" si="150"/>
        <v>-15</v>
      </c>
      <c r="L3407" s="3" t="str">
        <f t="shared" si="151"/>
        <v>CRÍTICO</v>
      </c>
      <c r="N3407">
        <v>100</v>
      </c>
      <c r="O3407">
        <v>27.514792899408281</v>
      </c>
    </row>
    <row r="3408" spans="1:15" x14ac:dyDescent="0.25">
      <c r="A3408" s="11">
        <v>46107</v>
      </c>
      <c r="B3408" t="s">
        <v>57</v>
      </c>
      <c r="C3408" t="s">
        <v>43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 t="shared" si="148"/>
        <v>20</v>
      </c>
      <c r="J3408" s="3">
        <f t="shared" si="149"/>
        <v>15</v>
      </c>
      <c r="K3408" s="3">
        <f t="shared" si="150"/>
        <v>5</v>
      </c>
      <c r="L3408" s="3" t="str">
        <f t="shared" si="151"/>
        <v>OPORTUNO</v>
      </c>
      <c r="N3408">
        <v>100</v>
      </c>
      <c r="O3408">
        <v>24.875621890547269</v>
      </c>
    </row>
    <row r="3409" spans="1:15" x14ac:dyDescent="0.25">
      <c r="A3409" s="11">
        <v>46107</v>
      </c>
      <c r="B3409" t="s">
        <v>58</v>
      </c>
      <c r="C3409" t="s">
        <v>43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 t="shared" si="148"/>
        <v>11</v>
      </c>
      <c r="J3409" s="3">
        <f t="shared" si="149"/>
        <v>15</v>
      </c>
      <c r="K3409" s="3">
        <f t="shared" si="150"/>
        <v>-4</v>
      </c>
      <c r="L3409" s="3" t="str">
        <f t="shared" si="151"/>
        <v>ATENÇÃO</v>
      </c>
      <c r="N3409">
        <v>100</v>
      </c>
      <c r="O3409">
        <v>28.108108108108109</v>
      </c>
    </row>
    <row r="3410" spans="1:15" x14ac:dyDescent="0.25">
      <c r="A3410" s="11">
        <v>46107</v>
      </c>
      <c r="B3410" t="s">
        <v>59</v>
      </c>
      <c r="C3410" t="s">
        <v>23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 t="shared" si="148"/>
        <v>5</v>
      </c>
      <c r="J3410" s="3">
        <f t="shared" si="149"/>
        <v>7</v>
      </c>
      <c r="K3410" s="3">
        <f t="shared" si="150"/>
        <v>-2</v>
      </c>
      <c r="L3410" s="3" t="str">
        <f t="shared" si="151"/>
        <v>ATENÇÃO</v>
      </c>
      <c r="N3410">
        <v>100</v>
      </c>
      <c r="O3410">
        <v>35</v>
      </c>
    </row>
    <row r="3411" spans="1:15" x14ac:dyDescent="0.25">
      <c r="A3411" s="11">
        <v>46107</v>
      </c>
      <c r="B3411" t="s">
        <v>60</v>
      </c>
      <c r="C3411" t="s">
        <v>20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 t="shared" ref="I3411:I3431" si="152">E3411+G3411+H3411</f>
        <v>20</v>
      </c>
      <c r="J3411" s="3">
        <f t="shared" ref="J3411:J3431" si="153"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17</v>
      </c>
      <c r="K3411" s="3">
        <f t="shared" ref="K3411:K3431" si="154">I3411-J3411</f>
        <v>3</v>
      </c>
      <c r="L3411" s="3" t="str">
        <f t="shared" ref="L3411:L3431" si="155">IF(K3411&lt;-5,"CRÍTICO",IF(K3411&lt;0,"ATENÇÃO",IF(K3411&lt;=5,"OPORTUNO","MUITO BOM")))</f>
        <v>OPORTUNO</v>
      </c>
      <c r="N3411">
        <v>95.35</v>
      </c>
      <c r="O3411">
        <v>28.61538461538461</v>
      </c>
    </row>
    <row r="3412" spans="1:15" x14ac:dyDescent="0.25">
      <c r="A3412" s="11">
        <v>46107</v>
      </c>
      <c r="B3412" t="s">
        <v>61</v>
      </c>
      <c r="C3412" t="s">
        <v>18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 t="shared" si="152"/>
        <v>25</v>
      </c>
      <c r="J3412" s="3">
        <f t="shared" si="153"/>
        <v>26</v>
      </c>
      <c r="K3412" s="3">
        <f t="shared" si="154"/>
        <v>-1</v>
      </c>
      <c r="L3412" s="3" t="str">
        <f t="shared" si="155"/>
        <v>ATENÇÃO</v>
      </c>
      <c r="N3412">
        <v>98.26</v>
      </c>
      <c r="O3412">
        <v>27.54491017964072</v>
      </c>
    </row>
    <row r="3413" spans="1:15" x14ac:dyDescent="0.25">
      <c r="A3413" s="11">
        <v>46107</v>
      </c>
      <c r="B3413" t="s">
        <v>62</v>
      </c>
      <c r="C3413" t="s">
        <v>20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 t="shared" si="152"/>
        <v>11</v>
      </c>
      <c r="J3413" s="3">
        <f t="shared" si="153"/>
        <v>17</v>
      </c>
      <c r="K3413" s="3">
        <f t="shared" si="154"/>
        <v>-6</v>
      </c>
      <c r="L3413" s="3" t="str">
        <f t="shared" si="155"/>
        <v>CRÍTICO</v>
      </c>
      <c r="N3413">
        <v>98.55</v>
      </c>
      <c r="O3413">
        <v>25.337837837837839</v>
      </c>
    </row>
    <row r="3414" spans="1:15" x14ac:dyDescent="0.25">
      <c r="A3414" s="11">
        <v>46107</v>
      </c>
      <c r="B3414" t="s">
        <v>63</v>
      </c>
      <c r="C3414" t="s">
        <v>18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 t="shared" si="152"/>
        <v>27</v>
      </c>
      <c r="J3414" s="3">
        <f t="shared" si="153"/>
        <v>26</v>
      </c>
      <c r="K3414" s="3">
        <f t="shared" si="154"/>
        <v>1</v>
      </c>
      <c r="L3414" s="3" t="str">
        <f t="shared" si="155"/>
        <v>OPORTUNO</v>
      </c>
      <c r="N3414">
        <v>98.39</v>
      </c>
      <c r="O3414">
        <v>25.563909774436091</v>
      </c>
    </row>
    <row r="3415" spans="1:15" x14ac:dyDescent="0.25">
      <c r="A3415" s="11">
        <v>46108</v>
      </c>
      <c r="B3415" t="s">
        <v>15</v>
      </c>
      <c r="C3415" t="s">
        <v>16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 t="shared" si="152"/>
        <v>22</v>
      </c>
      <c r="J3415" s="3">
        <f t="shared" si="153"/>
        <v>20</v>
      </c>
      <c r="K3415" s="3">
        <f t="shared" si="154"/>
        <v>2</v>
      </c>
      <c r="L3415" s="3" t="str">
        <f t="shared" si="155"/>
        <v>OPORTUNO</v>
      </c>
      <c r="N3415">
        <v>94.29</v>
      </c>
      <c r="O3415">
        <v>25.647668393782389</v>
      </c>
    </row>
    <row r="3416" spans="1:15" x14ac:dyDescent="0.25">
      <c r="A3416" s="11">
        <v>46108</v>
      </c>
      <c r="B3416" t="s">
        <v>17</v>
      </c>
      <c r="C3416" t="s">
        <v>18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f t="shared" si="152"/>
        <v>0</v>
      </c>
      <c r="J3416" s="3">
        <f t="shared" si="153"/>
        <v>25</v>
      </c>
      <c r="K3416" s="3">
        <f t="shared" si="154"/>
        <v>-25</v>
      </c>
      <c r="L3416" s="3" t="str">
        <f t="shared" si="155"/>
        <v>CRÍTICO</v>
      </c>
      <c r="N3416">
        <v>98.26</v>
      </c>
      <c r="O3416">
        <v>26.666666666666671</v>
      </c>
    </row>
    <row r="3417" spans="1:15" x14ac:dyDescent="0.25">
      <c r="A3417" s="11">
        <v>46108</v>
      </c>
      <c r="B3417" t="s">
        <v>19</v>
      </c>
      <c r="C3417" t="s">
        <v>20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 t="shared" si="152"/>
        <v>29</v>
      </c>
      <c r="J3417" s="3">
        <f t="shared" si="153"/>
        <v>16</v>
      </c>
      <c r="K3417" s="3">
        <f t="shared" si="154"/>
        <v>13</v>
      </c>
      <c r="L3417" s="3" t="str">
        <f t="shared" si="155"/>
        <v>MUITO BOM</v>
      </c>
      <c r="N3417">
        <v>98.2</v>
      </c>
      <c r="O3417">
        <v>23.37962962962963</v>
      </c>
    </row>
    <row r="3418" spans="1:15" x14ac:dyDescent="0.25">
      <c r="A3418" s="11">
        <v>46108</v>
      </c>
      <c r="B3418" t="s">
        <v>21</v>
      </c>
      <c r="C3418" t="s">
        <v>18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 t="shared" si="152"/>
        <v>22</v>
      </c>
      <c r="J3418" s="3">
        <f t="shared" si="153"/>
        <v>25</v>
      </c>
      <c r="K3418" s="3">
        <f t="shared" si="154"/>
        <v>-3</v>
      </c>
      <c r="L3418" s="3" t="str">
        <f t="shared" si="155"/>
        <v>ATENÇÃO</v>
      </c>
      <c r="N3418">
        <v>97.3</v>
      </c>
      <c r="O3418">
        <v>23.84769539078156</v>
      </c>
    </row>
    <row r="3419" spans="1:15" x14ac:dyDescent="0.25">
      <c r="A3419" s="11">
        <v>46108</v>
      </c>
      <c r="B3419" t="s">
        <v>22</v>
      </c>
      <c r="C3419" t="s">
        <v>23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 t="shared" si="152"/>
        <v>16</v>
      </c>
      <c r="J3419" s="3">
        <f t="shared" si="153"/>
        <v>7</v>
      </c>
      <c r="K3419" s="3">
        <f t="shared" si="154"/>
        <v>9</v>
      </c>
      <c r="L3419" s="3" t="str">
        <f t="shared" si="155"/>
        <v>MUITO BOM</v>
      </c>
      <c r="N3419">
        <v>100</v>
      </c>
      <c r="O3419">
        <v>25.268817204301079</v>
      </c>
    </row>
    <row r="3420" spans="1:15" x14ac:dyDescent="0.25">
      <c r="A3420" s="11">
        <v>46108</v>
      </c>
      <c r="B3420" t="s">
        <v>24</v>
      </c>
      <c r="C3420" t="s">
        <v>16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 t="shared" si="152"/>
        <v>29</v>
      </c>
      <c r="J3420" s="3">
        <f t="shared" si="153"/>
        <v>20</v>
      </c>
      <c r="K3420" s="3">
        <f t="shared" si="154"/>
        <v>9</v>
      </c>
      <c r="L3420" s="3" t="str">
        <f t="shared" si="155"/>
        <v>MUITO BOM</v>
      </c>
      <c r="N3420">
        <v>99.32</v>
      </c>
      <c r="O3420">
        <v>22.822822822822818</v>
      </c>
    </row>
    <row r="3421" spans="1:15" x14ac:dyDescent="0.25">
      <c r="A3421" s="11">
        <v>46108</v>
      </c>
      <c r="B3421" t="s">
        <v>25</v>
      </c>
      <c r="C3421" t="s">
        <v>16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 t="shared" si="152"/>
        <v>17</v>
      </c>
      <c r="J3421" s="3">
        <f t="shared" si="153"/>
        <v>20</v>
      </c>
      <c r="K3421" s="3">
        <f t="shared" si="154"/>
        <v>-3</v>
      </c>
      <c r="L3421" s="3" t="str">
        <f t="shared" si="155"/>
        <v>ATENÇÃO</v>
      </c>
      <c r="N3421">
        <v>100</v>
      </c>
      <c r="O3421">
        <v>27.966101694915249</v>
      </c>
    </row>
    <row r="3422" spans="1:15" x14ac:dyDescent="0.25">
      <c r="A3422" s="11">
        <v>46108</v>
      </c>
      <c r="B3422" t="s">
        <v>26</v>
      </c>
      <c r="C3422" t="s">
        <v>23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 t="shared" si="152"/>
        <v>10</v>
      </c>
      <c r="J3422" s="3">
        <f t="shared" si="153"/>
        <v>7</v>
      </c>
      <c r="K3422" s="3">
        <f t="shared" si="154"/>
        <v>3</v>
      </c>
      <c r="L3422" s="3" t="str">
        <f t="shared" si="155"/>
        <v>OPORTUNO</v>
      </c>
      <c r="N3422">
        <v>100</v>
      </c>
      <c r="O3422">
        <v>30.434782608695659</v>
      </c>
    </row>
    <row r="3423" spans="1:15" x14ac:dyDescent="0.25">
      <c r="A3423" s="11">
        <v>46108</v>
      </c>
      <c r="B3423" t="s">
        <v>27</v>
      </c>
      <c r="C3423" t="s">
        <v>20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 t="shared" si="152"/>
        <v>30</v>
      </c>
      <c r="J3423" s="3">
        <f t="shared" si="153"/>
        <v>16</v>
      </c>
      <c r="K3423" s="3">
        <f t="shared" si="154"/>
        <v>14</v>
      </c>
      <c r="L3423" s="3" t="str">
        <f t="shared" si="155"/>
        <v>MUITO BOM</v>
      </c>
      <c r="N3423">
        <v>96.51</v>
      </c>
      <c r="O3423">
        <v>22.802850356294542</v>
      </c>
    </row>
    <row r="3424" spans="1:15" x14ac:dyDescent="0.25">
      <c r="A3424" s="11">
        <v>46108</v>
      </c>
      <c r="B3424" t="s">
        <v>28</v>
      </c>
      <c r="C3424" t="s">
        <v>18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 t="shared" si="152"/>
        <v>25</v>
      </c>
      <c r="J3424" s="3">
        <f t="shared" si="153"/>
        <v>25</v>
      </c>
      <c r="K3424" s="3">
        <f t="shared" si="154"/>
        <v>0</v>
      </c>
      <c r="L3424" s="3" t="str">
        <f t="shared" si="155"/>
        <v>OPORTUNO</v>
      </c>
      <c r="N3424">
        <v>92.68</v>
      </c>
      <c r="O3424">
        <v>27.777777777777779</v>
      </c>
    </row>
    <row r="3425" spans="1:15" x14ac:dyDescent="0.25">
      <c r="A3425" s="11">
        <v>46108</v>
      </c>
      <c r="B3425" t="s">
        <v>29</v>
      </c>
      <c r="C3425" t="s">
        <v>16</v>
      </c>
      <c r="D3425">
        <v>0</v>
      </c>
      <c r="E3425">
        <v>0</v>
      </c>
      <c r="F3425">
        <v>0</v>
      </c>
      <c r="G3425">
        <v>0</v>
      </c>
      <c r="H3425">
        <v>0</v>
      </c>
      <c r="I3425" s="3">
        <f t="shared" si="152"/>
        <v>0</v>
      </c>
      <c r="J3425" s="3">
        <f t="shared" si="153"/>
        <v>20</v>
      </c>
      <c r="K3425" s="3">
        <f t="shared" si="154"/>
        <v>-20</v>
      </c>
      <c r="L3425" s="3" t="str">
        <f t="shared" si="155"/>
        <v>CRÍTICO</v>
      </c>
      <c r="N3425">
        <v>99.03</v>
      </c>
      <c r="O3425">
        <v>23.991507430997881</v>
      </c>
    </row>
    <row r="3426" spans="1:15" x14ac:dyDescent="0.25">
      <c r="A3426" s="11">
        <v>46108</v>
      </c>
      <c r="B3426" t="s">
        <v>30</v>
      </c>
      <c r="C3426" t="s">
        <v>20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 t="shared" si="152"/>
        <v>17</v>
      </c>
      <c r="J3426" s="3">
        <f t="shared" si="153"/>
        <v>16</v>
      </c>
      <c r="K3426" s="3">
        <f t="shared" si="154"/>
        <v>1</v>
      </c>
      <c r="L3426" s="3" t="str">
        <f t="shared" si="155"/>
        <v>OPORTUNO</v>
      </c>
      <c r="N3426">
        <v>98.41</v>
      </c>
      <c r="O3426">
        <v>28.138528138528141</v>
      </c>
    </row>
    <row r="3427" spans="1:15" x14ac:dyDescent="0.25">
      <c r="A3427" s="11">
        <v>46108</v>
      </c>
      <c r="B3427" t="s">
        <v>31</v>
      </c>
      <c r="C3427" t="s">
        <v>18</v>
      </c>
      <c r="D3427">
        <v>0</v>
      </c>
      <c r="E3427">
        <v>0</v>
      </c>
      <c r="F3427">
        <v>0</v>
      </c>
      <c r="G3427">
        <v>0</v>
      </c>
      <c r="H3427">
        <v>0</v>
      </c>
      <c r="I3427" s="3">
        <f t="shared" si="152"/>
        <v>0</v>
      </c>
      <c r="J3427" s="3">
        <f t="shared" si="153"/>
        <v>25</v>
      </c>
      <c r="K3427" s="3">
        <f t="shared" si="154"/>
        <v>-25</v>
      </c>
      <c r="L3427" s="3" t="str">
        <f t="shared" si="155"/>
        <v>CRÍTICO</v>
      </c>
      <c r="N3427">
        <v>98.73</v>
      </c>
      <c r="O3427">
        <v>29.142857142857139</v>
      </c>
    </row>
    <row r="3428" spans="1:15" x14ac:dyDescent="0.25">
      <c r="A3428" s="11">
        <v>46108</v>
      </c>
      <c r="B3428" t="s">
        <v>32</v>
      </c>
      <c r="C3428" t="s">
        <v>23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 t="shared" si="152"/>
        <v>8</v>
      </c>
      <c r="J3428" s="3">
        <f t="shared" si="153"/>
        <v>7</v>
      </c>
      <c r="K3428" s="3">
        <f t="shared" si="154"/>
        <v>1</v>
      </c>
      <c r="L3428" s="3" t="str">
        <f t="shared" si="155"/>
        <v>OPORTUNO</v>
      </c>
      <c r="N3428">
        <v>90.48</v>
      </c>
      <c r="O3428">
        <v>20.68965517241379</v>
      </c>
    </row>
    <row r="3429" spans="1:15" x14ac:dyDescent="0.25">
      <c r="A3429" s="11">
        <v>46108</v>
      </c>
      <c r="B3429" t="s">
        <v>33</v>
      </c>
      <c r="C3429" t="s">
        <v>16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 t="shared" si="152"/>
        <v>23</v>
      </c>
      <c r="J3429" s="3">
        <f t="shared" si="153"/>
        <v>20</v>
      </c>
      <c r="K3429" s="3">
        <f t="shared" si="154"/>
        <v>3</v>
      </c>
      <c r="L3429" s="3" t="str">
        <f t="shared" si="155"/>
        <v>OPORTUNO</v>
      </c>
      <c r="N3429">
        <v>98.06</v>
      </c>
      <c r="O3429">
        <v>24.789915966386559</v>
      </c>
    </row>
    <row r="3430" spans="1:15" x14ac:dyDescent="0.25">
      <c r="A3430" s="11">
        <v>46108</v>
      </c>
      <c r="B3430" t="s">
        <v>34</v>
      </c>
      <c r="C3430" t="s">
        <v>18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 t="shared" si="152"/>
        <v>19</v>
      </c>
      <c r="J3430" s="3">
        <f t="shared" si="153"/>
        <v>25</v>
      </c>
      <c r="K3430" s="3">
        <f t="shared" si="154"/>
        <v>-6</v>
      </c>
      <c r="L3430" s="3" t="str">
        <f t="shared" si="155"/>
        <v>CRÍTICO</v>
      </c>
      <c r="N3430">
        <v>97.78</v>
      </c>
      <c r="O3430">
        <v>25.494071146245059</v>
      </c>
    </row>
    <row r="3431" spans="1:15" x14ac:dyDescent="0.25">
      <c r="A3431" s="11">
        <v>46108</v>
      </c>
      <c r="B3431" t="s">
        <v>35</v>
      </c>
      <c r="C3431" t="s">
        <v>16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 t="shared" si="152"/>
        <v>20</v>
      </c>
      <c r="J3431" s="3">
        <f t="shared" si="153"/>
        <v>20</v>
      </c>
      <c r="K3431" s="3">
        <f t="shared" si="154"/>
        <v>0</v>
      </c>
      <c r="L3431" s="3" t="str">
        <f t="shared" si="155"/>
        <v>OPORTUNO</v>
      </c>
      <c r="N3431">
        <v>98.02</v>
      </c>
      <c r="O3431">
        <v>23.484848484848481</v>
      </c>
    </row>
    <row r="3432" spans="1:15" hidden="1" x14ac:dyDescent="0.25">
      <c r="A3432" s="5">
        <v>46146</v>
      </c>
      <c r="B3432" s="6" t="s">
        <v>36</v>
      </c>
      <c r="C3432" s="3" t="s">
        <v>20</v>
      </c>
      <c r="D3432" s="3">
        <v>24</v>
      </c>
      <c r="E3432" s="3">
        <v>20</v>
      </c>
      <c r="F3432" s="3">
        <v>13.05</v>
      </c>
      <c r="G3432" s="3">
        <v>7</v>
      </c>
      <c r="H3432" s="3">
        <v>0</v>
      </c>
      <c r="I3432" s="3">
        <f>E3432+G3432+H3432</f>
        <v>27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23</v>
      </c>
      <c r="K3432" s="3">
        <f>I3432-J3432</f>
        <v>4</v>
      </c>
      <c r="L3432" s="3" t="str">
        <f>IF(K3432&lt;-5,"CRÍTICO",IF(K3432&lt;0,"ATENÇÃO",IF(K3432&lt;=5,"OPORTUNO","MUITO BOM")))</f>
        <v>OPORTUNO</v>
      </c>
      <c r="M3432" s="9">
        <v>22</v>
      </c>
      <c r="N3432" s="9">
        <v>98.8</v>
      </c>
      <c r="O3432" s="9">
        <v>15.41353383458646</v>
      </c>
    </row>
    <row r="3433" spans="1:15" x14ac:dyDescent="0.25">
      <c r="A3433" s="11">
        <v>46108</v>
      </c>
      <c r="B3433" t="s">
        <v>37</v>
      </c>
      <c r="C3433" t="s">
        <v>16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 t="shared" ref="I3433:I3475" si="156">E3433+G3433+H3433</f>
        <v>22</v>
      </c>
      <c r="J3433" s="3">
        <f t="shared" ref="J3433:J3475" si="157"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20</v>
      </c>
      <c r="K3433" s="3">
        <f t="shared" ref="K3433:K3475" si="158">I3433-J3433</f>
        <v>2</v>
      </c>
      <c r="L3433" s="3" t="str">
        <f t="shared" ref="L3433:L3475" si="159">IF(K3433&lt;-5,"CRÍTICO",IF(K3433&lt;0,"ATENÇÃO",IF(K3433&lt;=5,"OPORTUNO","MUITO BOM")))</f>
        <v>OPORTUNO</v>
      </c>
      <c r="N3433">
        <v>100</v>
      </c>
      <c r="O3433">
        <v>27.04918032786885</v>
      </c>
    </row>
    <row r="3434" spans="1:15" x14ac:dyDescent="0.25">
      <c r="A3434" s="11">
        <v>46108</v>
      </c>
      <c r="B3434" t="s">
        <v>38</v>
      </c>
      <c r="C3434" t="s">
        <v>18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 t="shared" si="156"/>
        <v>39</v>
      </c>
      <c r="J3434" s="3">
        <f t="shared" si="157"/>
        <v>25</v>
      </c>
      <c r="K3434" s="3">
        <f t="shared" si="158"/>
        <v>14</v>
      </c>
      <c r="L3434" s="3" t="str">
        <f t="shared" si="159"/>
        <v>MUITO BOM</v>
      </c>
      <c r="N3434">
        <v>97.83</v>
      </c>
      <c r="O3434">
        <v>26.315789473684209</v>
      </c>
    </row>
    <row r="3435" spans="1:15" x14ac:dyDescent="0.25">
      <c r="A3435" s="11">
        <v>46108</v>
      </c>
      <c r="B3435" t="s">
        <v>39</v>
      </c>
      <c r="C3435" t="s">
        <v>18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 t="shared" si="156"/>
        <v>6</v>
      </c>
      <c r="J3435" s="3">
        <f t="shared" si="157"/>
        <v>25</v>
      </c>
      <c r="K3435" s="3">
        <f t="shared" si="158"/>
        <v>-19</v>
      </c>
      <c r="L3435" s="3" t="str">
        <f t="shared" si="159"/>
        <v>CRÍTICO</v>
      </c>
      <c r="N3435">
        <v>100</v>
      </c>
      <c r="O3435">
        <v>26.701570680628269</v>
      </c>
    </row>
    <row r="3436" spans="1:15" x14ac:dyDescent="0.25">
      <c r="A3436" s="11">
        <v>46108</v>
      </c>
      <c r="B3436" t="s">
        <v>40</v>
      </c>
      <c r="C3436" t="s">
        <v>16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f t="shared" si="156"/>
        <v>0</v>
      </c>
      <c r="J3436" s="3">
        <f t="shared" si="157"/>
        <v>20</v>
      </c>
      <c r="K3436" s="3">
        <f t="shared" si="158"/>
        <v>-20</v>
      </c>
      <c r="L3436" s="3" t="str">
        <f t="shared" si="159"/>
        <v>CRÍTICO</v>
      </c>
      <c r="N3436">
        <v>97.47</v>
      </c>
      <c r="O3436">
        <v>22.887323943661968</v>
      </c>
    </row>
    <row r="3437" spans="1:15" x14ac:dyDescent="0.25">
      <c r="A3437" s="11">
        <v>46108</v>
      </c>
      <c r="B3437" t="s">
        <v>41</v>
      </c>
      <c r="C3437" t="s">
        <v>18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f t="shared" si="156"/>
        <v>0</v>
      </c>
      <c r="J3437" s="3">
        <f t="shared" si="157"/>
        <v>25</v>
      </c>
      <c r="K3437" s="3">
        <f t="shared" si="158"/>
        <v>-25</v>
      </c>
      <c r="L3437" s="3" t="str">
        <f t="shared" si="159"/>
        <v>CRÍTICO</v>
      </c>
      <c r="N3437">
        <v>0</v>
      </c>
      <c r="O3437">
        <v>0</v>
      </c>
    </row>
    <row r="3438" spans="1:15" x14ac:dyDescent="0.25">
      <c r="A3438" s="11">
        <v>46108</v>
      </c>
      <c r="B3438" t="s">
        <v>42</v>
      </c>
      <c r="C3438" t="s">
        <v>43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 t="shared" si="156"/>
        <v>24</v>
      </c>
      <c r="J3438" s="3">
        <f t="shared" si="157"/>
        <v>14</v>
      </c>
      <c r="K3438" s="3">
        <f t="shared" si="158"/>
        <v>10</v>
      </c>
      <c r="L3438" s="3" t="str">
        <f t="shared" si="159"/>
        <v>MUITO BOM</v>
      </c>
      <c r="N3438">
        <v>98.31</v>
      </c>
      <c r="O3438">
        <v>24.920127795527151</v>
      </c>
    </row>
    <row r="3439" spans="1:15" x14ac:dyDescent="0.25">
      <c r="A3439" s="11">
        <v>46108</v>
      </c>
      <c r="B3439" t="s">
        <v>44</v>
      </c>
      <c r="C3439" t="s">
        <v>18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 t="shared" si="156"/>
        <v>25</v>
      </c>
      <c r="J3439" s="3">
        <f t="shared" si="157"/>
        <v>25</v>
      </c>
      <c r="K3439" s="3">
        <f t="shared" si="158"/>
        <v>0</v>
      </c>
      <c r="L3439" s="3" t="str">
        <f t="shared" si="159"/>
        <v>OPORTUNO</v>
      </c>
      <c r="N3439">
        <v>96.81</v>
      </c>
      <c r="O3439">
        <v>32.365145228215773</v>
      </c>
    </row>
    <row r="3440" spans="1:15" x14ac:dyDescent="0.25">
      <c r="A3440" s="11">
        <v>46108</v>
      </c>
      <c r="B3440" t="s">
        <v>45</v>
      </c>
      <c r="C3440" t="s">
        <v>43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 t="shared" si="156"/>
        <v>11</v>
      </c>
      <c r="J3440" s="3">
        <f t="shared" si="157"/>
        <v>14</v>
      </c>
      <c r="K3440" s="3">
        <f t="shared" si="158"/>
        <v>-3</v>
      </c>
      <c r="L3440" s="3" t="str">
        <f t="shared" si="159"/>
        <v>ATENÇÃO</v>
      </c>
      <c r="N3440">
        <v>100</v>
      </c>
      <c r="O3440">
        <v>26.47058823529412</v>
      </c>
    </row>
    <row r="3441" spans="1:15" x14ac:dyDescent="0.25">
      <c r="A3441" s="11">
        <v>46108</v>
      </c>
      <c r="B3441" t="s">
        <v>46</v>
      </c>
      <c r="C3441" t="s">
        <v>18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 t="shared" si="156"/>
        <v>28</v>
      </c>
      <c r="J3441" s="3">
        <f t="shared" si="157"/>
        <v>25</v>
      </c>
      <c r="K3441" s="3">
        <f t="shared" si="158"/>
        <v>3</v>
      </c>
      <c r="L3441" s="3" t="str">
        <f t="shared" si="159"/>
        <v>OPORTUNO</v>
      </c>
      <c r="N3441">
        <v>100</v>
      </c>
      <c r="O3441">
        <v>28.490028490028489</v>
      </c>
    </row>
    <row r="3442" spans="1:15" x14ac:dyDescent="0.25">
      <c r="A3442" s="11">
        <v>46108</v>
      </c>
      <c r="B3442" t="s">
        <v>47</v>
      </c>
      <c r="C3442" t="s">
        <v>16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 t="shared" si="156"/>
        <v>30</v>
      </c>
      <c r="J3442" s="3">
        <f t="shared" si="157"/>
        <v>20</v>
      </c>
      <c r="K3442" s="3">
        <f t="shared" si="158"/>
        <v>10</v>
      </c>
      <c r="L3442" s="3" t="str">
        <f t="shared" si="159"/>
        <v>MUITO BOM</v>
      </c>
      <c r="N3442">
        <v>99.14</v>
      </c>
      <c r="O3442">
        <v>27.2289156626506</v>
      </c>
    </row>
    <row r="3443" spans="1:15" x14ac:dyDescent="0.25">
      <c r="A3443" s="11">
        <v>46108</v>
      </c>
      <c r="B3443" t="s">
        <v>48</v>
      </c>
      <c r="C3443" t="s">
        <v>16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f t="shared" si="156"/>
        <v>0</v>
      </c>
      <c r="J3443" s="3">
        <f t="shared" si="157"/>
        <v>20</v>
      </c>
      <c r="K3443" s="3">
        <f t="shared" si="158"/>
        <v>-20</v>
      </c>
      <c r="L3443" s="3" t="str">
        <f t="shared" si="159"/>
        <v>CRÍTICO</v>
      </c>
      <c r="N3443">
        <v>97.52</v>
      </c>
      <c r="O3443">
        <v>28.205128205128201</v>
      </c>
    </row>
    <row r="3444" spans="1:15" x14ac:dyDescent="0.25">
      <c r="A3444" s="11">
        <v>46108</v>
      </c>
      <c r="B3444" t="s">
        <v>49</v>
      </c>
      <c r="C3444" t="s">
        <v>18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f t="shared" si="156"/>
        <v>0</v>
      </c>
      <c r="J3444" s="3">
        <f t="shared" si="157"/>
        <v>25</v>
      </c>
      <c r="K3444" s="3">
        <f t="shared" si="158"/>
        <v>-25</v>
      </c>
      <c r="L3444" s="3" t="str">
        <f t="shared" si="159"/>
        <v>CRÍTICO</v>
      </c>
      <c r="N3444">
        <v>90</v>
      </c>
      <c r="O3444">
        <v>24.186046511627911</v>
      </c>
    </row>
    <row r="3445" spans="1:15" x14ac:dyDescent="0.25">
      <c r="A3445" s="11">
        <v>46108</v>
      </c>
      <c r="B3445" t="s">
        <v>50</v>
      </c>
      <c r="C3445" t="s">
        <v>20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 t="shared" si="156"/>
        <v>23</v>
      </c>
      <c r="J3445" s="3">
        <f t="shared" si="157"/>
        <v>16</v>
      </c>
      <c r="K3445" s="3">
        <f t="shared" si="158"/>
        <v>7</v>
      </c>
      <c r="L3445" s="3" t="str">
        <f t="shared" si="159"/>
        <v>MUITO BOM</v>
      </c>
      <c r="N3445">
        <v>98.9</v>
      </c>
      <c r="O3445">
        <v>26.763990267639901</v>
      </c>
    </row>
    <row r="3446" spans="1:15" x14ac:dyDescent="0.25">
      <c r="A3446" s="11">
        <v>46108</v>
      </c>
      <c r="B3446" t="s">
        <v>51</v>
      </c>
      <c r="C3446" t="s">
        <v>23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 t="shared" si="156"/>
        <v>7</v>
      </c>
      <c r="J3446" s="3">
        <f t="shared" si="157"/>
        <v>7</v>
      </c>
      <c r="K3446" s="3">
        <f t="shared" si="158"/>
        <v>0</v>
      </c>
      <c r="L3446" s="3" t="str">
        <f t="shared" si="159"/>
        <v>OPORTUNO</v>
      </c>
      <c r="N3446">
        <v>88.89</v>
      </c>
      <c r="O3446">
        <v>25.263157894736839</v>
      </c>
    </row>
    <row r="3447" spans="1:15" x14ac:dyDescent="0.25">
      <c r="A3447" s="11">
        <v>46108</v>
      </c>
      <c r="B3447" t="s">
        <v>52</v>
      </c>
      <c r="C3447" t="s">
        <v>18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 t="shared" si="156"/>
        <v>27</v>
      </c>
      <c r="J3447" s="3">
        <f t="shared" si="157"/>
        <v>25</v>
      </c>
      <c r="K3447" s="3">
        <f t="shared" si="158"/>
        <v>2</v>
      </c>
      <c r="L3447" s="3" t="str">
        <f t="shared" si="159"/>
        <v>OPORTUNO</v>
      </c>
      <c r="N3447">
        <v>98.86</v>
      </c>
      <c r="O3447">
        <v>28.959276018099551</v>
      </c>
    </row>
    <row r="3448" spans="1:15" x14ac:dyDescent="0.25">
      <c r="A3448" s="11">
        <v>46108</v>
      </c>
      <c r="B3448" t="s">
        <v>53</v>
      </c>
      <c r="C3448" t="s">
        <v>18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f t="shared" si="156"/>
        <v>0</v>
      </c>
      <c r="J3448" s="3">
        <f t="shared" si="157"/>
        <v>25</v>
      </c>
      <c r="K3448" s="3">
        <f t="shared" si="158"/>
        <v>-25</v>
      </c>
      <c r="L3448" s="3" t="str">
        <f t="shared" si="159"/>
        <v>CRÍTICO</v>
      </c>
      <c r="N3448">
        <v>98.06</v>
      </c>
      <c r="O3448">
        <v>22.40566037735849</v>
      </c>
    </row>
    <row r="3449" spans="1:15" x14ac:dyDescent="0.25">
      <c r="A3449" s="11">
        <v>46108</v>
      </c>
      <c r="B3449" t="s">
        <v>54</v>
      </c>
      <c r="C3449" t="s">
        <v>23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 t="shared" si="156"/>
        <v>9</v>
      </c>
      <c r="J3449" s="3">
        <f t="shared" si="157"/>
        <v>7</v>
      </c>
      <c r="K3449" s="3">
        <f t="shared" si="158"/>
        <v>2</v>
      </c>
      <c r="L3449" s="3" t="str">
        <f t="shared" si="159"/>
        <v>OPORTUNO</v>
      </c>
      <c r="N3449">
        <v>95.83</v>
      </c>
      <c r="O3449">
        <v>25.773195876288661</v>
      </c>
    </row>
    <row r="3450" spans="1:15" x14ac:dyDescent="0.25">
      <c r="A3450" s="11">
        <v>46108</v>
      </c>
      <c r="B3450" t="s">
        <v>55</v>
      </c>
      <c r="C3450" t="s">
        <v>43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f t="shared" si="156"/>
        <v>0</v>
      </c>
      <c r="J3450" s="3">
        <f t="shared" si="157"/>
        <v>14</v>
      </c>
      <c r="K3450" s="3">
        <f t="shared" si="158"/>
        <v>-14</v>
      </c>
      <c r="L3450" s="3" t="str">
        <f t="shared" si="159"/>
        <v>CRÍTICO</v>
      </c>
      <c r="N3450">
        <v>100</v>
      </c>
      <c r="O3450">
        <v>15.38461538461539</v>
      </c>
    </row>
    <row r="3451" spans="1:15" x14ac:dyDescent="0.25">
      <c r="A3451" s="11">
        <v>46108</v>
      </c>
      <c r="B3451" t="s">
        <v>56</v>
      </c>
      <c r="C3451" t="s">
        <v>16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f t="shared" si="156"/>
        <v>0</v>
      </c>
      <c r="J3451" s="3">
        <f t="shared" si="157"/>
        <v>20</v>
      </c>
      <c r="K3451" s="3">
        <f t="shared" si="158"/>
        <v>-20</v>
      </c>
      <c r="L3451" s="3" t="str">
        <f t="shared" si="159"/>
        <v>CRÍTICO</v>
      </c>
      <c r="N3451">
        <v>100</v>
      </c>
      <c r="O3451">
        <v>27.514792899408281</v>
      </c>
    </row>
    <row r="3452" spans="1:15" x14ac:dyDescent="0.25">
      <c r="A3452" s="11">
        <v>46108</v>
      </c>
      <c r="B3452" t="s">
        <v>57</v>
      </c>
      <c r="C3452" t="s">
        <v>43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 t="shared" si="156"/>
        <v>15</v>
      </c>
      <c r="J3452" s="3">
        <f t="shared" si="157"/>
        <v>14</v>
      </c>
      <c r="K3452" s="3">
        <f t="shared" si="158"/>
        <v>1</v>
      </c>
      <c r="L3452" s="3" t="str">
        <f t="shared" si="159"/>
        <v>OPORTUNO</v>
      </c>
      <c r="N3452">
        <v>100</v>
      </c>
      <c r="O3452">
        <v>24.875621890547269</v>
      </c>
    </row>
    <row r="3453" spans="1:15" x14ac:dyDescent="0.25">
      <c r="A3453" s="11">
        <v>46108</v>
      </c>
      <c r="B3453" t="s">
        <v>58</v>
      </c>
      <c r="C3453" t="s">
        <v>43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 t="shared" si="156"/>
        <v>21</v>
      </c>
      <c r="J3453" s="3">
        <f t="shared" si="157"/>
        <v>14</v>
      </c>
      <c r="K3453" s="3">
        <f t="shared" si="158"/>
        <v>7</v>
      </c>
      <c r="L3453" s="3" t="str">
        <f t="shared" si="159"/>
        <v>MUITO BOM</v>
      </c>
      <c r="N3453">
        <v>100</v>
      </c>
      <c r="O3453">
        <v>28.108108108108109</v>
      </c>
    </row>
    <row r="3454" spans="1:15" x14ac:dyDescent="0.25">
      <c r="A3454" s="11">
        <v>46108</v>
      </c>
      <c r="B3454" t="s">
        <v>59</v>
      </c>
      <c r="C3454" t="s">
        <v>23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 t="shared" si="156"/>
        <v>6</v>
      </c>
      <c r="J3454" s="3">
        <f t="shared" si="157"/>
        <v>7</v>
      </c>
      <c r="K3454" s="3">
        <f t="shared" si="158"/>
        <v>-1</v>
      </c>
      <c r="L3454" s="3" t="str">
        <f t="shared" si="159"/>
        <v>ATENÇÃO</v>
      </c>
      <c r="N3454">
        <v>100</v>
      </c>
      <c r="O3454">
        <v>35</v>
      </c>
    </row>
    <row r="3455" spans="1:15" x14ac:dyDescent="0.25">
      <c r="A3455" s="11">
        <v>46108</v>
      </c>
      <c r="B3455" t="s">
        <v>60</v>
      </c>
      <c r="C3455" t="s">
        <v>20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 t="shared" si="156"/>
        <v>21</v>
      </c>
      <c r="J3455" s="3">
        <f t="shared" si="157"/>
        <v>16</v>
      </c>
      <c r="K3455" s="3">
        <f t="shared" si="158"/>
        <v>5</v>
      </c>
      <c r="L3455" s="3" t="str">
        <f t="shared" si="159"/>
        <v>OPORTUNO</v>
      </c>
      <c r="N3455">
        <v>95.35</v>
      </c>
      <c r="O3455">
        <v>28.61538461538461</v>
      </c>
    </row>
    <row r="3456" spans="1:15" x14ac:dyDescent="0.25">
      <c r="A3456" s="11">
        <v>46108</v>
      </c>
      <c r="B3456" t="s">
        <v>61</v>
      </c>
      <c r="C3456" t="s">
        <v>18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 t="shared" si="156"/>
        <v>31</v>
      </c>
      <c r="J3456" s="3">
        <f t="shared" si="157"/>
        <v>25</v>
      </c>
      <c r="K3456" s="3">
        <f t="shared" si="158"/>
        <v>6</v>
      </c>
      <c r="L3456" s="3" t="str">
        <f t="shared" si="159"/>
        <v>MUITO BOM</v>
      </c>
      <c r="N3456">
        <v>98.26</v>
      </c>
      <c r="O3456">
        <v>27.54491017964072</v>
      </c>
    </row>
    <row r="3457" spans="1:15" x14ac:dyDescent="0.25">
      <c r="A3457" s="11">
        <v>46108</v>
      </c>
      <c r="B3457" t="s">
        <v>62</v>
      </c>
      <c r="C3457" t="s">
        <v>20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 t="shared" si="156"/>
        <v>17</v>
      </c>
      <c r="J3457" s="3">
        <f t="shared" si="157"/>
        <v>16</v>
      </c>
      <c r="K3457" s="3">
        <f t="shared" si="158"/>
        <v>1</v>
      </c>
      <c r="L3457" s="3" t="str">
        <f t="shared" si="159"/>
        <v>OPORTUNO</v>
      </c>
      <c r="N3457">
        <v>98.55</v>
      </c>
      <c r="O3457">
        <v>25.337837837837839</v>
      </c>
    </row>
    <row r="3458" spans="1:15" x14ac:dyDescent="0.25">
      <c r="A3458" s="11">
        <v>46108</v>
      </c>
      <c r="B3458" t="s">
        <v>63</v>
      </c>
      <c r="C3458" t="s">
        <v>18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 t="shared" si="156"/>
        <v>30</v>
      </c>
      <c r="J3458" s="3">
        <f t="shared" si="157"/>
        <v>25</v>
      </c>
      <c r="K3458" s="3">
        <f t="shared" si="158"/>
        <v>5</v>
      </c>
      <c r="L3458" s="3" t="str">
        <f t="shared" si="159"/>
        <v>OPORTUNO</v>
      </c>
      <c r="N3458">
        <v>98.39</v>
      </c>
      <c r="O3458">
        <v>25.563909774436091</v>
      </c>
    </row>
    <row r="3459" spans="1:15" x14ac:dyDescent="0.25">
      <c r="A3459" s="11">
        <v>46111</v>
      </c>
      <c r="B3459" t="s">
        <v>15</v>
      </c>
      <c r="C3459" t="s">
        <v>16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 t="shared" si="156"/>
        <v>25</v>
      </c>
      <c r="J3459" s="3">
        <f t="shared" si="157"/>
        <v>20</v>
      </c>
      <c r="K3459" s="3">
        <f t="shared" si="158"/>
        <v>5</v>
      </c>
      <c r="L3459" s="3" t="str">
        <f t="shared" si="159"/>
        <v>OPORTUNO</v>
      </c>
      <c r="N3459">
        <v>94.29</v>
      </c>
      <c r="O3459">
        <v>25.647668393782389</v>
      </c>
    </row>
    <row r="3460" spans="1:15" x14ac:dyDescent="0.25">
      <c r="A3460" s="11">
        <v>46111</v>
      </c>
      <c r="B3460" t="s">
        <v>17</v>
      </c>
      <c r="C3460" t="s">
        <v>18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f t="shared" si="156"/>
        <v>0</v>
      </c>
      <c r="J3460" s="3">
        <f t="shared" si="157"/>
        <v>25</v>
      </c>
      <c r="K3460" s="3">
        <f t="shared" si="158"/>
        <v>-25</v>
      </c>
      <c r="L3460" s="3" t="str">
        <f t="shared" si="159"/>
        <v>CRÍTICO</v>
      </c>
      <c r="N3460">
        <v>98.26</v>
      </c>
      <c r="O3460">
        <v>26.666666666666671</v>
      </c>
    </row>
    <row r="3461" spans="1:15" x14ac:dyDescent="0.25">
      <c r="A3461" s="11">
        <v>46111</v>
      </c>
      <c r="B3461" t="s">
        <v>19</v>
      </c>
      <c r="C3461" t="s">
        <v>20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 t="shared" si="156"/>
        <v>18</v>
      </c>
      <c r="J3461" s="3">
        <f t="shared" si="157"/>
        <v>16</v>
      </c>
      <c r="K3461" s="3">
        <f t="shared" si="158"/>
        <v>2</v>
      </c>
      <c r="L3461" s="3" t="str">
        <f t="shared" si="159"/>
        <v>OPORTUNO</v>
      </c>
      <c r="N3461">
        <v>98.2</v>
      </c>
      <c r="O3461">
        <v>23.37962962962963</v>
      </c>
    </row>
    <row r="3462" spans="1:15" x14ac:dyDescent="0.25">
      <c r="A3462" s="11">
        <v>46111</v>
      </c>
      <c r="B3462" t="s">
        <v>21</v>
      </c>
      <c r="C3462" t="s">
        <v>18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 t="shared" si="156"/>
        <v>35</v>
      </c>
      <c r="J3462" s="3">
        <f t="shared" si="157"/>
        <v>25</v>
      </c>
      <c r="K3462" s="3">
        <f t="shared" si="158"/>
        <v>10</v>
      </c>
      <c r="L3462" s="3" t="str">
        <f t="shared" si="159"/>
        <v>MUITO BOM</v>
      </c>
      <c r="N3462">
        <v>97.3</v>
      </c>
      <c r="O3462">
        <v>23.84769539078156</v>
      </c>
    </row>
    <row r="3463" spans="1:15" x14ac:dyDescent="0.25">
      <c r="A3463" s="11">
        <v>46111</v>
      </c>
      <c r="B3463" t="s">
        <v>22</v>
      </c>
      <c r="C3463" t="s">
        <v>23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 t="shared" si="156"/>
        <v>15</v>
      </c>
      <c r="J3463" s="3">
        <f t="shared" si="157"/>
        <v>7</v>
      </c>
      <c r="K3463" s="3">
        <f t="shared" si="158"/>
        <v>8</v>
      </c>
      <c r="L3463" s="3" t="str">
        <f t="shared" si="159"/>
        <v>MUITO BOM</v>
      </c>
      <c r="N3463">
        <v>100</v>
      </c>
      <c r="O3463">
        <v>25.268817204301079</v>
      </c>
    </row>
    <row r="3464" spans="1:15" x14ac:dyDescent="0.25">
      <c r="A3464" s="11">
        <v>46111</v>
      </c>
      <c r="B3464" t="s">
        <v>24</v>
      </c>
      <c r="C3464" t="s">
        <v>16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 t="shared" si="156"/>
        <v>33</v>
      </c>
      <c r="J3464" s="3">
        <f t="shared" si="157"/>
        <v>20</v>
      </c>
      <c r="K3464" s="3">
        <f t="shared" si="158"/>
        <v>13</v>
      </c>
      <c r="L3464" s="3" t="str">
        <f t="shared" si="159"/>
        <v>MUITO BOM</v>
      </c>
      <c r="N3464">
        <v>99.32</v>
      </c>
      <c r="O3464">
        <v>22.822822822822818</v>
      </c>
    </row>
    <row r="3465" spans="1:15" x14ac:dyDescent="0.25">
      <c r="A3465" s="11">
        <v>46111</v>
      </c>
      <c r="B3465" t="s">
        <v>25</v>
      </c>
      <c r="C3465" t="s">
        <v>16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 t="shared" si="156"/>
        <v>24</v>
      </c>
      <c r="J3465" s="3">
        <f t="shared" si="157"/>
        <v>20</v>
      </c>
      <c r="K3465" s="3">
        <f t="shared" si="158"/>
        <v>4</v>
      </c>
      <c r="L3465" s="3" t="str">
        <f t="shared" si="159"/>
        <v>OPORTUNO</v>
      </c>
      <c r="N3465">
        <v>100</v>
      </c>
      <c r="O3465">
        <v>27.966101694915249</v>
      </c>
    </row>
    <row r="3466" spans="1:15" x14ac:dyDescent="0.25">
      <c r="A3466" s="11">
        <v>46111</v>
      </c>
      <c r="B3466" t="s">
        <v>26</v>
      </c>
      <c r="C3466" t="s">
        <v>23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 t="shared" si="156"/>
        <v>2</v>
      </c>
      <c r="J3466" s="3">
        <f t="shared" si="157"/>
        <v>7</v>
      </c>
      <c r="K3466" s="3">
        <f t="shared" si="158"/>
        <v>-5</v>
      </c>
      <c r="L3466" s="3" t="str">
        <f t="shared" si="159"/>
        <v>ATENÇÃO</v>
      </c>
      <c r="N3466">
        <v>100</v>
      </c>
      <c r="O3466">
        <v>30.434782608695659</v>
      </c>
    </row>
    <row r="3467" spans="1:15" x14ac:dyDescent="0.25">
      <c r="A3467" s="11">
        <v>46111</v>
      </c>
      <c r="B3467" t="s">
        <v>27</v>
      </c>
      <c r="C3467" t="s">
        <v>20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 t="shared" si="156"/>
        <v>25</v>
      </c>
      <c r="J3467" s="3">
        <f t="shared" si="157"/>
        <v>16</v>
      </c>
      <c r="K3467" s="3">
        <f t="shared" si="158"/>
        <v>9</v>
      </c>
      <c r="L3467" s="3" t="str">
        <f t="shared" si="159"/>
        <v>MUITO BOM</v>
      </c>
      <c r="N3467">
        <v>96.51</v>
      </c>
      <c r="O3467">
        <v>22.802850356294542</v>
      </c>
    </row>
    <row r="3468" spans="1:15" x14ac:dyDescent="0.25">
      <c r="A3468" s="11">
        <v>46111</v>
      </c>
      <c r="B3468" t="s">
        <v>28</v>
      </c>
      <c r="C3468" t="s">
        <v>18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f t="shared" si="156"/>
        <v>0</v>
      </c>
      <c r="J3468" s="3">
        <f t="shared" si="157"/>
        <v>25</v>
      </c>
      <c r="K3468" s="3">
        <f t="shared" si="158"/>
        <v>-25</v>
      </c>
      <c r="L3468" s="3" t="str">
        <f t="shared" si="159"/>
        <v>CRÍTICO</v>
      </c>
      <c r="N3468">
        <v>92.68</v>
      </c>
      <c r="O3468">
        <v>27.777777777777779</v>
      </c>
    </row>
    <row r="3469" spans="1:15" x14ac:dyDescent="0.25">
      <c r="A3469" s="11">
        <v>46111</v>
      </c>
      <c r="B3469" t="s">
        <v>29</v>
      </c>
      <c r="C3469" t="s">
        <v>16</v>
      </c>
      <c r="D3469">
        <v>0</v>
      </c>
      <c r="E3469">
        <v>0</v>
      </c>
      <c r="F3469">
        <v>0</v>
      </c>
      <c r="G3469">
        <v>0</v>
      </c>
      <c r="H3469">
        <v>0</v>
      </c>
      <c r="I3469" s="3">
        <f t="shared" si="156"/>
        <v>0</v>
      </c>
      <c r="J3469" s="3">
        <f t="shared" si="157"/>
        <v>20</v>
      </c>
      <c r="K3469" s="3">
        <f t="shared" si="158"/>
        <v>-20</v>
      </c>
      <c r="L3469" s="3" t="str">
        <f t="shared" si="159"/>
        <v>CRÍTICO</v>
      </c>
      <c r="N3469">
        <v>99.03</v>
      </c>
      <c r="O3469">
        <v>23.991507430997881</v>
      </c>
    </row>
    <row r="3470" spans="1:15" x14ac:dyDescent="0.25">
      <c r="A3470" s="11">
        <v>46111</v>
      </c>
      <c r="B3470" t="s">
        <v>30</v>
      </c>
      <c r="C3470" t="s">
        <v>20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 t="shared" si="156"/>
        <v>19</v>
      </c>
      <c r="J3470" s="3">
        <f t="shared" si="157"/>
        <v>16</v>
      </c>
      <c r="K3470" s="3">
        <f t="shared" si="158"/>
        <v>3</v>
      </c>
      <c r="L3470" s="3" t="str">
        <f t="shared" si="159"/>
        <v>OPORTUNO</v>
      </c>
      <c r="N3470">
        <v>98.41</v>
      </c>
      <c r="O3470">
        <v>28.138528138528141</v>
      </c>
    </row>
    <row r="3471" spans="1:15" x14ac:dyDescent="0.25">
      <c r="A3471" s="11">
        <v>46111</v>
      </c>
      <c r="B3471" t="s">
        <v>31</v>
      </c>
      <c r="C3471" t="s">
        <v>18</v>
      </c>
      <c r="D3471">
        <v>0</v>
      </c>
      <c r="E3471">
        <v>0</v>
      </c>
      <c r="F3471">
        <v>0</v>
      </c>
      <c r="G3471">
        <v>0</v>
      </c>
      <c r="H3471">
        <v>0</v>
      </c>
      <c r="I3471" s="3">
        <f t="shared" si="156"/>
        <v>0</v>
      </c>
      <c r="J3471" s="3">
        <f t="shared" si="157"/>
        <v>25</v>
      </c>
      <c r="K3471" s="3">
        <f t="shared" si="158"/>
        <v>-25</v>
      </c>
      <c r="L3471" s="3" t="str">
        <f t="shared" si="159"/>
        <v>CRÍTICO</v>
      </c>
      <c r="N3471">
        <v>98.73</v>
      </c>
      <c r="O3471">
        <v>29.142857142857139</v>
      </c>
    </row>
    <row r="3472" spans="1:15" x14ac:dyDescent="0.25">
      <c r="A3472" s="11">
        <v>46111</v>
      </c>
      <c r="B3472" t="s">
        <v>32</v>
      </c>
      <c r="C3472" t="s">
        <v>23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 t="shared" si="156"/>
        <v>10</v>
      </c>
      <c r="J3472" s="3">
        <f t="shared" si="157"/>
        <v>7</v>
      </c>
      <c r="K3472" s="3">
        <f t="shared" si="158"/>
        <v>3</v>
      </c>
      <c r="L3472" s="3" t="str">
        <f t="shared" si="159"/>
        <v>OPORTUNO</v>
      </c>
      <c r="N3472">
        <v>90.48</v>
      </c>
      <c r="O3472">
        <v>20.68965517241379</v>
      </c>
    </row>
    <row r="3473" spans="1:15" x14ac:dyDescent="0.25">
      <c r="A3473" s="11">
        <v>46111</v>
      </c>
      <c r="B3473" t="s">
        <v>33</v>
      </c>
      <c r="C3473" t="s">
        <v>16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 t="shared" si="156"/>
        <v>31</v>
      </c>
      <c r="J3473" s="3">
        <f t="shared" si="157"/>
        <v>20</v>
      </c>
      <c r="K3473" s="3">
        <f t="shared" si="158"/>
        <v>11</v>
      </c>
      <c r="L3473" s="3" t="str">
        <f t="shared" si="159"/>
        <v>MUITO BOM</v>
      </c>
      <c r="N3473">
        <v>98.06</v>
      </c>
      <c r="O3473">
        <v>24.789915966386559</v>
      </c>
    </row>
    <row r="3474" spans="1:15" x14ac:dyDescent="0.25">
      <c r="A3474" s="11">
        <v>46111</v>
      </c>
      <c r="B3474" t="s">
        <v>34</v>
      </c>
      <c r="C3474" t="s">
        <v>18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f t="shared" si="156"/>
        <v>0</v>
      </c>
      <c r="J3474" s="3">
        <f t="shared" si="157"/>
        <v>25</v>
      </c>
      <c r="K3474" s="3">
        <f t="shared" si="158"/>
        <v>-25</v>
      </c>
      <c r="L3474" s="3" t="str">
        <f t="shared" si="159"/>
        <v>CRÍTICO</v>
      </c>
      <c r="N3474">
        <v>97.78</v>
      </c>
      <c r="O3474">
        <v>25.494071146245059</v>
      </c>
    </row>
    <row r="3475" spans="1:15" x14ac:dyDescent="0.25">
      <c r="A3475" s="11">
        <v>46111</v>
      </c>
      <c r="B3475" t="s">
        <v>35</v>
      </c>
      <c r="C3475" t="s">
        <v>16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f t="shared" si="156"/>
        <v>0</v>
      </c>
      <c r="J3475" s="3">
        <f t="shared" si="157"/>
        <v>20</v>
      </c>
      <c r="K3475" s="3">
        <f t="shared" si="158"/>
        <v>-20</v>
      </c>
      <c r="L3475" s="3" t="str">
        <f t="shared" si="159"/>
        <v>CRÍTICO</v>
      </c>
      <c r="N3475">
        <v>98.02</v>
      </c>
      <c r="O3475">
        <v>23.484848484848481</v>
      </c>
    </row>
    <row r="3476" spans="1:15" hidden="1" x14ac:dyDescent="0.25">
      <c r="A3476" s="5">
        <v>46147</v>
      </c>
      <c r="B3476" s="6" t="s">
        <v>36</v>
      </c>
      <c r="C3476" s="3" t="s">
        <v>20</v>
      </c>
      <c r="D3476" s="3">
        <v>13</v>
      </c>
      <c r="E3476" s="3">
        <v>12</v>
      </c>
      <c r="F3476" s="3">
        <v>8.06</v>
      </c>
      <c r="G3476" s="3">
        <v>9</v>
      </c>
      <c r="H3476" s="3">
        <v>0</v>
      </c>
      <c r="I3476" s="3">
        <f>E3476+G3476+H3476</f>
        <v>21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23</v>
      </c>
      <c r="K3476" s="3">
        <f>I3476-J3476</f>
        <v>-2</v>
      </c>
      <c r="L3476" s="3" t="str">
        <f>IF(K3476&lt;-5,"CRÍTICO",IF(K3476&lt;0,"ATENÇÃO",IF(K3476&lt;=5,"OPORTUNO","MUITO BOM")))</f>
        <v>ATENÇÃO</v>
      </c>
      <c r="M3476" s="3">
        <v>12</v>
      </c>
      <c r="N3476" s="3">
        <v>98.8</v>
      </c>
      <c r="O3476" s="3">
        <v>15.41353383458646</v>
      </c>
    </row>
    <row r="3477" spans="1:15" x14ac:dyDescent="0.25">
      <c r="A3477" s="11">
        <v>46111</v>
      </c>
      <c r="B3477" t="s">
        <v>37</v>
      </c>
      <c r="C3477" t="s">
        <v>16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 t="shared" ref="I3477:I3519" si="160">E3477+G3477+H3477</f>
        <v>28</v>
      </c>
      <c r="J3477" s="3">
        <f t="shared" ref="J3477:J3519" si="161"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20</v>
      </c>
      <c r="K3477" s="3">
        <f t="shared" ref="K3477:K3519" si="162">I3477-J3477</f>
        <v>8</v>
      </c>
      <c r="L3477" s="3" t="str">
        <f t="shared" ref="L3477:L3519" si="163">IF(K3477&lt;-5,"CRÍTICO",IF(K3477&lt;0,"ATENÇÃO",IF(K3477&lt;=5,"OPORTUNO","MUITO BOM")))</f>
        <v>MUITO BOM</v>
      </c>
      <c r="N3477">
        <v>100</v>
      </c>
      <c r="O3477">
        <v>27.04918032786885</v>
      </c>
    </row>
    <row r="3478" spans="1:15" x14ac:dyDescent="0.25">
      <c r="A3478" s="11">
        <v>46111</v>
      </c>
      <c r="B3478" t="s">
        <v>38</v>
      </c>
      <c r="C3478" t="s">
        <v>18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 t="shared" si="160"/>
        <v>40</v>
      </c>
      <c r="J3478" s="3">
        <f t="shared" si="161"/>
        <v>25</v>
      </c>
      <c r="K3478" s="3">
        <f t="shared" si="162"/>
        <v>15</v>
      </c>
      <c r="L3478" s="3" t="str">
        <f t="shared" si="163"/>
        <v>MUITO BOM</v>
      </c>
      <c r="N3478">
        <v>97.83</v>
      </c>
      <c r="O3478">
        <v>26.315789473684209</v>
      </c>
    </row>
    <row r="3479" spans="1:15" x14ac:dyDescent="0.25">
      <c r="A3479" s="11">
        <v>46111</v>
      </c>
      <c r="B3479" t="s">
        <v>39</v>
      </c>
      <c r="C3479" t="s">
        <v>18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 t="shared" si="160"/>
        <v>8</v>
      </c>
      <c r="J3479" s="3">
        <f t="shared" si="161"/>
        <v>25</v>
      </c>
      <c r="K3479" s="3">
        <f t="shared" si="162"/>
        <v>-17</v>
      </c>
      <c r="L3479" s="3" t="str">
        <f t="shared" si="163"/>
        <v>CRÍTICO</v>
      </c>
      <c r="N3479">
        <v>100</v>
      </c>
      <c r="O3479">
        <v>26.701570680628269</v>
      </c>
    </row>
    <row r="3480" spans="1:15" x14ac:dyDescent="0.25">
      <c r="A3480" s="11">
        <v>46111</v>
      </c>
      <c r="B3480" t="s">
        <v>40</v>
      </c>
      <c r="C3480" t="s">
        <v>16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f t="shared" si="160"/>
        <v>0</v>
      </c>
      <c r="J3480" s="3">
        <f t="shared" si="161"/>
        <v>20</v>
      </c>
      <c r="K3480" s="3">
        <f t="shared" si="162"/>
        <v>-20</v>
      </c>
      <c r="L3480" s="3" t="str">
        <f t="shared" si="163"/>
        <v>CRÍTICO</v>
      </c>
      <c r="N3480">
        <v>97.47</v>
      </c>
      <c r="O3480">
        <v>22.887323943661968</v>
      </c>
    </row>
    <row r="3481" spans="1:15" x14ac:dyDescent="0.25">
      <c r="A3481" s="11">
        <v>46111</v>
      </c>
      <c r="B3481" t="s">
        <v>41</v>
      </c>
      <c r="C3481" t="s">
        <v>18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f t="shared" si="160"/>
        <v>0</v>
      </c>
      <c r="J3481" s="3">
        <f t="shared" si="161"/>
        <v>25</v>
      </c>
      <c r="K3481" s="3">
        <f t="shared" si="162"/>
        <v>-25</v>
      </c>
      <c r="L3481" s="3" t="str">
        <f t="shared" si="163"/>
        <v>CRÍTICO</v>
      </c>
      <c r="N3481">
        <v>0</v>
      </c>
      <c r="O3481">
        <v>0</v>
      </c>
    </row>
    <row r="3482" spans="1:15" x14ac:dyDescent="0.25">
      <c r="A3482" s="11">
        <v>46111</v>
      </c>
      <c r="B3482" t="s">
        <v>42</v>
      </c>
      <c r="C3482" t="s">
        <v>43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 t="shared" si="160"/>
        <v>19</v>
      </c>
      <c r="J3482" s="3">
        <f t="shared" si="161"/>
        <v>14</v>
      </c>
      <c r="K3482" s="3">
        <f t="shared" si="162"/>
        <v>5</v>
      </c>
      <c r="L3482" s="3" t="str">
        <f t="shared" si="163"/>
        <v>OPORTUNO</v>
      </c>
      <c r="N3482">
        <v>98.31</v>
      </c>
      <c r="O3482">
        <v>24.920127795527151</v>
      </c>
    </row>
    <row r="3483" spans="1:15" x14ac:dyDescent="0.25">
      <c r="A3483" s="11">
        <v>46111</v>
      </c>
      <c r="B3483" t="s">
        <v>44</v>
      </c>
      <c r="C3483" t="s">
        <v>18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 t="shared" si="160"/>
        <v>4</v>
      </c>
      <c r="J3483" s="3">
        <f t="shared" si="161"/>
        <v>25</v>
      </c>
      <c r="K3483" s="3">
        <f t="shared" si="162"/>
        <v>-21</v>
      </c>
      <c r="L3483" s="3" t="str">
        <f t="shared" si="163"/>
        <v>CRÍTICO</v>
      </c>
      <c r="N3483">
        <v>96.81</v>
      </c>
      <c r="O3483">
        <v>32.365145228215773</v>
      </c>
    </row>
    <row r="3484" spans="1:15" x14ac:dyDescent="0.25">
      <c r="A3484" s="11">
        <v>46111</v>
      </c>
      <c r="B3484" t="s">
        <v>45</v>
      </c>
      <c r="C3484" t="s">
        <v>43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 t="shared" si="160"/>
        <v>14</v>
      </c>
      <c r="J3484" s="3">
        <f t="shared" si="161"/>
        <v>14</v>
      </c>
      <c r="K3484" s="3">
        <f t="shared" si="162"/>
        <v>0</v>
      </c>
      <c r="L3484" s="3" t="str">
        <f t="shared" si="163"/>
        <v>OPORTUNO</v>
      </c>
      <c r="N3484">
        <v>100</v>
      </c>
      <c r="O3484">
        <v>26.47058823529412</v>
      </c>
    </row>
    <row r="3485" spans="1:15" x14ac:dyDescent="0.25">
      <c r="A3485" s="11">
        <v>46111</v>
      </c>
      <c r="B3485" t="s">
        <v>46</v>
      </c>
      <c r="C3485" t="s">
        <v>18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 t="shared" si="160"/>
        <v>28</v>
      </c>
      <c r="J3485" s="3">
        <f t="shared" si="161"/>
        <v>25</v>
      </c>
      <c r="K3485" s="3">
        <f t="shared" si="162"/>
        <v>3</v>
      </c>
      <c r="L3485" s="3" t="str">
        <f t="shared" si="163"/>
        <v>OPORTUNO</v>
      </c>
      <c r="N3485">
        <v>100</v>
      </c>
      <c r="O3485">
        <v>28.490028490028489</v>
      </c>
    </row>
    <row r="3486" spans="1:15" x14ac:dyDescent="0.25">
      <c r="A3486" s="11">
        <v>46111</v>
      </c>
      <c r="B3486" t="s">
        <v>47</v>
      </c>
      <c r="C3486" t="s">
        <v>16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 t="shared" si="160"/>
        <v>20</v>
      </c>
      <c r="J3486" s="3">
        <f t="shared" si="161"/>
        <v>20</v>
      </c>
      <c r="K3486" s="3">
        <f t="shared" si="162"/>
        <v>0</v>
      </c>
      <c r="L3486" s="3" t="str">
        <f t="shared" si="163"/>
        <v>OPORTUNO</v>
      </c>
      <c r="N3486">
        <v>99.14</v>
      </c>
      <c r="O3486">
        <v>27.2289156626506</v>
      </c>
    </row>
    <row r="3487" spans="1:15" x14ac:dyDescent="0.25">
      <c r="A3487" s="11">
        <v>46111</v>
      </c>
      <c r="B3487" t="s">
        <v>48</v>
      </c>
      <c r="C3487" t="s">
        <v>16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f t="shared" si="160"/>
        <v>0</v>
      </c>
      <c r="J3487" s="3">
        <f t="shared" si="161"/>
        <v>20</v>
      </c>
      <c r="K3487" s="3">
        <f t="shared" si="162"/>
        <v>-20</v>
      </c>
      <c r="L3487" s="3" t="str">
        <f t="shared" si="163"/>
        <v>CRÍTICO</v>
      </c>
      <c r="N3487">
        <v>97.52</v>
      </c>
      <c r="O3487">
        <v>28.205128205128201</v>
      </c>
    </row>
    <row r="3488" spans="1:15" x14ac:dyDescent="0.25">
      <c r="A3488" s="11">
        <v>46111</v>
      </c>
      <c r="B3488" t="s">
        <v>49</v>
      </c>
      <c r="C3488" t="s">
        <v>18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f t="shared" si="160"/>
        <v>0</v>
      </c>
      <c r="J3488" s="3">
        <f t="shared" si="161"/>
        <v>25</v>
      </c>
      <c r="K3488" s="3">
        <f t="shared" si="162"/>
        <v>-25</v>
      </c>
      <c r="L3488" s="3" t="str">
        <f t="shared" si="163"/>
        <v>CRÍTICO</v>
      </c>
      <c r="N3488">
        <v>90</v>
      </c>
      <c r="O3488">
        <v>24.186046511627911</v>
      </c>
    </row>
    <row r="3489" spans="1:15" x14ac:dyDescent="0.25">
      <c r="A3489" s="11">
        <v>46111</v>
      </c>
      <c r="B3489" t="s">
        <v>50</v>
      </c>
      <c r="C3489" t="s">
        <v>20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 t="shared" si="160"/>
        <v>27</v>
      </c>
      <c r="J3489" s="3">
        <f t="shared" si="161"/>
        <v>16</v>
      </c>
      <c r="K3489" s="3">
        <f t="shared" si="162"/>
        <v>11</v>
      </c>
      <c r="L3489" s="3" t="str">
        <f t="shared" si="163"/>
        <v>MUITO BOM</v>
      </c>
      <c r="N3489">
        <v>98.9</v>
      </c>
      <c r="O3489">
        <v>26.763990267639901</v>
      </c>
    </row>
    <row r="3490" spans="1:15" x14ac:dyDescent="0.25">
      <c r="A3490" s="11">
        <v>46111</v>
      </c>
      <c r="B3490" t="s">
        <v>51</v>
      </c>
      <c r="C3490" t="s">
        <v>23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 t="shared" si="160"/>
        <v>10</v>
      </c>
      <c r="J3490" s="3">
        <f t="shared" si="161"/>
        <v>7</v>
      </c>
      <c r="K3490" s="3">
        <f t="shared" si="162"/>
        <v>3</v>
      </c>
      <c r="L3490" s="3" t="str">
        <f t="shared" si="163"/>
        <v>OPORTUNO</v>
      </c>
      <c r="N3490">
        <v>88.89</v>
      </c>
      <c r="O3490">
        <v>25.263157894736839</v>
      </c>
    </row>
    <row r="3491" spans="1:15" x14ac:dyDescent="0.25">
      <c r="A3491" s="11">
        <v>46111</v>
      </c>
      <c r="B3491" t="s">
        <v>52</v>
      </c>
      <c r="C3491" t="s">
        <v>18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 t="shared" si="160"/>
        <v>31</v>
      </c>
      <c r="J3491" s="3">
        <f t="shared" si="161"/>
        <v>25</v>
      </c>
      <c r="K3491" s="3">
        <f t="shared" si="162"/>
        <v>6</v>
      </c>
      <c r="L3491" s="3" t="str">
        <f t="shared" si="163"/>
        <v>MUITO BOM</v>
      </c>
      <c r="N3491">
        <v>98.86</v>
      </c>
      <c r="O3491">
        <v>28.959276018099551</v>
      </c>
    </row>
    <row r="3492" spans="1:15" x14ac:dyDescent="0.25">
      <c r="A3492" s="11">
        <v>46111</v>
      </c>
      <c r="B3492" t="s">
        <v>53</v>
      </c>
      <c r="C3492" t="s">
        <v>18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 t="shared" si="160"/>
        <v>29</v>
      </c>
      <c r="J3492" s="3">
        <f t="shared" si="161"/>
        <v>25</v>
      </c>
      <c r="K3492" s="3">
        <f t="shared" si="162"/>
        <v>4</v>
      </c>
      <c r="L3492" s="3" t="str">
        <f t="shared" si="163"/>
        <v>OPORTUNO</v>
      </c>
      <c r="N3492">
        <v>98.06</v>
      </c>
      <c r="O3492">
        <v>22.40566037735849</v>
      </c>
    </row>
    <row r="3493" spans="1:15" x14ac:dyDescent="0.25">
      <c r="A3493" s="11">
        <v>46111</v>
      </c>
      <c r="B3493" t="s">
        <v>54</v>
      </c>
      <c r="C3493" t="s">
        <v>23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 t="shared" si="160"/>
        <v>17</v>
      </c>
      <c r="J3493" s="3">
        <f t="shared" si="161"/>
        <v>7</v>
      </c>
      <c r="K3493" s="3">
        <f t="shared" si="162"/>
        <v>10</v>
      </c>
      <c r="L3493" s="3" t="str">
        <f t="shared" si="163"/>
        <v>MUITO BOM</v>
      </c>
      <c r="N3493">
        <v>95.83</v>
      </c>
      <c r="O3493">
        <v>25.773195876288661</v>
      </c>
    </row>
    <row r="3494" spans="1:15" x14ac:dyDescent="0.25">
      <c r="A3494" s="11">
        <v>46111</v>
      </c>
      <c r="B3494" t="s">
        <v>55</v>
      </c>
      <c r="C3494" t="s">
        <v>43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 t="shared" si="160"/>
        <v>23</v>
      </c>
      <c r="J3494" s="3">
        <f t="shared" si="161"/>
        <v>14</v>
      </c>
      <c r="K3494" s="3">
        <f t="shared" si="162"/>
        <v>9</v>
      </c>
      <c r="L3494" s="3" t="str">
        <f t="shared" si="163"/>
        <v>MUITO BOM</v>
      </c>
      <c r="N3494">
        <v>100</v>
      </c>
      <c r="O3494">
        <v>15.38461538461539</v>
      </c>
    </row>
    <row r="3495" spans="1:15" x14ac:dyDescent="0.25">
      <c r="A3495" s="11">
        <v>46111</v>
      </c>
      <c r="B3495" t="s">
        <v>56</v>
      </c>
      <c r="C3495" t="s">
        <v>16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 t="shared" si="160"/>
        <v>33</v>
      </c>
      <c r="J3495" s="3">
        <f t="shared" si="161"/>
        <v>20</v>
      </c>
      <c r="K3495" s="3">
        <f t="shared" si="162"/>
        <v>13</v>
      </c>
      <c r="L3495" s="3" t="str">
        <f t="shared" si="163"/>
        <v>MUITO BOM</v>
      </c>
      <c r="N3495">
        <v>100</v>
      </c>
      <c r="O3495">
        <v>27.514792899408281</v>
      </c>
    </row>
    <row r="3496" spans="1:15" x14ac:dyDescent="0.25">
      <c r="A3496" s="11">
        <v>46111</v>
      </c>
      <c r="B3496" t="s">
        <v>57</v>
      </c>
      <c r="C3496" t="s">
        <v>43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 t="shared" si="160"/>
        <v>14</v>
      </c>
      <c r="J3496" s="3">
        <f t="shared" si="161"/>
        <v>14</v>
      </c>
      <c r="K3496" s="3">
        <f t="shared" si="162"/>
        <v>0</v>
      </c>
      <c r="L3496" s="3" t="str">
        <f t="shared" si="163"/>
        <v>OPORTUNO</v>
      </c>
      <c r="N3496">
        <v>100</v>
      </c>
      <c r="O3496">
        <v>24.875621890547269</v>
      </c>
    </row>
    <row r="3497" spans="1:15" x14ac:dyDescent="0.25">
      <c r="A3497" s="11">
        <v>46111</v>
      </c>
      <c r="B3497" t="s">
        <v>58</v>
      </c>
      <c r="C3497" t="s">
        <v>43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 t="shared" si="160"/>
        <v>22</v>
      </c>
      <c r="J3497" s="3">
        <f t="shared" si="161"/>
        <v>14</v>
      </c>
      <c r="K3497" s="3">
        <f t="shared" si="162"/>
        <v>8</v>
      </c>
      <c r="L3497" s="3" t="str">
        <f t="shared" si="163"/>
        <v>MUITO BOM</v>
      </c>
      <c r="N3497">
        <v>100</v>
      </c>
      <c r="O3497">
        <v>28.108108108108109</v>
      </c>
    </row>
    <row r="3498" spans="1:15" x14ac:dyDescent="0.25">
      <c r="A3498" s="11">
        <v>46111</v>
      </c>
      <c r="B3498" t="s">
        <v>59</v>
      </c>
      <c r="C3498" t="s">
        <v>23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 t="shared" si="160"/>
        <v>4</v>
      </c>
      <c r="J3498" s="3">
        <f t="shared" si="161"/>
        <v>7</v>
      </c>
      <c r="K3498" s="3">
        <f t="shared" si="162"/>
        <v>-3</v>
      </c>
      <c r="L3498" s="3" t="str">
        <f t="shared" si="163"/>
        <v>ATENÇÃO</v>
      </c>
      <c r="N3498">
        <v>100</v>
      </c>
      <c r="O3498">
        <v>35</v>
      </c>
    </row>
    <row r="3499" spans="1:15" x14ac:dyDescent="0.25">
      <c r="A3499" s="11">
        <v>46111</v>
      </c>
      <c r="B3499" t="s">
        <v>60</v>
      </c>
      <c r="C3499" t="s">
        <v>20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 t="shared" si="160"/>
        <v>23</v>
      </c>
      <c r="J3499" s="3">
        <f t="shared" si="161"/>
        <v>16</v>
      </c>
      <c r="K3499" s="3">
        <f t="shared" si="162"/>
        <v>7</v>
      </c>
      <c r="L3499" s="3" t="str">
        <f t="shared" si="163"/>
        <v>MUITO BOM</v>
      </c>
      <c r="N3499">
        <v>95.35</v>
      </c>
      <c r="O3499">
        <v>28.61538461538461</v>
      </c>
    </row>
    <row r="3500" spans="1:15" x14ac:dyDescent="0.25">
      <c r="A3500" s="11">
        <v>46111</v>
      </c>
      <c r="B3500" t="s">
        <v>61</v>
      </c>
      <c r="C3500" t="s">
        <v>18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 t="shared" si="160"/>
        <v>38</v>
      </c>
      <c r="J3500" s="3">
        <f t="shared" si="161"/>
        <v>25</v>
      </c>
      <c r="K3500" s="3">
        <f t="shared" si="162"/>
        <v>13</v>
      </c>
      <c r="L3500" s="3" t="str">
        <f t="shared" si="163"/>
        <v>MUITO BOM</v>
      </c>
      <c r="N3500">
        <v>98.26</v>
      </c>
      <c r="O3500">
        <v>27.54491017964072</v>
      </c>
    </row>
    <row r="3501" spans="1:15" x14ac:dyDescent="0.25">
      <c r="A3501" s="11">
        <v>46111</v>
      </c>
      <c r="B3501" t="s">
        <v>62</v>
      </c>
      <c r="C3501" t="s">
        <v>20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 t="shared" si="160"/>
        <v>21</v>
      </c>
      <c r="J3501" s="3">
        <f t="shared" si="161"/>
        <v>16</v>
      </c>
      <c r="K3501" s="3">
        <f t="shared" si="162"/>
        <v>5</v>
      </c>
      <c r="L3501" s="3" t="str">
        <f t="shared" si="163"/>
        <v>OPORTUNO</v>
      </c>
      <c r="N3501">
        <v>98.55</v>
      </c>
      <c r="O3501">
        <v>25.337837837837839</v>
      </c>
    </row>
    <row r="3502" spans="1:15" x14ac:dyDescent="0.25">
      <c r="A3502" s="11">
        <v>46111</v>
      </c>
      <c r="B3502" t="s">
        <v>63</v>
      </c>
      <c r="C3502" t="s">
        <v>18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 t="shared" si="160"/>
        <v>36</v>
      </c>
      <c r="J3502" s="3">
        <f t="shared" si="161"/>
        <v>25</v>
      </c>
      <c r="K3502" s="3">
        <f t="shared" si="162"/>
        <v>11</v>
      </c>
      <c r="L3502" s="3" t="str">
        <f t="shared" si="163"/>
        <v>MUITO BOM</v>
      </c>
      <c r="N3502">
        <v>98.39</v>
      </c>
      <c r="O3502">
        <v>25.563909774436091</v>
      </c>
    </row>
    <row r="3503" spans="1:15" x14ac:dyDescent="0.25">
      <c r="A3503" s="11">
        <v>46112</v>
      </c>
      <c r="B3503" t="s">
        <v>15</v>
      </c>
      <c r="C3503" t="s">
        <v>16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 t="shared" si="160"/>
        <v>20</v>
      </c>
      <c r="J3503" s="3">
        <f t="shared" si="161"/>
        <v>22</v>
      </c>
      <c r="K3503" s="3">
        <f t="shared" si="162"/>
        <v>-2</v>
      </c>
      <c r="L3503" s="3" t="str">
        <f t="shared" si="163"/>
        <v>ATENÇÃO</v>
      </c>
      <c r="N3503">
        <v>94.29</v>
      </c>
      <c r="O3503">
        <v>25.647668393782389</v>
      </c>
    </row>
    <row r="3504" spans="1:15" x14ac:dyDescent="0.25">
      <c r="A3504" s="11">
        <v>46112</v>
      </c>
      <c r="B3504" t="s">
        <v>17</v>
      </c>
      <c r="C3504" t="s">
        <v>18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f t="shared" si="160"/>
        <v>0</v>
      </c>
      <c r="J3504" s="3">
        <f t="shared" si="161"/>
        <v>28</v>
      </c>
      <c r="K3504" s="3">
        <f t="shared" si="162"/>
        <v>-28</v>
      </c>
      <c r="L3504" s="3" t="str">
        <f t="shared" si="163"/>
        <v>CRÍTICO</v>
      </c>
      <c r="N3504">
        <v>98.26</v>
      </c>
      <c r="O3504">
        <v>26.666666666666671</v>
      </c>
    </row>
    <row r="3505" spans="1:15" x14ac:dyDescent="0.25">
      <c r="A3505" s="11">
        <v>46112</v>
      </c>
      <c r="B3505" t="s">
        <v>19</v>
      </c>
      <c r="C3505" t="s">
        <v>20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 t="shared" si="160"/>
        <v>22</v>
      </c>
      <c r="J3505" s="3">
        <f t="shared" si="161"/>
        <v>18</v>
      </c>
      <c r="K3505" s="3">
        <f t="shared" si="162"/>
        <v>4</v>
      </c>
      <c r="L3505" s="3" t="str">
        <f t="shared" si="163"/>
        <v>OPORTUNO</v>
      </c>
      <c r="N3505">
        <v>98.2</v>
      </c>
      <c r="O3505">
        <v>23.37962962962963</v>
      </c>
    </row>
    <row r="3506" spans="1:15" x14ac:dyDescent="0.25">
      <c r="A3506" s="11">
        <v>46112</v>
      </c>
      <c r="B3506" t="s">
        <v>21</v>
      </c>
      <c r="C3506" t="s">
        <v>18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 t="shared" si="160"/>
        <v>27</v>
      </c>
      <c r="J3506" s="3">
        <f t="shared" si="161"/>
        <v>28</v>
      </c>
      <c r="K3506" s="3">
        <f t="shared" si="162"/>
        <v>-1</v>
      </c>
      <c r="L3506" s="3" t="str">
        <f t="shared" si="163"/>
        <v>ATENÇÃO</v>
      </c>
      <c r="N3506">
        <v>97.3</v>
      </c>
      <c r="O3506">
        <v>23.84769539078156</v>
      </c>
    </row>
    <row r="3507" spans="1:15" x14ac:dyDescent="0.25">
      <c r="A3507" s="11">
        <v>46112</v>
      </c>
      <c r="B3507" t="s">
        <v>22</v>
      </c>
      <c r="C3507" t="s">
        <v>23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 t="shared" si="160"/>
        <v>21</v>
      </c>
      <c r="J3507" s="3">
        <f t="shared" si="161"/>
        <v>8</v>
      </c>
      <c r="K3507" s="3">
        <f t="shared" si="162"/>
        <v>13</v>
      </c>
      <c r="L3507" s="3" t="str">
        <f t="shared" si="163"/>
        <v>MUITO BOM</v>
      </c>
      <c r="N3507">
        <v>100</v>
      </c>
      <c r="O3507">
        <v>25.268817204301079</v>
      </c>
    </row>
    <row r="3508" spans="1:15" x14ac:dyDescent="0.25">
      <c r="A3508" s="11">
        <v>46112</v>
      </c>
      <c r="B3508" t="s">
        <v>24</v>
      </c>
      <c r="C3508" t="s">
        <v>16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 t="shared" si="160"/>
        <v>27</v>
      </c>
      <c r="J3508" s="3">
        <f t="shared" si="161"/>
        <v>22</v>
      </c>
      <c r="K3508" s="3">
        <f t="shared" si="162"/>
        <v>5</v>
      </c>
      <c r="L3508" s="3" t="str">
        <f t="shared" si="163"/>
        <v>OPORTUNO</v>
      </c>
      <c r="N3508">
        <v>99.32</v>
      </c>
      <c r="O3508">
        <v>22.822822822822818</v>
      </c>
    </row>
    <row r="3509" spans="1:15" x14ac:dyDescent="0.25">
      <c r="A3509" s="11">
        <v>46112</v>
      </c>
      <c r="B3509" t="s">
        <v>25</v>
      </c>
      <c r="C3509" t="s">
        <v>16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 t="shared" si="160"/>
        <v>27</v>
      </c>
      <c r="J3509" s="3">
        <f t="shared" si="161"/>
        <v>22</v>
      </c>
      <c r="K3509" s="3">
        <f t="shared" si="162"/>
        <v>5</v>
      </c>
      <c r="L3509" s="3" t="str">
        <f t="shared" si="163"/>
        <v>OPORTUNO</v>
      </c>
      <c r="N3509">
        <v>100</v>
      </c>
      <c r="O3509">
        <v>27.966101694915249</v>
      </c>
    </row>
    <row r="3510" spans="1:15" x14ac:dyDescent="0.25">
      <c r="A3510" s="11">
        <v>46112</v>
      </c>
      <c r="B3510" t="s">
        <v>26</v>
      </c>
      <c r="C3510" t="s">
        <v>23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 t="shared" si="160"/>
        <v>10</v>
      </c>
      <c r="J3510" s="3">
        <f t="shared" si="161"/>
        <v>8</v>
      </c>
      <c r="K3510" s="3">
        <f t="shared" si="162"/>
        <v>2</v>
      </c>
      <c r="L3510" s="3" t="str">
        <f t="shared" si="163"/>
        <v>OPORTUNO</v>
      </c>
      <c r="N3510">
        <v>100</v>
      </c>
      <c r="O3510">
        <v>30.434782608695659</v>
      </c>
    </row>
    <row r="3511" spans="1:15" x14ac:dyDescent="0.25">
      <c r="A3511" s="11">
        <v>46112</v>
      </c>
      <c r="B3511" t="s">
        <v>27</v>
      </c>
      <c r="C3511" t="s">
        <v>20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 t="shared" si="160"/>
        <v>12</v>
      </c>
      <c r="J3511" s="3">
        <f t="shared" si="161"/>
        <v>18</v>
      </c>
      <c r="K3511" s="3">
        <f t="shared" si="162"/>
        <v>-6</v>
      </c>
      <c r="L3511" s="3" t="str">
        <f t="shared" si="163"/>
        <v>CRÍTICO</v>
      </c>
      <c r="N3511">
        <v>96.51</v>
      </c>
      <c r="O3511">
        <v>22.802850356294542</v>
      </c>
    </row>
    <row r="3512" spans="1:15" x14ac:dyDescent="0.25">
      <c r="A3512" s="11">
        <v>46112</v>
      </c>
      <c r="B3512" t="s">
        <v>28</v>
      </c>
      <c r="C3512" t="s">
        <v>18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 t="shared" si="160"/>
        <v>30</v>
      </c>
      <c r="J3512" s="3">
        <f t="shared" si="161"/>
        <v>28</v>
      </c>
      <c r="K3512" s="3">
        <f t="shared" si="162"/>
        <v>2</v>
      </c>
      <c r="L3512" s="3" t="str">
        <f t="shared" si="163"/>
        <v>OPORTUNO</v>
      </c>
      <c r="N3512">
        <v>92.68</v>
      </c>
      <c r="O3512">
        <v>27.777777777777779</v>
      </c>
    </row>
    <row r="3513" spans="1:15" x14ac:dyDescent="0.25">
      <c r="A3513" s="11">
        <v>46112</v>
      </c>
      <c r="B3513" t="s">
        <v>29</v>
      </c>
      <c r="C3513" t="s">
        <v>16</v>
      </c>
      <c r="D3513">
        <v>0</v>
      </c>
      <c r="E3513">
        <v>0</v>
      </c>
      <c r="F3513">
        <v>0</v>
      </c>
      <c r="G3513">
        <v>0</v>
      </c>
      <c r="H3513">
        <v>0</v>
      </c>
      <c r="I3513" s="3">
        <f t="shared" si="160"/>
        <v>0</v>
      </c>
      <c r="J3513" s="3">
        <f t="shared" si="161"/>
        <v>22</v>
      </c>
      <c r="K3513" s="3">
        <f t="shared" si="162"/>
        <v>-22</v>
      </c>
      <c r="L3513" s="3" t="str">
        <f t="shared" si="163"/>
        <v>CRÍTICO</v>
      </c>
      <c r="N3513">
        <v>99.03</v>
      </c>
      <c r="O3513">
        <v>23.991507430997881</v>
      </c>
    </row>
    <row r="3514" spans="1:15" x14ac:dyDescent="0.25">
      <c r="A3514" s="11">
        <v>46112</v>
      </c>
      <c r="B3514" t="s">
        <v>30</v>
      </c>
      <c r="C3514" t="s">
        <v>20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 t="shared" si="160"/>
        <v>18</v>
      </c>
      <c r="J3514" s="3">
        <f t="shared" si="161"/>
        <v>18</v>
      </c>
      <c r="K3514" s="3">
        <f t="shared" si="162"/>
        <v>0</v>
      </c>
      <c r="L3514" s="3" t="str">
        <f t="shared" si="163"/>
        <v>OPORTUNO</v>
      </c>
      <c r="N3514">
        <v>98.41</v>
      </c>
      <c r="O3514">
        <v>28.138528138528141</v>
      </c>
    </row>
    <row r="3515" spans="1:15" x14ac:dyDescent="0.25">
      <c r="A3515" s="11">
        <v>46112</v>
      </c>
      <c r="B3515" t="s">
        <v>31</v>
      </c>
      <c r="C3515" t="s">
        <v>18</v>
      </c>
      <c r="D3515">
        <v>0</v>
      </c>
      <c r="E3515">
        <v>0</v>
      </c>
      <c r="F3515">
        <v>0</v>
      </c>
      <c r="G3515">
        <v>0</v>
      </c>
      <c r="H3515">
        <v>0</v>
      </c>
      <c r="I3515" s="3">
        <f t="shared" si="160"/>
        <v>0</v>
      </c>
      <c r="J3515" s="3">
        <f t="shared" si="161"/>
        <v>28</v>
      </c>
      <c r="K3515" s="3">
        <f t="shared" si="162"/>
        <v>-28</v>
      </c>
      <c r="L3515" s="3" t="str">
        <f t="shared" si="163"/>
        <v>CRÍTICO</v>
      </c>
      <c r="N3515">
        <v>98.73</v>
      </c>
      <c r="O3515">
        <v>29.142857142857139</v>
      </c>
    </row>
    <row r="3516" spans="1:15" x14ac:dyDescent="0.25">
      <c r="A3516" s="11">
        <v>46112</v>
      </c>
      <c r="B3516" t="s">
        <v>32</v>
      </c>
      <c r="C3516" t="s">
        <v>23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 t="shared" si="160"/>
        <v>5</v>
      </c>
      <c r="J3516" s="3">
        <f t="shared" si="161"/>
        <v>8</v>
      </c>
      <c r="K3516" s="3">
        <f t="shared" si="162"/>
        <v>-3</v>
      </c>
      <c r="L3516" s="3" t="str">
        <f t="shared" si="163"/>
        <v>ATENÇÃO</v>
      </c>
      <c r="N3516">
        <v>90.48</v>
      </c>
      <c r="O3516">
        <v>20.68965517241379</v>
      </c>
    </row>
    <row r="3517" spans="1:15" x14ac:dyDescent="0.25">
      <c r="A3517" s="11">
        <v>46112</v>
      </c>
      <c r="B3517" t="s">
        <v>33</v>
      </c>
      <c r="C3517" t="s">
        <v>16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 t="shared" si="160"/>
        <v>21</v>
      </c>
      <c r="J3517" s="3">
        <f t="shared" si="161"/>
        <v>22</v>
      </c>
      <c r="K3517" s="3">
        <f t="shared" si="162"/>
        <v>-1</v>
      </c>
      <c r="L3517" s="3" t="str">
        <f t="shared" si="163"/>
        <v>ATENÇÃO</v>
      </c>
      <c r="N3517">
        <v>98.06</v>
      </c>
      <c r="O3517">
        <v>24.789915966386559</v>
      </c>
    </row>
    <row r="3518" spans="1:15" x14ac:dyDescent="0.25">
      <c r="A3518" s="11">
        <v>46112</v>
      </c>
      <c r="B3518" t="s">
        <v>34</v>
      </c>
      <c r="C3518" t="s">
        <v>18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f t="shared" si="160"/>
        <v>0</v>
      </c>
      <c r="J3518" s="3">
        <f t="shared" si="161"/>
        <v>28</v>
      </c>
      <c r="K3518" s="3">
        <f t="shared" si="162"/>
        <v>-28</v>
      </c>
      <c r="L3518" s="3" t="str">
        <f t="shared" si="163"/>
        <v>CRÍTICO</v>
      </c>
      <c r="N3518">
        <v>97.78</v>
      </c>
      <c r="O3518">
        <v>25.494071146245059</v>
      </c>
    </row>
    <row r="3519" spans="1:15" x14ac:dyDescent="0.25">
      <c r="A3519" s="11">
        <v>46112</v>
      </c>
      <c r="B3519" t="s">
        <v>35</v>
      </c>
      <c r="C3519" t="s">
        <v>16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 t="shared" si="160"/>
        <v>26</v>
      </c>
      <c r="J3519" s="3">
        <f t="shared" si="161"/>
        <v>22</v>
      </c>
      <c r="K3519" s="3">
        <f t="shared" si="162"/>
        <v>4</v>
      </c>
      <c r="L3519" s="3" t="str">
        <f t="shared" si="163"/>
        <v>OPORTUNO</v>
      </c>
      <c r="N3519">
        <v>98.02</v>
      </c>
      <c r="O3519">
        <v>23.484848484848481</v>
      </c>
    </row>
    <row r="3520" spans="1:15" hidden="1" x14ac:dyDescent="0.25">
      <c r="A3520" s="5">
        <v>46148</v>
      </c>
      <c r="B3520" s="6" t="s">
        <v>36</v>
      </c>
      <c r="C3520" s="3" t="s">
        <v>20</v>
      </c>
      <c r="D3520" s="3">
        <v>23</v>
      </c>
      <c r="E3520" s="3">
        <v>22</v>
      </c>
      <c r="G3520" s="3">
        <v>9</v>
      </c>
      <c r="H3520" s="3">
        <v>0</v>
      </c>
      <c r="I3520" s="3">
        <f>E3520+G3520+H3520</f>
        <v>31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23</v>
      </c>
      <c r="K3520" s="3">
        <f>I3520-J3520</f>
        <v>8</v>
      </c>
      <c r="L3520" s="3" t="str">
        <f>IF(K3520&lt;-5,"CRÍTICO",IF(K3520&lt;0,"ATENÇÃO",IF(K3520&lt;=5,"OPORTUNO","MUITO BOM")))</f>
        <v>MUITO BOM</v>
      </c>
      <c r="M3520" s="3">
        <v>24</v>
      </c>
      <c r="N3520" s="3">
        <v>98.8</v>
      </c>
      <c r="O3520" s="3">
        <v>15.41353383458646</v>
      </c>
    </row>
    <row r="3521" spans="1:15" x14ac:dyDescent="0.25">
      <c r="A3521" s="11">
        <v>46112</v>
      </c>
      <c r="B3521" t="s">
        <v>37</v>
      </c>
      <c r="C3521" t="s">
        <v>16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 t="shared" ref="I3521:I3563" si="164">E3521+G3521+H3521</f>
        <v>29</v>
      </c>
      <c r="J3521" s="3">
        <f t="shared" ref="J3521:J3563" si="165"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22</v>
      </c>
      <c r="K3521" s="3">
        <f t="shared" ref="K3521:K3563" si="166">I3521-J3521</f>
        <v>7</v>
      </c>
      <c r="L3521" s="3" t="str">
        <f t="shared" ref="L3521:L3563" si="167">IF(K3521&lt;-5,"CRÍTICO",IF(K3521&lt;0,"ATENÇÃO",IF(K3521&lt;=5,"OPORTUNO","MUITO BOM")))</f>
        <v>MUITO BOM</v>
      </c>
      <c r="N3521">
        <v>100</v>
      </c>
      <c r="O3521">
        <v>27.04918032786885</v>
      </c>
    </row>
    <row r="3522" spans="1:15" x14ac:dyDescent="0.25">
      <c r="A3522" s="11">
        <v>46112</v>
      </c>
      <c r="B3522" t="s">
        <v>38</v>
      </c>
      <c r="C3522" t="s">
        <v>18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 t="shared" si="164"/>
        <v>42</v>
      </c>
      <c r="J3522" s="3">
        <f t="shared" si="165"/>
        <v>28</v>
      </c>
      <c r="K3522" s="3">
        <f t="shared" si="166"/>
        <v>14</v>
      </c>
      <c r="L3522" s="3" t="str">
        <f t="shared" si="167"/>
        <v>MUITO BOM</v>
      </c>
      <c r="N3522">
        <v>97.83</v>
      </c>
      <c r="O3522">
        <v>26.315789473684209</v>
      </c>
    </row>
    <row r="3523" spans="1:15" x14ac:dyDescent="0.25">
      <c r="A3523" s="11">
        <v>46112</v>
      </c>
      <c r="B3523" t="s">
        <v>39</v>
      </c>
      <c r="C3523" t="s">
        <v>18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f t="shared" si="164"/>
        <v>0</v>
      </c>
      <c r="J3523" s="3">
        <f t="shared" si="165"/>
        <v>28</v>
      </c>
      <c r="K3523" s="3">
        <f t="shared" si="166"/>
        <v>-28</v>
      </c>
      <c r="L3523" s="3" t="str">
        <f t="shared" si="167"/>
        <v>CRÍTICO</v>
      </c>
      <c r="N3523">
        <v>100</v>
      </c>
      <c r="O3523">
        <v>26.701570680628269</v>
      </c>
    </row>
    <row r="3524" spans="1:15" x14ac:dyDescent="0.25">
      <c r="A3524" s="11">
        <v>46112</v>
      </c>
      <c r="B3524" t="s">
        <v>40</v>
      </c>
      <c r="C3524" t="s">
        <v>16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 t="shared" si="164"/>
        <v>14</v>
      </c>
      <c r="J3524" s="3">
        <f t="shared" si="165"/>
        <v>22</v>
      </c>
      <c r="K3524" s="3">
        <f t="shared" si="166"/>
        <v>-8</v>
      </c>
      <c r="L3524" s="3" t="str">
        <f t="shared" si="167"/>
        <v>CRÍTICO</v>
      </c>
      <c r="N3524">
        <v>97.47</v>
      </c>
      <c r="O3524">
        <v>22.887323943661968</v>
      </c>
    </row>
    <row r="3525" spans="1:15" x14ac:dyDescent="0.25">
      <c r="A3525" s="11">
        <v>46112</v>
      </c>
      <c r="B3525" t="s">
        <v>41</v>
      </c>
      <c r="C3525" t="s">
        <v>18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f t="shared" si="164"/>
        <v>0</v>
      </c>
      <c r="J3525" s="3">
        <f t="shared" si="165"/>
        <v>28</v>
      </c>
      <c r="K3525" s="3">
        <f t="shared" si="166"/>
        <v>-28</v>
      </c>
      <c r="L3525" s="3" t="str">
        <f t="shared" si="167"/>
        <v>CRÍTICO</v>
      </c>
      <c r="N3525">
        <v>0</v>
      </c>
      <c r="O3525">
        <v>0</v>
      </c>
    </row>
    <row r="3526" spans="1:15" x14ac:dyDescent="0.25">
      <c r="A3526" s="11">
        <v>46112</v>
      </c>
      <c r="B3526" t="s">
        <v>42</v>
      </c>
      <c r="C3526" t="s">
        <v>43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 t="shared" si="164"/>
        <v>21</v>
      </c>
      <c r="J3526" s="3">
        <f t="shared" si="165"/>
        <v>16</v>
      </c>
      <c r="K3526" s="3">
        <f t="shared" si="166"/>
        <v>5</v>
      </c>
      <c r="L3526" s="3" t="str">
        <f t="shared" si="167"/>
        <v>OPORTUNO</v>
      </c>
      <c r="N3526">
        <v>98.31</v>
      </c>
      <c r="O3526">
        <v>24.920127795527151</v>
      </c>
    </row>
    <row r="3527" spans="1:15" x14ac:dyDescent="0.25">
      <c r="A3527" s="11">
        <v>46112</v>
      </c>
      <c r="B3527" t="s">
        <v>44</v>
      </c>
      <c r="C3527" t="s">
        <v>18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 t="shared" si="164"/>
        <v>6</v>
      </c>
      <c r="J3527" s="3">
        <f t="shared" si="165"/>
        <v>28</v>
      </c>
      <c r="K3527" s="3">
        <f t="shared" si="166"/>
        <v>-22</v>
      </c>
      <c r="L3527" s="3" t="str">
        <f t="shared" si="167"/>
        <v>CRÍTICO</v>
      </c>
      <c r="N3527">
        <v>96.81</v>
      </c>
      <c r="O3527">
        <v>32.365145228215773</v>
      </c>
    </row>
    <row r="3528" spans="1:15" x14ac:dyDescent="0.25">
      <c r="A3528" s="11">
        <v>46112</v>
      </c>
      <c r="B3528" t="s">
        <v>45</v>
      </c>
      <c r="C3528" t="s">
        <v>43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 t="shared" si="164"/>
        <v>18</v>
      </c>
      <c r="J3528" s="3">
        <f t="shared" si="165"/>
        <v>16</v>
      </c>
      <c r="K3528" s="3">
        <f t="shared" si="166"/>
        <v>2</v>
      </c>
      <c r="L3528" s="3" t="str">
        <f t="shared" si="167"/>
        <v>OPORTUNO</v>
      </c>
      <c r="N3528">
        <v>100</v>
      </c>
      <c r="O3528">
        <v>26.47058823529412</v>
      </c>
    </row>
    <row r="3529" spans="1:15" x14ac:dyDescent="0.25">
      <c r="A3529" s="11">
        <v>46112</v>
      </c>
      <c r="B3529" t="s">
        <v>46</v>
      </c>
      <c r="C3529" t="s">
        <v>18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 t="shared" si="164"/>
        <v>29</v>
      </c>
      <c r="J3529" s="3">
        <f t="shared" si="165"/>
        <v>28</v>
      </c>
      <c r="K3529" s="3">
        <f t="shared" si="166"/>
        <v>1</v>
      </c>
      <c r="L3529" s="3" t="str">
        <f t="shared" si="167"/>
        <v>OPORTUNO</v>
      </c>
      <c r="N3529">
        <v>100</v>
      </c>
      <c r="O3529">
        <v>28.490028490028489</v>
      </c>
    </row>
    <row r="3530" spans="1:15" x14ac:dyDescent="0.25">
      <c r="A3530" s="11">
        <v>46112</v>
      </c>
      <c r="B3530" t="s">
        <v>47</v>
      </c>
      <c r="C3530" t="s">
        <v>16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 t="shared" si="164"/>
        <v>23</v>
      </c>
      <c r="J3530" s="3">
        <f t="shared" si="165"/>
        <v>22</v>
      </c>
      <c r="K3530" s="3">
        <f t="shared" si="166"/>
        <v>1</v>
      </c>
      <c r="L3530" s="3" t="str">
        <f t="shared" si="167"/>
        <v>OPORTUNO</v>
      </c>
      <c r="N3530">
        <v>99.14</v>
      </c>
      <c r="O3530">
        <v>27.2289156626506</v>
      </c>
    </row>
    <row r="3531" spans="1:15" x14ac:dyDescent="0.25">
      <c r="A3531" s="11">
        <v>46112</v>
      </c>
      <c r="B3531" t="s">
        <v>48</v>
      </c>
      <c r="C3531" t="s">
        <v>16</v>
      </c>
      <c r="D3531">
        <v>0</v>
      </c>
      <c r="E3531">
        <v>0</v>
      </c>
      <c r="F3531">
        <v>0</v>
      </c>
      <c r="G3531">
        <v>0</v>
      </c>
      <c r="H3531">
        <v>0</v>
      </c>
      <c r="I3531" s="3">
        <f t="shared" si="164"/>
        <v>0</v>
      </c>
      <c r="J3531" s="3">
        <f t="shared" si="165"/>
        <v>22</v>
      </c>
      <c r="K3531" s="3">
        <f t="shared" si="166"/>
        <v>-22</v>
      </c>
      <c r="L3531" s="3" t="str">
        <f t="shared" si="167"/>
        <v>CRÍTICO</v>
      </c>
      <c r="N3531">
        <v>97.52</v>
      </c>
      <c r="O3531">
        <v>28.205128205128201</v>
      </c>
    </row>
    <row r="3532" spans="1:15" x14ac:dyDescent="0.25">
      <c r="A3532" s="11">
        <v>46112</v>
      </c>
      <c r="B3532" t="s">
        <v>49</v>
      </c>
      <c r="C3532" t="s">
        <v>18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 t="shared" si="164"/>
        <v>36</v>
      </c>
      <c r="J3532" s="3">
        <f t="shared" si="165"/>
        <v>28</v>
      </c>
      <c r="K3532" s="3">
        <f t="shared" si="166"/>
        <v>8</v>
      </c>
      <c r="L3532" s="3" t="str">
        <f t="shared" si="167"/>
        <v>MUITO BOM</v>
      </c>
      <c r="N3532">
        <v>90</v>
      </c>
      <c r="O3532">
        <v>24.186046511627911</v>
      </c>
    </row>
    <row r="3533" spans="1:15" x14ac:dyDescent="0.25">
      <c r="A3533" s="11">
        <v>46112</v>
      </c>
      <c r="B3533" t="s">
        <v>50</v>
      </c>
      <c r="C3533" t="s">
        <v>20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 t="shared" si="164"/>
        <v>28</v>
      </c>
      <c r="J3533" s="3">
        <f t="shared" si="165"/>
        <v>18</v>
      </c>
      <c r="K3533" s="3">
        <f t="shared" si="166"/>
        <v>10</v>
      </c>
      <c r="L3533" s="3" t="str">
        <f t="shared" si="167"/>
        <v>MUITO BOM</v>
      </c>
      <c r="N3533">
        <v>98.9</v>
      </c>
      <c r="O3533">
        <v>26.763990267639901</v>
      </c>
    </row>
    <row r="3534" spans="1:15" x14ac:dyDescent="0.25">
      <c r="A3534" s="11">
        <v>46112</v>
      </c>
      <c r="B3534" t="s">
        <v>51</v>
      </c>
      <c r="C3534" t="s">
        <v>23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 t="shared" si="164"/>
        <v>8</v>
      </c>
      <c r="J3534" s="3">
        <f t="shared" si="165"/>
        <v>8</v>
      </c>
      <c r="K3534" s="3">
        <f t="shared" si="166"/>
        <v>0</v>
      </c>
      <c r="L3534" s="3" t="str">
        <f t="shared" si="167"/>
        <v>OPORTUNO</v>
      </c>
      <c r="N3534">
        <v>88.89</v>
      </c>
      <c r="O3534">
        <v>25.263157894736839</v>
      </c>
    </row>
    <row r="3535" spans="1:15" x14ac:dyDescent="0.25">
      <c r="A3535" s="11">
        <v>46112</v>
      </c>
      <c r="B3535" t="s">
        <v>52</v>
      </c>
      <c r="C3535" t="s">
        <v>18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 t="shared" si="164"/>
        <v>30</v>
      </c>
      <c r="J3535" s="3">
        <f t="shared" si="165"/>
        <v>28</v>
      </c>
      <c r="K3535" s="3">
        <f t="shared" si="166"/>
        <v>2</v>
      </c>
      <c r="L3535" s="3" t="str">
        <f t="shared" si="167"/>
        <v>OPORTUNO</v>
      </c>
      <c r="N3535">
        <v>98.86</v>
      </c>
      <c r="O3535">
        <v>28.959276018099551</v>
      </c>
    </row>
    <row r="3536" spans="1:15" x14ac:dyDescent="0.25">
      <c r="A3536" s="11">
        <v>46112</v>
      </c>
      <c r="B3536" t="s">
        <v>53</v>
      </c>
      <c r="C3536" t="s">
        <v>18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 t="shared" si="164"/>
        <v>37</v>
      </c>
      <c r="J3536" s="3">
        <f t="shared" si="165"/>
        <v>28</v>
      </c>
      <c r="K3536" s="3">
        <f t="shared" si="166"/>
        <v>9</v>
      </c>
      <c r="L3536" s="3" t="str">
        <f t="shared" si="167"/>
        <v>MUITO BOM</v>
      </c>
      <c r="N3536">
        <v>98.06</v>
      </c>
      <c r="O3536">
        <v>22.40566037735849</v>
      </c>
    </row>
    <row r="3537" spans="1:15" x14ac:dyDescent="0.25">
      <c r="A3537" s="11">
        <v>46112</v>
      </c>
      <c r="B3537" t="s">
        <v>54</v>
      </c>
      <c r="C3537" t="s">
        <v>23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 t="shared" si="164"/>
        <v>19</v>
      </c>
      <c r="J3537" s="3">
        <f t="shared" si="165"/>
        <v>8</v>
      </c>
      <c r="K3537" s="3">
        <f t="shared" si="166"/>
        <v>11</v>
      </c>
      <c r="L3537" s="3" t="str">
        <f t="shared" si="167"/>
        <v>MUITO BOM</v>
      </c>
      <c r="N3537">
        <v>95.83</v>
      </c>
      <c r="O3537">
        <v>25.773195876288661</v>
      </c>
    </row>
    <row r="3538" spans="1:15" x14ac:dyDescent="0.25">
      <c r="A3538" s="11">
        <v>46112</v>
      </c>
      <c r="B3538" t="s">
        <v>55</v>
      </c>
      <c r="C3538" t="s">
        <v>43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 t="shared" si="164"/>
        <v>17</v>
      </c>
      <c r="J3538" s="3">
        <f t="shared" si="165"/>
        <v>16</v>
      </c>
      <c r="K3538" s="3">
        <f t="shared" si="166"/>
        <v>1</v>
      </c>
      <c r="L3538" s="3" t="str">
        <f t="shared" si="167"/>
        <v>OPORTUNO</v>
      </c>
      <c r="N3538">
        <v>100</v>
      </c>
      <c r="O3538">
        <v>15.38461538461539</v>
      </c>
    </row>
    <row r="3539" spans="1:15" x14ac:dyDescent="0.25">
      <c r="A3539" s="11">
        <v>46112</v>
      </c>
      <c r="B3539" t="s">
        <v>56</v>
      </c>
      <c r="C3539" t="s">
        <v>16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 t="shared" si="164"/>
        <v>30</v>
      </c>
      <c r="J3539" s="3">
        <f t="shared" si="165"/>
        <v>22</v>
      </c>
      <c r="K3539" s="3">
        <f t="shared" si="166"/>
        <v>8</v>
      </c>
      <c r="L3539" s="3" t="str">
        <f t="shared" si="167"/>
        <v>MUITO BOM</v>
      </c>
      <c r="N3539">
        <v>100</v>
      </c>
      <c r="O3539">
        <v>27.514792899408281</v>
      </c>
    </row>
    <row r="3540" spans="1:15" x14ac:dyDescent="0.25">
      <c r="A3540" s="11">
        <v>46112</v>
      </c>
      <c r="B3540" t="s">
        <v>57</v>
      </c>
      <c r="C3540" t="s">
        <v>43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 t="shared" si="164"/>
        <v>19</v>
      </c>
      <c r="J3540" s="3">
        <f t="shared" si="165"/>
        <v>16</v>
      </c>
      <c r="K3540" s="3">
        <f t="shared" si="166"/>
        <v>3</v>
      </c>
      <c r="L3540" s="3" t="str">
        <f t="shared" si="167"/>
        <v>OPORTUNO</v>
      </c>
      <c r="N3540">
        <v>100</v>
      </c>
      <c r="O3540">
        <v>24.875621890547269</v>
      </c>
    </row>
    <row r="3541" spans="1:15" x14ac:dyDescent="0.25">
      <c r="A3541" s="11">
        <v>46112</v>
      </c>
      <c r="B3541" t="s">
        <v>58</v>
      </c>
      <c r="C3541" t="s">
        <v>43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 t="shared" si="164"/>
        <v>25</v>
      </c>
      <c r="J3541" s="3">
        <f t="shared" si="165"/>
        <v>16</v>
      </c>
      <c r="K3541" s="3">
        <f t="shared" si="166"/>
        <v>9</v>
      </c>
      <c r="L3541" s="3" t="str">
        <f t="shared" si="167"/>
        <v>MUITO BOM</v>
      </c>
      <c r="N3541">
        <v>100</v>
      </c>
      <c r="O3541">
        <v>28.108108108108109</v>
      </c>
    </row>
    <row r="3542" spans="1:15" x14ac:dyDescent="0.25">
      <c r="A3542" s="11">
        <v>46112</v>
      </c>
      <c r="B3542" t="s">
        <v>59</v>
      </c>
      <c r="C3542" t="s">
        <v>23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 t="shared" si="164"/>
        <v>6</v>
      </c>
      <c r="J3542" s="3">
        <f t="shared" si="165"/>
        <v>8</v>
      </c>
      <c r="K3542" s="3">
        <f t="shared" si="166"/>
        <v>-2</v>
      </c>
      <c r="L3542" s="3" t="str">
        <f t="shared" si="167"/>
        <v>ATENÇÃO</v>
      </c>
      <c r="N3542">
        <v>100</v>
      </c>
      <c r="O3542">
        <v>35</v>
      </c>
    </row>
    <row r="3543" spans="1:15" x14ac:dyDescent="0.25">
      <c r="A3543" s="11">
        <v>46112</v>
      </c>
      <c r="B3543" t="s">
        <v>60</v>
      </c>
      <c r="C3543" t="s">
        <v>20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 t="shared" si="164"/>
        <v>28</v>
      </c>
      <c r="J3543" s="3">
        <f t="shared" si="165"/>
        <v>18</v>
      </c>
      <c r="K3543" s="3">
        <f t="shared" si="166"/>
        <v>10</v>
      </c>
      <c r="L3543" s="3" t="str">
        <f t="shared" si="167"/>
        <v>MUITO BOM</v>
      </c>
      <c r="N3543">
        <v>95.35</v>
      </c>
      <c r="O3543">
        <v>28.61538461538461</v>
      </c>
    </row>
    <row r="3544" spans="1:15" x14ac:dyDescent="0.25">
      <c r="A3544" s="11">
        <v>46112</v>
      </c>
      <c r="B3544" t="s">
        <v>61</v>
      </c>
      <c r="C3544" t="s">
        <v>18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 t="shared" si="164"/>
        <v>42</v>
      </c>
      <c r="J3544" s="3">
        <f t="shared" si="165"/>
        <v>28</v>
      </c>
      <c r="K3544" s="3">
        <f t="shared" si="166"/>
        <v>14</v>
      </c>
      <c r="L3544" s="3" t="str">
        <f t="shared" si="167"/>
        <v>MUITO BOM</v>
      </c>
      <c r="N3544">
        <v>98.26</v>
      </c>
      <c r="O3544">
        <v>27.54491017964072</v>
      </c>
    </row>
    <row r="3545" spans="1:15" x14ac:dyDescent="0.25">
      <c r="A3545" s="11">
        <v>46112</v>
      </c>
      <c r="B3545" t="s">
        <v>62</v>
      </c>
      <c r="C3545" t="s">
        <v>20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 t="shared" si="164"/>
        <v>16</v>
      </c>
      <c r="J3545" s="3">
        <f t="shared" si="165"/>
        <v>18</v>
      </c>
      <c r="K3545" s="3">
        <f t="shared" si="166"/>
        <v>-2</v>
      </c>
      <c r="L3545" s="3" t="str">
        <f t="shared" si="167"/>
        <v>ATENÇÃO</v>
      </c>
      <c r="N3545">
        <v>98.55</v>
      </c>
      <c r="O3545">
        <v>25.337837837837839</v>
      </c>
    </row>
    <row r="3546" spans="1:15" x14ac:dyDescent="0.25">
      <c r="A3546" s="11">
        <v>46112</v>
      </c>
      <c r="B3546" t="s">
        <v>63</v>
      </c>
      <c r="C3546" t="s">
        <v>18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 t="shared" si="164"/>
        <v>33</v>
      </c>
      <c r="J3546" s="3">
        <f t="shared" si="165"/>
        <v>28</v>
      </c>
      <c r="K3546" s="3">
        <f t="shared" si="166"/>
        <v>5</v>
      </c>
      <c r="L3546" s="3" t="str">
        <f t="shared" si="167"/>
        <v>OPORTUNO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15</v>
      </c>
      <c r="C3547" t="s">
        <v>16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si="164"/>
        <v>15</v>
      </c>
      <c r="J3547" s="3">
        <f t="shared" si="165"/>
        <v>24</v>
      </c>
      <c r="K3547" s="3">
        <f t="shared" si="166"/>
        <v>-9</v>
      </c>
      <c r="L3547" s="3" t="str">
        <f t="shared" si="167"/>
        <v>CRÍTICO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17</v>
      </c>
      <c r="C3548" t="s">
        <v>18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f t="shared" si="164"/>
        <v>0</v>
      </c>
      <c r="J3548" s="3">
        <f t="shared" si="165"/>
        <v>30</v>
      </c>
      <c r="K3548" s="3">
        <f t="shared" si="166"/>
        <v>-30</v>
      </c>
      <c r="L3548" s="3" t="str">
        <f t="shared" si="167"/>
        <v>CRÍTICO</v>
      </c>
      <c r="N3548">
        <v>98.66</v>
      </c>
      <c r="O3548">
        <v>35.15625</v>
      </c>
    </row>
    <row r="3549" spans="1:15" hidden="1" x14ac:dyDescent="0.25">
      <c r="A3549" s="11">
        <v>46113</v>
      </c>
      <c r="B3549" t="s">
        <v>19</v>
      </c>
      <c r="C3549" t="s">
        <v>20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si="164"/>
        <v>26</v>
      </c>
      <c r="J3549" s="3">
        <f t="shared" si="165"/>
        <v>19</v>
      </c>
      <c r="K3549" s="3">
        <f t="shared" si="166"/>
        <v>7</v>
      </c>
      <c r="L3549" s="3" t="str">
        <f t="shared" si="167"/>
        <v>MUITO BOM</v>
      </c>
      <c r="N3549">
        <v>99.32</v>
      </c>
      <c r="O3549">
        <v>30.45186640471513</v>
      </c>
    </row>
    <row r="3550" spans="1:15" hidden="1" x14ac:dyDescent="0.25">
      <c r="A3550" s="11">
        <v>46113</v>
      </c>
      <c r="B3550" t="s">
        <v>21</v>
      </c>
      <c r="C3550" t="s">
        <v>18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164"/>
        <v>21</v>
      </c>
      <c r="J3550" s="3">
        <f t="shared" si="165"/>
        <v>30</v>
      </c>
      <c r="K3550" s="3">
        <f t="shared" si="166"/>
        <v>-9</v>
      </c>
      <c r="L3550" s="3" t="str">
        <f t="shared" si="167"/>
        <v>CRÍTICO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22</v>
      </c>
      <c r="C3551" t="s">
        <v>23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164"/>
        <v>16</v>
      </c>
      <c r="J3551" s="3">
        <f t="shared" si="165"/>
        <v>8</v>
      </c>
      <c r="K3551" s="3">
        <f t="shared" si="166"/>
        <v>8</v>
      </c>
      <c r="L3551" s="3" t="str">
        <f t="shared" si="167"/>
        <v>MUITO BOM</v>
      </c>
      <c r="N3551">
        <v>96.74</v>
      </c>
      <c r="O3551">
        <v>28.43137254901961</v>
      </c>
    </row>
    <row r="3552" spans="1:15" hidden="1" x14ac:dyDescent="0.25">
      <c r="A3552" s="11">
        <v>46113</v>
      </c>
      <c r="B3552" t="s">
        <v>24</v>
      </c>
      <c r="C3552" t="s">
        <v>16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164"/>
        <v>36</v>
      </c>
      <c r="J3552" s="3">
        <f t="shared" si="165"/>
        <v>24</v>
      </c>
      <c r="K3552" s="3">
        <f t="shared" si="166"/>
        <v>12</v>
      </c>
      <c r="L3552" s="3" t="str">
        <f t="shared" si="167"/>
        <v>MUITO BOM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25</v>
      </c>
      <c r="C3553" t="s">
        <v>16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164"/>
        <v>20</v>
      </c>
      <c r="J3553" s="3">
        <f t="shared" si="165"/>
        <v>24</v>
      </c>
      <c r="K3553" s="3">
        <f t="shared" si="166"/>
        <v>-4</v>
      </c>
      <c r="L3553" s="3" t="str">
        <f t="shared" si="167"/>
        <v>ATENÇÃO</v>
      </c>
      <c r="N3553">
        <v>98.2</v>
      </c>
      <c r="O3553">
        <v>26.890756302521009</v>
      </c>
    </row>
    <row r="3554" spans="1:15" hidden="1" x14ac:dyDescent="0.25">
      <c r="A3554" s="11">
        <v>46113</v>
      </c>
      <c r="B3554" t="s">
        <v>26</v>
      </c>
      <c r="C3554" t="s">
        <v>23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164"/>
        <v>9</v>
      </c>
      <c r="J3554" s="3">
        <f t="shared" si="165"/>
        <v>8</v>
      </c>
      <c r="K3554" s="3">
        <f t="shared" si="166"/>
        <v>1</v>
      </c>
      <c r="L3554" s="3" t="str">
        <f t="shared" si="167"/>
        <v>OPORTUNO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27</v>
      </c>
      <c r="C3555" t="s">
        <v>20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164"/>
        <v>26</v>
      </c>
      <c r="J3555" s="3">
        <f t="shared" si="165"/>
        <v>19</v>
      </c>
      <c r="K3555" s="3">
        <f t="shared" si="166"/>
        <v>7</v>
      </c>
      <c r="L3555" s="3" t="str">
        <f t="shared" si="167"/>
        <v>MUITO BOM</v>
      </c>
      <c r="N3555">
        <v>96.3</v>
      </c>
      <c r="O3555">
        <v>31.980906921241051</v>
      </c>
    </row>
    <row r="3556" spans="1:15" hidden="1" x14ac:dyDescent="0.25">
      <c r="A3556" s="11">
        <v>46113</v>
      </c>
      <c r="B3556" t="s">
        <v>28</v>
      </c>
      <c r="C3556" t="s">
        <v>18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164"/>
        <v>28</v>
      </c>
      <c r="J3556" s="3">
        <f t="shared" si="165"/>
        <v>30</v>
      </c>
      <c r="K3556" s="3">
        <f t="shared" si="166"/>
        <v>-2</v>
      </c>
      <c r="L3556" s="3" t="str">
        <f t="shared" si="167"/>
        <v>ATENÇÃO</v>
      </c>
      <c r="N3556">
        <v>93.75</v>
      </c>
      <c r="O3556">
        <v>26.628352490421459</v>
      </c>
    </row>
    <row r="3557" spans="1:15" hidden="1" x14ac:dyDescent="0.25">
      <c r="A3557" s="11">
        <v>46113</v>
      </c>
      <c r="B3557" t="s">
        <v>29</v>
      </c>
      <c r="C3557" t="s">
        <v>16</v>
      </c>
      <c r="D3557">
        <v>0</v>
      </c>
      <c r="E3557">
        <v>0</v>
      </c>
      <c r="F3557">
        <v>0</v>
      </c>
      <c r="G3557">
        <v>0</v>
      </c>
      <c r="H3557">
        <v>0</v>
      </c>
      <c r="I3557" s="3">
        <f t="shared" si="164"/>
        <v>0</v>
      </c>
      <c r="J3557" s="3">
        <f t="shared" si="165"/>
        <v>24</v>
      </c>
      <c r="K3557" s="3">
        <f t="shared" si="166"/>
        <v>-24</v>
      </c>
      <c r="L3557" s="3" t="str">
        <f t="shared" si="167"/>
        <v>CRÍTICO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30</v>
      </c>
      <c r="C3558" t="s">
        <v>20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 t="shared" si="164"/>
        <v>25</v>
      </c>
      <c r="J3558" s="3">
        <f t="shared" si="165"/>
        <v>19</v>
      </c>
      <c r="K3558" s="3">
        <f t="shared" si="166"/>
        <v>6</v>
      </c>
      <c r="L3558" s="3" t="str">
        <f t="shared" si="167"/>
        <v>MUITO BOM</v>
      </c>
      <c r="N3558">
        <v>100</v>
      </c>
      <c r="O3558">
        <v>36.231884057971023</v>
      </c>
    </row>
    <row r="3559" spans="1:15" hidden="1" x14ac:dyDescent="0.25">
      <c r="A3559" s="11">
        <v>46113</v>
      </c>
      <c r="B3559" t="s">
        <v>31</v>
      </c>
      <c r="C3559" t="s">
        <v>18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f t="shared" si="164"/>
        <v>0</v>
      </c>
      <c r="J3559" s="3">
        <f t="shared" si="165"/>
        <v>30</v>
      </c>
      <c r="K3559" s="3">
        <f t="shared" si="166"/>
        <v>-30</v>
      </c>
      <c r="L3559" s="3" t="str">
        <f t="shared" si="167"/>
        <v>CRÍTICO</v>
      </c>
      <c r="N3559">
        <v>100</v>
      </c>
      <c r="O3559">
        <v>38.269230769230766</v>
      </c>
    </row>
    <row r="3560" spans="1:15" hidden="1" x14ac:dyDescent="0.25">
      <c r="A3560" s="11">
        <v>46113</v>
      </c>
      <c r="B3560" t="s">
        <v>32</v>
      </c>
      <c r="C3560" t="s">
        <v>23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f t="shared" si="164"/>
        <v>0</v>
      </c>
      <c r="J3560" s="3">
        <f t="shared" si="165"/>
        <v>8</v>
      </c>
      <c r="K3560" s="3">
        <f t="shared" si="166"/>
        <v>-8</v>
      </c>
      <c r="L3560" s="3" t="str">
        <f t="shared" si="167"/>
        <v>CRÍTICO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33</v>
      </c>
      <c r="C3561" t="s">
        <v>16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 t="shared" si="164"/>
        <v>21</v>
      </c>
      <c r="J3561" s="3">
        <f t="shared" si="165"/>
        <v>24</v>
      </c>
      <c r="K3561" s="3">
        <f t="shared" si="166"/>
        <v>-3</v>
      </c>
      <c r="L3561" s="3" t="str">
        <f t="shared" si="167"/>
        <v>ATENÇÃO</v>
      </c>
      <c r="N3561">
        <v>97.83</v>
      </c>
      <c r="O3561">
        <v>28.131868131868131</v>
      </c>
    </row>
    <row r="3562" spans="1:15" hidden="1" x14ac:dyDescent="0.25">
      <c r="A3562" s="11">
        <v>46113</v>
      </c>
      <c r="B3562" t="s">
        <v>34</v>
      </c>
      <c r="C3562" t="s">
        <v>18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 t="shared" si="164"/>
        <v>25</v>
      </c>
      <c r="J3562" s="3">
        <f t="shared" si="165"/>
        <v>30</v>
      </c>
      <c r="K3562" s="3">
        <f t="shared" si="166"/>
        <v>-5</v>
      </c>
      <c r="L3562" s="3" t="str">
        <f t="shared" si="167"/>
        <v>ATENÇÃO</v>
      </c>
      <c r="N3562">
        <v>99.26</v>
      </c>
      <c r="O3562">
        <v>29.57198443579767</v>
      </c>
    </row>
    <row r="3563" spans="1:15" hidden="1" x14ac:dyDescent="0.25">
      <c r="A3563" s="11">
        <v>46113</v>
      </c>
      <c r="B3563" t="s">
        <v>35</v>
      </c>
      <c r="C3563" t="s">
        <v>16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 t="shared" si="164"/>
        <v>35</v>
      </c>
      <c r="J3563" s="3">
        <f t="shared" si="165"/>
        <v>24</v>
      </c>
      <c r="K3563" s="3">
        <f t="shared" si="166"/>
        <v>11</v>
      </c>
      <c r="L3563" s="3" t="str">
        <f t="shared" si="167"/>
        <v>MUITO BOM</v>
      </c>
      <c r="N3563">
        <v>99.19</v>
      </c>
      <c r="O3563">
        <v>29.462365591397852</v>
      </c>
    </row>
    <row r="3564" spans="1:15" hidden="1" x14ac:dyDescent="0.25">
      <c r="A3564" s="5">
        <v>46149</v>
      </c>
      <c r="B3564" s="6" t="s">
        <v>36</v>
      </c>
      <c r="C3564" s="3" t="s">
        <v>20</v>
      </c>
      <c r="D3564" s="3">
        <v>26</v>
      </c>
      <c r="E3564" s="3">
        <v>26</v>
      </c>
      <c r="G3564" s="3">
        <v>2</v>
      </c>
      <c r="H3564" s="3">
        <v>0</v>
      </c>
      <c r="I3564" s="3">
        <f t="shared" ref="I3547:I3610" si="168">E3564+G3564+H3564</f>
        <v>28</v>
      </c>
      <c r="J3564" s="3">
        <f t="shared" ref="J3547:J3610" si="169"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22</v>
      </c>
      <c r="K3564" s="3">
        <f t="shared" ref="K3547:K3610" si="170">I3564-J3564</f>
        <v>6</v>
      </c>
      <c r="L3564" s="3" t="str">
        <f t="shared" ref="L3547:L3610" si="171">IF(K3564&lt;-5,"CRÍTICO",IF(K3564&lt;0,"ATENÇÃO",IF(K3564&lt;=5,"OPORTUNO","MUITO BOM")))</f>
        <v>MUITO BOM</v>
      </c>
      <c r="M3564" s="3">
        <v>24</v>
      </c>
      <c r="N3564" s="3">
        <v>98.8</v>
      </c>
      <c r="O3564" s="3">
        <v>15.41353383458646</v>
      </c>
    </row>
    <row r="3565" spans="1:15" hidden="1" x14ac:dyDescent="0.25">
      <c r="A3565" s="11">
        <v>46113</v>
      </c>
      <c r="B3565" t="s">
        <v>37</v>
      </c>
      <c r="C3565" t="s">
        <v>16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 t="shared" si="168"/>
        <v>35</v>
      </c>
      <c r="J3565" s="3">
        <f t="shared" si="169"/>
        <v>24</v>
      </c>
      <c r="K3565" s="3">
        <f t="shared" si="170"/>
        <v>11</v>
      </c>
      <c r="L3565" s="3" t="str">
        <f t="shared" si="171"/>
        <v>MUITO BOM</v>
      </c>
      <c r="N3565">
        <v>100</v>
      </c>
      <c r="O3565">
        <v>27.941176470588239</v>
      </c>
    </row>
    <row r="3566" spans="1:15" hidden="1" x14ac:dyDescent="0.25">
      <c r="A3566" s="11">
        <v>46113</v>
      </c>
      <c r="B3566" t="s">
        <v>38</v>
      </c>
      <c r="C3566" t="s">
        <v>18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 t="shared" si="168"/>
        <v>41</v>
      </c>
      <c r="J3566" s="3">
        <f t="shared" si="169"/>
        <v>30</v>
      </c>
      <c r="K3566" s="3">
        <f t="shared" si="170"/>
        <v>11</v>
      </c>
      <c r="L3566" s="3" t="str">
        <f t="shared" si="171"/>
        <v>MUITO BOM</v>
      </c>
      <c r="N3566">
        <v>99.57</v>
      </c>
      <c r="O3566">
        <v>29.913294797687861</v>
      </c>
    </row>
    <row r="3567" spans="1:15" hidden="1" x14ac:dyDescent="0.25">
      <c r="A3567" s="11">
        <v>46113</v>
      </c>
      <c r="B3567" t="s">
        <v>39</v>
      </c>
      <c r="C3567" t="s">
        <v>18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 t="shared" si="168"/>
        <v>2</v>
      </c>
      <c r="J3567" s="3">
        <f t="shared" si="169"/>
        <v>30</v>
      </c>
      <c r="K3567" s="3">
        <f t="shared" si="170"/>
        <v>-28</v>
      </c>
      <c r="L3567" s="3" t="str">
        <f t="shared" si="171"/>
        <v>CRÍTICO</v>
      </c>
      <c r="N3567">
        <v>95.65</v>
      </c>
      <c r="O3567">
        <v>31.081081081081081</v>
      </c>
    </row>
    <row r="3568" spans="1:15" hidden="1" x14ac:dyDescent="0.25">
      <c r="A3568" s="11">
        <v>46113</v>
      </c>
      <c r="B3568" t="s">
        <v>40</v>
      </c>
      <c r="C3568" t="s">
        <v>16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 t="shared" si="168"/>
        <v>25</v>
      </c>
      <c r="J3568" s="3">
        <f t="shared" si="169"/>
        <v>24</v>
      </c>
      <c r="K3568" s="3">
        <f t="shared" si="170"/>
        <v>1</v>
      </c>
      <c r="L3568" s="3" t="str">
        <f t="shared" si="171"/>
        <v>OPORTUNO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41</v>
      </c>
      <c r="C3569" t="s">
        <v>18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f t="shared" si="168"/>
        <v>0</v>
      </c>
      <c r="J3569" s="3">
        <f t="shared" si="169"/>
        <v>30</v>
      </c>
      <c r="K3569" s="3">
        <f t="shared" si="170"/>
        <v>-30</v>
      </c>
      <c r="L3569" s="3" t="str">
        <f t="shared" si="171"/>
        <v>CRÍTICO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42</v>
      </c>
      <c r="C3570" t="s">
        <v>43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 t="shared" si="168"/>
        <v>18</v>
      </c>
      <c r="J3570" s="3">
        <f t="shared" si="169"/>
        <v>17</v>
      </c>
      <c r="K3570" s="3">
        <f t="shared" si="170"/>
        <v>1</v>
      </c>
      <c r="L3570" s="3" t="str">
        <f t="shared" si="171"/>
        <v>OPORTUNO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44</v>
      </c>
      <c r="C3571" t="s">
        <v>18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 t="shared" si="168"/>
        <v>19</v>
      </c>
      <c r="J3571" s="3">
        <f t="shared" si="169"/>
        <v>30</v>
      </c>
      <c r="K3571" s="3">
        <f t="shared" si="170"/>
        <v>-11</v>
      </c>
      <c r="L3571" s="3" t="str">
        <f t="shared" si="171"/>
        <v>CRÍTICO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45</v>
      </c>
      <c r="C3572" t="s">
        <v>43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 t="shared" si="168"/>
        <v>14</v>
      </c>
      <c r="J3572" s="3">
        <f t="shared" si="169"/>
        <v>17</v>
      </c>
      <c r="K3572" s="3">
        <f t="shared" si="170"/>
        <v>-3</v>
      </c>
      <c r="L3572" s="3" t="str">
        <f t="shared" si="171"/>
        <v>ATENÇÃO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46</v>
      </c>
      <c r="C3573" t="s">
        <v>18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 t="shared" si="168"/>
        <v>24</v>
      </c>
      <c r="J3573" s="3">
        <f t="shared" si="169"/>
        <v>30</v>
      </c>
      <c r="K3573" s="3">
        <f t="shared" si="170"/>
        <v>-6</v>
      </c>
      <c r="L3573" s="3" t="str">
        <f t="shared" si="171"/>
        <v>CRÍTICO</v>
      </c>
      <c r="N3573">
        <v>99.15</v>
      </c>
      <c r="O3573">
        <v>27.370689655172409</v>
      </c>
    </row>
    <row r="3574" spans="1:15" hidden="1" x14ac:dyDescent="0.25">
      <c r="A3574" s="11">
        <v>46113</v>
      </c>
      <c r="B3574" t="s">
        <v>47</v>
      </c>
      <c r="C3574" t="s">
        <v>16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 t="shared" si="168"/>
        <v>24</v>
      </c>
      <c r="J3574" s="3">
        <f t="shared" si="169"/>
        <v>24</v>
      </c>
      <c r="K3574" s="3">
        <f t="shared" si="170"/>
        <v>0</v>
      </c>
      <c r="L3574" s="3" t="str">
        <f t="shared" si="171"/>
        <v>OPORTUNO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48</v>
      </c>
      <c r="C3575" t="s">
        <v>16</v>
      </c>
      <c r="D3575">
        <v>0</v>
      </c>
      <c r="E3575">
        <v>0</v>
      </c>
      <c r="F3575">
        <v>0</v>
      </c>
      <c r="G3575">
        <v>0</v>
      </c>
      <c r="H3575">
        <v>0</v>
      </c>
      <c r="I3575" s="3">
        <f t="shared" si="168"/>
        <v>0</v>
      </c>
      <c r="J3575" s="3">
        <f t="shared" si="169"/>
        <v>24</v>
      </c>
      <c r="K3575" s="3">
        <f t="shared" si="170"/>
        <v>-24</v>
      </c>
      <c r="L3575" s="3" t="str">
        <f t="shared" si="171"/>
        <v>CRÍTICO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49</v>
      </c>
      <c r="C3576" t="s">
        <v>18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 t="shared" si="168"/>
        <v>48</v>
      </c>
      <c r="J3576" s="3">
        <f t="shared" si="169"/>
        <v>30</v>
      </c>
      <c r="K3576" s="3">
        <f t="shared" si="170"/>
        <v>18</v>
      </c>
      <c r="L3576" s="3" t="str">
        <f t="shared" si="171"/>
        <v>MUITO BOM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50</v>
      </c>
      <c r="C3577" t="s">
        <v>20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 t="shared" si="168"/>
        <v>24</v>
      </c>
      <c r="J3577" s="3">
        <f t="shared" si="169"/>
        <v>19</v>
      </c>
      <c r="K3577" s="3">
        <f t="shared" si="170"/>
        <v>5</v>
      </c>
      <c r="L3577" s="3" t="str">
        <f t="shared" si="171"/>
        <v>OPORTUNO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51</v>
      </c>
      <c r="C3578" t="s">
        <v>23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f t="shared" si="168"/>
        <v>0</v>
      </c>
      <c r="J3578" s="3">
        <f t="shared" si="169"/>
        <v>8</v>
      </c>
      <c r="K3578" s="3">
        <f t="shared" si="170"/>
        <v>-8</v>
      </c>
      <c r="L3578" s="3" t="str">
        <f t="shared" si="171"/>
        <v>CRÍTICO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52</v>
      </c>
      <c r="C3579" t="s">
        <v>18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si="168"/>
        <v>48</v>
      </c>
      <c r="J3579" s="3">
        <f t="shared" si="169"/>
        <v>30</v>
      </c>
      <c r="K3579" s="3">
        <f t="shared" si="170"/>
        <v>18</v>
      </c>
      <c r="L3579" s="3" t="str">
        <f t="shared" si="171"/>
        <v>MUITO BOM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53</v>
      </c>
      <c r="C3580" t="s">
        <v>18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168"/>
        <v>31</v>
      </c>
      <c r="J3580" s="3">
        <f t="shared" si="169"/>
        <v>30</v>
      </c>
      <c r="K3580" s="3">
        <f t="shared" si="170"/>
        <v>1</v>
      </c>
      <c r="L3580" s="3" t="str">
        <f t="shared" si="171"/>
        <v>OPORTUNO</v>
      </c>
      <c r="N3580">
        <v>95.49</v>
      </c>
      <c r="O3580">
        <v>28.16901408450704</v>
      </c>
    </row>
    <row r="3581" spans="1:15" hidden="1" x14ac:dyDescent="0.25">
      <c r="A3581" s="11">
        <v>46113</v>
      </c>
      <c r="B3581" t="s">
        <v>54</v>
      </c>
      <c r="C3581" t="s">
        <v>23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168"/>
        <v>16</v>
      </c>
      <c r="J3581" s="3">
        <f t="shared" si="169"/>
        <v>8</v>
      </c>
      <c r="K3581" s="3">
        <f t="shared" si="170"/>
        <v>8</v>
      </c>
      <c r="L3581" s="3" t="str">
        <f t="shared" si="171"/>
        <v>MUITO BOM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55</v>
      </c>
      <c r="C3582" t="s">
        <v>43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168"/>
        <v>23</v>
      </c>
      <c r="J3582" s="3">
        <f t="shared" si="169"/>
        <v>17</v>
      </c>
      <c r="K3582" s="3">
        <f t="shared" si="170"/>
        <v>6</v>
      </c>
      <c r="L3582" s="3" t="str">
        <f t="shared" si="171"/>
        <v>MUITO BOM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56</v>
      </c>
      <c r="C3583" t="s">
        <v>16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168"/>
        <v>21</v>
      </c>
      <c r="J3583" s="3">
        <f t="shared" si="169"/>
        <v>24</v>
      </c>
      <c r="K3583" s="3">
        <f t="shared" si="170"/>
        <v>-3</v>
      </c>
      <c r="L3583" s="3" t="str">
        <f t="shared" si="171"/>
        <v>ATENÇÃO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57</v>
      </c>
      <c r="C3584" t="s">
        <v>43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168"/>
        <v>21</v>
      </c>
      <c r="J3584" s="3">
        <f t="shared" si="169"/>
        <v>17</v>
      </c>
      <c r="K3584" s="3">
        <f t="shared" si="170"/>
        <v>4</v>
      </c>
      <c r="L3584" s="3" t="str">
        <f t="shared" si="171"/>
        <v>OPORTUNO</v>
      </c>
      <c r="N3584">
        <v>98.84</v>
      </c>
      <c r="O3584">
        <v>31.5018315018315</v>
      </c>
    </row>
    <row r="3585" spans="1:15" hidden="1" x14ac:dyDescent="0.25">
      <c r="A3585" s="11">
        <v>46113</v>
      </c>
      <c r="B3585" t="s">
        <v>58</v>
      </c>
      <c r="C3585" t="s">
        <v>43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168"/>
        <v>19</v>
      </c>
      <c r="J3585" s="3">
        <f t="shared" si="169"/>
        <v>17</v>
      </c>
      <c r="K3585" s="3">
        <f t="shared" si="170"/>
        <v>2</v>
      </c>
      <c r="L3585" s="3" t="str">
        <f t="shared" si="171"/>
        <v>OPORTUNO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59</v>
      </c>
      <c r="C3586" t="s">
        <v>23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168"/>
        <v>10</v>
      </c>
      <c r="J3586" s="3">
        <f t="shared" si="169"/>
        <v>8</v>
      </c>
      <c r="K3586" s="3">
        <f t="shared" si="170"/>
        <v>2</v>
      </c>
      <c r="L3586" s="3" t="str">
        <f t="shared" si="171"/>
        <v>OPORTUNO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60</v>
      </c>
      <c r="C3587" t="s">
        <v>20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168"/>
        <v>32</v>
      </c>
      <c r="J3587" s="3">
        <f t="shared" si="169"/>
        <v>19</v>
      </c>
      <c r="K3587" s="3">
        <f t="shared" si="170"/>
        <v>13</v>
      </c>
      <c r="L3587" s="3" t="str">
        <f t="shared" si="171"/>
        <v>MUITO BOM</v>
      </c>
      <c r="N3587">
        <v>98.32</v>
      </c>
      <c r="O3587">
        <v>26.618705035971221</v>
      </c>
    </row>
    <row r="3588" spans="1:15" hidden="1" x14ac:dyDescent="0.25">
      <c r="A3588" s="11">
        <v>46113</v>
      </c>
      <c r="B3588" t="s">
        <v>61</v>
      </c>
      <c r="C3588" t="s">
        <v>18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168"/>
        <v>42</v>
      </c>
      <c r="J3588" s="3">
        <f t="shared" si="169"/>
        <v>30</v>
      </c>
      <c r="K3588" s="3">
        <f t="shared" si="170"/>
        <v>12</v>
      </c>
      <c r="L3588" s="3" t="str">
        <f t="shared" si="171"/>
        <v>MUITO BOM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62</v>
      </c>
      <c r="C3589" t="s">
        <v>20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168"/>
        <v>24</v>
      </c>
      <c r="J3589" s="3">
        <f t="shared" si="169"/>
        <v>19</v>
      </c>
      <c r="K3589" s="3">
        <f t="shared" si="170"/>
        <v>5</v>
      </c>
      <c r="L3589" s="3" t="str">
        <f t="shared" si="171"/>
        <v>OPORTUNO</v>
      </c>
      <c r="N3589">
        <v>100</v>
      </c>
      <c r="O3589">
        <v>26.027397260273968</v>
      </c>
    </row>
    <row r="3590" spans="1:15" hidden="1" x14ac:dyDescent="0.25">
      <c r="A3590" s="11">
        <v>46113</v>
      </c>
      <c r="B3590" t="s">
        <v>63</v>
      </c>
      <c r="C3590" t="s">
        <v>18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168"/>
        <v>31</v>
      </c>
      <c r="J3590" s="3">
        <f t="shared" si="169"/>
        <v>30</v>
      </c>
      <c r="K3590" s="3">
        <f t="shared" si="170"/>
        <v>1</v>
      </c>
      <c r="L3590" s="3" t="str">
        <f t="shared" si="171"/>
        <v>OPORTUNO</v>
      </c>
      <c r="N3590">
        <v>99.21</v>
      </c>
      <c r="O3590">
        <v>24.937027707808561</v>
      </c>
    </row>
    <row r="3591" spans="1:15" hidden="1" x14ac:dyDescent="0.25">
      <c r="A3591" s="11">
        <v>46114</v>
      </c>
      <c r="B3591" t="s">
        <v>15</v>
      </c>
      <c r="C3591" t="s">
        <v>16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168"/>
        <v>8</v>
      </c>
      <c r="J3591" s="3">
        <f t="shared" si="169"/>
        <v>25</v>
      </c>
      <c r="K3591" s="3">
        <f t="shared" si="170"/>
        <v>-17</v>
      </c>
      <c r="L3591" s="3" t="str">
        <f t="shared" si="171"/>
        <v>CRÍTICO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17</v>
      </c>
      <c r="C3592" t="s">
        <v>18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f t="shared" si="168"/>
        <v>0</v>
      </c>
      <c r="J3592" s="3">
        <f t="shared" si="169"/>
        <v>32</v>
      </c>
      <c r="K3592" s="3">
        <f t="shared" si="170"/>
        <v>-32</v>
      </c>
      <c r="L3592" s="3" t="str">
        <f t="shared" si="171"/>
        <v>CRÍTICO</v>
      </c>
      <c r="N3592">
        <v>98.66</v>
      </c>
      <c r="O3592">
        <v>35.15625</v>
      </c>
    </row>
    <row r="3593" spans="1:15" hidden="1" x14ac:dyDescent="0.25">
      <c r="A3593" s="11">
        <v>46114</v>
      </c>
      <c r="B3593" t="s">
        <v>19</v>
      </c>
      <c r="C3593" t="s">
        <v>20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si="168"/>
        <v>35</v>
      </c>
      <c r="J3593" s="3">
        <f t="shared" si="169"/>
        <v>21</v>
      </c>
      <c r="K3593" s="3">
        <f t="shared" si="170"/>
        <v>14</v>
      </c>
      <c r="L3593" s="3" t="str">
        <f t="shared" si="171"/>
        <v>MUITO BOM</v>
      </c>
      <c r="N3593">
        <v>99.32</v>
      </c>
      <c r="O3593">
        <v>30.45186640471513</v>
      </c>
    </row>
    <row r="3594" spans="1:15" hidden="1" x14ac:dyDescent="0.25">
      <c r="A3594" s="11">
        <v>46114</v>
      </c>
      <c r="B3594" t="s">
        <v>21</v>
      </c>
      <c r="C3594" t="s">
        <v>18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168"/>
        <v>28</v>
      </c>
      <c r="J3594" s="3">
        <f t="shared" si="169"/>
        <v>32</v>
      </c>
      <c r="K3594" s="3">
        <f t="shared" si="170"/>
        <v>-4</v>
      </c>
      <c r="L3594" s="3" t="str">
        <f t="shared" si="171"/>
        <v>ATENÇÃO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22</v>
      </c>
      <c r="C3595" t="s">
        <v>23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168"/>
        <v>13</v>
      </c>
      <c r="J3595" s="3">
        <f t="shared" si="169"/>
        <v>9</v>
      </c>
      <c r="K3595" s="3">
        <f t="shared" si="170"/>
        <v>4</v>
      </c>
      <c r="L3595" s="3" t="str">
        <f t="shared" si="171"/>
        <v>OPORTUNO</v>
      </c>
      <c r="N3595">
        <v>96.74</v>
      </c>
      <c r="O3595">
        <v>28.43137254901961</v>
      </c>
    </row>
    <row r="3596" spans="1:15" hidden="1" x14ac:dyDescent="0.25">
      <c r="A3596" s="11">
        <v>46114</v>
      </c>
      <c r="B3596" t="s">
        <v>24</v>
      </c>
      <c r="C3596" t="s">
        <v>16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168"/>
        <v>31</v>
      </c>
      <c r="J3596" s="3">
        <f t="shared" si="169"/>
        <v>25</v>
      </c>
      <c r="K3596" s="3">
        <f t="shared" si="170"/>
        <v>6</v>
      </c>
      <c r="L3596" s="3" t="str">
        <f t="shared" si="171"/>
        <v>MUITO BOM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25</v>
      </c>
      <c r="C3597" t="s">
        <v>16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168"/>
        <v>28</v>
      </c>
      <c r="J3597" s="3">
        <f t="shared" si="169"/>
        <v>25</v>
      </c>
      <c r="K3597" s="3">
        <f t="shared" si="170"/>
        <v>3</v>
      </c>
      <c r="L3597" s="3" t="str">
        <f t="shared" si="171"/>
        <v>OPORTUNO</v>
      </c>
      <c r="N3597">
        <v>98.2</v>
      </c>
      <c r="O3597">
        <v>26.890756302521009</v>
      </c>
    </row>
    <row r="3598" spans="1:15" hidden="1" x14ac:dyDescent="0.25">
      <c r="A3598" s="11">
        <v>46114</v>
      </c>
      <c r="B3598" t="s">
        <v>26</v>
      </c>
      <c r="C3598" t="s">
        <v>23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168"/>
        <v>10</v>
      </c>
      <c r="J3598" s="3">
        <f t="shared" si="169"/>
        <v>9</v>
      </c>
      <c r="K3598" s="3">
        <f t="shared" si="170"/>
        <v>1</v>
      </c>
      <c r="L3598" s="3" t="str">
        <f t="shared" si="171"/>
        <v>OPORTUNO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27</v>
      </c>
      <c r="C3599" t="s">
        <v>20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168"/>
        <v>21</v>
      </c>
      <c r="J3599" s="3">
        <f t="shared" si="169"/>
        <v>21</v>
      </c>
      <c r="K3599" s="3">
        <f t="shared" si="170"/>
        <v>0</v>
      </c>
      <c r="L3599" s="3" t="str">
        <f t="shared" si="171"/>
        <v>OPORTUNO</v>
      </c>
      <c r="N3599">
        <v>96.3</v>
      </c>
      <c r="O3599">
        <v>31.980906921241051</v>
      </c>
    </row>
    <row r="3600" spans="1:15" hidden="1" x14ac:dyDescent="0.25">
      <c r="A3600" s="11">
        <v>46114</v>
      </c>
      <c r="B3600" t="s">
        <v>28</v>
      </c>
      <c r="C3600" t="s">
        <v>18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168"/>
        <v>42</v>
      </c>
      <c r="J3600" s="3">
        <f t="shared" si="169"/>
        <v>32</v>
      </c>
      <c r="K3600" s="3">
        <f t="shared" si="170"/>
        <v>10</v>
      </c>
      <c r="L3600" s="3" t="str">
        <f t="shared" si="171"/>
        <v>MUITO BOM</v>
      </c>
      <c r="N3600">
        <v>93.75</v>
      </c>
      <c r="O3600">
        <v>26.628352490421459</v>
      </c>
    </row>
    <row r="3601" spans="1:15" hidden="1" x14ac:dyDescent="0.25">
      <c r="A3601" s="11">
        <v>46114</v>
      </c>
      <c r="B3601" t="s">
        <v>29</v>
      </c>
      <c r="C3601" t="s">
        <v>16</v>
      </c>
      <c r="D3601">
        <v>0</v>
      </c>
      <c r="E3601">
        <v>0</v>
      </c>
      <c r="F3601">
        <v>0</v>
      </c>
      <c r="G3601">
        <v>0</v>
      </c>
      <c r="H3601">
        <v>0</v>
      </c>
      <c r="I3601" s="3">
        <f t="shared" si="168"/>
        <v>0</v>
      </c>
      <c r="J3601" s="3">
        <f t="shared" si="169"/>
        <v>25</v>
      </c>
      <c r="K3601" s="3">
        <f t="shared" si="170"/>
        <v>-25</v>
      </c>
      <c r="L3601" s="3" t="str">
        <f t="shared" si="171"/>
        <v>CRÍTICO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30</v>
      </c>
      <c r="C3602" t="s">
        <v>20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 t="shared" si="168"/>
        <v>18</v>
      </c>
      <c r="J3602" s="3">
        <f t="shared" si="169"/>
        <v>21</v>
      </c>
      <c r="K3602" s="3">
        <f t="shared" si="170"/>
        <v>-3</v>
      </c>
      <c r="L3602" s="3" t="str">
        <f t="shared" si="171"/>
        <v>ATENÇÃO</v>
      </c>
      <c r="N3602">
        <v>100</v>
      </c>
      <c r="O3602">
        <v>36.231884057971023</v>
      </c>
    </row>
    <row r="3603" spans="1:15" hidden="1" x14ac:dyDescent="0.25">
      <c r="A3603" s="11">
        <v>46114</v>
      </c>
      <c r="B3603" t="s">
        <v>31</v>
      </c>
      <c r="C3603" t="s">
        <v>18</v>
      </c>
      <c r="D3603">
        <v>0</v>
      </c>
      <c r="E3603">
        <v>0</v>
      </c>
      <c r="F3603">
        <v>0</v>
      </c>
      <c r="G3603">
        <v>0</v>
      </c>
      <c r="H3603">
        <v>0</v>
      </c>
      <c r="I3603" s="3">
        <f t="shared" si="168"/>
        <v>0</v>
      </c>
      <c r="J3603" s="3">
        <f t="shared" si="169"/>
        <v>32</v>
      </c>
      <c r="K3603" s="3">
        <f t="shared" si="170"/>
        <v>-32</v>
      </c>
      <c r="L3603" s="3" t="str">
        <f t="shared" si="171"/>
        <v>CRÍTICO</v>
      </c>
      <c r="N3603">
        <v>100</v>
      </c>
      <c r="O3603">
        <v>38.269230769230766</v>
      </c>
    </row>
    <row r="3604" spans="1:15" hidden="1" x14ac:dyDescent="0.25">
      <c r="A3604" s="11">
        <v>46114</v>
      </c>
      <c r="B3604" t="s">
        <v>32</v>
      </c>
      <c r="C3604" t="s">
        <v>23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 t="shared" si="168"/>
        <v>6</v>
      </c>
      <c r="J3604" s="3">
        <f t="shared" si="169"/>
        <v>9</v>
      </c>
      <c r="K3604" s="3">
        <f t="shared" si="170"/>
        <v>-3</v>
      </c>
      <c r="L3604" s="3" t="str">
        <f t="shared" si="171"/>
        <v>ATENÇÃO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33</v>
      </c>
      <c r="C3605" t="s">
        <v>16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 t="shared" si="168"/>
        <v>31</v>
      </c>
      <c r="J3605" s="3">
        <f t="shared" si="169"/>
        <v>25</v>
      </c>
      <c r="K3605" s="3">
        <f t="shared" si="170"/>
        <v>6</v>
      </c>
      <c r="L3605" s="3" t="str">
        <f t="shared" si="171"/>
        <v>MUITO BOM</v>
      </c>
      <c r="N3605">
        <v>97.83</v>
      </c>
      <c r="O3605">
        <v>28.131868131868131</v>
      </c>
    </row>
    <row r="3606" spans="1:15" hidden="1" x14ac:dyDescent="0.25">
      <c r="A3606" s="11">
        <v>46114</v>
      </c>
      <c r="B3606" t="s">
        <v>34</v>
      </c>
      <c r="C3606" t="s">
        <v>18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 t="shared" si="168"/>
        <v>26</v>
      </c>
      <c r="J3606" s="3">
        <f t="shared" si="169"/>
        <v>32</v>
      </c>
      <c r="K3606" s="3">
        <f t="shared" si="170"/>
        <v>-6</v>
      </c>
      <c r="L3606" s="3" t="str">
        <f t="shared" si="171"/>
        <v>CRÍTICO</v>
      </c>
      <c r="N3606">
        <v>99.26</v>
      </c>
      <c r="O3606">
        <v>29.57198443579767</v>
      </c>
    </row>
    <row r="3607" spans="1:15" hidden="1" x14ac:dyDescent="0.25">
      <c r="A3607" s="11">
        <v>46114</v>
      </c>
      <c r="B3607" t="s">
        <v>35</v>
      </c>
      <c r="C3607" t="s">
        <v>16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 t="shared" si="168"/>
        <v>33</v>
      </c>
      <c r="J3607" s="3">
        <f t="shared" si="169"/>
        <v>25</v>
      </c>
      <c r="K3607" s="3">
        <f t="shared" si="170"/>
        <v>8</v>
      </c>
      <c r="L3607" s="3" t="str">
        <f t="shared" si="171"/>
        <v>MUITO BOM</v>
      </c>
      <c r="N3607">
        <v>99.19</v>
      </c>
      <c r="O3607">
        <v>29.462365591397852</v>
      </c>
    </row>
    <row r="3608" spans="1:15" hidden="1" x14ac:dyDescent="0.25">
      <c r="A3608" s="5">
        <v>46150</v>
      </c>
      <c r="B3608" s="6" t="s">
        <v>64</v>
      </c>
      <c r="C3608" s="3" t="s">
        <v>23</v>
      </c>
      <c r="D3608" s="3">
        <v>46</v>
      </c>
      <c r="E3608" s="3">
        <v>42</v>
      </c>
      <c r="G3608" s="3">
        <v>0</v>
      </c>
      <c r="H3608" s="3">
        <v>0</v>
      </c>
      <c r="I3608" s="3">
        <f t="shared" si="168"/>
        <v>42</v>
      </c>
      <c r="J3608" s="3">
        <f t="shared" si="169"/>
        <v>8</v>
      </c>
      <c r="K3608" s="3">
        <f t="shared" si="170"/>
        <v>34</v>
      </c>
      <c r="L3608" s="3" t="str">
        <f t="shared" si="171"/>
        <v>MUITO BOM</v>
      </c>
      <c r="M3608">
        <v>0</v>
      </c>
      <c r="N3608">
        <v>100</v>
      </c>
      <c r="O3608">
        <v>14.285714285714279</v>
      </c>
    </row>
    <row r="3609" spans="1:15" hidden="1" x14ac:dyDescent="0.25">
      <c r="A3609" s="11">
        <v>46114</v>
      </c>
      <c r="B3609" t="s">
        <v>37</v>
      </c>
      <c r="C3609" t="s">
        <v>16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 t="shared" si="168"/>
        <v>34</v>
      </c>
      <c r="J3609" s="3">
        <f t="shared" si="169"/>
        <v>25</v>
      </c>
      <c r="K3609" s="3">
        <f t="shared" si="170"/>
        <v>9</v>
      </c>
      <c r="L3609" s="3" t="str">
        <f t="shared" si="171"/>
        <v>MUITO BOM</v>
      </c>
      <c r="N3609">
        <v>100</v>
      </c>
      <c r="O3609">
        <v>27.941176470588239</v>
      </c>
    </row>
    <row r="3610" spans="1:15" hidden="1" x14ac:dyDescent="0.25">
      <c r="A3610" s="11">
        <v>46114</v>
      </c>
      <c r="B3610" t="s">
        <v>38</v>
      </c>
      <c r="C3610" t="s">
        <v>18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 t="shared" si="168"/>
        <v>50</v>
      </c>
      <c r="J3610" s="3">
        <f t="shared" si="169"/>
        <v>32</v>
      </c>
      <c r="K3610" s="3">
        <f t="shared" si="170"/>
        <v>18</v>
      </c>
      <c r="L3610" s="3" t="str">
        <f t="shared" si="171"/>
        <v>MUITO BOM</v>
      </c>
      <c r="N3610">
        <v>99.57</v>
      </c>
      <c r="O3610">
        <v>29.913294797687861</v>
      </c>
    </row>
    <row r="3611" spans="1:15" hidden="1" x14ac:dyDescent="0.25">
      <c r="A3611" s="11">
        <v>46114</v>
      </c>
      <c r="B3611" t="s">
        <v>39</v>
      </c>
      <c r="C3611" t="s">
        <v>18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 t="shared" ref="I3611:I3651" si="172">E3611+G3611+H3611</f>
        <v>12</v>
      </c>
      <c r="J3611" s="3">
        <f t="shared" ref="J3611:J3651" si="173"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32</v>
      </c>
      <c r="K3611" s="3">
        <f t="shared" ref="K3611:K3651" si="174">I3611-J3611</f>
        <v>-20</v>
      </c>
      <c r="L3611" s="3" t="str">
        <f t="shared" ref="L3611:L3651" si="175">IF(K3611&lt;-5,"CRÍTICO",IF(K3611&lt;0,"ATENÇÃO",IF(K3611&lt;=5,"OPORTUNO","MUITO BOM")))</f>
        <v>CRÍTICO</v>
      </c>
      <c r="N3611">
        <v>95.65</v>
      </c>
      <c r="O3611">
        <v>31.081081081081081</v>
      </c>
    </row>
    <row r="3612" spans="1:15" hidden="1" x14ac:dyDescent="0.25">
      <c r="A3612" s="11">
        <v>46114</v>
      </c>
      <c r="B3612" t="s">
        <v>40</v>
      </c>
      <c r="C3612" t="s">
        <v>16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 t="shared" si="172"/>
        <v>18</v>
      </c>
      <c r="J3612" s="3">
        <f t="shared" si="173"/>
        <v>25</v>
      </c>
      <c r="K3612" s="3">
        <f t="shared" si="174"/>
        <v>-7</v>
      </c>
      <c r="L3612" s="3" t="str">
        <f t="shared" si="175"/>
        <v>CRÍTICO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41</v>
      </c>
      <c r="C3613" t="s">
        <v>18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f t="shared" si="172"/>
        <v>0</v>
      </c>
      <c r="J3613" s="3">
        <f t="shared" si="173"/>
        <v>32</v>
      </c>
      <c r="K3613" s="3">
        <f t="shared" si="174"/>
        <v>-32</v>
      </c>
      <c r="L3613" s="3" t="str">
        <f t="shared" si="175"/>
        <v>CRÍTICO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42</v>
      </c>
      <c r="C3614" t="s">
        <v>43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 t="shared" si="172"/>
        <v>22</v>
      </c>
      <c r="J3614" s="3">
        <f t="shared" si="173"/>
        <v>18</v>
      </c>
      <c r="K3614" s="3">
        <f t="shared" si="174"/>
        <v>4</v>
      </c>
      <c r="L3614" s="3" t="str">
        <f t="shared" si="175"/>
        <v>OPORTUNO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44</v>
      </c>
      <c r="C3615" t="s">
        <v>18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 t="shared" si="172"/>
        <v>6</v>
      </c>
      <c r="J3615" s="3">
        <f t="shared" si="173"/>
        <v>32</v>
      </c>
      <c r="K3615" s="3">
        <f t="shared" si="174"/>
        <v>-26</v>
      </c>
      <c r="L3615" s="3" t="str">
        <f t="shared" si="175"/>
        <v>CRÍTICO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45</v>
      </c>
      <c r="C3616" t="s">
        <v>43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 t="shared" si="172"/>
        <v>21</v>
      </c>
      <c r="J3616" s="3">
        <f t="shared" si="173"/>
        <v>18</v>
      </c>
      <c r="K3616" s="3">
        <f t="shared" si="174"/>
        <v>3</v>
      </c>
      <c r="L3616" s="3" t="str">
        <f t="shared" si="175"/>
        <v>OPORTUNO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46</v>
      </c>
      <c r="C3617" t="s">
        <v>18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 t="shared" si="172"/>
        <v>38</v>
      </c>
      <c r="J3617" s="3">
        <f t="shared" si="173"/>
        <v>32</v>
      </c>
      <c r="K3617" s="3">
        <f t="shared" si="174"/>
        <v>6</v>
      </c>
      <c r="L3617" s="3" t="str">
        <f t="shared" si="175"/>
        <v>MUITO BOM</v>
      </c>
      <c r="N3617">
        <v>99.15</v>
      </c>
      <c r="O3617">
        <v>27.370689655172409</v>
      </c>
    </row>
    <row r="3618" spans="1:15" hidden="1" x14ac:dyDescent="0.25">
      <c r="A3618" s="11">
        <v>46114</v>
      </c>
      <c r="B3618" t="s">
        <v>47</v>
      </c>
      <c r="C3618" t="s">
        <v>16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 t="shared" si="172"/>
        <v>35</v>
      </c>
      <c r="J3618" s="3">
        <f t="shared" si="173"/>
        <v>25</v>
      </c>
      <c r="K3618" s="3">
        <f t="shared" si="174"/>
        <v>10</v>
      </c>
      <c r="L3618" s="3" t="str">
        <f t="shared" si="175"/>
        <v>MUITO BOM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48</v>
      </c>
      <c r="C3619" t="s">
        <v>16</v>
      </c>
      <c r="D3619">
        <v>0</v>
      </c>
      <c r="E3619">
        <v>0</v>
      </c>
      <c r="F3619">
        <v>0</v>
      </c>
      <c r="G3619">
        <v>0</v>
      </c>
      <c r="H3619">
        <v>0</v>
      </c>
      <c r="I3619" s="3">
        <f t="shared" si="172"/>
        <v>0</v>
      </c>
      <c r="J3619" s="3">
        <f t="shared" si="173"/>
        <v>25</v>
      </c>
      <c r="K3619" s="3">
        <f t="shared" si="174"/>
        <v>-25</v>
      </c>
      <c r="L3619" s="3" t="str">
        <f t="shared" si="175"/>
        <v>CRÍTICO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49</v>
      </c>
      <c r="C3620" t="s">
        <v>18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si="172"/>
        <v>32</v>
      </c>
      <c r="J3620" s="3">
        <f t="shared" si="173"/>
        <v>32</v>
      </c>
      <c r="K3620" s="3">
        <f t="shared" si="174"/>
        <v>0</v>
      </c>
      <c r="L3620" s="3" t="str">
        <f t="shared" si="175"/>
        <v>OPORTUNO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50</v>
      </c>
      <c r="C3621" t="s">
        <v>20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172"/>
        <v>27</v>
      </c>
      <c r="J3621" s="3">
        <f t="shared" si="173"/>
        <v>21</v>
      </c>
      <c r="K3621" s="3">
        <f t="shared" si="174"/>
        <v>6</v>
      </c>
      <c r="L3621" s="3" t="str">
        <f t="shared" si="175"/>
        <v>MUITO BOM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51</v>
      </c>
      <c r="C3622" t="s">
        <v>23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172"/>
        <v>10</v>
      </c>
      <c r="J3622" s="3">
        <f t="shared" si="173"/>
        <v>9</v>
      </c>
      <c r="K3622" s="3">
        <f t="shared" si="174"/>
        <v>1</v>
      </c>
      <c r="L3622" s="3" t="str">
        <f t="shared" si="175"/>
        <v>OPORTUNO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52</v>
      </c>
      <c r="C3623" t="s">
        <v>18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172"/>
        <v>41</v>
      </c>
      <c r="J3623" s="3">
        <f t="shared" si="173"/>
        <v>32</v>
      </c>
      <c r="K3623" s="3">
        <f t="shared" si="174"/>
        <v>9</v>
      </c>
      <c r="L3623" s="3" t="str">
        <f t="shared" si="175"/>
        <v>MUITO BOM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53</v>
      </c>
      <c r="C3624" t="s">
        <v>18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172"/>
        <v>32</v>
      </c>
      <c r="J3624" s="3">
        <f t="shared" si="173"/>
        <v>32</v>
      </c>
      <c r="K3624" s="3">
        <f t="shared" si="174"/>
        <v>0</v>
      </c>
      <c r="L3624" s="3" t="str">
        <f t="shared" si="175"/>
        <v>OPORTUNO</v>
      </c>
      <c r="N3624">
        <v>95.49</v>
      </c>
      <c r="O3624">
        <v>28.16901408450704</v>
      </c>
    </row>
    <row r="3625" spans="1:15" hidden="1" x14ac:dyDescent="0.25">
      <c r="A3625" s="11">
        <v>46114</v>
      </c>
      <c r="B3625" t="s">
        <v>54</v>
      </c>
      <c r="C3625" t="s">
        <v>23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172"/>
        <v>18</v>
      </c>
      <c r="J3625" s="3">
        <f t="shared" si="173"/>
        <v>9</v>
      </c>
      <c r="K3625" s="3">
        <f t="shared" si="174"/>
        <v>9</v>
      </c>
      <c r="L3625" s="3" t="str">
        <f t="shared" si="175"/>
        <v>MUITO BOM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55</v>
      </c>
      <c r="C3626" t="s">
        <v>43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172"/>
        <v>17</v>
      </c>
      <c r="J3626" s="3">
        <f t="shared" si="173"/>
        <v>18</v>
      </c>
      <c r="K3626" s="3">
        <f t="shared" si="174"/>
        <v>-1</v>
      </c>
      <c r="L3626" s="3" t="str">
        <f t="shared" si="175"/>
        <v>ATENÇÃO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56</v>
      </c>
      <c r="C3627" t="s">
        <v>16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172"/>
        <v>18</v>
      </c>
      <c r="J3627" s="3">
        <f t="shared" si="173"/>
        <v>25</v>
      </c>
      <c r="K3627" s="3">
        <f t="shared" si="174"/>
        <v>-7</v>
      </c>
      <c r="L3627" s="3" t="str">
        <f t="shared" si="175"/>
        <v>CRÍTICO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57</v>
      </c>
      <c r="C3628" t="s">
        <v>43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172"/>
        <v>21</v>
      </c>
      <c r="J3628" s="3">
        <f t="shared" si="173"/>
        <v>18</v>
      </c>
      <c r="K3628" s="3">
        <f t="shared" si="174"/>
        <v>3</v>
      </c>
      <c r="L3628" s="3" t="str">
        <f t="shared" si="175"/>
        <v>OPORTUNO</v>
      </c>
      <c r="N3628">
        <v>98.84</v>
      </c>
      <c r="O3628">
        <v>31.5018315018315</v>
      </c>
    </row>
    <row r="3629" spans="1:15" hidden="1" x14ac:dyDescent="0.25">
      <c r="A3629" s="11">
        <v>46114</v>
      </c>
      <c r="B3629" t="s">
        <v>58</v>
      </c>
      <c r="C3629" t="s">
        <v>43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172"/>
        <v>17</v>
      </c>
      <c r="J3629" s="3">
        <f t="shared" si="173"/>
        <v>18</v>
      </c>
      <c r="K3629" s="3">
        <f t="shared" si="174"/>
        <v>-1</v>
      </c>
      <c r="L3629" s="3" t="str">
        <f t="shared" si="175"/>
        <v>ATENÇÃO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59</v>
      </c>
      <c r="C3630" t="s">
        <v>23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172"/>
        <v>7</v>
      </c>
      <c r="J3630" s="3">
        <f t="shared" si="173"/>
        <v>9</v>
      </c>
      <c r="K3630" s="3">
        <f t="shared" si="174"/>
        <v>-2</v>
      </c>
      <c r="L3630" s="3" t="str">
        <f t="shared" si="175"/>
        <v>ATENÇÃO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60</v>
      </c>
      <c r="C3631" t="s">
        <v>20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172"/>
        <v>29</v>
      </c>
      <c r="J3631" s="3">
        <f t="shared" si="173"/>
        <v>21</v>
      </c>
      <c r="K3631" s="3">
        <f t="shared" si="174"/>
        <v>8</v>
      </c>
      <c r="L3631" s="3" t="str">
        <f t="shared" si="175"/>
        <v>MUITO BOM</v>
      </c>
      <c r="N3631">
        <v>98.32</v>
      </c>
      <c r="O3631">
        <v>26.618705035971221</v>
      </c>
    </row>
    <row r="3632" spans="1:15" hidden="1" x14ac:dyDescent="0.25">
      <c r="A3632" s="11">
        <v>46114</v>
      </c>
      <c r="B3632" t="s">
        <v>61</v>
      </c>
      <c r="C3632" t="s">
        <v>18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172"/>
        <v>38</v>
      </c>
      <c r="J3632" s="3">
        <f t="shared" si="173"/>
        <v>32</v>
      </c>
      <c r="K3632" s="3">
        <f t="shared" si="174"/>
        <v>6</v>
      </c>
      <c r="L3632" s="3" t="str">
        <f t="shared" si="175"/>
        <v>MUITO BOM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62</v>
      </c>
      <c r="C3633" t="s">
        <v>20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172"/>
        <v>18</v>
      </c>
      <c r="J3633" s="3">
        <f t="shared" si="173"/>
        <v>21</v>
      </c>
      <c r="K3633" s="3">
        <f t="shared" si="174"/>
        <v>-3</v>
      </c>
      <c r="L3633" s="3" t="str">
        <f t="shared" si="175"/>
        <v>ATENÇÃO</v>
      </c>
      <c r="N3633">
        <v>100</v>
      </c>
      <c r="O3633">
        <v>26.027397260273968</v>
      </c>
    </row>
    <row r="3634" spans="1:15" hidden="1" x14ac:dyDescent="0.25">
      <c r="A3634" s="11">
        <v>46114</v>
      </c>
      <c r="B3634" t="s">
        <v>63</v>
      </c>
      <c r="C3634" t="s">
        <v>18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172"/>
        <v>32</v>
      </c>
      <c r="J3634" s="3">
        <f t="shared" si="173"/>
        <v>32</v>
      </c>
      <c r="K3634" s="3">
        <f t="shared" si="174"/>
        <v>0</v>
      </c>
      <c r="L3634" s="3" t="str">
        <f t="shared" si="175"/>
        <v>OPORTUNO</v>
      </c>
      <c r="N3634">
        <v>99.21</v>
      </c>
      <c r="O3634">
        <v>24.937027707808561</v>
      </c>
    </row>
    <row r="3635" spans="1:15" hidden="1" x14ac:dyDescent="0.25">
      <c r="A3635" s="11">
        <v>46115</v>
      </c>
      <c r="B3635" t="s">
        <v>15</v>
      </c>
      <c r="C3635" t="s">
        <v>16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f t="shared" si="172"/>
        <v>0</v>
      </c>
      <c r="J3635" s="3">
        <f t="shared" si="173"/>
        <v>0</v>
      </c>
      <c r="K3635" s="3">
        <f t="shared" si="174"/>
        <v>0</v>
      </c>
      <c r="L3635" s="3" t="str">
        <f t="shared" si="175"/>
        <v>OPORTUNO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17</v>
      </c>
      <c r="C3636" t="s">
        <v>18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f t="shared" si="172"/>
        <v>0</v>
      </c>
      <c r="J3636" s="3">
        <f t="shared" si="173"/>
        <v>0</v>
      </c>
      <c r="K3636" s="3">
        <f t="shared" si="174"/>
        <v>0</v>
      </c>
      <c r="L3636" s="3" t="str">
        <f t="shared" si="175"/>
        <v>OPORTUNO</v>
      </c>
      <c r="N3636">
        <v>98.66</v>
      </c>
      <c r="O3636">
        <v>35.15625</v>
      </c>
    </row>
    <row r="3637" spans="1:15" hidden="1" x14ac:dyDescent="0.25">
      <c r="A3637" s="11">
        <v>46115</v>
      </c>
      <c r="B3637" t="s">
        <v>19</v>
      </c>
      <c r="C3637" t="s">
        <v>20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f t="shared" si="172"/>
        <v>0</v>
      </c>
      <c r="J3637" s="3">
        <f t="shared" si="173"/>
        <v>0</v>
      </c>
      <c r="K3637" s="3">
        <f t="shared" si="174"/>
        <v>0</v>
      </c>
      <c r="L3637" s="3" t="str">
        <f t="shared" si="175"/>
        <v>OPORTUNO</v>
      </c>
      <c r="N3637">
        <v>99.32</v>
      </c>
      <c r="O3637">
        <v>30.45186640471513</v>
      </c>
    </row>
    <row r="3638" spans="1:15" hidden="1" x14ac:dyDescent="0.25">
      <c r="A3638" s="11">
        <v>46115</v>
      </c>
      <c r="B3638" t="s">
        <v>21</v>
      </c>
      <c r="C3638" t="s">
        <v>18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f t="shared" si="172"/>
        <v>0</v>
      </c>
      <c r="J3638" s="3">
        <f t="shared" si="173"/>
        <v>0</v>
      </c>
      <c r="K3638" s="3">
        <f t="shared" si="174"/>
        <v>0</v>
      </c>
      <c r="L3638" s="3" t="str">
        <f t="shared" si="175"/>
        <v>OPORTUNO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22</v>
      </c>
      <c r="C3639" t="s">
        <v>23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f t="shared" si="172"/>
        <v>0</v>
      </c>
      <c r="J3639" s="3">
        <f t="shared" si="173"/>
        <v>0</v>
      </c>
      <c r="K3639" s="3">
        <f t="shared" si="174"/>
        <v>0</v>
      </c>
      <c r="L3639" s="3" t="str">
        <f t="shared" si="175"/>
        <v>OPORTUNO</v>
      </c>
      <c r="N3639">
        <v>96.74</v>
      </c>
      <c r="O3639">
        <v>28.43137254901961</v>
      </c>
    </row>
    <row r="3640" spans="1:15" hidden="1" x14ac:dyDescent="0.25">
      <c r="A3640" s="11">
        <v>46115</v>
      </c>
      <c r="B3640" t="s">
        <v>24</v>
      </c>
      <c r="C3640" t="s">
        <v>16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f t="shared" si="172"/>
        <v>0</v>
      </c>
      <c r="J3640" s="3">
        <f t="shared" si="173"/>
        <v>0</v>
      </c>
      <c r="K3640" s="3">
        <f t="shared" si="174"/>
        <v>0</v>
      </c>
      <c r="L3640" s="3" t="str">
        <f t="shared" si="175"/>
        <v>OPORTUNO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25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f t="shared" si="172"/>
        <v>0</v>
      </c>
      <c r="J3641" s="3">
        <f t="shared" si="173"/>
        <v>0</v>
      </c>
      <c r="K3641" s="3">
        <f t="shared" si="174"/>
        <v>0</v>
      </c>
      <c r="L3641" s="3" t="str">
        <f t="shared" si="175"/>
        <v>OPORTUNO</v>
      </c>
      <c r="N3641">
        <v>98.2</v>
      </c>
      <c r="O3641">
        <v>26.890756302521009</v>
      </c>
    </row>
    <row r="3642" spans="1:15" hidden="1" x14ac:dyDescent="0.25">
      <c r="A3642" s="11">
        <v>46115</v>
      </c>
      <c r="B3642" t="s">
        <v>26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f t="shared" si="172"/>
        <v>0</v>
      </c>
      <c r="J3642" s="3">
        <f t="shared" si="173"/>
        <v>0</v>
      </c>
      <c r="K3642" s="3">
        <f t="shared" si="174"/>
        <v>0</v>
      </c>
      <c r="L3642" s="3" t="str">
        <f t="shared" si="175"/>
        <v>OPORTUNO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27</v>
      </c>
      <c r="C3643" t="s">
        <v>20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f t="shared" si="172"/>
        <v>0</v>
      </c>
      <c r="J3643" s="3">
        <f t="shared" si="173"/>
        <v>0</v>
      </c>
      <c r="K3643" s="3">
        <f t="shared" si="174"/>
        <v>0</v>
      </c>
      <c r="L3643" s="3" t="str">
        <f t="shared" si="175"/>
        <v>OPORTUNO</v>
      </c>
      <c r="N3643">
        <v>96.3</v>
      </c>
      <c r="O3643">
        <v>31.980906921241051</v>
      </c>
    </row>
    <row r="3644" spans="1:15" hidden="1" x14ac:dyDescent="0.25">
      <c r="A3644" s="11">
        <v>46115</v>
      </c>
      <c r="B3644" t="s">
        <v>28</v>
      </c>
      <c r="C3644" t="s">
        <v>18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f t="shared" si="172"/>
        <v>0</v>
      </c>
      <c r="J3644" s="3">
        <f t="shared" si="173"/>
        <v>0</v>
      </c>
      <c r="K3644" s="3">
        <f t="shared" si="174"/>
        <v>0</v>
      </c>
      <c r="L3644" s="3" t="str">
        <f t="shared" si="175"/>
        <v>OPORTUNO</v>
      </c>
      <c r="N3644">
        <v>93.75</v>
      </c>
      <c r="O3644">
        <v>26.628352490421459</v>
      </c>
    </row>
    <row r="3645" spans="1:15" hidden="1" x14ac:dyDescent="0.25">
      <c r="A3645" s="11">
        <v>46115</v>
      </c>
      <c r="B3645" t="s">
        <v>29</v>
      </c>
      <c r="C3645" t="s">
        <v>16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f t="shared" si="172"/>
        <v>0</v>
      </c>
      <c r="J3645" s="3">
        <f t="shared" si="173"/>
        <v>0</v>
      </c>
      <c r="K3645" s="3">
        <f t="shared" si="174"/>
        <v>0</v>
      </c>
      <c r="L3645" s="3" t="str">
        <f t="shared" si="175"/>
        <v>OPORTUNO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30</v>
      </c>
      <c r="C3646" t="s">
        <v>20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f t="shared" si="172"/>
        <v>0</v>
      </c>
      <c r="J3646" s="3">
        <f t="shared" si="173"/>
        <v>0</v>
      </c>
      <c r="K3646" s="3">
        <f t="shared" si="174"/>
        <v>0</v>
      </c>
      <c r="L3646" s="3" t="str">
        <f t="shared" si="175"/>
        <v>OPORTUNO</v>
      </c>
      <c r="N3646">
        <v>100</v>
      </c>
      <c r="O3646">
        <v>36.231884057971023</v>
      </c>
    </row>
    <row r="3647" spans="1:15" hidden="1" x14ac:dyDescent="0.25">
      <c r="A3647" s="11">
        <v>46115</v>
      </c>
      <c r="B3647" t="s">
        <v>31</v>
      </c>
      <c r="C3647" t="s">
        <v>18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f t="shared" si="172"/>
        <v>0</v>
      </c>
      <c r="J3647" s="3">
        <f t="shared" si="173"/>
        <v>0</v>
      </c>
      <c r="K3647" s="3">
        <f t="shared" si="174"/>
        <v>0</v>
      </c>
      <c r="L3647" s="3" t="str">
        <f t="shared" si="175"/>
        <v>OPORTUNO</v>
      </c>
      <c r="N3647">
        <v>100</v>
      </c>
      <c r="O3647">
        <v>38.269230769230766</v>
      </c>
    </row>
    <row r="3648" spans="1:15" hidden="1" x14ac:dyDescent="0.25">
      <c r="A3648" s="11">
        <v>46115</v>
      </c>
      <c r="B3648" t="s">
        <v>32</v>
      </c>
      <c r="C3648" t="s">
        <v>23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f t="shared" si="172"/>
        <v>0</v>
      </c>
      <c r="J3648" s="3">
        <f t="shared" si="173"/>
        <v>0</v>
      </c>
      <c r="K3648" s="3">
        <f t="shared" si="174"/>
        <v>0</v>
      </c>
      <c r="L3648" s="3" t="str">
        <f t="shared" si="175"/>
        <v>OPORTUNO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33</v>
      </c>
      <c r="C3649" t="s">
        <v>16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f t="shared" si="172"/>
        <v>0</v>
      </c>
      <c r="J3649" s="3">
        <f t="shared" si="173"/>
        <v>0</v>
      </c>
      <c r="K3649" s="3">
        <f t="shared" si="174"/>
        <v>0</v>
      </c>
      <c r="L3649" s="3" t="str">
        <f t="shared" si="175"/>
        <v>OPORTUNO</v>
      </c>
      <c r="N3649">
        <v>97.83</v>
      </c>
      <c r="O3649">
        <v>28.131868131868131</v>
      </c>
    </row>
    <row r="3650" spans="1:15" hidden="1" x14ac:dyDescent="0.25">
      <c r="A3650" s="11">
        <v>46115</v>
      </c>
      <c r="B3650" t="s">
        <v>34</v>
      </c>
      <c r="C3650" t="s">
        <v>18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f t="shared" si="172"/>
        <v>0</v>
      </c>
      <c r="J3650" s="3">
        <f t="shared" si="173"/>
        <v>0</v>
      </c>
      <c r="K3650" s="3">
        <f t="shared" si="174"/>
        <v>0</v>
      </c>
      <c r="L3650" s="3" t="str">
        <f t="shared" si="175"/>
        <v>OPORTUNO</v>
      </c>
      <c r="N3650">
        <v>99.26</v>
      </c>
      <c r="O3650">
        <v>29.57198443579767</v>
      </c>
    </row>
    <row r="3651" spans="1:15" hidden="1" x14ac:dyDescent="0.25">
      <c r="A3651" s="11">
        <v>46115</v>
      </c>
      <c r="B3651" t="s">
        <v>35</v>
      </c>
      <c r="C3651" t="s">
        <v>16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f t="shared" si="172"/>
        <v>0</v>
      </c>
      <c r="J3651" s="3">
        <f t="shared" si="173"/>
        <v>0</v>
      </c>
      <c r="K3651" s="3">
        <f t="shared" si="174"/>
        <v>0</v>
      </c>
      <c r="L3651" s="3" t="str">
        <f t="shared" si="175"/>
        <v>OPORTUNO</v>
      </c>
      <c r="N3651">
        <v>99.19</v>
      </c>
      <c r="O3651">
        <v>29.462365591397852</v>
      </c>
    </row>
    <row r="3652" spans="1:15" hidden="1" x14ac:dyDescent="0.25">
      <c r="A3652" s="5">
        <v>46150</v>
      </c>
      <c r="B3652" s="6" t="s">
        <v>36</v>
      </c>
      <c r="C3652" s="3" t="s">
        <v>20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f t="shared" ref="I3611:I3674" si="176">E3652+G3652+H3652</f>
        <v>0</v>
      </c>
      <c r="J3652" s="3">
        <f t="shared" ref="J3611:J3674" si="177">ROUND(MIN(IF(C3652="Técnico III",35,IF(C3652="Técnico II",28,IF(C3652="Técnico I",23,IF(C3652="JR",20,IF(C3652="Estágio",10,0))))),IF(C3652="Técnico III",SUMIFS($D:$D,$A:$A,$A3652,$B:$B,"&lt;&gt;Patrícia Karla de Sousa Araújo",$B:$B,"&lt;&gt;Lorena Dias de Araujo",$B:$B,"&lt;&gt;Lucas Luiz Romero")*(35/1083),IF(C3652="Técnico II",SUMIFS($D:$D,$A:$A,$A3652,$B:$B,"&lt;&gt;Patrícia Karla de Sousa Araújo",$B:$B,"&lt;&gt;Lorena Dias de Araujo",$B:$B,"&lt;&gt;Lucas Luiz Romero")*(28/1083),IF(C3652="Técnico I",SUMIFS($D:$D,$A:$A,$A3652,$B:$B,"&lt;&gt;Patrícia Karla de Sousa Araújo",$B:$B,"&lt;&gt;Lorena Dias de Araujo",$B:$B,"&lt;&gt;Lucas Luiz Romero")*(23/1083),IF(C3652="JR",SUMIFS($D:$D,$A:$A,$A3652,$B:$B,"&lt;&gt;Patrícia Karla de Sousa Araújo",$B:$B,"&lt;&gt;Lorena Dias de Araujo",$B:$B,"&lt;&gt;Lucas Luiz Romero")*(20/1083),IF(C3652="Estágio",SUMIFS($D:$D,$A:$A,$A3652,$B:$B,"&lt;&gt;Patrícia Karla de Sousa Araújo",$B:$B,"&lt;&gt;Lorena Dias de Araujo",$B:$B,"&lt;&gt;Lucas Luiz Romero")*(10/1083),0)))))),0)</f>
        <v>19</v>
      </c>
      <c r="K3652" s="3">
        <f t="shared" ref="K3611:K3674" si="178">I3652-J3652</f>
        <v>-19</v>
      </c>
      <c r="L3652" s="3" t="str">
        <f t="shared" ref="L3611:L3674" si="179">IF(K3652&lt;-5,"CRÍTICO",IF(K3652&lt;0,"ATENÇÃO",IF(K3652&lt;=5,"OPORTUNO","MUITO BOM")))</f>
        <v>CRÍTICO</v>
      </c>
      <c r="M3652" s="9">
        <v>0</v>
      </c>
      <c r="N3652" s="9">
        <v>98.8</v>
      </c>
      <c r="O3652" s="9">
        <v>15.41353383458646</v>
      </c>
    </row>
    <row r="3653" spans="1:15" hidden="1" x14ac:dyDescent="0.25">
      <c r="A3653" s="11">
        <v>46115</v>
      </c>
      <c r="B3653" t="s">
        <v>37</v>
      </c>
      <c r="C3653" t="s">
        <v>16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f t="shared" si="176"/>
        <v>0</v>
      </c>
      <c r="J3653" s="3">
        <f t="shared" si="177"/>
        <v>0</v>
      </c>
      <c r="K3653" s="3">
        <f t="shared" si="178"/>
        <v>0</v>
      </c>
      <c r="L3653" s="3" t="str">
        <f t="shared" si="179"/>
        <v>OPORTUNO</v>
      </c>
      <c r="N3653">
        <v>100</v>
      </c>
      <c r="O3653">
        <v>27.941176470588239</v>
      </c>
    </row>
    <row r="3654" spans="1:15" hidden="1" x14ac:dyDescent="0.25">
      <c r="A3654" s="11">
        <v>46115</v>
      </c>
      <c r="B3654" t="s">
        <v>38</v>
      </c>
      <c r="C3654" t="s">
        <v>18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f t="shared" si="176"/>
        <v>0</v>
      </c>
      <c r="J3654" s="3">
        <f t="shared" si="177"/>
        <v>0</v>
      </c>
      <c r="K3654" s="3">
        <f t="shared" si="178"/>
        <v>0</v>
      </c>
      <c r="L3654" s="3" t="str">
        <f t="shared" si="179"/>
        <v>OPORTUNO</v>
      </c>
      <c r="N3654">
        <v>99.57</v>
      </c>
      <c r="O3654">
        <v>29.913294797687861</v>
      </c>
    </row>
    <row r="3655" spans="1:15" hidden="1" x14ac:dyDescent="0.25">
      <c r="A3655" s="11">
        <v>46115</v>
      </c>
      <c r="B3655" t="s">
        <v>39</v>
      </c>
      <c r="C3655" t="s">
        <v>18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f t="shared" si="176"/>
        <v>0</v>
      </c>
      <c r="J3655" s="3">
        <f t="shared" si="177"/>
        <v>0</v>
      </c>
      <c r="K3655" s="3">
        <f t="shared" si="178"/>
        <v>0</v>
      </c>
      <c r="L3655" s="3" t="str">
        <f t="shared" si="179"/>
        <v>OPORTUNO</v>
      </c>
      <c r="N3655">
        <v>95.65</v>
      </c>
      <c r="O3655">
        <v>31.081081081081081</v>
      </c>
    </row>
    <row r="3656" spans="1:15" hidden="1" x14ac:dyDescent="0.25">
      <c r="A3656" s="11">
        <v>46115</v>
      </c>
      <c r="B3656" t="s">
        <v>40</v>
      </c>
      <c r="C3656" t="s">
        <v>16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f t="shared" si="176"/>
        <v>0</v>
      </c>
      <c r="J3656" s="3">
        <f t="shared" si="177"/>
        <v>0</v>
      </c>
      <c r="K3656" s="3">
        <f t="shared" si="178"/>
        <v>0</v>
      </c>
      <c r="L3656" s="3" t="str">
        <f t="shared" si="179"/>
        <v>OPORTUNO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41</v>
      </c>
      <c r="C3657" t="s">
        <v>18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f t="shared" si="176"/>
        <v>0</v>
      </c>
      <c r="J3657" s="3">
        <f t="shared" si="177"/>
        <v>0</v>
      </c>
      <c r="K3657" s="3">
        <f t="shared" si="178"/>
        <v>0</v>
      </c>
      <c r="L3657" s="3" t="str">
        <f t="shared" si="179"/>
        <v>OPORTUNO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42</v>
      </c>
      <c r="C3658" t="s">
        <v>43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f t="shared" si="176"/>
        <v>0</v>
      </c>
      <c r="J3658" s="3">
        <f t="shared" si="177"/>
        <v>0</v>
      </c>
      <c r="K3658" s="3">
        <f t="shared" si="178"/>
        <v>0</v>
      </c>
      <c r="L3658" s="3" t="str">
        <f t="shared" si="179"/>
        <v>OPORTUNO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44</v>
      </c>
      <c r="C3659" t="s">
        <v>18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f t="shared" si="176"/>
        <v>0</v>
      </c>
      <c r="J3659" s="3">
        <f t="shared" si="177"/>
        <v>0</v>
      </c>
      <c r="K3659" s="3">
        <f t="shared" si="178"/>
        <v>0</v>
      </c>
      <c r="L3659" s="3" t="str">
        <f t="shared" si="179"/>
        <v>OPORTUNO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45</v>
      </c>
      <c r="C3660" t="s">
        <v>43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f t="shared" si="176"/>
        <v>0</v>
      </c>
      <c r="J3660" s="3">
        <f t="shared" si="177"/>
        <v>0</v>
      </c>
      <c r="K3660" s="3">
        <f t="shared" si="178"/>
        <v>0</v>
      </c>
      <c r="L3660" s="3" t="str">
        <f t="shared" si="179"/>
        <v>OPORTUNO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46</v>
      </c>
      <c r="C3661" t="s">
        <v>18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f t="shared" si="176"/>
        <v>0</v>
      </c>
      <c r="J3661" s="3">
        <f t="shared" si="177"/>
        <v>0</v>
      </c>
      <c r="K3661" s="3">
        <f t="shared" si="178"/>
        <v>0</v>
      </c>
      <c r="L3661" s="3" t="str">
        <f t="shared" si="179"/>
        <v>OPORTUNO</v>
      </c>
      <c r="N3661">
        <v>99.15</v>
      </c>
      <c r="O3661">
        <v>27.370689655172409</v>
      </c>
    </row>
    <row r="3662" spans="1:15" hidden="1" x14ac:dyDescent="0.25">
      <c r="A3662" s="11">
        <v>46115</v>
      </c>
      <c r="B3662" t="s">
        <v>47</v>
      </c>
      <c r="C3662" t="s">
        <v>16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f t="shared" si="176"/>
        <v>0</v>
      </c>
      <c r="J3662" s="3">
        <f t="shared" si="177"/>
        <v>0</v>
      </c>
      <c r="K3662" s="3">
        <f t="shared" si="178"/>
        <v>0</v>
      </c>
      <c r="L3662" s="3" t="str">
        <f t="shared" si="179"/>
        <v>OPORTUNO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48</v>
      </c>
      <c r="C3663" t="s">
        <v>16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f t="shared" si="176"/>
        <v>0</v>
      </c>
      <c r="J3663" s="3">
        <f t="shared" si="177"/>
        <v>0</v>
      </c>
      <c r="K3663" s="3">
        <f t="shared" si="178"/>
        <v>0</v>
      </c>
      <c r="L3663" s="3" t="str">
        <f t="shared" si="179"/>
        <v>OPORTUNO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49</v>
      </c>
      <c r="C3664" t="s">
        <v>18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f t="shared" si="176"/>
        <v>0</v>
      </c>
      <c r="J3664" s="3">
        <f t="shared" si="177"/>
        <v>0</v>
      </c>
      <c r="K3664" s="3">
        <f t="shared" si="178"/>
        <v>0</v>
      </c>
      <c r="L3664" s="3" t="str">
        <f t="shared" si="179"/>
        <v>OPORTUNO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50</v>
      </c>
      <c r="C3665" t="s">
        <v>20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f t="shared" si="176"/>
        <v>0</v>
      </c>
      <c r="J3665" s="3">
        <f t="shared" si="177"/>
        <v>0</v>
      </c>
      <c r="K3665" s="3">
        <f t="shared" si="178"/>
        <v>0</v>
      </c>
      <c r="L3665" s="3" t="str">
        <f t="shared" si="179"/>
        <v>OPORTUNO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51</v>
      </c>
      <c r="C3666" t="s">
        <v>23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f t="shared" si="176"/>
        <v>0</v>
      </c>
      <c r="J3666" s="3">
        <f t="shared" si="177"/>
        <v>0</v>
      </c>
      <c r="K3666" s="3">
        <f t="shared" si="178"/>
        <v>0</v>
      </c>
      <c r="L3666" s="3" t="str">
        <f t="shared" si="179"/>
        <v>OPORTUNO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52</v>
      </c>
      <c r="C3667" t="s">
        <v>18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f t="shared" si="176"/>
        <v>0</v>
      </c>
      <c r="J3667" s="3">
        <f t="shared" si="177"/>
        <v>0</v>
      </c>
      <c r="K3667" s="3">
        <f t="shared" si="178"/>
        <v>0</v>
      </c>
      <c r="L3667" s="3" t="str">
        <f t="shared" si="179"/>
        <v>OPORTUNO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53</v>
      </c>
      <c r="C3668" t="s">
        <v>18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f t="shared" si="176"/>
        <v>0</v>
      </c>
      <c r="J3668" s="3">
        <f t="shared" si="177"/>
        <v>0</v>
      </c>
      <c r="K3668" s="3">
        <f t="shared" si="178"/>
        <v>0</v>
      </c>
      <c r="L3668" s="3" t="str">
        <f t="shared" si="179"/>
        <v>OPORTUNO</v>
      </c>
      <c r="N3668">
        <v>95.49</v>
      </c>
      <c r="O3668">
        <v>28.16901408450704</v>
      </c>
    </row>
    <row r="3669" spans="1:15" hidden="1" x14ac:dyDescent="0.25">
      <c r="A3669" s="11">
        <v>46115</v>
      </c>
      <c r="B3669" t="s">
        <v>54</v>
      </c>
      <c r="C3669" t="s">
        <v>23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f t="shared" si="176"/>
        <v>0</v>
      </c>
      <c r="J3669" s="3">
        <f t="shared" si="177"/>
        <v>0</v>
      </c>
      <c r="K3669" s="3">
        <f t="shared" si="178"/>
        <v>0</v>
      </c>
      <c r="L3669" s="3" t="str">
        <f t="shared" si="179"/>
        <v>OPORTUNO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55</v>
      </c>
      <c r="C3670" t="s">
        <v>43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f t="shared" si="176"/>
        <v>0</v>
      </c>
      <c r="J3670" s="3">
        <f t="shared" si="177"/>
        <v>0</v>
      </c>
      <c r="K3670" s="3">
        <f t="shared" si="178"/>
        <v>0</v>
      </c>
      <c r="L3670" s="3" t="str">
        <f t="shared" si="179"/>
        <v>OPORTUNO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56</v>
      </c>
      <c r="C3671" t="s">
        <v>16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f t="shared" si="176"/>
        <v>0</v>
      </c>
      <c r="J3671" s="3">
        <f t="shared" si="177"/>
        <v>0</v>
      </c>
      <c r="K3671" s="3">
        <f t="shared" si="178"/>
        <v>0</v>
      </c>
      <c r="L3671" s="3" t="str">
        <f t="shared" si="179"/>
        <v>OPORTUNO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57</v>
      </c>
      <c r="C3672" t="s">
        <v>43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f t="shared" si="176"/>
        <v>0</v>
      </c>
      <c r="J3672" s="3">
        <f t="shared" si="177"/>
        <v>0</v>
      </c>
      <c r="K3672" s="3">
        <f t="shared" si="178"/>
        <v>0</v>
      </c>
      <c r="L3672" s="3" t="str">
        <f t="shared" si="179"/>
        <v>OPORTUNO</v>
      </c>
      <c r="N3672">
        <v>98.84</v>
      </c>
      <c r="O3672">
        <v>31.5018315018315</v>
      </c>
    </row>
    <row r="3673" spans="1:15" hidden="1" x14ac:dyDescent="0.25">
      <c r="A3673" s="11">
        <v>46115</v>
      </c>
      <c r="B3673" t="s">
        <v>58</v>
      </c>
      <c r="C3673" t="s">
        <v>43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f t="shared" si="176"/>
        <v>0</v>
      </c>
      <c r="J3673" s="3">
        <f t="shared" si="177"/>
        <v>0</v>
      </c>
      <c r="K3673" s="3">
        <f t="shared" si="178"/>
        <v>0</v>
      </c>
      <c r="L3673" s="3" t="str">
        <f t="shared" si="179"/>
        <v>OPORTUNO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59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f t="shared" si="176"/>
        <v>0</v>
      </c>
      <c r="J3674" s="3">
        <f t="shared" si="177"/>
        <v>0</v>
      </c>
      <c r="K3674" s="3">
        <f t="shared" si="178"/>
        <v>0</v>
      </c>
      <c r="L3674" s="3" t="str">
        <f t="shared" si="179"/>
        <v>OPORTUNO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60</v>
      </c>
      <c r="C3675" t="s">
        <v>20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f t="shared" ref="I3675:I3695" si="180">E3675+G3675+H3675</f>
        <v>0</v>
      </c>
      <c r="J3675" s="3">
        <f t="shared" ref="J3675:J3695" si="181">ROUND(MIN(IF(C3675="Técnico III",35,IF(C3675="Técnico II",28,IF(C3675="Técnico I",23,IF(C3675="JR",20,IF(C3675="Estágio",10,0))))),IF(C3675="Técnico III",SUMIFS($D:$D,$A:$A,$A3675,$B:$B,"&lt;&gt;Patrícia Karla de Sousa Araújo",$B:$B,"&lt;&gt;Lorena Dias de Araujo",$B:$B,"&lt;&gt;Lucas Luiz Romero")*(35/1083),IF(C3675="Técnico II",SUMIFS($D:$D,$A:$A,$A3675,$B:$B,"&lt;&gt;Patrícia Karla de Sousa Araújo",$B:$B,"&lt;&gt;Lorena Dias de Araujo",$B:$B,"&lt;&gt;Lucas Luiz Romero")*(28/1083),IF(C3675="Técnico I",SUMIFS($D:$D,$A:$A,$A3675,$B:$B,"&lt;&gt;Patrícia Karla de Sousa Araújo",$B:$B,"&lt;&gt;Lorena Dias de Araujo",$B:$B,"&lt;&gt;Lucas Luiz Romero")*(23/1083),IF(C3675="JR",SUMIFS($D:$D,$A:$A,$A3675,$B:$B,"&lt;&gt;Patrícia Karla de Sousa Araújo",$B:$B,"&lt;&gt;Lorena Dias de Araujo",$B:$B,"&lt;&gt;Lucas Luiz Romero")*(20/1083),IF(C3675="Estágio",SUMIFS($D:$D,$A:$A,$A3675,$B:$B,"&lt;&gt;Patrícia Karla de Sousa Araújo",$B:$B,"&lt;&gt;Lorena Dias de Araujo",$B:$B,"&lt;&gt;Lucas Luiz Romero")*(10/1083),0)))))),0)</f>
        <v>0</v>
      </c>
      <c r="K3675" s="3">
        <f t="shared" ref="K3675:K3695" si="182">I3675-J3675</f>
        <v>0</v>
      </c>
      <c r="L3675" s="3" t="str">
        <f t="shared" ref="L3675:L3695" si="183">IF(K3675&lt;-5,"CRÍTICO",IF(K3675&lt;0,"ATENÇÃO",IF(K3675&lt;=5,"OPORTUNO","MUITO BOM")))</f>
        <v>OPORTUNO</v>
      </c>
      <c r="N3675">
        <v>98.32</v>
      </c>
      <c r="O3675">
        <v>26.618705035971221</v>
      </c>
    </row>
    <row r="3676" spans="1:15" hidden="1" x14ac:dyDescent="0.25">
      <c r="A3676" s="11">
        <v>46115</v>
      </c>
      <c r="B3676" t="s">
        <v>61</v>
      </c>
      <c r="C3676" t="s">
        <v>18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f t="shared" si="180"/>
        <v>0</v>
      </c>
      <c r="J3676" s="3">
        <f t="shared" si="181"/>
        <v>0</v>
      </c>
      <c r="K3676" s="3">
        <f t="shared" si="182"/>
        <v>0</v>
      </c>
      <c r="L3676" s="3" t="str">
        <f t="shared" si="183"/>
        <v>OPORTUNO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62</v>
      </c>
      <c r="C3677" t="s">
        <v>20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f t="shared" si="180"/>
        <v>0</v>
      </c>
      <c r="J3677" s="3">
        <f t="shared" si="181"/>
        <v>0</v>
      </c>
      <c r="K3677" s="3">
        <f t="shared" si="182"/>
        <v>0</v>
      </c>
      <c r="L3677" s="3" t="str">
        <f t="shared" si="183"/>
        <v>OPORTUNO</v>
      </c>
      <c r="N3677">
        <v>100</v>
      </c>
      <c r="O3677">
        <v>26.027397260273968</v>
      </c>
    </row>
    <row r="3678" spans="1:15" hidden="1" x14ac:dyDescent="0.25">
      <c r="A3678" s="11">
        <v>46115</v>
      </c>
      <c r="B3678" t="s">
        <v>63</v>
      </c>
      <c r="C3678" t="s">
        <v>18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f t="shared" si="180"/>
        <v>0</v>
      </c>
      <c r="J3678" s="3">
        <f t="shared" si="181"/>
        <v>0</v>
      </c>
      <c r="K3678" s="3">
        <f t="shared" si="182"/>
        <v>0</v>
      </c>
      <c r="L3678" s="3" t="str">
        <f t="shared" si="183"/>
        <v>OPORTUNO</v>
      </c>
      <c r="N3678">
        <v>99.21</v>
      </c>
      <c r="O3678">
        <v>24.937027707808561</v>
      </c>
    </row>
    <row r="3679" spans="1:15" hidden="1" x14ac:dyDescent="0.25">
      <c r="A3679" s="11">
        <v>46118</v>
      </c>
      <c r="B3679" t="s">
        <v>15</v>
      </c>
      <c r="C3679" t="s">
        <v>16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 t="shared" si="180"/>
        <v>14</v>
      </c>
      <c r="J3679" s="3">
        <f t="shared" si="181"/>
        <v>23</v>
      </c>
      <c r="K3679" s="3">
        <f t="shared" si="182"/>
        <v>-9</v>
      </c>
      <c r="L3679" s="3" t="str">
        <f t="shared" si="183"/>
        <v>CRÍTICO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17</v>
      </c>
      <c r="C3680" t="s">
        <v>18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f t="shared" si="180"/>
        <v>0</v>
      </c>
      <c r="J3680" s="3">
        <f t="shared" si="181"/>
        <v>29</v>
      </c>
      <c r="K3680" s="3">
        <f t="shared" si="182"/>
        <v>-29</v>
      </c>
      <c r="L3680" s="3" t="str">
        <f t="shared" si="183"/>
        <v>CRÍTICO</v>
      </c>
      <c r="N3680">
        <v>98.66</v>
      </c>
      <c r="O3680">
        <v>35.15625</v>
      </c>
    </row>
    <row r="3681" spans="1:15" hidden="1" x14ac:dyDescent="0.25">
      <c r="A3681" s="11">
        <v>46118</v>
      </c>
      <c r="B3681" t="s">
        <v>19</v>
      </c>
      <c r="C3681" t="s">
        <v>20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si="180"/>
        <v>25</v>
      </c>
      <c r="J3681" s="3">
        <f t="shared" si="181"/>
        <v>19</v>
      </c>
      <c r="K3681" s="3">
        <f t="shared" si="182"/>
        <v>6</v>
      </c>
      <c r="L3681" s="3" t="str">
        <f t="shared" si="183"/>
        <v>MUITO BOM</v>
      </c>
      <c r="N3681">
        <v>99.32</v>
      </c>
      <c r="O3681">
        <v>30.45186640471513</v>
      </c>
    </row>
    <row r="3682" spans="1:15" hidden="1" x14ac:dyDescent="0.25">
      <c r="A3682" s="11">
        <v>46118</v>
      </c>
      <c r="B3682" t="s">
        <v>21</v>
      </c>
      <c r="C3682" t="s">
        <v>18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180"/>
        <v>41</v>
      </c>
      <c r="J3682" s="3">
        <f t="shared" si="181"/>
        <v>29</v>
      </c>
      <c r="K3682" s="3">
        <f t="shared" si="182"/>
        <v>12</v>
      </c>
      <c r="L3682" s="3" t="str">
        <f t="shared" si="183"/>
        <v>MUITO BOM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22</v>
      </c>
      <c r="C3683" t="s">
        <v>23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180"/>
        <v>21</v>
      </c>
      <c r="J3683" s="3">
        <f t="shared" si="181"/>
        <v>8</v>
      </c>
      <c r="K3683" s="3">
        <f t="shared" si="182"/>
        <v>13</v>
      </c>
      <c r="L3683" s="3" t="str">
        <f t="shared" si="183"/>
        <v>MUITO BOM</v>
      </c>
      <c r="N3683">
        <v>96.74</v>
      </c>
      <c r="O3683">
        <v>28.43137254901961</v>
      </c>
    </row>
    <row r="3684" spans="1:15" hidden="1" x14ac:dyDescent="0.25">
      <c r="A3684" s="11">
        <v>46118</v>
      </c>
      <c r="B3684" t="s">
        <v>24</v>
      </c>
      <c r="C3684" t="s">
        <v>16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180"/>
        <v>36</v>
      </c>
      <c r="J3684" s="3">
        <f t="shared" si="181"/>
        <v>23</v>
      </c>
      <c r="K3684" s="3">
        <f t="shared" si="182"/>
        <v>13</v>
      </c>
      <c r="L3684" s="3" t="str">
        <f t="shared" si="183"/>
        <v>MUITO BOM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25</v>
      </c>
      <c r="C3685" t="s">
        <v>16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180"/>
        <v>31</v>
      </c>
      <c r="J3685" s="3">
        <f t="shared" si="181"/>
        <v>23</v>
      </c>
      <c r="K3685" s="3">
        <f t="shared" si="182"/>
        <v>8</v>
      </c>
      <c r="L3685" s="3" t="str">
        <f t="shared" si="183"/>
        <v>MUITO BOM</v>
      </c>
      <c r="N3685">
        <v>98.2</v>
      </c>
      <c r="O3685">
        <v>26.890756302521009</v>
      </c>
    </row>
    <row r="3686" spans="1:15" hidden="1" x14ac:dyDescent="0.25">
      <c r="A3686" s="11">
        <v>46118</v>
      </c>
      <c r="B3686" t="s">
        <v>26</v>
      </c>
      <c r="C3686" t="s">
        <v>23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180"/>
        <v>11</v>
      </c>
      <c r="J3686" s="3">
        <f t="shared" si="181"/>
        <v>8</v>
      </c>
      <c r="K3686" s="3">
        <f t="shared" si="182"/>
        <v>3</v>
      </c>
      <c r="L3686" s="3" t="str">
        <f t="shared" si="183"/>
        <v>OPORTUNO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27</v>
      </c>
      <c r="C3687" t="s">
        <v>20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180"/>
        <v>32</v>
      </c>
      <c r="J3687" s="3">
        <f t="shared" si="181"/>
        <v>19</v>
      </c>
      <c r="K3687" s="3">
        <f t="shared" si="182"/>
        <v>13</v>
      </c>
      <c r="L3687" s="3" t="str">
        <f t="shared" si="183"/>
        <v>MUITO BOM</v>
      </c>
      <c r="N3687">
        <v>96.3</v>
      </c>
      <c r="O3687">
        <v>31.980906921241051</v>
      </c>
    </row>
    <row r="3688" spans="1:15" hidden="1" x14ac:dyDescent="0.25">
      <c r="A3688" s="11">
        <v>46118</v>
      </c>
      <c r="B3688" t="s">
        <v>28</v>
      </c>
      <c r="C3688" t="s">
        <v>18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180"/>
        <v>34</v>
      </c>
      <c r="J3688" s="3">
        <f t="shared" si="181"/>
        <v>29</v>
      </c>
      <c r="K3688" s="3">
        <f t="shared" si="182"/>
        <v>5</v>
      </c>
      <c r="L3688" s="3" t="str">
        <f t="shared" si="183"/>
        <v>OPORTUNO</v>
      </c>
      <c r="N3688">
        <v>93.75</v>
      </c>
      <c r="O3688">
        <v>26.628352490421459</v>
      </c>
    </row>
    <row r="3689" spans="1:15" hidden="1" x14ac:dyDescent="0.25">
      <c r="A3689" s="11">
        <v>46118</v>
      </c>
      <c r="B3689" t="s">
        <v>29</v>
      </c>
      <c r="C3689" t="s">
        <v>16</v>
      </c>
      <c r="D3689">
        <v>0</v>
      </c>
      <c r="E3689">
        <v>0</v>
      </c>
      <c r="F3689">
        <v>0</v>
      </c>
      <c r="G3689">
        <v>0</v>
      </c>
      <c r="H3689">
        <v>0</v>
      </c>
      <c r="I3689" s="3">
        <f t="shared" si="180"/>
        <v>0</v>
      </c>
      <c r="J3689" s="3">
        <f t="shared" si="181"/>
        <v>23</v>
      </c>
      <c r="K3689" s="3">
        <f t="shared" si="182"/>
        <v>-23</v>
      </c>
      <c r="L3689" s="3" t="str">
        <f t="shared" si="183"/>
        <v>CRÍTICO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30</v>
      </c>
      <c r="C3690" t="s">
        <v>20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 t="shared" si="180"/>
        <v>22</v>
      </c>
      <c r="J3690" s="3">
        <f t="shared" si="181"/>
        <v>19</v>
      </c>
      <c r="K3690" s="3">
        <f t="shared" si="182"/>
        <v>3</v>
      </c>
      <c r="L3690" s="3" t="str">
        <f t="shared" si="183"/>
        <v>OPORTUNO</v>
      </c>
      <c r="N3690">
        <v>100</v>
      </c>
      <c r="O3690">
        <v>36.231884057971023</v>
      </c>
    </row>
    <row r="3691" spans="1:15" hidden="1" x14ac:dyDescent="0.25">
      <c r="A3691" s="11">
        <v>46118</v>
      </c>
      <c r="B3691" t="s">
        <v>31</v>
      </c>
      <c r="C3691" t="s">
        <v>18</v>
      </c>
      <c r="D3691">
        <v>0</v>
      </c>
      <c r="E3691">
        <v>0</v>
      </c>
      <c r="F3691">
        <v>0</v>
      </c>
      <c r="G3691">
        <v>0</v>
      </c>
      <c r="H3691">
        <v>0</v>
      </c>
      <c r="I3691" s="3">
        <f t="shared" si="180"/>
        <v>0</v>
      </c>
      <c r="J3691" s="3">
        <f t="shared" si="181"/>
        <v>29</v>
      </c>
      <c r="K3691" s="3">
        <f t="shared" si="182"/>
        <v>-29</v>
      </c>
      <c r="L3691" s="3" t="str">
        <f t="shared" si="183"/>
        <v>CRÍTICO</v>
      </c>
      <c r="N3691">
        <v>100</v>
      </c>
      <c r="O3691">
        <v>38.269230769230766</v>
      </c>
    </row>
    <row r="3692" spans="1:15" hidden="1" x14ac:dyDescent="0.25">
      <c r="A3692" s="11">
        <v>46118</v>
      </c>
      <c r="B3692" t="s">
        <v>32</v>
      </c>
      <c r="C3692" t="s">
        <v>23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 t="shared" si="180"/>
        <v>8</v>
      </c>
      <c r="J3692" s="3">
        <f t="shared" si="181"/>
        <v>8</v>
      </c>
      <c r="K3692" s="3">
        <f t="shared" si="182"/>
        <v>0</v>
      </c>
      <c r="L3692" s="3" t="str">
        <f t="shared" si="183"/>
        <v>OPORTUNO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33</v>
      </c>
      <c r="C3693" t="s">
        <v>16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 t="shared" si="180"/>
        <v>33</v>
      </c>
      <c r="J3693" s="3">
        <f t="shared" si="181"/>
        <v>23</v>
      </c>
      <c r="K3693" s="3">
        <f t="shared" si="182"/>
        <v>10</v>
      </c>
      <c r="L3693" s="3" t="str">
        <f t="shared" si="183"/>
        <v>MUITO BOM</v>
      </c>
      <c r="N3693">
        <v>97.83</v>
      </c>
      <c r="O3693">
        <v>28.131868131868131</v>
      </c>
    </row>
    <row r="3694" spans="1:15" hidden="1" x14ac:dyDescent="0.25">
      <c r="A3694" s="11">
        <v>46118</v>
      </c>
      <c r="B3694" t="s">
        <v>34</v>
      </c>
      <c r="C3694" t="s">
        <v>18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 t="shared" si="180"/>
        <v>28</v>
      </c>
      <c r="J3694" s="3">
        <f t="shared" si="181"/>
        <v>29</v>
      </c>
      <c r="K3694" s="3">
        <f t="shared" si="182"/>
        <v>-1</v>
      </c>
      <c r="L3694" s="3" t="str">
        <f t="shared" si="183"/>
        <v>ATENÇÃO</v>
      </c>
      <c r="N3694">
        <v>99.26</v>
      </c>
      <c r="O3694">
        <v>29.57198443579767</v>
      </c>
    </row>
    <row r="3695" spans="1:15" hidden="1" x14ac:dyDescent="0.25">
      <c r="A3695" s="11">
        <v>46118</v>
      </c>
      <c r="B3695" t="s">
        <v>35</v>
      </c>
      <c r="C3695" t="s">
        <v>16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 t="shared" si="180"/>
        <v>30</v>
      </c>
      <c r="J3695" s="3">
        <f t="shared" si="181"/>
        <v>23</v>
      </c>
      <c r="K3695" s="3">
        <f t="shared" si="182"/>
        <v>7</v>
      </c>
      <c r="L3695" s="3" t="str">
        <f t="shared" si="183"/>
        <v>MUITO BOM</v>
      </c>
      <c r="N3695">
        <v>99.19</v>
      </c>
      <c r="O3695">
        <v>29.462365591397852</v>
      </c>
    </row>
    <row r="3696" spans="1:15" hidden="1" x14ac:dyDescent="0.25">
      <c r="A3696" s="5">
        <v>46153</v>
      </c>
      <c r="B3696" s="6" t="s">
        <v>36</v>
      </c>
      <c r="C3696" s="3" t="s">
        <v>20</v>
      </c>
      <c r="D3696" s="3">
        <v>25</v>
      </c>
      <c r="E3696" s="3">
        <v>22</v>
      </c>
      <c r="G3696" s="3">
        <v>5</v>
      </c>
      <c r="H3696" s="3">
        <v>0</v>
      </c>
      <c r="I3696" s="3">
        <f t="shared" ref="I3675:I3738" si="184">E3696+G3696+H3696</f>
        <v>27</v>
      </c>
      <c r="J3696" s="3">
        <f t="shared" ref="J3675:J3738" si="185"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>20</v>
      </c>
      <c r="K3696" s="3">
        <f t="shared" ref="K3675:K3738" si="186">I3696-J3696</f>
        <v>7</v>
      </c>
      <c r="L3696" s="3" t="str">
        <f t="shared" ref="L3675:L3738" si="187">IF(K3696&lt;-5,"CRÍTICO",IF(K3696&lt;0,"ATENÇÃO",IF(K3696&lt;=5,"OPORTUNO","MUITO BOM")))</f>
        <v>MUITO BOM</v>
      </c>
      <c r="M3696">
        <v>23</v>
      </c>
      <c r="N3696">
        <v>98.8</v>
      </c>
      <c r="O3696">
        <v>15.41353383458646</v>
      </c>
    </row>
    <row r="3697" spans="1:15" hidden="1" x14ac:dyDescent="0.25">
      <c r="A3697" s="11">
        <v>46118</v>
      </c>
      <c r="B3697" t="s">
        <v>37</v>
      </c>
      <c r="C3697" t="s">
        <v>16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f t="shared" si="184"/>
        <v>0</v>
      </c>
      <c r="J3697" s="3">
        <f t="shared" si="185"/>
        <v>23</v>
      </c>
      <c r="K3697" s="3">
        <f t="shared" si="186"/>
        <v>-23</v>
      </c>
      <c r="L3697" s="3" t="str">
        <f t="shared" si="187"/>
        <v>CRÍTICO</v>
      </c>
      <c r="N3697">
        <v>100</v>
      </c>
      <c r="O3697">
        <v>27.941176470588239</v>
      </c>
    </row>
    <row r="3698" spans="1:15" hidden="1" x14ac:dyDescent="0.25">
      <c r="A3698" s="11">
        <v>46118</v>
      </c>
      <c r="B3698" t="s">
        <v>38</v>
      </c>
      <c r="C3698" t="s">
        <v>18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 t="shared" si="184"/>
        <v>46</v>
      </c>
      <c r="J3698" s="3">
        <f t="shared" si="185"/>
        <v>29</v>
      </c>
      <c r="K3698" s="3">
        <f t="shared" si="186"/>
        <v>17</v>
      </c>
      <c r="L3698" s="3" t="str">
        <f t="shared" si="187"/>
        <v>MUITO BOM</v>
      </c>
      <c r="N3698">
        <v>99.57</v>
      </c>
      <c r="O3698">
        <v>29.913294797687861</v>
      </c>
    </row>
    <row r="3699" spans="1:15" hidden="1" x14ac:dyDescent="0.25">
      <c r="A3699" s="11">
        <v>46118</v>
      </c>
      <c r="B3699" t="s">
        <v>39</v>
      </c>
      <c r="C3699" t="s">
        <v>18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f t="shared" si="184"/>
        <v>0</v>
      </c>
      <c r="J3699" s="3">
        <f t="shared" si="185"/>
        <v>29</v>
      </c>
      <c r="K3699" s="3">
        <f t="shared" si="186"/>
        <v>-29</v>
      </c>
      <c r="L3699" s="3" t="str">
        <f t="shared" si="187"/>
        <v>CRÍTICO</v>
      </c>
      <c r="N3699">
        <v>95.65</v>
      </c>
      <c r="O3699">
        <v>31.081081081081081</v>
      </c>
    </row>
    <row r="3700" spans="1:15" hidden="1" x14ac:dyDescent="0.25">
      <c r="A3700" s="11">
        <v>46118</v>
      </c>
      <c r="B3700" t="s">
        <v>40</v>
      </c>
      <c r="C3700" t="s">
        <v>16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 t="shared" si="184"/>
        <v>12</v>
      </c>
      <c r="J3700" s="3">
        <f t="shared" si="185"/>
        <v>23</v>
      </c>
      <c r="K3700" s="3">
        <f t="shared" si="186"/>
        <v>-11</v>
      </c>
      <c r="L3700" s="3" t="str">
        <f t="shared" si="187"/>
        <v>CRÍTICO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41</v>
      </c>
      <c r="C3701" t="s">
        <v>18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f t="shared" si="184"/>
        <v>0</v>
      </c>
      <c r="J3701" s="3">
        <f t="shared" si="185"/>
        <v>29</v>
      </c>
      <c r="K3701" s="3">
        <f t="shared" si="186"/>
        <v>-29</v>
      </c>
      <c r="L3701" s="3" t="str">
        <f t="shared" si="187"/>
        <v>CRÍTICO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42</v>
      </c>
      <c r="C3702" t="s">
        <v>43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 t="shared" si="184"/>
        <v>17</v>
      </c>
      <c r="J3702" s="3">
        <f t="shared" si="185"/>
        <v>17</v>
      </c>
      <c r="K3702" s="3">
        <f t="shared" si="186"/>
        <v>0</v>
      </c>
      <c r="L3702" s="3" t="str">
        <f t="shared" si="187"/>
        <v>OPORTUNO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44</v>
      </c>
      <c r="C3703" t="s">
        <v>18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 t="shared" si="184"/>
        <v>9</v>
      </c>
      <c r="J3703" s="3">
        <f t="shared" si="185"/>
        <v>29</v>
      </c>
      <c r="K3703" s="3">
        <f t="shared" si="186"/>
        <v>-20</v>
      </c>
      <c r="L3703" s="3" t="str">
        <f t="shared" si="187"/>
        <v>CRÍTICO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45</v>
      </c>
      <c r="C3704" t="s">
        <v>43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 t="shared" si="184"/>
        <v>12</v>
      </c>
      <c r="J3704" s="3">
        <f t="shared" si="185"/>
        <v>17</v>
      </c>
      <c r="K3704" s="3">
        <f t="shared" si="186"/>
        <v>-5</v>
      </c>
      <c r="L3704" s="3" t="str">
        <f t="shared" si="187"/>
        <v>ATENÇÃO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46</v>
      </c>
      <c r="C3705" t="s">
        <v>18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 t="shared" si="184"/>
        <v>29</v>
      </c>
      <c r="J3705" s="3">
        <f t="shared" si="185"/>
        <v>29</v>
      </c>
      <c r="K3705" s="3">
        <f t="shared" si="186"/>
        <v>0</v>
      </c>
      <c r="L3705" s="3" t="str">
        <f t="shared" si="187"/>
        <v>OPORTUNO</v>
      </c>
      <c r="N3705">
        <v>99.15</v>
      </c>
      <c r="O3705">
        <v>27.370689655172409</v>
      </c>
    </row>
    <row r="3706" spans="1:15" hidden="1" x14ac:dyDescent="0.25">
      <c r="A3706" s="11">
        <v>46118</v>
      </c>
      <c r="B3706" t="s">
        <v>47</v>
      </c>
      <c r="C3706" t="s">
        <v>16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 t="shared" si="184"/>
        <v>23</v>
      </c>
      <c r="J3706" s="3">
        <f t="shared" si="185"/>
        <v>23</v>
      </c>
      <c r="K3706" s="3">
        <f t="shared" si="186"/>
        <v>0</v>
      </c>
      <c r="L3706" s="3" t="str">
        <f t="shared" si="187"/>
        <v>OPORTUNO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48</v>
      </c>
      <c r="C3707" t="s">
        <v>16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f t="shared" si="184"/>
        <v>0</v>
      </c>
      <c r="J3707" s="3">
        <f t="shared" si="185"/>
        <v>23</v>
      </c>
      <c r="K3707" s="3">
        <f t="shared" si="186"/>
        <v>-23</v>
      </c>
      <c r="L3707" s="3" t="str">
        <f t="shared" si="187"/>
        <v>CRÍTICO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49</v>
      </c>
      <c r="C3708" t="s">
        <v>18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f t="shared" si="184"/>
        <v>0</v>
      </c>
      <c r="J3708" s="3">
        <f t="shared" si="185"/>
        <v>29</v>
      </c>
      <c r="K3708" s="3">
        <f t="shared" si="186"/>
        <v>-29</v>
      </c>
      <c r="L3708" s="3" t="str">
        <f t="shared" si="187"/>
        <v>CRÍTICO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50</v>
      </c>
      <c r="C3709" t="s">
        <v>20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si="184"/>
        <v>23</v>
      </c>
      <c r="J3709" s="3">
        <f t="shared" si="185"/>
        <v>19</v>
      </c>
      <c r="K3709" s="3">
        <f t="shared" si="186"/>
        <v>4</v>
      </c>
      <c r="L3709" s="3" t="str">
        <f t="shared" si="187"/>
        <v>OPORTUNO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51</v>
      </c>
      <c r="C3710" t="s">
        <v>23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184"/>
        <v>10</v>
      </c>
      <c r="J3710" s="3">
        <f t="shared" si="185"/>
        <v>8</v>
      </c>
      <c r="K3710" s="3">
        <f t="shared" si="186"/>
        <v>2</v>
      </c>
      <c r="L3710" s="3" t="str">
        <f t="shared" si="187"/>
        <v>OPORTUNO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52</v>
      </c>
      <c r="C3711" t="s">
        <v>18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184"/>
        <v>42</v>
      </c>
      <c r="J3711" s="3">
        <f t="shared" si="185"/>
        <v>29</v>
      </c>
      <c r="K3711" s="3">
        <f t="shared" si="186"/>
        <v>13</v>
      </c>
      <c r="L3711" s="3" t="str">
        <f t="shared" si="187"/>
        <v>MUITO BOM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53</v>
      </c>
      <c r="C3712" t="s">
        <v>18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184"/>
        <v>25</v>
      </c>
      <c r="J3712" s="3">
        <f t="shared" si="185"/>
        <v>29</v>
      </c>
      <c r="K3712" s="3">
        <f t="shared" si="186"/>
        <v>-4</v>
      </c>
      <c r="L3712" s="3" t="str">
        <f t="shared" si="187"/>
        <v>ATENÇÃO</v>
      </c>
      <c r="N3712">
        <v>95.49</v>
      </c>
      <c r="O3712">
        <v>28.16901408450704</v>
      </c>
    </row>
    <row r="3713" spans="1:15" hidden="1" x14ac:dyDescent="0.25">
      <c r="A3713" s="11">
        <v>46118</v>
      </c>
      <c r="B3713" t="s">
        <v>54</v>
      </c>
      <c r="C3713" t="s">
        <v>23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184"/>
        <v>5</v>
      </c>
      <c r="J3713" s="3">
        <f t="shared" si="185"/>
        <v>8</v>
      </c>
      <c r="K3713" s="3">
        <f t="shared" si="186"/>
        <v>-3</v>
      </c>
      <c r="L3713" s="3" t="str">
        <f t="shared" si="187"/>
        <v>ATENÇÃO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55</v>
      </c>
      <c r="C3714" t="s">
        <v>43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184"/>
        <v>23</v>
      </c>
      <c r="J3714" s="3">
        <f t="shared" si="185"/>
        <v>17</v>
      </c>
      <c r="K3714" s="3">
        <f t="shared" si="186"/>
        <v>6</v>
      </c>
      <c r="L3714" s="3" t="str">
        <f t="shared" si="187"/>
        <v>MUITO BOM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56</v>
      </c>
      <c r="C3715" t="s">
        <v>16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184"/>
        <v>27</v>
      </c>
      <c r="J3715" s="3">
        <f t="shared" si="185"/>
        <v>23</v>
      </c>
      <c r="K3715" s="3">
        <f t="shared" si="186"/>
        <v>4</v>
      </c>
      <c r="L3715" s="3" t="str">
        <f t="shared" si="187"/>
        <v>OPORTUNO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57</v>
      </c>
      <c r="C3716" t="s">
        <v>43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184"/>
        <v>17</v>
      </c>
      <c r="J3716" s="3">
        <f t="shared" si="185"/>
        <v>17</v>
      </c>
      <c r="K3716" s="3">
        <f t="shared" si="186"/>
        <v>0</v>
      </c>
      <c r="L3716" s="3" t="str">
        <f t="shared" si="187"/>
        <v>OPORTUNO</v>
      </c>
      <c r="N3716">
        <v>98.84</v>
      </c>
      <c r="O3716">
        <v>31.5018315018315</v>
      </c>
    </row>
    <row r="3717" spans="1:15" hidden="1" x14ac:dyDescent="0.25">
      <c r="A3717" s="11">
        <v>46118</v>
      </c>
      <c r="B3717" t="s">
        <v>58</v>
      </c>
      <c r="C3717" t="s">
        <v>43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184"/>
        <v>20</v>
      </c>
      <c r="J3717" s="3">
        <f t="shared" si="185"/>
        <v>17</v>
      </c>
      <c r="K3717" s="3">
        <f t="shared" si="186"/>
        <v>3</v>
      </c>
      <c r="L3717" s="3" t="str">
        <f t="shared" si="187"/>
        <v>OPORTUNO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59</v>
      </c>
      <c r="C3718" t="s">
        <v>23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184"/>
        <v>9</v>
      </c>
      <c r="J3718" s="3">
        <f t="shared" si="185"/>
        <v>8</v>
      </c>
      <c r="K3718" s="3">
        <f t="shared" si="186"/>
        <v>1</v>
      </c>
      <c r="L3718" s="3" t="str">
        <f t="shared" si="187"/>
        <v>OPORTUNO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60</v>
      </c>
      <c r="C3719" t="s">
        <v>20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184"/>
        <v>20</v>
      </c>
      <c r="J3719" s="3">
        <f t="shared" si="185"/>
        <v>19</v>
      </c>
      <c r="K3719" s="3">
        <f t="shared" si="186"/>
        <v>1</v>
      </c>
      <c r="L3719" s="3" t="str">
        <f t="shared" si="187"/>
        <v>OPORTUNO</v>
      </c>
      <c r="N3719">
        <v>98.32</v>
      </c>
      <c r="O3719">
        <v>26.618705035971221</v>
      </c>
    </row>
    <row r="3720" spans="1:15" hidden="1" x14ac:dyDescent="0.25">
      <c r="A3720" s="11">
        <v>46118</v>
      </c>
      <c r="B3720" t="s">
        <v>61</v>
      </c>
      <c r="C3720" t="s">
        <v>18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184"/>
        <v>37</v>
      </c>
      <c r="J3720" s="3">
        <f t="shared" si="185"/>
        <v>29</v>
      </c>
      <c r="K3720" s="3">
        <f t="shared" si="186"/>
        <v>8</v>
      </c>
      <c r="L3720" s="3" t="str">
        <f t="shared" si="187"/>
        <v>MUITO BOM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62</v>
      </c>
      <c r="C3721" t="s">
        <v>20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184"/>
        <v>17</v>
      </c>
      <c r="J3721" s="3">
        <f t="shared" si="185"/>
        <v>19</v>
      </c>
      <c r="K3721" s="3">
        <f t="shared" si="186"/>
        <v>-2</v>
      </c>
      <c r="L3721" s="3" t="str">
        <f t="shared" si="187"/>
        <v>ATENÇÃO</v>
      </c>
      <c r="N3721">
        <v>100</v>
      </c>
      <c r="O3721">
        <v>26.027397260273968</v>
      </c>
    </row>
    <row r="3722" spans="1:15" hidden="1" x14ac:dyDescent="0.25">
      <c r="A3722" s="11">
        <v>46118</v>
      </c>
      <c r="B3722" t="s">
        <v>63</v>
      </c>
      <c r="C3722" t="s">
        <v>18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184"/>
        <v>28</v>
      </c>
      <c r="J3722" s="3">
        <f t="shared" si="185"/>
        <v>29</v>
      </c>
      <c r="K3722" s="3">
        <f t="shared" si="186"/>
        <v>-1</v>
      </c>
      <c r="L3722" s="3" t="str">
        <f t="shared" si="187"/>
        <v>ATENÇÃO</v>
      </c>
      <c r="N3722">
        <v>99.21</v>
      </c>
      <c r="O3722">
        <v>24.937027707808561</v>
      </c>
    </row>
    <row r="3723" spans="1:15" hidden="1" x14ac:dyDescent="0.25">
      <c r="A3723" s="11">
        <v>46119</v>
      </c>
      <c r="B3723" t="s">
        <v>15</v>
      </c>
      <c r="C3723" t="s">
        <v>16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184"/>
        <v>6</v>
      </c>
      <c r="J3723" s="3">
        <f t="shared" si="185"/>
        <v>23</v>
      </c>
      <c r="K3723" s="3">
        <f t="shared" si="186"/>
        <v>-17</v>
      </c>
      <c r="L3723" s="3" t="str">
        <f t="shared" si="187"/>
        <v>CRÍTICO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17</v>
      </c>
      <c r="C3724" t="s">
        <v>18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f t="shared" si="184"/>
        <v>0</v>
      </c>
      <c r="J3724" s="3">
        <f t="shared" si="185"/>
        <v>29</v>
      </c>
      <c r="K3724" s="3">
        <f t="shared" si="186"/>
        <v>-29</v>
      </c>
      <c r="L3724" s="3" t="str">
        <f t="shared" si="187"/>
        <v>CRÍTICO</v>
      </c>
      <c r="N3724">
        <v>98.66</v>
      </c>
      <c r="O3724">
        <v>35.15625</v>
      </c>
    </row>
    <row r="3725" spans="1:15" hidden="1" x14ac:dyDescent="0.25">
      <c r="A3725" s="11">
        <v>46119</v>
      </c>
      <c r="B3725" t="s">
        <v>19</v>
      </c>
      <c r="C3725" t="s">
        <v>20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si="184"/>
        <v>33</v>
      </c>
      <c r="J3725" s="3">
        <f t="shared" si="185"/>
        <v>19</v>
      </c>
      <c r="K3725" s="3">
        <f t="shared" si="186"/>
        <v>14</v>
      </c>
      <c r="L3725" s="3" t="str">
        <f t="shared" si="187"/>
        <v>MUITO BOM</v>
      </c>
      <c r="N3725">
        <v>99.32</v>
      </c>
      <c r="O3725">
        <v>30.45186640471513</v>
      </c>
    </row>
    <row r="3726" spans="1:15" hidden="1" x14ac:dyDescent="0.25">
      <c r="A3726" s="11">
        <v>46119</v>
      </c>
      <c r="B3726" t="s">
        <v>21</v>
      </c>
      <c r="C3726" t="s">
        <v>18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184"/>
        <v>28</v>
      </c>
      <c r="J3726" s="3">
        <f t="shared" si="185"/>
        <v>29</v>
      </c>
      <c r="K3726" s="3">
        <f t="shared" si="186"/>
        <v>-1</v>
      </c>
      <c r="L3726" s="3" t="str">
        <f t="shared" si="187"/>
        <v>ATENÇÃO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22</v>
      </c>
      <c r="C3727" t="s">
        <v>23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184"/>
        <v>23</v>
      </c>
      <c r="J3727" s="3">
        <f t="shared" si="185"/>
        <v>8</v>
      </c>
      <c r="K3727" s="3">
        <f t="shared" si="186"/>
        <v>15</v>
      </c>
      <c r="L3727" s="3" t="str">
        <f t="shared" si="187"/>
        <v>MUITO BOM</v>
      </c>
      <c r="N3727">
        <v>96.74</v>
      </c>
      <c r="O3727">
        <v>28.43137254901961</v>
      </c>
    </row>
    <row r="3728" spans="1:15" hidden="1" x14ac:dyDescent="0.25">
      <c r="A3728" s="11">
        <v>46119</v>
      </c>
      <c r="B3728" t="s">
        <v>24</v>
      </c>
      <c r="C3728" t="s">
        <v>16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184"/>
        <v>38</v>
      </c>
      <c r="J3728" s="3">
        <f t="shared" si="185"/>
        <v>23</v>
      </c>
      <c r="K3728" s="3">
        <f t="shared" si="186"/>
        <v>15</v>
      </c>
      <c r="L3728" s="3" t="str">
        <f t="shared" si="187"/>
        <v>MUITO BOM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25</v>
      </c>
      <c r="C3729" t="s">
        <v>16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184"/>
        <v>28</v>
      </c>
      <c r="J3729" s="3">
        <f t="shared" si="185"/>
        <v>23</v>
      </c>
      <c r="K3729" s="3">
        <f t="shared" si="186"/>
        <v>5</v>
      </c>
      <c r="L3729" s="3" t="str">
        <f t="shared" si="187"/>
        <v>OPORTUNO</v>
      </c>
      <c r="N3729">
        <v>98.2</v>
      </c>
      <c r="O3729">
        <v>26.890756302521009</v>
      </c>
    </row>
    <row r="3730" spans="1:15" hidden="1" x14ac:dyDescent="0.25">
      <c r="A3730" s="11">
        <v>46119</v>
      </c>
      <c r="B3730" t="s">
        <v>26</v>
      </c>
      <c r="C3730" t="s">
        <v>23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184"/>
        <v>10</v>
      </c>
      <c r="J3730" s="3">
        <f t="shared" si="185"/>
        <v>8</v>
      </c>
      <c r="K3730" s="3">
        <f t="shared" si="186"/>
        <v>2</v>
      </c>
      <c r="L3730" s="3" t="str">
        <f t="shared" si="187"/>
        <v>OPORTUNO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27</v>
      </c>
      <c r="C3731" t="s">
        <v>20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184"/>
        <v>24</v>
      </c>
      <c r="J3731" s="3">
        <f t="shared" si="185"/>
        <v>19</v>
      </c>
      <c r="K3731" s="3">
        <f t="shared" si="186"/>
        <v>5</v>
      </c>
      <c r="L3731" s="3" t="str">
        <f t="shared" si="187"/>
        <v>OPORTUNO</v>
      </c>
      <c r="N3731">
        <v>96.3</v>
      </c>
      <c r="O3731">
        <v>31.980906921241051</v>
      </c>
    </row>
    <row r="3732" spans="1:15" hidden="1" x14ac:dyDescent="0.25">
      <c r="A3732" s="11">
        <v>46119</v>
      </c>
      <c r="B3732" t="s">
        <v>28</v>
      </c>
      <c r="C3732" t="s">
        <v>18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184"/>
        <v>39</v>
      </c>
      <c r="J3732" s="3">
        <f t="shared" si="185"/>
        <v>29</v>
      </c>
      <c r="K3732" s="3">
        <f t="shared" si="186"/>
        <v>10</v>
      </c>
      <c r="L3732" s="3" t="str">
        <f t="shared" si="187"/>
        <v>MUITO BOM</v>
      </c>
      <c r="N3732">
        <v>93.75</v>
      </c>
      <c r="O3732">
        <v>26.628352490421459</v>
      </c>
    </row>
    <row r="3733" spans="1:15" hidden="1" x14ac:dyDescent="0.25">
      <c r="A3733" s="11">
        <v>46119</v>
      </c>
      <c r="B3733" t="s">
        <v>29</v>
      </c>
      <c r="C3733" t="s">
        <v>16</v>
      </c>
      <c r="D3733">
        <v>0</v>
      </c>
      <c r="E3733">
        <v>0</v>
      </c>
      <c r="F3733">
        <v>0</v>
      </c>
      <c r="G3733">
        <v>0</v>
      </c>
      <c r="H3733">
        <v>0</v>
      </c>
      <c r="I3733" s="3">
        <f t="shared" si="184"/>
        <v>0</v>
      </c>
      <c r="J3733" s="3">
        <f t="shared" si="185"/>
        <v>23</v>
      </c>
      <c r="K3733" s="3">
        <f t="shared" si="186"/>
        <v>-23</v>
      </c>
      <c r="L3733" s="3" t="str">
        <f t="shared" si="187"/>
        <v>CRÍTICO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30</v>
      </c>
      <c r="C3734" t="s">
        <v>20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 t="shared" si="184"/>
        <v>28</v>
      </c>
      <c r="J3734" s="3">
        <f t="shared" si="185"/>
        <v>19</v>
      </c>
      <c r="K3734" s="3">
        <f t="shared" si="186"/>
        <v>9</v>
      </c>
      <c r="L3734" s="3" t="str">
        <f t="shared" si="187"/>
        <v>MUITO BOM</v>
      </c>
      <c r="N3734">
        <v>100</v>
      </c>
      <c r="O3734">
        <v>36.231884057971023</v>
      </c>
    </row>
    <row r="3735" spans="1:15" hidden="1" x14ac:dyDescent="0.25">
      <c r="A3735" s="11">
        <v>46119</v>
      </c>
      <c r="B3735" t="s">
        <v>31</v>
      </c>
      <c r="C3735" t="s">
        <v>18</v>
      </c>
      <c r="D3735">
        <v>0</v>
      </c>
      <c r="E3735">
        <v>0</v>
      </c>
      <c r="F3735">
        <v>0</v>
      </c>
      <c r="G3735">
        <v>0</v>
      </c>
      <c r="H3735">
        <v>0</v>
      </c>
      <c r="I3735" s="3">
        <f t="shared" si="184"/>
        <v>0</v>
      </c>
      <c r="J3735" s="3">
        <f t="shared" si="185"/>
        <v>29</v>
      </c>
      <c r="K3735" s="3">
        <f t="shared" si="186"/>
        <v>-29</v>
      </c>
      <c r="L3735" s="3" t="str">
        <f t="shared" si="187"/>
        <v>CRÍTICO</v>
      </c>
      <c r="N3735">
        <v>100</v>
      </c>
      <c r="O3735">
        <v>38.269230769230766</v>
      </c>
    </row>
    <row r="3736" spans="1:15" hidden="1" x14ac:dyDescent="0.25">
      <c r="A3736" s="11">
        <v>46119</v>
      </c>
      <c r="B3736" t="s">
        <v>32</v>
      </c>
      <c r="C3736" t="s">
        <v>23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 t="shared" si="184"/>
        <v>5</v>
      </c>
      <c r="J3736" s="3">
        <f t="shared" si="185"/>
        <v>8</v>
      </c>
      <c r="K3736" s="3">
        <f t="shared" si="186"/>
        <v>-3</v>
      </c>
      <c r="L3736" s="3" t="str">
        <f t="shared" si="187"/>
        <v>ATENÇÃO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33</v>
      </c>
      <c r="C3737" t="s">
        <v>16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 t="shared" si="184"/>
        <v>18</v>
      </c>
      <c r="J3737" s="3">
        <f t="shared" si="185"/>
        <v>23</v>
      </c>
      <c r="K3737" s="3">
        <f t="shared" si="186"/>
        <v>-5</v>
      </c>
      <c r="L3737" s="3" t="str">
        <f t="shared" si="187"/>
        <v>ATENÇÃO</v>
      </c>
      <c r="N3737">
        <v>97.83</v>
      </c>
      <c r="O3737">
        <v>28.131868131868131</v>
      </c>
    </row>
    <row r="3738" spans="1:15" hidden="1" x14ac:dyDescent="0.25">
      <c r="A3738" s="11">
        <v>46119</v>
      </c>
      <c r="B3738" t="s">
        <v>34</v>
      </c>
      <c r="C3738" t="s">
        <v>18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 t="shared" si="184"/>
        <v>29</v>
      </c>
      <c r="J3738" s="3">
        <f t="shared" si="185"/>
        <v>29</v>
      </c>
      <c r="K3738" s="3">
        <f t="shared" si="186"/>
        <v>0</v>
      </c>
      <c r="L3738" s="3" t="str">
        <f t="shared" si="187"/>
        <v>OPORTUNO</v>
      </c>
      <c r="N3738">
        <v>99.26</v>
      </c>
      <c r="O3738">
        <v>29.57198443579767</v>
      </c>
    </row>
    <row r="3739" spans="1:15" hidden="1" x14ac:dyDescent="0.25">
      <c r="A3739" s="11">
        <v>46119</v>
      </c>
      <c r="B3739" t="s">
        <v>35</v>
      </c>
      <c r="C3739" t="s">
        <v>16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 t="shared" ref="I3739" si="188">E3739+G3739+H3739</f>
        <v>26</v>
      </c>
      <c r="J3739" s="3">
        <f t="shared" ref="J3739" si="189"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23</v>
      </c>
      <c r="K3739" s="3">
        <f t="shared" ref="K3739" si="190">I3739-J3739</f>
        <v>3</v>
      </c>
      <c r="L3739" s="3" t="str">
        <f t="shared" ref="L3739" si="191">IF(K3739&lt;-5,"CRÍTICO",IF(K3739&lt;0,"ATENÇÃO",IF(K3739&lt;=5,"OPORTUNO","MUITO BOM")))</f>
        <v>OPORTUNO</v>
      </c>
      <c r="N3739">
        <v>99.19</v>
      </c>
      <c r="O3739">
        <v>29.462365591397852</v>
      </c>
    </row>
    <row r="3740" spans="1:15" hidden="1" x14ac:dyDescent="0.25">
      <c r="A3740" s="5">
        <v>46154</v>
      </c>
      <c r="B3740" s="6" t="s">
        <v>36</v>
      </c>
      <c r="C3740" s="3" t="s">
        <v>20</v>
      </c>
      <c r="D3740" s="3">
        <v>17</v>
      </c>
      <c r="E3740" s="3">
        <v>17</v>
      </c>
      <c r="H3740" s="3">
        <v>7</v>
      </c>
      <c r="I3740" s="3">
        <f t="shared" ref="I3739:I3802" si="192">E3740+G3740+H3740</f>
        <v>24</v>
      </c>
      <c r="J3740" s="3">
        <f t="shared" ref="J3739:J3802" si="193"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>21</v>
      </c>
      <c r="K3740" s="3">
        <f t="shared" ref="K3739:K3802" si="194">I3740-J3740</f>
        <v>3</v>
      </c>
      <c r="L3740" s="3" t="str">
        <f t="shared" ref="L3739:L3802" si="195">IF(K3740&lt;-5,"CRÍTICO",IF(K3740&lt;0,"ATENÇÃO",IF(K3740&lt;=5,"OPORTUNO","MUITO BOM")))</f>
        <v>OPORTUNO</v>
      </c>
      <c r="M3740">
        <v>24</v>
      </c>
      <c r="N3740">
        <v>98.8</v>
      </c>
      <c r="O3740">
        <v>15.41353383458646</v>
      </c>
    </row>
    <row r="3741" spans="1:15" hidden="1" x14ac:dyDescent="0.25">
      <c r="A3741" s="11">
        <v>46119</v>
      </c>
      <c r="B3741" t="s">
        <v>37</v>
      </c>
      <c r="C3741" t="s">
        <v>16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f t="shared" si="192"/>
        <v>0</v>
      </c>
      <c r="J3741" s="3">
        <f t="shared" si="193"/>
        <v>23</v>
      </c>
      <c r="K3741" s="3">
        <f t="shared" si="194"/>
        <v>-23</v>
      </c>
      <c r="L3741" s="3" t="str">
        <f t="shared" si="195"/>
        <v>CRÍTICO</v>
      </c>
      <c r="N3741">
        <v>100</v>
      </c>
      <c r="O3741">
        <v>27.941176470588239</v>
      </c>
    </row>
    <row r="3742" spans="1:15" hidden="1" x14ac:dyDescent="0.25">
      <c r="A3742" s="11">
        <v>46119</v>
      </c>
      <c r="B3742" t="s">
        <v>38</v>
      </c>
      <c r="C3742" t="s">
        <v>18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 t="shared" si="192"/>
        <v>43</v>
      </c>
      <c r="J3742" s="3">
        <f t="shared" si="193"/>
        <v>29</v>
      </c>
      <c r="K3742" s="3">
        <f t="shared" si="194"/>
        <v>14</v>
      </c>
      <c r="L3742" s="3" t="str">
        <f t="shared" si="195"/>
        <v>MUITO BOM</v>
      </c>
      <c r="N3742">
        <v>99.57</v>
      </c>
      <c r="O3742">
        <v>29.913294797687861</v>
      </c>
    </row>
    <row r="3743" spans="1:15" hidden="1" x14ac:dyDescent="0.25">
      <c r="A3743" s="11">
        <v>46119</v>
      </c>
      <c r="B3743" t="s">
        <v>39</v>
      </c>
      <c r="C3743" t="s">
        <v>18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f t="shared" si="192"/>
        <v>0</v>
      </c>
      <c r="J3743" s="3">
        <f t="shared" si="193"/>
        <v>29</v>
      </c>
      <c r="K3743" s="3">
        <f t="shared" si="194"/>
        <v>-29</v>
      </c>
      <c r="L3743" s="3" t="str">
        <f t="shared" si="195"/>
        <v>CRÍTICO</v>
      </c>
      <c r="N3743">
        <v>95.65</v>
      </c>
      <c r="O3743">
        <v>31.081081081081081</v>
      </c>
    </row>
    <row r="3744" spans="1:15" hidden="1" x14ac:dyDescent="0.25">
      <c r="A3744" s="11">
        <v>46119</v>
      </c>
      <c r="B3744" t="s">
        <v>40</v>
      </c>
      <c r="C3744" t="s">
        <v>16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 t="shared" si="192"/>
        <v>24</v>
      </c>
      <c r="J3744" s="3">
        <f t="shared" si="193"/>
        <v>23</v>
      </c>
      <c r="K3744" s="3">
        <f t="shared" si="194"/>
        <v>1</v>
      </c>
      <c r="L3744" s="3" t="str">
        <f t="shared" si="195"/>
        <v>OPORTUNO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41</v>
      </c>
      <c r="C3745" t="s">
        <v>18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f t="shared" si="192"/>
        <v>0</v>
      </c>
      <c r="J3745" s="3">
        <f t="shared" si="193"/>
        <v>29</v>
      </c>
      <c r="K3745" s="3">
        <f t="shared" si="194"/>
        <v>-29</v>
      </c>
      <c r="L3745" s="3" t="str">
        <f t="shared" si="195"/>
        <v>CRÍTICO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42</v>
      </c>
      <c r="C3746" t="s">
        <v>43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 t="shared" si="192"/>
        <v>24</v>
      </c>
      <c r="J3746" s="3">
        <f t="shared" si="193"/>
        <v>17</v>
      </c>
      <c r="K3746" s="3">
        <f t="shared" si="194"/>
        <v>7</v>
      </c>
      <c r="L3746" s="3" t="str">
        <f t="shared" si="195"/>
        <v>MUITO BOM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44</v>
      </c>
      <c r="C3747" t="s">
        <v>18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 t="shared" si="192"/>
        <v>24</v>
      </c>
      <c r="J3747" s="3">
        <f t="shared" si="193"/>
        <v>29</v>
      </c>
      <c r="K3747" s="3">
        <f t="shared" si="194"/>
        <v>-5</v>
      </c>
      <c r="L3747" s="3" t="str">
        <f t="shared" si="195"/>
        <v>ATENÇÃO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45</v>
      </c>
      <c r="C3748" t="s">
        <v>43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 t="shared" si="192"/>
        <v>16</v>
      </c>
      <c r="J3748" s="3">
        <f t="shared" si="193"/>
        <v>17</v>
      </c>
      <c r="K3748" s="3">
        <f t="shared" si="194"/>
        <v>-1</v>
      </c>
      <c r="L3748" s="3" t="str">
        <f t="shared" si="195"/>
        <v>ATENÇÃO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46</v>
      </c>
      <c r="C3749" t="s">
        <v>18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 t="shared" si="192"/>
        <v>25</v>
      </c>
      <c r="J3749" s="3">
        <f t="shared" si="193"/>
        <v>29</v>
      </c>
      <c r="K3749" s="3">
        <f t="shared" si="194"/>
        <v>-4</v>
      </c>
      <c r="L3749" s="3" t="str">
        <f t="shared" si="195"/>
        <v>ATENÇÃO</v>
      </c>
      <c r="N3749">
        <v>99.15</v>
      </c>
      <c r="O3749">
        <v>27.370689655172409</v>
      </c>
    </row>
    <row r="3750" spans="1:15" hidden="1" x14ac:dyDescent="0.25">
      <c r="A3750" s="11">
        <v>46119</v>
      </c>
      <c r="B3750" t="s">
        <v>47</v>
      </c>
      <c r="C3750" t="s">
        <v>16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 t="shared" si="192"/>
        <v>29</v>
      </c>
      <c r="J3750" s="3">
        <f t="shared" si="193"/>
        <v>23</v>
      </c>
      <c r="K3750" s="3">
        <f t="shared" si="194"/>
        <v>6</v>
      </c>
      <c r="L3750" s="3" t="str">
        <f t="shared" si="195"/>
        <v>MUITO BOM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48</v>
      </c>
      <c r="C3751" t="s">
        <v>16</v>
      </c>
      <c r="D3751">
        <v>0</v>
      </c>
      <c r="E3751">
        <v>0</v>
      </c>
      <c r="F3751">
        <v>0</v>
      </c>
      <c r="G3751">
        <v>0</v>
      </c>
      <c r="H3751">
        <v>0</v>
      </c>
      <c r="I3751" s="3">
        <f t="shared" si="192"/>
        <v>0</v>
      </c>
      <c r="J3751" s="3">
        <f t="shared" si="193"/>
        <v>23</v>
      </c>
      <c r="K3751" s="3">
        <f t="shared" si="194"/>
        <v>-23</v>
      </c>
      <c r="L3751" s="3" t="str">
        <f t="shared" si="195"/>
        <v>CRÍTICO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49</v>
      </c>
      <c r="C3752" t="s">
        <v>18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si="192"/>
        <v>30</v>
      </c>
      <c r="J3752" s="3">
        <f t="shared" si="193"/>
        <v>29</v>
      </c>
      <c r="K3752" s="3">
        <f t="shared" si="194"/>
        <v>1</v>
      </c>
      <c r="L3752" s="3" t="str">
        <f t="shared" si="195"/>
        <v>OPORTUNO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50</v>
      </c>
      <c r="C3753" t="s">
        <v>20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192"/>
        <v>12</v>
      </c>
      <c r="J3753" s="3">
        <f t="shared" si="193"/>
        <v>19</v>
      </c>
      <c r="K3753" s="3">
        <f t="shared" si="194"/>
        <v>-7</v>
      </c>
      <c r="L3753" s="3" t="str">
        <f t="shared" si="195"/>
        <v>CRÍTICO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51</v>
      </c>
      <c r="C3754" t="s">
        <v>23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192"/>
        <v>10</v>
      </c>
      <c r="J3754" s="3">
        <f t="shared" si="193"/>
        <v>8</v>
      </c>
      <c r="K3754" s="3">
        <f t="shared" si="194"/>
        <v>2</v>
      </c>
      <c r="L3754" s="3" t="str">
        <f t="shared" si="195"/>
        <v>OPORTUNO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52</v>
      </c>
      <c r="C3755" t="s">
        <v>18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192"/>
        <v>43</v>
      </c>
      <c r="J3755" s="3">
        <f t="shared" si="193"/>
        <v>29</v>
      </c>
      <c r="K3755" s="3">
        <f t="shared" si="194"/>
        <v>14</v>
      </c>
      <c r="L3755" s="3" t="str">
        <f t="shared" si="195"/>
        <v>MUITO BOM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53</v>
      </c>
      <c r="C3756" t="s">
        <v>18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192"/>
        <v>35</v>
      </c>
      <c r="J3756" s="3">
        <f t="shared" si="193"/>
        <v>29</v>
      </c>
      <c r="K3756" s="3">
        <f t="shared" si="194"/>
        <v>6</v>
      </c>
      <c r="L3756" s="3" t="str">
        <f t="shared" si="195"/>
        <v>MUITO BOM</v>
      </c>
      <c r="N3756">
        <v>95.49</v>
      </c>
      <c r="O3756">
        <v>28.16901408450704</v>
      </c>
    </row>
    <row r="3757" spans="1:15" hidden="1" x14ac:dyDescent="0.25">
      <c r="A3757" s="11">
        <v>46119</v>
      </c>
      <c r="B3757" t="s">
        <v>54</v>
      </c>
      <c r="C3757" t="s">
        <v>23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192"/>
        <v>10</v>
      </c>
      <c r="J3757" s="3">
        <f t="shared" si="193"/>
        <v>8</v>
      </c>
      <c r="K3757" s="3">
        <f t="shared" si="194"/>
        <v>2</v>
      </c>
      <c r="L3757" s="3" t="str">
        <f t="shared" si="195"/>
        <v>OPORTUNO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55</v>
      </c>
      <c r="C3758" t="s">
        <v>43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192"/>
        <v>19</v>
      </c>
      <c r="J3758" s="3">
        <f t="shared" si="193"/>
        <v>17</v>
      </c>
      <c r="K3758" s="3">
        <f t="shared" si="194"/>
        <v>2</v>
      </c>
      <c r="L3758" s="3" t="str">
        <f t="shared" si="195"/>
        <v>OPORTUNO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56</v>
      </c>
      <c r="C3759" t="s">
        <v>16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192"/>
        <v>19</v>
      </c>
      <c r="J3759" s="3">
        <f t="shared" si="193"/>
        <v>23</v>
      </c>
      <c r="K3759" s="3">
        <f t="shared" si="194"/>
        <v>-4</v>
      </c>
      <c r="L3759" s="3" t="str">
        <f t="shared" si="195"/>
        <v>ATENÇÃO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57</v>
      </c>
      <c r="C3760" t="s">
        <v>43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192"/>
        <v>16</v>
      </c>
      <c r="J3760" s="3">
        <f t="shared" si="193"/>
        <v>17</v>
      </c>
      <c r="K3760" s="3">
        <f t="shared" si="194"/>
        <v>-1</v>
      </c>
      <c r="L3760" s="3" t="str">
        <f t="shared" si="195"/>
        <v>ATENÇÃO</v>
      </c>
      <c r="N3760">
        <v>98.84</v>
      </c>
      <c r="O3760">
        <v>31.5018315018315</v>
      </c>
    </row>
    <row r="3761" spans="1:15" hidden="1" x14ac:dyDescent="0.25">
      <c r="A3761" s="11">
        <v>46119</v>
      </c>
      <c r="B3761" t="s">
        <v>58</v>
      </c>
      <c r="C3761" t="s">
        <v>43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192"/>
        <v>16</v>
      </c>
      <c r="J3761" s="3">
        <f t="shared" si="193"/>
        <v>17</v>
      </c>
      <c r="K3761" s="3">
        <f t="shared" si="194"/>
        <v>-1</v>
      </c>
      <c r="L3761" s="3" t="str">
        <f t="shared" si="195"/>
        <v>ATENÇÃO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59</v>
      </c>
      <c r="C3762" t="s">
        <v>23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192"/>
        <v>9</v>
      </c>
      <c r="J3762" s="3">
        <f t="shared" si="193"/>
        <v>8</v>
      </c>
      <c r="K3762" s="3">
        <f t="shared" si="194"/>
        <v>1</v>
      </c>
      <c r="L3762" s="3" t="str">
        <f t="shared" si="195"/>
        <v>OPORTUNO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60</v>
      </c>
      <c r="C3763" t="s">
        <v>20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192"/>
        <v>31</v>
      </c>
      <c r="J3763" s="3">
        <f t="shared" si="193"/>
        <v>19</v>
      </c>
      <c r="K3763" s="3">
        <f t="shared" si="194"/>
        <v>12</v>
      </c>
      <c r="L3763" s="3" t="str">
        <f t="shared" si="195"/>
        <v>MUITO BOM</v>
      </c>
      <c r="N3763">
        <v>98.32</v>
      </c>
      <c r="O3763">
        <v>26.618705035971221</v>
      </c>
    </row>
    <row r="3764" spans="1:15" hidden="1" x14ac:dyDescent="0.25">
      <c r="A3764" s="11">
        <v>46119</v>
      </c>
      <c r="B3764" t="s">
        <v>61</v>
      </c>
      <c r="C3764" t="s">
        <v>18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192"/>
        <v>39</v>
      </c>
      <c r="J3764" s="3">
        <f t="shared" si="193"/>
        <v>29</v>
      </c>
      <c r="K3764" s="3">
        <f t="shared" si="194"/>
        <v>10</v>
      </c>
      <c r="L3764" s="3" t="str">
        <f t="shared" si="195"/>
        <v>MUITO BOM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62</v>
      </c>
      <c r="C3765" t="s">
        <v>20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192"/>
        <v>21</v>
      </c>
      <c r="J3765" s="3">
        <f t="shared" si="193"/>
        <v>19</v>
      </c>
      <c r="K3765" s="3">
        <f t="shared" si="194"/>
        <v>2</v>
      </c>
      <c r="L3765" s="3" t="str">
        <f t="shared" si="195"/>
        <v>OPORTUNO</v>
      </c>
      <c r="N3765">
        <v>100</v>
      </c>
      <c r="O3765">
        <v>26.027397260273968</v>
      </c>
    </row>
    <row r="3766" spans="1:15" hidden="1" x14ac:dyDescent="0.25">
      <c r="A3766" s="11">
        <v>46119</v>
      </c>
      <c r="B3766" t="s">
        <v>63</v>
      </c>
      <c r="C3766" t="s">
        <v>18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192"/>
        <v>31</v>
      </c>
      <c r="J3766" s="3">
        <f t="shared" si="193"/>
        <v>29</v>
      </c>
      <c r="K3766" s="3">
        <f t="shared" si="194"/>
        <v>2</v>
      </c>
      <c r="L3766" s="3" t="str">
        <f t="shared" si="195"/>
        <v>OPORTUNO</v>
      </c>
      <c r="N3766">
        <v>99.21</v>
      </c>
      <c r="O3766">
        <v>24.937027707808561</v>
      </c>
    </row>
    <row r="3767" spans="1:15" hidden="1" x14ac:dyDescent="0.25">
      <c r="A3767" s="11">
        <v>46120</v>
      </c>
      <c r="B3767" t="s">
        <v>15</v>
      </c>
      <c r="C3767" t="s">
        <v>16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192"/>
        <v>25</v>
      </c>
      <c r="J3767" s="3">
        <f t="shared" si="193"/>
        <v>22</v>
      </c>
      <c r="K3767" s="3">
        <f t="shared" si="194"/>
        <v>3</v>
      </c>
      <c r="L3767" s="3" t="str">
        <f t="shared" si="195"/>
        <v>OPORTUNO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17</v>
      </c>
      <c r="C3768" t="s">
        <v>18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f t="shared" si="192"/>
        <v>0</v>
      </c>
      <c r="J3768" s="3">
        <f t="shared" si="193"/>
        <v>28</v>
      </c>
      <c r="K3768" s="3">
        <f t="shared" si="194"/>
        <v>-28</v>
      </c>
      <c r="L3768" s="3" t="str">
        <f t="shared" si="195"/>
        <v>CRÍTICO</v>
      </c>
      <c r="N3768">
        <v>98.66</v>
      </c>
      <c r="O3768">
        <v>35.15625</v>
      </c>
    </row>
    <row r="3769" spans="1:15" hidden="1" x14ac:dyDescent="0.25">
      <c r="A3769" s="11">
        <v>46120</v>
      </c>
      <c r="B3769" t="s">
        <v>19</v>
      </c>
      <c r="C3769" t="s">
        <v>20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si="192"/>
        <v>33</v>
      </c>
      <c r="J3769" s="3">
        <f t="shared" si="193"/>
        <v>18</v>
      </c>
      <c r="K3769" s="3">
        <f t="shared" si="194"/>
        <v>15</v>
      </c>
      <c r="L3769" s="3" t="str">
        <f t="shared" si="195"/>
        <v>MUITO BOM</v>
      </c>
      <c r="N3769">
        <v>99.32</v>
      </c>
      <c r="O3769">
        <v>30.45186640471513</v>
      </c>
    </row>
    <row r="3770" spans="1:15" hidden="1" x14ac:dyDescent="0.25">
      <c r="A3770" s="11">
        <v>46120</v>
      </c>
      <c r="B3770" t="s">
        <v>21</v>
      </c>
      <c r="C3770" t="s">
        <v>18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192"/>
        <v>35</v>
      </c>
      <c r="J3770" s="3">
        <f t="shared" si="193"/>
        <v>28</v>
      </c>
      <c r="K3770" s="3">
        <f t="shared" si="194"/>
        <v>7</v>
      </c>
      <c r="L3770" s="3" t="str">
        <f t="shared" si="195"/>
        <v>MUITO BOM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22</v>
      </c>
      <c r="C3771" t="s">
        <v>23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192"/>
        <v>15</v>
      </c>
      <c r="J3771" s="3">
        <f t="shared" si="193"/>
        <v>8</v>
      </c>
      <c r="K3771" s="3">
        <f t="shared" si="194"/>
        <v>7</v>
      </c>
      <c r="L3771" s="3" t="str">
        <f t="shared" si="195"/>
        <v>MUITO BOM</v>
      </c>
      <c r="N3771">
        <v>96.74</v>
      </c>
      <c r="O3771">
        <v>28.43137254901961</v>
      </c>
    </row>
    <row r="3772" spans="1:15" hidden="1" x14ac:dyDescent="0.25">
      <c r="A3772" s="11">
        <v>46120</v>
      </c>
      <c r="B3772" t="s">
        <v>24</v>
      </c>
      <c r="C3772" t="s">
        <v>16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192"/>
        <v>27</v>
      </c>
      <c r="J3772" s="3">
        <f t="shared" si="193"/>
        <v>22</v>
      </c>
      <c r="K3772" s="3">
        <f t="shared" si="194"/>
        <v>5</v>
      </c>
      <c r="L3772" s="3" t="str">
        <f t="shared" si="195"/>
        <v>OPORTUNO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25</v>
      </c>
      <c r="C3773" t="s">
        <v>16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192"/>
        <v>14</v>
      </c>
      <c r="J3773" s="3">
        <f t="shared" si="193"/>
        <v>22</v>
      </c>
      <c r="K3773" s="3">
        <f t="shared" si="194"/>
        <v>-8</v>
      </c>
      <c r="L3773" s="3" t="str">
        <f t="shared" si="195"/>
        <v>CRÍTICO</v>
      </c>
      <c r="N3773">
        <v>98.2</v>
      </c>
      <c r="O3773">
        <v>26.890756302521009</v>
      </c>
    </row>
    <row r="3774" spans="1:15" hidden="1" x14ac:dyDescent="0.25">
      <c r="A3774" s="11">
        <v>46120</v>
      </c>
      <c r="B3774" t="s">
        <v>26</v>
      </c>
      <c r="C3774" t="s">
        <v>23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192"/>
        <v>4</v>
      </c>
      <c r="J3774" s="3">
        <f t="shared" si="193"/>
        <v>8</v>
      </c>
      <c r="K3774" s="3">
        <f t="shared" si="194"/>
        <v>-4</v>
      </c>
      <c r="L3774" s="3" t="str">
        <f t="shared" si="195"/>
        <v>ATENÇÃO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27</v>
      </c>
      <c r="C3775" t="s">
        <v>20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192"/>
        <v>22</v>
      </c>
      <c r="J3775" s="3">
        <f t="shared" si="193"/>
        <v>18</v>
      </c>
      <c r="K3775" s="3">
        <f t="shared" si="194"/>
        <v>4</v>
      </c>
      <c r="L3775" s="3" t="str">
        <f t="shared" si="195"/>
        <v>OPORTUNO</v>
      </c>
      <c r="N3775">
        <v>96.3</v>
      </c>
      <c r="O3775">
        <v>31.980906921241051</v>
      </c>
    </row>
    <row r="3776" spans="1:15" hidden="1" x14ac:dyDescent="0.25">
      <c r="A3776" s="11">
        <v>46120</v>
      </c>
      <c r="B3776" t="s">
        <v>28</v>
      </c>
      <c r="C3776" t="s">
        <v>18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192"/>
        <v>21</v>
      </c>
      <c r="J3776" s="3">
        <f t="shared" si="193"/>
        <v>28</v>
      </c>
      <c r="K3776" s="3">
        <f t="shared" si="194"/>
        <v>-7</v>
      </c>
      <c r="L3776" s="3" t="str">
        <f t="shared" si="195"/>
        <v>CRÍTICO</v>
      </c>
      <c r="N3776">
        <v>93.75</v>
      </c>
      <c r="O3776">
        <v>26.628352490421459</v>
      </c>
    </row>
    <row r="3777" spans="1:15" hidden="1" x14ac:dyDescent="0.25">
      <c r="A3777" s="11">
        <v>46120</v>
      </c>
      <c r="B3777" t="s">
        <v>29</v>
      </c>
      <c r="C3777" t="s">
        <v>16</v>
      </c>
      <c r="D3777">
        <v>0</v>
      </c>
      <c r="E3777">
        <v>0</v>
      </c>
      <c r="F3777">
        <v>0</v>
      </c>
      <c r="G3777">
        <v>0</v>
      </c>
      <c r="H3777">
        <v>0</v>
      </c>
      <c r="I3777" s="3">
        <f t="shared" si="192"/>
        <v>0</v>
      </c>
      <c r="J3777" s="3">
        <f t="shared" si="193"/>
        <v>22</v>
      </c>
      <c r="K3777" s="3">
        <f t="shared" si="194"/>
        <v>-22</v>
      </c>
      <c r="L3777" s="3" t="str">
        <f t="shared" si="195"/>
        <v>CRÍTICO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30</v>
      </c>
      <c r="C3778" t="s">
        <v>20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 t="shared" si="192"/>
        <v>28</v>
      </c>
      <c r="J3778" s="3">
        <f t="shared" si="193"/>
        <v>18</v>
      </c>
      <c r="K3778" s="3">
        <f t="shared" si="194"/>
        <v>10</v>
      </c>
      <c r="L3778" s="3" t="str">
        <f t="shared" si="195"/>
        <v>MUITO BOM</v>
      </c>
      <c r="N3778">
        <v>100</v>
      </c>
      <c r="O3778">
        <v>36.231884057971023</v>
      </c>
    </row>
    <row r="3779" spans="1:15" hidden="1" x14ac:dyDescent="0.25">
      <c r="A3779" s="11">
        <v>46120</v>
      </c>
      <c r="B3779" t="s">
        <v>31</v>
      </c>
      <c r="C3779" t="s">
        <v>18</v>
      </c>
      <c r="D3779">
        <v>0</v>
      </c>
      <c r="E3779">
        <v>0</v>
      </c>
      <c r="F3779">
        <v>0</v>
      </c>
      <c r="G3779">
        <v>0</v>
      </c>
      <c r="H3779">
        <v>0</v>
      </c>
      <c r="I3779" s="3">
        <f t="shared" si="192"/>
        <v>0</v>
      </c>
      <c r="J3779" s="3">
        <f t="shared" si="193"/>
        <v>28</v>
      </c>
      <c r="K3779" s="3">
        <f t="shared" si="194"/>
        <v>-28</v>
      </c>
      <c r="L3779" s="3" t="str">
        <f t="shared" si="195"/>
        <v>CRÍTICO</v>
      </c>
      <c r="N3779">
        <v>100</v>
      </c>
      <c r="O3779">
        <v>38.269230769230766</v>
      </c>
    </row>
    <row r="3780" spans="1:15" hidden="1" x14ac:dyDescent="0.25">
      <c r="A3780" s="11">
        <v>46120</v>
      </c>
      <c r="B3780" t="s">
        <v>32</v>
      </c>
      <c r="C3780" t="s">
        <v>23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 t="shared" si="192"/>
        <v>4</v>
      </c>
      <c r="J3780" s="3">
        <f t="shared" si="193"/>
        <v>8</v>
      </c>
      <c r="K3780" s="3">
        <f t="shared" si="194"/>
        <v>-4</v>
      </c>
      <c r="L3780" s="3" t="str">
        <f t="shared" si="195"/>
        <v>ATENÇÃO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33</v>
      </c>
      <c r="C3781" t="s">
        <v>16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 t="shared" si="192"/>
        <v>27</v>
      </c>
      <c r="J3781" s="3">
        <f t="shared" si="193"/>
        <v>22</v>
      </c>
      <c r="K3781" s="3">
        <f t="shared" si="194"/>
        <v>5</v>
      </c>
      <c r="L3781" s="3" t="str">
        <f t="shared" si="195"/>
        <v>OPORTUNO</v>
      </c>
      <c r="N3781">
        <v>97.83</v>
      </c>
      <c r="O3781">
        <v>28.131868131868131</v>
      </c>
    </row>
    <row r="3782" spans="1:15" hidden="1" x14ac:dyDescent="0.25">
      <c r="A3782" s="11">
        <v>46120</v>
      </c>
      <c r="B3782" t="s">
        <v>34</v>
      </c>
      <c r="C3782" t="s">
        <v>18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 t="shared" si="192"/>
        <v>26</v>
      </c>
      <c r="J3782" s="3">
        <f t="shared" si="193"/>
        <v>28</v>
      </c>
      <c r="K3782" s="3">
        <f t="shared" si="194"/>
        <v>-2</v>
      </c>
      <c r="L3782" s="3" t="str">
        <f t="shared" si="195"/>
        <v>ATENÇÃO</v>
      </c>
      <c r="N3782">
        <v>99.26</v>
      </c>
      <c r="O3782">
        <v>29.57198443579767</v>
      </c>
    </row>
    <row r="3783" spans="1:15" hidden="1" x14ac:dyDescent="0.25">
      <c r="A3783" s="11">
        <v>46120</v>
      </c>
      <c r="B3783" t="s">
        <v>35</v>
      </c>
      <c r="C3783" t="s">
        <v>16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 t="shared" si="192"/>
        <v>33</v>
      </c>
      <c r="J3783" s="3">
        <f t="shared" si="193"/>
        <v>22</v>
      </c>
      <c r="K3783" s="3">
        <f t="shared" si="194"/>
        <v>11</v>
      </c>
      <c r="L3783" s="3" t="str">
        <f t="shared" si="195"/>
        <v>MUITO BOM</v>
      </c>
      <c r="N3783">
        <v>99.19</v>
      </c>
      <c r="O3783">
        <v>29.462365591397852</v>
      </c>
    </row>
    <row r="3784" spans="1:15" hidden="1" x14ac:dyDescent="0.25">
      <c r="A3784" s="5">
        <v>46155</v>
      </c>
      <c r="B3784" s="6" t="s">
        <v>36</v>
      </c>
      <c r="C3784" s="3" t="s">
        <v>20</v>
      </c>
      <c r="D3784" s="3">
        <v>20</v>
      </c>
      <c r="E3784" s="3">
        <v>16</v>
      </c>
      <c r="G3784" s="3">
        <v>11</v>
      </c>
      <c r="H3784" s="3">
        <v>7</v>
      </c>
      <c r="I3784" s="3">
        <f t="shared" si="192"/>
        <v>34</v>
      </c>
      <c r="J3784" s="3">
        <f t="shared" si="193"/>
        <v>19</v>
      </c>
      <c r="K3784" s="3">
        <f t="shared" si="194"/>
        <v>15</v>
      </c>
      <c r="L3784" s="3" t="str">
        <f t="shared" si="195"/>
        <v>MUITO BOM</v>
      </c>
      <c r="M3784">
        <v>18</v>
      </c>
      <c r="N3784">
        <v>98.8</v>
      </c>
      <c r="O3784">
        <v>15.41353383458646</v>
      </c>
    </row>
    <row r="3785" spans="1:15" hidden="1" x14ac:dyDescent="0.25">
      <c r="A3785" s="11">
        <v>46120</v>
      </c>
      <c r="B3785" t="s">
        <v>37</v>
      </c>
      <c r="C3785" t="s">
        <v>16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f t="shared" si="192"/>
        <v>0</v>
      </c>
      <c r="J3785" s="3">
        <f t="shared" si="193"/>
        <v>22</v>
      </c>
      <c r="K3785" s="3">
        <f t="shared" si="194"/>
        <v>-22</v>
      </c>
      <c r="L3785" s="3" t="str">
        <f t="shared" si="195"/>
        <v>CRÍTICO</v>
      </c>
      <c r="N3785">
        <v>100</v>
      </c>
      <c r="O3785">
        <v>27.941176470588239</v>
      </c>
    </row>
    <row r="3786" spans="1:15" hidden="1" x14ac:dyDescent="0.25">
      <c r="A3786" s="11">
        <v>46120</v>
      </c>
      <c r="B3786" t="s">
        <v>38</v>
      </c>
      <c r="C3786" t="s">
        <v>18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 t="shared" si="192"/>
        <v>37</v>
      </c>
      <c r="J3786" s="3">
        <f t="shared" si="193"/>
        <v>28</v>
      </c>
      <c r="K3786" s="3">
        <f t="shared" si="194"/>
        <v>9</v>
      </c>
      <c r="L3786" s="3" t="str">
        <f t="shared" si="195"/>
        <v>MUITO BOM</v>
      </c>
      <c r="N3786">
        <v>99.57</v>
      </c>
      <c r="O3786">
        <v>29.913294797687861</v>
      </c>
    </row>
    <row r="3787" spans="1:15" hidden="1" x14ac:dyDescent="0.25">
      <c r="A3787" s="11">
        <v>46120</v>
      </c>
      <c r="B3787" t="s">
        <v>39</v>
      </c>
      <c r="C3787" t="s">
        <v>18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f t="shared" si="192"/>
        <v>0</v>
      </c>
      <c r="J3787" s="3">
        <f t="shared" si="193"/>
        <v>28</v>
      </c>
      <c r="K3787" s="3">
        <f t="shared" si="194"/>
        <v>-28</v>
      </c>
      <c r="L3787" s="3" t="str">
        <f t="shared" si="195"/>
        <v>CRÍTICO</v>
      </c>
      <c r="N3787">
        <v>95.65</v>
      </c>
      <c r="O3787">
        <v>31.081081081081081</v>
      </c>
    </row>
    <row r="3788" spans="1:15" hidden="1" x14ac:dyDescent="0.25">
      <c r="A3788" s="11">
        <v>46120</v>
      </c>
      <c r="B3788" t="s">
        <v>40</v>
      </c>
      <c r="C3788" t="s">
        <v>16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 t="shared" si="192"/>
        <v>25</v>
      </c>
      <c r="J3788" s="3">
        <f t="shared" si="193"/>
        <v>22</v>
      </c>
      <c r="K3788" s="3">
        <f t="shared" si="194"/>
        <v>3</v>
      </c>
      <c r="L3788" s="3" t="str">
        <f t="shared" si="195"/>
        <v>OPORTUNO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41</v>
      </c>
      <c r="C3789" t="s">
        <v>18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f t="shared" si="192"/>
        <v>0</v>
      </c>
      <c r="J3789" s="3">
        <f t="shared" si="193"/>
        <v>28</v>
      </c>
      <c r="K3789" s="3">
        <f t="shared" si="194"/>
        <v>-28</v>
      </c>
      <c r="L3789" s="3" t="str">
        <f t="shared" si="195"/>
        <v>CRÍTICO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42</v>
      </c>
      <c r="C3790" t="s">
        <v>43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 t="shared" si="192"/>
        <v>22</v>
      </c>
      <c r="J3790" s="3">
        <f t="shared" si="193"/>
        <v>16</v>
      </c>
      <c r="K3790" s="3">
        <f t="shared" si="194"/>
        <v>6</v>
      </c>
      <c r="L3790" s="3" t="str">
        <f t="shared" si="195"/>
        <v>MUITO BOM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44</v>
      </c>
      <c r="C3791" t="s">
        <v>18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 t="shared" si="192"/>
        <v>17</v>
      </c>
      <c r="J3791" s="3">
        <f t="shared" si="193"/>
        <v>28</v>
      </c>
      <c r="K3791" s="3">
        <f t="shared" si="194"/>
        <v>-11</v>
      </c>
      <c r="L3791" s="3" t="str">
        <f t="shared" si="195"/>
        <v>CRÍTICO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45</v>
      </c>
      <c r="C3792" t="s">
        <v>43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 t="shared" si="192"/>
        <v>17</v>
      </c>
      <c r="J3792" s="3">
        <f t="shared" si="193"/>
        <v>16</v>
      </c>
      <c r="K3792" s="3">
        <f t="shared" si="194"/>
        <v>1</v>
      </c>
      <c r="L3792" s="3" t="str">
        <f t="shared" si="195"/>
        <v>OPORTUNO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46</v>
      </c>
      <c r="C3793" t="s">
        <v>18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 t="shared" si="192"/>
        <v>29</v>
      </c>
      <c r="J3793" s="3">
        <f t="shared" si="193"/>
        <v>28</v>
      </c>
      <c r="K3793" s="3">
        <f t="shared" si="194"/>
        <v>1</v>
      </c>
      <c r="L3793" s="3" t="str">
        <f t="shared" si="195"/>
        <v>OPORTUNO</v>
      </c>
      <c r="N3793">
        <v>99.15</v>
      </c>
      <c r="O3793">
        <v>27.370689655172409</v>
      </c>
    </row>
    <row r="3794" spans="1:15" hidden="1" x14ac:dyDescent="0.25">
      <c r="A3794" s="11">
        <v>46120</v>
      </c>
      <c r="B3794" t="s">
        <v>47</v>
      </c>
      <c r="C3794" t="s">
        <v>16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 t="shared" si="192"/>
        <v>24</v>
      </c>
      <c r="J3794" s="3">
        <f t="shared" si="193"/>
        <v>22</v>
      </c>
      <c r="K3794" s="3">
        <f t="shared" si="194"/>
        <v>2</v>
      </c>
      <c r="L3794" s="3" t="str">
        <f t="shared" si="195"/>
        <v>OPORTUNO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48</v>
      </c>
      <c r="C3795" t="s">
        <v>16</v>
      </c>
      <c r="D3795">
        <v>0</v>
      </c>
      <c r="E3795">
        <v>0</v>
      </c>
      <c r="F3795">
        <v>0</v>
      </c>
      <c r="G3795">
        <v>0</v>
      </c>
      <c r="H3795">
        <v>0</v>
      </c>
      <c r="I3795" s="3">
        <f t="shared" si="192"/>
        <v>0</v>
      </c>
      <c r="J3795" s="3">
        <f t="shared" si="193"/>
        <v>22</v>
      </c>
      <c r="K3795" s="3">
        <f t="shared" si="194"/>
        <v>-22</v>
      </c>
      <c r="L3795" s="3" t="str">
        <f t="shared" si="195"/>
        <v>CRÍTICO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49</v>
      </c>
      <c r="C3796" t="s">
        <v>18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 t="shared" si="192"/>
        <v>36</v>
      </c>
      <c r="J3796" s="3">
        <f t="shared" si="193"/>
        <v>28</v>
      </c>
      <c r="K3796" s="3">
        <f t="shared" si="194"/>
        <v>8</v>
      </c>
      <c r="L3796" s="3" t="str">
        <f t="shared" si="195"/>
        <v>MUITO BOM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50</v>
      </c>
      <c r="C3797" t="s">
        <v>20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 t="shared" si="192"/>
        <v>26</v>
      </c>
      <c r="J3797" s="3">
        <f t="shared" si="193"/>
        <v>18</v>
      </c>
      <c r="K3797" s="3">
        <f t="shared" si="194"/>
        <v>8</v>
      </c>
      <c r="L3797" s="3" t="str">
        <f t="shared" si="195"/>
        <v>MUITO BOM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51</v>
      </c>
      <c r="C3798" t="s">
        <v>23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f t="shared" si="192"/>
        <v>0</v>
      </c>
      <c r="J3798" s="3">
        <f t="shared" si="193"/>
        <v>8</v>
      </c>
      <c r="K3798" s="3">
        <f t="shared" si="194"/>
        <v>-8</v>
      </c>
      <c r="L3798" s="3" t="str">
        <f t="shared" si="195"/>
        <v>CRÍTICO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52</v>
      </c>
      <c r="C3799" t="s">
        <v>18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si="192"/>
        <v>18</v>
      </c>
      <c r="J3799" s="3">
        <f t="shared" si="193"/>
        <v>28</v>
      </c>
      <c r="K3799" s="3">
        <f t="shared" si="194"/>
        <v>-10</v>
      </c>
      <c r="L3799" s="3" t="str">
        <f t="shared" si="195"/>
        <v>CRÍTICO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53</v>
      </c>
      <c r="C3800" t="s">
        <v>18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192"/>
        <v>37</v>
      </c>
      <c r="J3800" s="3">
        <f t="shared" si="193"/>
        <v>28</v>
      </c>
      <c r="K3800" s="3">
        <f t="shared" si="194"/>
        <v>9</v>
      </c>
      <c r="L3800" s="3" t="str">
        <f t="shared" si="195"/>
        <v>MUITO BOM</v>
      </c>
      <c r="N3800">
        <v>95.49</v>
      </c>
      <c r="O3800">
        <v>28.16901408450704</v>
      </c>
    </row>
    <row r="3801" spans="1:15" hidden="1" x14ac:dyDescent="0.25">
      <c r="A3801" s="11">
        <v>46120</v>
      </c>
      <c r="B3801" t="s">
        <v>54</v>
      </c>
      <c r="C3801" t="s">
        <v>23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192"/>
        <v>5</v>
      </c>
      <c r="J3801" s="3">
        <f t="shared" si="193"/>
        <v>8</v>
      </c>
      <c r="K3801" s="3">
        <f t="shared" si="194"/>
        <v>-3</v>
      </c>
      <c r="L3801" s="3" t="str">
        <f t="shared" si="195"/>
        <v>ATENÇÃO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55</v>
      </c>
      <c r="C3802" t="s">
        <v>43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192"/>
        <v>30</v>
      </c>
      <c r="J3802" s="3">
        <f t="shared" si="193"/>
        <v>16</v>
      </c>
      <c r="K3802" s="3">
        <f t="shared" si="194"/>
        <v>14</v>
      </c>
      <c r="L3802" s="3" t="str">
        <f t="shared" si="195"/>
        <v>MUITO BOM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56</v>
      </c>
      <c r="C3803" t="s">
        <v>16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ref="I3803:I3827" si="196">E3803+G3803+H3803</f>
        <v>8</v>
      </c>
      <c r="J3803" s="3">
        <f t="shared" ref="J3803:J3827" si="197"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22</v>
      </c>
      <c r="K3803" s="3">
        <f t="shared" ref="K3803:K3827" si="198">I3803-J3803</f>
        <v>-14</v>
      </c>
      <c r="L3803" s="3" t="str">
        <f t="shared" ref="L3803:L3827" si="199">IF(K3803&lt;-5,"CRÍTICO",IF(K3803&lt;0,"ATENÇÃO",IF(K3803&lt;=5,"OPORTUNO","MUITO BOM")))</f>
        <v>CRÍTICO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57</v>
      </c>
      <c r="C3804" t="s">
        <v>43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196"/>
        <v>17</v>
      </c>
      <c r="J3804" s="3">
        <f t="shared" si="197"/>
        <v>16</v>
      </c>
      <c r="K3804" s="3">
        <f t="shared" si="198"/>
        <v>1</v>
      </c>
      <c r="L3804" s="3" t="str">
        <f t="shared" si="199"/>
        <v>OPORTUNO</v>
      </c>
      <c r="N3804">
        <v>98.84</v>
      </c>
      <c r="O3804">
        <v>31.5018315018315</v>
      </c>
    </row>
    <row r="3805" spans="1:15" hidden="1" x14ac:dyDescent="0.25">
      <c r="A3805" s="11">
        <v>46120</v>
      </c>
      <c r="B3805" t="s">
        <v>58</v>
      </c>
      <c r="C3805" t="s">
        <v>43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196"/>
        <v>18</v>
      </c>
      <c r="J3805" s="3">
        <f t="shared" si="197"/>
        <v>16</v>
      </c>
      <c r="K3805" s="3">
        <f t="shared" si="198"/>
        <v>2</v>
      </c>
      <c r="L3805" s="3" t="str">
        <f t="shared" si="199"/>
        <v>OPORTUNO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59</v>
      </c>
      <c r="C3806" t="s">
        <v>23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196"/>
        <v>6</v>
      </c>
      <c r="J3806" s="3">
        <f t="shared" si="197"/>
        <v>8</v>
      </c>
      <c r="K3806" s="3">
        <f t="shared" si="198"/>
        <v>-2</v>
      </c>
      <c r="L3806" s="3" t="str">
        <f t="shared" si="199"/>
        <v>ATENÇÃO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60</v>
      </c>
      <c r="C3807" t="s">
        <v>20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196"/>
        <v>29</v>
      </c>
      <c r="J3807" s="3">
        <f t="shared" si="197"/>
        <v>18</v>
      </c>
      <c r="K3807" s="3">
        <f t="shared" si="198"/>
        <v>11</v>
      </c>
      <c r="L3807" s="3" t="str">
        <f t="shared" si="199"/>
        <v>MUITO BOM</v>
      </c>
      <c r="N3807">
        <v>98.32</v>
      </c>
      <c r="O3807">
        <v>26.618705035971221</v>
      </c>
    </row>
    <row r="3808" spans="1:15" hidden="1" x14ac:dyDescent="0.25">
      <c r="A3808" s="11">
        <v>46120</v>
      </c>
      <c r="B3808" t="s">
        <v>61</v>
      </c>
      <c r="C3808" t="s">
        <v>18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196"/>
        <v>39</v>
      </c>
      <c r="J3808" s="3">
        <f t="shared" si="197"/>
        <v>28</v>
      </c>
      <c r="K3808" s="3">
        <f t="shared" si="198"/>
        <v>11</v>
      </c>
      <c r="L3808" s="3" t="str">
        <f t="shared" si="199"/>
        <v>MUITO BOM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62</v>
      </c>
      <c r="C3809" t="s">
        <v>20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196"/>
        <v>23</v>
      </c>
      <c r="J3809" s="3">
        <f t="shared" si="197"/>
        <v>18</v>
      </c>
      <c r="K3809" s="3">
        <f t="shared" si="198"/>
        <v>5</v>
      </c>
      <c r="L3809" s="3" t="str">
        <f t="shared" si="199"/>
        <v>OPORTUNO</v>
      </c>
      <c r="N3809">
        <v>100</v>
      </c>
      <c r="O3809">
        <v>26.027397260273968</v>
      </c>
    </row>
    <row r="3810" spans="1:15" hidden="1" x14ac:dyDescent="0.25">
      <c r="A3810" s="11">
        <v>46120</v>
      </c>
      <c r="B3810" t="s">
        <v>63</v>
      </c>
      <c r="C3810" t="s">
        <v>18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196"/>
        <v>25</v>
      </c>
      <c r="J3810" s="3">
        <f t="shared" si="197"/>
        <v>28</v>
      </c>
      <c r="K3810" s="3">
        <f t="shared" si="198"/>
        <v>-3</v>
      </c>
      <c r="L3810" s="3" t="str">
        <f t="shared" si="199"/>
        <v>ATENÇÃO</v>
      </c>
      <c r="N3810">
        <v>99.21</v>
      </c>
      <c r="O3810">
        <v>24.937027707808561</v>
      </c>
    </row>
    <row r="3811" spans="1:15" hidden="1" x14ac:dyDescent="0.25">
      <c r="A3811" s="11">
        <v>46121</v>
      </c>
      <c r="B3811" t="s">
        <v>15</v>
      </c>
      <c r="C3811" t="s">
        <v>16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196"/>
        <v>11</v>
      </c>
      <c r="J3811" s="3">
        <f t="shared" si="197"/>
        <v>20</v>
      </c>
      <c r="K3811" s="3">
        <f t="shared" si="198"/>
        <v>-9</v>
      </c>
      <c r="L3811" s="3" t="str">
        <f t="shared" si="199"/>
        <v>CRÍTICO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17</v>
      </c>
      <c r="C3812" t="s">
        <v>18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f t="shared" si="196"/>
        <v>0</v>
      </c>
      <c r="J3812" s="3">
        <f t="shared" si="197"/>
        <v>24</v>
      </c>
      <c r="K3812" s="3">
        <f t="shared" si="198"/>
        <v>-24</v>
      </c>
      <c r="L3812" s="3" t="str">
        <f t="shared" si="199"/>
        <v>CRÍTICO</v>
      </c>
      <c r="N3812">
        <v>98.66</v>
      </c>
      <c r="O3812">
        <v>35.15625</v>
      </c>
    </row>
    <row r="3813" spans="1:15" hidden="1" x14ac:dyDescent="0.25">
      <c r="A3813" s="11">
        <v>46121</v>
      </c>
      <c r="B3813" t="s">
        <v>19</v>
      </c>
      <c r="C3813" t="s">
        <v>20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si="196"/>
        <v>20</v>
      </c>
      <c r="J3813" s="3">
        <f t="shared" si="197"/>
        <v>16</v>
      </c>
      <c r="K3813" s="3">
        <f t="shared" si="198"/>
        <v>4</v>
      </c>
      <c r="L3813" s="3" t="str">
        <f t="shared" si="199"/>
        <v>OPORTUNO</v>
      </c>
      <c r="N3813">
        <v>99.32</v>
      </c>
      <c r="O3813">
        <v>30.45186640471513</v>
      </c>
    </row>
    <row r="3814" spans="1:15" hidden="1" x14ac:dyDescent="0.25">
      <c r="A3814" s="11">
        <v>46121</v>
      </c>
      <c r="B3814" t="s">
        <v>21</v>
      </c>
      <c r="C3814" t="s">
        <v>18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196"/>
        <v>21</v>
      </c>
      <c r="J3814" s="3">
        <f t="shared" si="197"/>
        <v>24</v>
      </c>
      <c r="K3814" s="3">
        <f t="shared" si="198"/>
        <v>-3</v>
      </c>
      <c r="L3814" s="3" t="str">
        <f t="shared" si="199"/>
        <v>ATENÇÃO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22</v>
      </c>
      <c r="C3815" t="s">
        <v>23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196"/>
        <v>17</v>
      </c>
      <c r="J3815" s="3">
        <f t="shared" si="197"/>
        <v>7</v>
      </c>
      <c r="K3815" s="3">
        <f t="shared" si="198"/>
        <v>10</v>
      </c>
      <c r="L3815" s="3" t="str">
        <f t="shared" si="199"/>
        <v>MUITO BOM</v>
      </c>
      <c r="N3815">
        <v>96.74</v>
      </c>
      <c r="O3815">
        <v>28.43137254901961</v>
      </c>
    </row>
    <row r="3816" spans="1:15" hidden="1" x14ac:dyDescent="0.25">
      <c r="A3816" s="11">
        <v>46121</v>
      </c>
      <c r="B3816" t="s">
        <v>24</v>
      </c>
      <c r="C3816" t="s">
        <v>16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196"/>
        <v>34</v>
      </c>
      <c r="J3816" s="3">
        <f t="shared" si="197"/>
        <v>20</v>
      </c>
      <c r="K3816" s="3">
        <f t="shared" si="198"/>
        <v>14</v>
      </c>
      <c r="L3816" s="3" t="str">
        <f t="shared" si="199"/>
        <v>MUITO BOM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25</v>
      </c>
      <c r="C3817" t="s">
        <v>16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196"/>
        <v>19</v>
      </c>
      <c r="J3817" s="3">
        <f t="shared" si="197"/>
        <v>20</v>
      </c>
      <c r="K3817" s="3">
        <f t="shared" si="198"/>
        <v>-1</v>
      </c>
      <c r="L3817" s="3" t="str">
        <f t="shared" si="199"/>
        <v>ATENÇÃO</v>
      </c>
      <c r="N3817">
        <v>98.2</v>
      </c>
      <c r="O3817">
        <v>26.890756302521009</v>
      </c>
    </row>
    <row r="3818" spans="1:15" hidden="1" x14ac:dyDescent="0.25">
      <c r="A3818" s="11">
        <v>46121</v>
      </c>
      <c r="B3818" t="s">
        <v>26</v>
      </c>
      <c r="C3818" t="s">
        <v>23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196"/>
        <v>6</v>
      </c>
      <c r="J3818" s="3">
        <f t="shared" si="197"/>
        <v>7</v>
      </c>
      <c r="K3818" s="3">
        <f t="shared" si="198"/>
        <v>-1</v>
      </c>
      <c r="L3818" s="3" t="str">
        <f t="shared" si="199"/>
        <v>ATENÇÃO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27</v>
      </c>
      <c r="C3819" t="s">
        <v>20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196"/>
        <v>22</v>
      </c>
      <c r="J3819" s="3">
        <f t="shared" si="197"/>
        <v>16</v>
      </c>
      <c r="K3819" s="3">
        <f t="shared" si="198"/>
        <v>6</v>
      </c>
      <c r="L3819" s="3" t="str">
        <f t="shared" si="199"/>
        <v>MUITO BOM</v>
      </c>
      <c r="N3819">
        <v>96.3</v>
      </c>
      <c r="O3819">
        <v>31.980906921241051</v>
      </c>
    </row>
    <row r="3820" spans="1:15" hidden="1" x14ac:dyDescent="0.25">
      <c r="A3820" s="11">
        <v>46121</v>
      </c>
      <c r="B3820" t="s">
        <v>28</v>
      </c>
      <c r="C3820" t="s">
        <v>18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196"/>
        <v>17</v>
      </c>
      <c r="J3820" s="3">
        <f t="shared" si="197"/>
        <v>24</v>
      </c>
      <c r="K3820" s="3">
        <f t="shared" si="198"/>
        <v>-7</v>
      </c>
      <c r="L3820" s="3" t="str">
        <f t="shared" si="199"/>
        <v>CRÍTICO</v>
      </c>
      <c r="N3820">
        <v>93.75</v>
      </c>
      <c r="O3820">
        <v>26.628352490421459</v>
      </c>
    </row>
    <row r="3821" spans="1:15" hidden="1" x14ac:dyDescent="0.25">
      <c r="A3821" s="11">
        <v>46121</v>
      </c>
      <c r="B3821" t="s">
        <v>29</v>
      </c>
      <c r="C3821" t="s">
        <v>16</v>
      </c>
      <c r="D3821">
        <v>0</v>
      </c>
      <c r="E3821">
        <v>0</v>
      </c>
      <c r="F3821">
        <v>0</v>
      </c>
      <c r="G3821">
        <v>0</v>
      </c>
      <c r="H3821">
        <v>0</v>
      </c>
      <c r="I3821" s="3">
        <f t="shared" si="196"/>
        <v>0</v>
      </c>
      <c r="J3821" s="3">
        <f t="shared" si="197"/>
        <v>20</v>
      </c>
      <c r="K3821" s="3">
        <f t="shared" si="198"/>
        <v>-20</v>
      </c>
      <c r="L3821" s="3" t="str">
        <f t="shared" si="199"/>
        <v>CRÍTICO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30</v>
      </c>
      <c r="C3822" t="s">
        <v>20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 t="shared" si="196"/>
        <v>22</v>
      </c>
      <c r="J3822" s="3">
        <f t="shared" si="197"/>
        <v>16</v>
      </c>
      <c r="K3822" s="3">
        <f t="shared" si="198"/>
        <v>6</v>
      </c>
      <c r="L3822" s="3" t="str">
        <f t="shared" si="199"/>
        <v>MUITO BOM</v>
      </c>
      <c r="N3822">
        <v>100</v>
      </c>
      <c r="O3822">
        <v>36.231884057971023</v>
      </c>
    </row>
    <row r="3823" spans="1:15" hidden="1" x14ac:dyDescent="0.25">
      <c r="A3823" s="11">
        <v>46121</v>
      </c>
      <c r="B3823" t="s">
        <v>31</v>
      </c>
      <c r="C3823" t="s">
        <v>18</v>
      </c>
      <c r="D3823">
        <v>0</v>
      </c>
      <c r="E3823">
        <v>0</v>
      </c>
      <c r="F3823">
        <v>0</v>
      </c>
      <c r="G3823">
        <v>0</v>
      </c>
      <c r="H3823">
        <v>0</v>
      </c>
      <c r="I3823" s="3">
        <f t="shared" si="196"/>
        <v>0</v>
      </c>
      <c r="J3823" s="3">
        <f t="shared" si="197"/>
        <v>24</v>
      </c>
      <c r="K3823" s="3">
        <f t="shared" si="198"/>
        <v>-24</v>
      </c>
      <c r="L3823" s="3" t="str">
        <f t="shared" si="199"/>
        <v>CRÍTICO</v>
      </c>
      <c r="N3823">
        <v>100</v>
      </c>
      <c r="O3823">
        <v>38.269230769230766</v>
      </c>
    </row>
    <row r="3824" spans="1:15" hidden="1" x14ac:dyDescent="0.25">
      <c r="A3824" s="11">
        <v>46121</v>
      </c>
      <c r="B3824" t="s">
        <v>32</v>
      </c>
      <c r="C3824" t="s">
        <v>23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 t="shared" si="196"/>
        <v>13</v>
      </c>
      <c r="J3824" s="3">
        <f t="shared" si="197"/>
        <v>7</v>
      </c>
      <c r="K3824" s="3">
        <f t="shared" si="198"/>
        <v>6</v>
      </c>
      <c r="L3824" s="3" t="str">
        <f t="shared" si="199"/>
        <v>MUITO BOM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33</v>
      </c>
      <c r="C3825" t="s">
        <v>16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 t="shared" si="196"/>
        <v>22</v>
      </c>
      <c r="J3825" s="3">
        <f t="shared" si="197"/>
        <v>20</v>
      </c>
      <c r="K3825" s="3">
        <f t="shared" si="198"/>
        <v>2</v>
      </c>
      <c r="L3825" s="3" t="str">
        <f t="shared" si="199"/>
        <v>OPORTUNO</v>
      </c>
      <c r="N3825">
        <v>97.83</v>
      </c>
      <c r="O3825">
        <v>28.131868131868131</v>
      </c>
    </row>
    <row r="3826" spans="1:15" hidden="1" x14ac:dyDescent="0.25">
      <c r="A3826" s="11">
        <v>46121</v>
      </c>
      <c r="B3826" t="s">
        <v>34</v>
      </c>
      <c r="C3826" t="s">
        <v>18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 t="shared" si="196"/>
        <v>22</v>
      </c>
      <c r="J3826" s="3">
        <f t="shared" si="197"/>
        <v>24</v>
      </c>
      <c r="K3826" s="3">
        <f t="shared" si="198"/>
        <v>-2</v>
      </c>
      <c r="L3826" s="3" t="str">
        <f t="shared" si="199"/>
        <v>ATENÇÃO</v>
      </c>
      <c r="N3826">
        <v>99.26</v>
      </c>
      <c r="O3826">
        <v>29.57198443579767</v>
      </c>
    </row>
    <row r="3827" spans="1:15" hidden="1" x14ac:dyDescent="0.25">
      <c r="A3827" s="11">
        <v>46121</v>
      </c>
      <c r="B3827" t="s">
        <v>35</v>
      </c>
      <c r="C3827" t="s">
        <v>16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 t="shared" si="196"/>
        <v>12</v>
      </c>
      <c r="J3827" s="3">
        <f t="shared" si="197"/>
        <v>20</v>
      </c>
      <c r="K3827" s="3">
        <f t="shared" si="198"/>
        <v>-8</v>
      </c>
      <c r="L3827" s="3" t="str">
        <f t="shared" si="199"/>
        <v>CRÍTICO</v>
      </c>
      <c r="N3827">
        <v>99.19</v>
      </c>
      <c r="O3827">
        <v>29.462365591397852</v>
      </c>
    </row>
    <row r="3828" spans="1:15" hidden="1" x14ac:dyDescent="0.25">
      <c r="A3828" s="5">
        <v>46156</v>
      </c>
      <c r="B3828" s="6" t="s">
        <v>36</v>
      </c>
      <c r="C3828" s="3" t="s">
        <v>20</v>
      </c>
      <c r="D3828" s="3">
        <v>19</v>
      </c>
      <c r="E3828" s="3">
        <v>18</v>
      </c>
      <c r="G3828" s="3">
        <v>0</v>
      </c>
      <c r="H3828" s="3">
        <v>5</v>
      </c>
      <c r="I3828" s="3">
        <f t="shared" ref="I3803:I3866" si="200">E3828+G3828+H3828</f>
        <v>23</v>
      </c>
      <c r="J3828" s="3">
        <f t="shared" ref="J3803:J3866" si="201"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>19</v>
      </c>
      <c r="K3828" s="3">
        <f t="shared" ref="K3803:K3866" si="202">I3828-J3828</f>
        <v>4</v>
      </c>
      <c r="L3828" s="3" t="str">
        <f t="shared" ref="L3803:L3866" si="203">IF(K3828&lt;-5,"CRÍTICO",IF(K3828&lt;0,"ATENÇÃO",IF(K3828&lt;=5,"OPORTUNO","MUITO BOM")))</f>
        <v>OPORTUNO</v>
      </c>
      <c r="M3828">
        <v>23</v>
      </c>
      <c r="N3828">
        <v>98.8</v>
      </c>
      <c r="O3828">
        <v>15.41353383458646</v>
      </c>
    </row>
    <row r="3829" spans="1:15" hidden="1" x14ac:dyDescent="0.25">
      <c r="A3829" s="11">
        <v>46121</v>
      </c>
      <c r="B3829" t="s">
        <v>37</v>
      </c>
      <c r="C3829" t="s">
        <v>16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f t="shared" si="200"/>
        <v>0</v>
      </c>
      <c r="J3829" s="3">
        <f t="shared" si="201"/>
        <v>20</v>
      </c>
      <c r="K3829" s="3">
        <f t="shared" si="202"/>
        <v>-20</v>
      </c>
      <c r="L3829" s="3" t="str">
        <f t="shared" si="203"/>
        <v>CRÍTICO</v>
      </c>
      <c r="N3829">
        <v>100</v>
      </c>
      <c r="O3829">
        <v>27.941176470588239</v>
      </c>
    </row>
    <row r="3830" spans="1:15" hidden="1" x14ac:dyDescent="0.25">
      <c r="A3830" s="11">
        <v>46121</v>
      </c>
      <c r="B3830" t="s">
        <v>38</v>
      </c>
      <c r="C3830" t="s">
        <v>18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 t="shared" si="200"/>
        <v>32</v>
      </c>
      <c r="J3830" s="3">
        <f t="shared" si="201"/>
        <v>24</v>
      </c>
      <c r="K3830" s="3">
        <f t="shared" si="202"/>
        <v>8</v>
      </c>
      <c r="L3830" s="3" t="str">
        <f t="shared" si="203"/>
        <v>MUITO BOM</v>
      </c>
      <c r="N3830">
        <v>99.57</v>
      </c>
      <c r="O3830">
        <v>29.913294797687861</v>
      </c>
    </row>
    <row r="3831" spans="1:15" hidden="1" x14ac:dyDescent="0.25">
      <c r="A3831" s="11">
        <v>46121</v>
      </c>
      <c r="B3831" t="s">
        <v>39</v>
      </c>
      <c r="C3831" t="s">
        <v>18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f t="shared" si="200"/>
        <v>0</v>
      </c>
      <c r="J3831" s="3">
        <f t="shared" si="201"/>
        <v>24</v>
      </c>
      <c r="K3831" s="3">
        <f t="shared" si="202"/>
        <v>-24</v>
      </c>
      <c r="L3831" s="3" t="str">
        <f t="shared" si="203"/>
        <v>CRÍTICO</v>
      </c>
      <c r="N3831">
        <v>95.65</v>
      </c>
      <c r="O3831">
        <v>31.081081081081081</v>
      </c>
    </row>
    <row r="3832" spans="1:15" hidden="1" x14ac:dyDescent="0.25">
      <c r="A3832" s="11">
        <v>46121</v>
      </c>
      <c r="B3832" t="s">
        <v>40</v>
      </c>
      <c r="C3832" t="s">
        <v>16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 t="shared" si="200"/>
        <v>21</v>
      </c>
      <c r="J3832" s="3">
        <f t="shared" si="201"/>
        <v>20</v>
      </c>
      <c r="K3832" s="3">
        <f t="shared" si="202"/>
        <v>1</v>
      </c>
      <c r="L3832" s="3" t="str">
        <f t="shared" si="203"/>
        <v>OPORTUNO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41</v>
      </c>
      <c r="C3833" t="s">
        <v>18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f t="shared" si="200"/>
        <v>0</v>
      </c>
      <c r="J3833" s="3">
        <f t="shared" si="201"/>
        <v>24</v>
      </c>
      <c r="K3833" s="3">
        <f t="shared" si="202"/>
        <v>-24</v>
      </c>
      <c r="L3833" s="3" t="str">
        <f t="shared" si="203"/>
        <v>CRÍTICO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42</v>
      </c>
      <c r="C3834" t="s">
        <v>43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 t="shared" si="200"/>
        <v>28</v>
      </c>
      <c r="J3834" s="3">
        <f t="shared" si="201"/>
        <v>14</v>
      </c>
      <c r="K3834" s="3">
        <f t="shared" si="202"/>
        <v>14</v>
      </c>
      <c r="L3834" s="3" t="str">
        <f t="shared" si="203"/>
        <v>MUITO BOM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44</v>
      </c>
      <c r="C3835" t="s">
        <v>18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 t="shared" si="200"/>
        <v>15</v>
      </c>
      <c r="J3835" s="3">
        <f t="shared" si="201"/>
        <v>24</v>
      </c>
      <c r="K3835" s="3">
        <f t="shared" si="202"/>
        <v>-9</v>
      </c>
      <c r="L3835" s="3" t="str">
        <f t="shared" si="203"/>
        <v>CRÍTICO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45</v>
      </c>
      <c r="C3836" t="s">
        <v>43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 t="shared" si="200"/>
        <v>15</v>
      </c>
      <c r="J3836" s="3">
        <f t="shared" si="201"/>
        <v>14</v>
      </c>
      <c r="K3836" s="3">
        <f t="shared" si="202"/>
        <v>1</v>
      </c>
      <c r="L3836" s="3" t="str">
        <f t="shared" si="203"/>
        <v>OPORTUNO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46</v>
      </c>
      <c r="C3837" t="s">
        <v>18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 t="shared" si="200"/>
        <v>12</v>
      </c>
      <c r="J3837" s="3">
        <f t="shared" si="201"/>
        <v>24</v>
      </c>
      <c r="K3837" s="3">
        <f t="shared" si="202"/>
        <v>-12</v>
      </c>
      <c r="L3837" s="3" t="str">
        <f t="shared" si="203"/>
        <v>CRÍTICO</v>
      </c>
      <c r="N3837">
        <v>99.15</v>
      </c>
      <c r="O3837">
        <v>27.370689655172409</v>
      </c>
    </row>
    <row r="3838" spans="1:15" hidden="1" x14ac:dyDescent="0.25">
      <c r="A3838" s="11">
        <v>46121</v>
      </c>
      <c r="B3838" t="s">
        <v>47</v>
      </c>
      <c r="C3838" t="s">
        <v>16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 t="shared" si="200"/>
        <v>18</v>
      </c>
      <c r="J3838" s="3">
        <f t="shared" si="201"/>
        <v>20</v>
      </c>
      <c r="K3838" s="3">
        <f t="shared" si="202"/>
        <v>-2</v>
      </c>
      <c r="L3838" s="3" t="str">
        <f t="shared" si="203"/>
        <v>ATENÇÃO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48</v>
      </c>
      <c r="C3839" t="s">
        <v>16</v>
      </c>
      <c r="D3839">
        <v>0</v>
      </c>
      <c r="E3839">
        <v>0</v>
      </c>
      <c r="F3839">
        <v>0</v>
      </c>
      <c r="G3839">
        <v>0</v>
      </c>
      <c r="H3839">
        <v>0</v>
      </c>
      <c r="I3839" s="3">
        <f t="shared" si="200"/>
        <v>0</v>
      </c>
      <c r="J3839" s="3">
        <f t="shared" si="201"/>
        <v>20</v>
      </c>
      <c r="K3839" s="3">
        <f t="shared" si="202"/>
        <v>-20</v>
      </c>
      <c r="L3839" s="3" t="str">
        <f t="shared" si="203"/>
        <v>CRÍTICO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49</v>
      </c>
      <c r="C3840" t="s">
        <v>18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si="200"/>
        <v>30</v>
      </c>
      <c r="J3840" s="3">
        <f t="shared" si="201"/>
        <v>24</v>
      </c>
      <c r="K3840" s="3">
        <f t="shared" si="202"/>
        <v>6</v>
      </c>
      <c r="L3840" s="3" t="str">
        <f t="shared" si="203"/>
        <v>MUITO BOM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50</v>
      </c>
      <c r="C3841" t="s">
        <v>20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200"/>
        <v>23</v>
      </c>
      <c r="J3841" s="3">
        <f t="shared" si="201"/>
        <v>16</v>
      </c>
      <c r="K3841" s="3">
        <f t="shared" si="202"/>
        <v>7</v>
      </c>
      <c r="L3841" s="3" t="str">
        <f t="shared" si="203"/>
        <v>MUITO BOM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51</v>
      </c>
      <c r="C3842" t="s">
        <v>23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200"/>
        <v>9</v>
      </c>
      <c r="J3842" s="3">
        <f t="shared" si="201"/>
        <v>7</v>
      </c>
      <c r="K3842" s="3">
        <f t="shared" si="202"/>
        <v>2</v>
      </c>
      <c r="L3842" s="3" t="str">
        <f t="shared" si="203"/>
        <v>OPORTUNO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52</v>
      </c>
      <c r="C3843" t="s">
        <v>18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200"/>
        <v>27</v>
      </c>
      <c r="J3843" s="3">
        <f t="shared" si="201"/>
        <v>24</v>
      </c>
      <c r="K3843" s="3">
        <f t="shared" si="202"/>
        <v>3</v>
      </c>
      <c r="L3843" s="3" t="str">
        <f t="shared" si="203"/>
        <v>OPORTUNO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53</v>
      </c>
      <c r="C3844" t="s">
        <v>18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200"/>
        <v>30</v>
      </c>
      <c r="J3844" s="3">
        <f t="shared" si="201"/>
        <v>24</v>
      </c>
      <c r="K3844" s="3">
        <f t="shared" si="202"/>
        <v>6</v>
      </c>
      <c r="L3844" s="3" t="str">
        <f t="shared" si="203"/>
        <v>MUITO BOM</v>
      </c>
      <c r="N3844">
        <v>95.49</v>
      </c>
      <c r="O3844">
        <v>28.16901408450704</v>
      </c>
    </row>
    <row r="3845" spans="1:15" hidden="1" x14ac:dyDescent="0.25">
      <c r="A3845" s="11">
        <v>46121</v>
      </c>
      <c r="B3845" t="s">
        <v>54</v>
      </c>
      <c r="C3845" t="s">
        <v>23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200"/>
        <v>12</v>
      </c>
      <c r="J3845" s="3">
        <f t="shared" si="201"/>
        <v>7</v>
      </c>
      <c r="K3845" s="3">
        <f t="shared" si="202"/>
        <v>5</v>
      </c>
      <c r="L3845" s="3" t="str">
        <f t="shared" si="203"/>
        <v>OPORTUNO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55</v>
      </c>
      <c r="C3846" t="s">
        <v>43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200"/>
        <v>15</v>
      </c>
      <c r="J3846" s="3">
        <f t="shared" si="201"/>
        <v>14</v>
      </c>
      <c r="K3846" s="3">
        <f t="shared" si="202"/>
        <v>1</v>
      </c>
      <c r="L3846" s="3" t="str">
        <f t="shared" si="203"/>
        <v>OPORTUNO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56</v>
      </c>
      <c r="C3847" t="s">
        <v>16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200"/>
        <v>25</v>
      </c>
      <c r="J3847" s="3">
        <f t="shared" si="201"/>
        <v>20</v>
      </c>
      <c r="K3847" s="3">
        <f t="shared" si="202"/>
        <v>5</v>
      </c>
      <c r="L3847" s="3" t="str">
        <f t="shared" si="203"/>
        <v>OPORTUNO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57</v>
      </c>
      <c r="C3848" t="s">
        <v>43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200"/>
        <v>18</v>
      </c>
      <c r="J3848" s="3">
        <f t="shared" si="201"/>
        <v>14</v>
      </c>
      <c r="K3848" s="3">
        <f t="shared" si="202"/>
        <v>4</v>
      </c>
      <c r="L3848" s="3" t="str">
        <f t="shared" si="203"/>
        <v>OPORTUNO</v>
      </c>
      <c r="N3848">
        <v>98.84</v>
      </c>
      <c r="O3848">
        <v>31.5018315018315</v>
      </c>
    </row>
    <row r="3849" spans="1:15" hidden="1" x14ac:dyDescent="0.25">
      <c r="A3849" s="11">
        <v>46121</v>
      </c>
      <c r="B3849" t="s">
        <v>58</v>
      </c>
      <c r="C3849" t="s">
        <v>43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200"/>
        <v>21</v>
      </c>
      <c r="J3849" s="3">
        <f t="shared" si="201"/>
        <v>14</v>
      </c>
      <c r="K3849" s="3">
        <f t="shared" si="202"/>
        <v>7</v>
      </c>
      <c r="L3849" s="3" t="str">
        <f t="shared" si="203"/>
        <v>MUITO BOM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59</v>
      </c>
      <c r="C3850" t="s">
        <v>23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200"/>
        <v>6</v>
      </c>
      <c r="J3850" s="3">
        <f t="shared" si="201"/>
        <v>7</v>
      </c>
      <c r="K3850" s="3">
        <f t="shared" si="202"/>
        <v>-1</v>
      </c>
      <c r="L3850" s="3" t="str">
        <f t="shared" si="203"/>
        <v>ATENÇÃO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60</v>
      </c>
      <c r="C3851" t="s">
        <v>20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200"/>
        <v>31</v>
      </c>
      <c r="J3851" s="3">
        <f t="shared" si="201"/>
        <v>16</v>
      </c>
      <c r="K3851" s="3">
        <f t="shared" si="202"/>
        <v>15</v>
      </c>
      <c r="L3851" s="3" t="str">
        <f t="shared" si="203"/>
        <v>MUITO BOM</v>
      </c>
      <c r="N3851">
        <v>98.32</v>
      </c>
      <c r="O3851">
        <v>26.618705035971221</v>
      </c>
    </row>
    <row r="3852" spans="1:15" hidden="1" x14ac:dyDescent="0.25">
      <c r="A3852" s="11">
        <v>46121</v>
      </c>
      <c r="B3852" t="s">
        <v>61</v>
      </c>
      <c r="C3852" t="s">
        <v>18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200"/>
        <v>30</v>
      </c>
      <c r="J3852" s="3">
        <f t="shared" si="201"/>
        <v>24</v>
      </c>
      <c r="K3852" s="3">
        <f t="shared" si="202"/>
        <v>6</v>
      </c>
      <c r="L3852" s="3" t="str">
        <f t="shared" si="203"/>
        <v>MUITO BOM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62</v>
      </c>
      <c r="C3853" t="s">
        <v>20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200"/>
        <v>15</v>
      </c>
      <c r="J3853" s="3">
        <f t="shared" si="201"/>
        <v>16</v>
      </c>
      <c r="K3853" s="3">
        <f t="shared" si="202"/>
        <v>-1</v>
      </c>
      <c r="L3853" s="3" t="str">
        <f t="shared" si="203"/>
        <v>ATENÇÃO</v>
      </c>
      <c r="N3853">
        <v>100</v>
      </c>
      <c r="O3853">
        <v>26.027397260273968</v>
      </c>
    </row>
    <row r="3854" spans="1:15" hidden="1" x14ac:dyDescent="0.25">
      <c r="A3854" s="11">
        <v>46121</v>
      </c>
      <c r="B3854" t="s">
        <v>63</v>
      </c>
      <c r="C3854" t="s">
        <v>18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200"/>
        <v>30</v>
      </c>
      <c r="J3854" s="3">
        <f t="shared" si="201"/>
        <v>24</v>
      </c>
      <c r="K3854" s="3">
        <f t="shared" si="202"/>
        <v>6</v>
      </c>
      <c r="L3854" s="3" t="str">
        <f t="shared" si="203"/>
        <v>MUITO BOM</v>
      </c>
      <c r="N3854">
        <v>99.21</v>
      </c>
      <c r="O3854">
        <v>24.937027707808561</v>
      </c>
    </row>
    <row r="3855" spans="1:15" hidden="1" x14ac:dyDescent="0.25">
      <c r="A3855" s="11">
        <v>46122</v>
      </c>
      <c r="B3855" t="s">
        <v>15</v>
      </c>
      <c r="C3855" t="s">
        <v>16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200"/>
        <v>8</v>
      </c>
      <c r="J3855" s="3">
        <f t="shared" si="201"/>
        <v>19</v>
      </c>
      <c r="K3855" s="3">
        <f t="shared" si="202"/>
        <v>-11</v>
      </c>
      <c r="L3855" s="3" t="str">
        <f t="shared" si="203"/>
        <v>CRÍTICO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17</v>
      </c>
      <c r="C3856" t="s">
        <v>18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f t="shared" si="200"/>
        <v>0</v>
      </c>
      <c r="J3856" s="3">
        <f t="shared" si="201"/>
        <v>24</v>
      </c>
      <c r="K3856" s="3">
        <f t="shared" si="202"/>
        <v>-24</v>
      </c>
      <c r="L3856" s="3" t="str">
        <f t="shared" si="203"/>
        <v>CRÍTICO</v>
      </c>
      <c r="N3856">
        <v>98.66</v>
      </c>
      <c r="O3856">
        <v>35.15625</v>
      </c>
    </row>
    <row r="3857" spans="1:15" hidden="1" x14ac:dyDescent="0.25">
      <c r="A3857" s="11">
        <v>46122</v>
      </c>
      <c r="B3857" t="s">
        <v>19</v>
      </c>
      <c r="C3857" t="s">
        <v>20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si="200"/>
        <v>34</v>
      </c>
      <c r="J3857" s="3">
        <f t="shared" si="201"/>
        <v>16</v>
      </c>
      <c r="K3857" s="3">
        <f t="shared" si="202"/>
        <v>18</v>
      </c>
      <c r="L3857" s="3" t="str">
        <f t="shared" si="203"/>
        <v>MUITO BOM</v>
      </c>
      <c r="N3857">
        <v>99.32</v>
      </c>
      <c r="O3857">
        <v>30.45186640471513</v>
      </c>
    </row>
    <row r="3858" spans="1:15" hidden="1" x14ac:dyDescent="0.25">
      <c r="A3858" s="11">
        <v>46122</v>
      </c>
      <c r="B3858" t="s">
        <v>21</v>
      </c>
      <c r="C3858" t="s">
        <v>18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200"/>
        <v>31</v>
      </c>
      <c r="J3858" s="3">
        <f t="shared" si="201"/>
        <v>24</v>
      </c>
      <c r="K3858" s="3">
        <f t="shared" si="202"/>
        <v>7</v>
      </c>
      <c r="L3858" s="3" t="str">
        <f t="shared" si="203"/>
        <v>MUITO BOM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22</v>
      </c>
      <c r="C3859" t="s">
        <v>23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200"/>
        <v>14</v>
      </c>
      <c r="J3859" s="3">
        <f t="shared" si="201"/>
        <v>7</v>
      </c>
      <c r="K3859" s="3">
        <f t="shared" si="202"/>
        <v>7</v>
      </c>
      <c r="L3859" s="3" t="str">
        <f t="shared" si="203"/>
        <v>MUITO BOM</v>
      </c>
      <c r="N3859">
        <v>96.74</v>
      </c>
      <c r="O3859">
        <v>28.43137254901961</v>
      </c>
    </row>
    <row r="3860" spans="1:15" hidden="1" x14ac:dyDescent="0.25">
      <c r="A3860" s="11">
        <v>46122</v>
      </c>
      <c r="B3860" t="s">
        <v>24</v>
      </c>
      <c r="C3860" t="s">
        <v>16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200"/>
        <v>32</v>
      </c>
      <c r="J3860" s="3">
        <f t="shared" si="201"/>
        <v>19</v>
      </c>
      <c r="K3860" s="3">
        <f t="shared" si="202"/>
        <v>13</v>
      </c>
      <c r="L3860" s="3" t="str">
        <f t="shared" si="203"/>
        <v>MUITO BOM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25</v>
      </c>
      <c r="C3861" t="s">
        <v>16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200"/>
        <v>21</v>
      </c>
      <c r="J3861" s="3">
        <f t="shared" si="201"/>
        <v>19</v>
      </c>
      <c r="K3861" s="3">
        <f t="shared" si="202"/>
        <v>2</v>
      </c>
      <c r="L3861" s="3" t="str">
        <f t="shared" si="203"/>
        <v>OPORTUNO</v>
      </c>
      <c r="N3861">
        <v>98.2</v>
      </c>
      <c r="O3861">
        <v>26.890756302521009</v>
      </c>
    </row>
    <row r="3862" spans="1:15" hidden="1" x14ac:dyDescent="0.25">
      <c r="A3862" s="11">
        <v>46122</v>
      </c>
      <c r="B3862" t="s">
        <v>26</v>
      </c>
      <c r="C3862" t="s">
        <v>23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200"/>
        <v>6</v>
      </c>
      <c r="J3862" s="3">
        <f t="shared" si="201"/>
        <v>7</v>
      </c>
      <c r="K3862" s="3">
        <f t="shared" si="202"/>
        <v>-1</v>
      </c>
      <c r="L3862" s="3" t="str">
        <f t="shared" si="203"/>
        <v>ATENÇÃO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27</v>
      </c>
      <c r="C3863" t="s">
        <v>20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200"/>
        <v>30</v>
      </c>
      <c r="J3863" s="3">
        <f t="shared" si="201"/>
        <v>16</v>
      </c>
      <c r="K3863" s="3">
        <f t="shared" si="202"/>
        <v>14</v>
      </c>
      <c r="L3863" s="3" t="str">
        <f t="shared" si="203"/>
        <v>MUITO BOM</v>
      </c>
      <c r="N3863">
        <v>96.3</v>
      </c>
      <c r="O3863">
        <v>31.980906921241051</v>
      </c>
    </row>
    <row r="3864" spans="1:15" hidden="1" x14ac:dyDescent="0.25">
      <c r="A3864" s="11">
        <v>46122</v>
      </c>
      <c r="B3864" t="s">
        <v>28</v>
      </c>
      <c r="C3864" t="s">
        <v>18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200"/>
        <v>21</v>
      </c>
      <c r="J3864" s="3">
        <f t="shared" si="201"/>
        <v>24</v>
      </c>
      <c r="K3864" s="3">
        <f t="shared" si="202"/>
        <v>-3</v>
      </c>
      <c r="L3864" s="3" t="str">
        <f t="shared" si="203"/>
        <v>ATENÇÃO</v>
      </c>
      <c r="N3864">
        <v>93.75</v>
      </c>
      <c r="O3864">
        <v>26.628352490421459</v>
      </c>
    </row>
    <row r="3865" spans="1:15" hidden="1" x14ac:dyDescent="0.25">
      <c r="A3865" s="11">
        <v>46122</v>
      </c>
      <c r="B3865" t="s">
        <v>29</v>
      </c>
      <c r="C3865" t="s">
        <v>16</v>
      </c>
      <c r="D3865">
        <v>0</v>
      </c>
      <c r="E3865">
        <v>0</v>
      </c>
      <c r="F3865">
        <v>0</v>
      </c>
      <c r="G3865">
        <v>0</v>
      </c>
      <c r="H3865">
        <v>0</v>
      </c>
      <c r="I3865" s="3">
        <f t="shared" si="200"/>
        <v>0</v>
      </c>
      <c r="J3865" s="3">
        <f t="shared" si="201"/>
        <v>19</v>
      </c>
      <c r="K3865" s="3">
        <f t="shared" si="202"/>
        <v>-19</v>
      </c>
      <c r="L3865" s="3" t="str">
        <f t="shared" si="203"/>
        <v>CRÍTICO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30</v>
      </c>
      <c r="C3866" t="s">
        <v>20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 t="shared" si="200"/>
        <v>18</v>
      </c>
      <c r="J3866" s="3">
        <f t="shared" si="201"/>
        <v>16</v>
      </c>
      <c r="K3866" s="3">
        <f t="shared" si="202"/>
        <v>2</v>
      </c>
      <c r="L3866" s="3" t="str">
        <f t="shared" si="203"/>
        <v>OPORTUNO</v>
      </c>
      <c r="N3866">
        <v>100</v>
      </c>
      <c r="O3866">
        <v>36.231884057971023</v>
      </c>
    </row>
    <row r="3867" spans="1:15" hidden="1" x14ac:dyDescent="0.25">
      <c r="A3867" s="11">
        <v>46122</v>
      </c>
      <c r="B3867" t="s">
        <v>31</v>
      </c>
      <c r="C3867" t="s">
        <v>18</v>
      </c>
      <c r="D3867">
        <v>0</v>
      </c>
      <c r="E3867">
        <v>0</v>
      </c>
      <c r="F3867">
        <v>0</v>
      </c>
      <c r="G3867">
        <v>0</v>
      </c>
      <c r="H3867">
        <v>0</v>
      </c>
      <c r="I3867" s="3">
        <f t="shared" ref="I3867:I3871" si="204">E3867+G3867+H3867</f>
        <v>0</v>
      </c>
      <c r="J3867" s="3">
        <f t="shared" ref="J3867:J3871" si="205"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24</v>
      </c>
      <c r="K3867" s="3">
        <f t="shared" ref="K3867:K3871" si="206">I3867-J3867</f>
        <v>-24</v>
      </c>
      <c r="L3867" s="3" t="str">
        <f t="shared" ref="L3867:L3871" si="207">IF(K3867&lt;-5,"CRÍTICO",IF(K3867&lt;0,"ATENÇÃO",IF(K3867&lt;=5,"OPORTUNO","MUITO BOM")))</f>
        <v>CRÍTICO</v>
      </c>
      <c r="N3867">
        <v>100</v>
      </c>
      <c r="O3867">
        <v>38.269230769230766</v>
      </c>
    </row>
    <row r="3868" spans="1:15" hidden="1" x14ac:dyDescent="0.25">
      <c r="A3868" s="11">
        <v>46122</v>
      </c>
      <c r="B3868" t="s">
        <v>32</v>
      </c>
      <c r="C3868" t="s">
        <v>23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 t="shared" si="204"/>
        <v>4</v>
      </c>
      <c r="J3868" s="3">
        <f t="shared" si="205"/>
        <v>7</v>
      </c>
      <c r="K3868" s="3">
        <f t="shared" si="206"/>
        <v>-3</v>
      </c>
      <c r="L3868" s="3" t="str">
        <f t="shared" si="207"/>
        <v>ATENÇÃO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33</v>
      </c>
      <c r="C3869" t="s">
        <v>16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 t="shared" si="204"/>
        <v>23</v>
      </c>
      <c r="J3869" s="3">
        <f t="shared" si="205"/>
        <v>19</v>
      </c>
      <c r="K3869" s="3">
        <f t="shared" si="206"/>
        <v>4</v>
      </c>
      <c r="L3869" s="3" t="str">
        <f t="shared" si="207"/>
        <v>OPORTUNO</v>
      </c>
      <c r="N3869">
        <v>97.83</v>
      </c>
      <c r="O3869">
        <v>28.131868131868131</v>
      </c>
    </row>
    <row r="3870" spans="1:15" hidden="1" x14ac:dyDescent="0.25">
      <c r="A3870" s="11">
        <v>46122</v>
      </c>
      <c r="B3870" t="s">
        <v>34</v>
      </c>
      <c r="C3870" t="s">
        <v>18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 t="shared" si="204"/>
        <v>31</v>
      </c>
      <c r="J3870" s="3">
        <f t="shared" si="205"/>
        <v>24</v>
      </c>
      <c r="K3870" s="3">
        <f t="shared" si="206"/>
        <v>7</v>
      </c>
      <c r="L3870" s="3" t="str">
        <f t="shared" si="207"/>
        <v>MUITO BOM</v>
      </c>
      <c r="N3870">
        <v>99.26</v>
      </c>
      <c r="O3870">
        <v>29.57198443579767</v>
      </c>
    </row>
    <row r="3871" spans="1:15" hidden="1" x14ac:dyDescent="0.25">
      <c r="A3871" s="11">
        <v>46122</v>
      </c>
      <c r="B3871" t="s">
        <v>35</v>
      </c>
      <c r="C3871" t="s">
        <v>16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 t="shared" si="204"/>
        <v>21</v>
      </c>
      <c r="J3871" s="3">
        <f t="shared" si="205"/>
        <v>19</v>
      </c>
      <c r="K3871" s="3">
        <f t="shared" si="206"/>
        <v>2</v>
      </c>
      <c r="L3871" s="3" t="str">
        <f t="shared" si="207"/>
        <v>OPORTUNO</v>
      </c>
      <c r="N3871">
        <v>99.19</v>
      </c>
      <c r="O3871">
        <v>29.462365591397852</v>
      </c>
    </row>
    <row r="3872" spans="1:15" hidden="1" x14ac:dyDescent="0.25">
      <c r="A3872" s="5">
        <v>46157</v>
      </c>
      <c r="B3872" s="6" t="s">
        <v>36</v>
      </c>
      <c r="C3872" s="3" t="s">
        <v>20</v>
      </c>
      <c r="D3872" s="3">
        <v>19</v>
      </c>
      <c r="E3872" s="3">
        <v>16</v>
      </c>
      <c r="G3872" s="3">
        <v>6</v>
      </c>
      <c r="H3872" s="3">
        <v>1</v>
      </c>
      <c r="I3872" s="3">
        <f t="shared" ref="I3867:I3930" si="208">E3872+G3872+H3872</f>
        <v>23</v>
      </c>
      <c r="J3872" s="3">
        <f t="shared" ref="J3867:J3930" si="209"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>19</v>
      </c>
      <c r="K3872" s="3">
        <f t="shared" ref="K3867:K3930" si="210">I3872-J3872</f>
        <v>4</v>
      </c>
      <c r="L3872" s="3" t="str">
        <f t="shared" ref="L3867:L3930" si="211">IF(K3872&lt;-5,"CRÍTICO",IF(K3872&lt;0,"ATENÇÃO",IF(K3872&lt;=5,"OPORTUNO","MUITO BOM")))</f>
        <v>OPORTUNO</v>
      </c>
      <c r="M3872">
        <v>15</v>
      </c>
      <c r="N3872">
        <v>98.8</v>
      </c>
      <c r="O3872">
        <v>15.41353383458646</v>
      </c>
    </row>
    <row r="3873" spans="1:15" hidden="1" x14ac:dyDescent="0.25">
      <c r="A3873" s="11">
        <v>46122</v>
      </c>
      <c r="B3873" t="s">
        <v>37</v>
      </c>
      <c r="C3873" t="s">
        <v>16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f t="shared" si="208"/>
        <v>0</v>
      </c>
      <c r="J3873" s="3">
        <f t="shared" si="209"/>
        <v>19</v>
      </c>
      <c r="K3873" s="3">
        <f t="shared" si="210"/>
        <v>-19</v>
      </c>
      <c r="L3873" s="3" t="str">
        <f t="shared" si="211"/>
        <v>CRÍTICO</v>
      </c>
      <c r="N3873">
        <v>100</v>
      </c>
      <c r="O3873">
        <v>27.941176470588239</v>
      </c>
    </row>
    <row r="3874" spans="1:15" hidden="1" x14ac:dyDescent="0.25">
      <c r="A3874" s="11">
        <v>46122</v>
      </c>
      <c r="B3874" t="s">
        <v>38</v>
      </c>
      <c r="C3874" t="s">
        <v>18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 t="shared" si="208"/>
        <v>32</v>
      </c>
      <c r="J3874" s="3">
        <f t="shared" si="209"/>
        <v>24</v>
      </c>
      <c r="K3874" s="3">
        <f t="shared" si="210"/>
        <v>8</v>
      </c>
      <c r="L3874" s="3" t="str">
        <f t="shared" si="211"/>
        <v>MUITO BOM</v>
      </c>
      <c r="N3874">
        <v>99.57</v>
      </c>
      <c r="O3874">
        <v>29.913294797687861</v>
      </c>
    </row>
    <row r="3875" spans="1:15" hidden="1" x14ac:dyDescent="0.25">
      <c r="A3875" s="11">
        <v>46122</v>
      </c>
      <c r="B3875" t="s">
        <v>39</v>
      </c>
      <c r="C3875" t="s">
        <v>18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f t="shared" si="208"/>
        <v>0</v>
      </c>
      <c r="J3875" s="3">
        <f t="shared" si="209"/>
        <v>24</v>
      </c>
      <c r="K3875" s="3">
        <f t="shared" si="210"/>
        <v>-24</v>
      </c>
      <c r="L3875" s="3" t="str">
        <f t="shared" si="211"/>
        <v>CRÍTICO</v>
      </c>
      <c r="N3875">
        <v>95.65</v>
      </c>
      <c r="O3875">
        <v>31.081081081081081</v>
      </c>
    </row>
    <row r="3876" spans="1:15" hidden="1" x14ac:dyDescent="0.25">
      <c r="A3876" s="11">
        <v>46122</v>
      </c>
      <c r="B3876" t="s">
        <v>40</v>
      </c>
      <c r="C3876" t="s">
        <v>16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 t="shared" si="208"/>
        <v>17</v>
      </c>
      <c r="J3876" s="3">
        <f t="shared" si="209"/>
        <v>19</v>
      </c>
      <c r="K3876" s="3">
        <f t="shared" si="210"/>
        <v>-2</v>
      </c>
      <c r="L3876" s="3" t="str">
        <f t="shared" si="211"/>
        <v>ATENÇÃO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41</v>
      </c>
      <c r="C3877" t="s">
        <v>18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f t="shared" si="208"/>
        <v>0</v>
      </c>
      <c r="J3877" s="3">
        <f t="shared" si="209"/>
        <v>24</v>
      </c>
      <c r="K3877" s="3">
        <f t="shared" si="210"/>
        <v>-24</v>
      </c>
      <c r="L3877" s="3" t="str">
        <f t="shared" si="211"/>
        <v>CRÍTICO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42</v>
      </c>
      <c r="C3878" t="s">
        <v>43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 t="shared" si="208"/>
        <v>16</v>
      </c>
      <c r="J3878" s="3">
        <f t="shared" si="209"/>
        <v>14</v>
      </c>
      <c r="K3878" s="3">
        <f t="shared" si="210"/>
        <v>2</v>
      </c>
      <c r="L3878" s="3" t="str">
        <f t="shared" si="211"/>
        <v>OPORTUNO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44</v>
      </c>
      <c r="C3879" t="s">
        <v>18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 t="shared" si="208"/>
        <v>15</v>
      </c>
      <c r="J3879" s="3">
        <f t="shared" si="209"/>
        <v>24</v>
      </c>
      <c r="K3879" s="3">
        <f t="shared" si="210"/>
        <v>-9</v>
      </c>
      <c r="L3879" s="3" t="str">
        <f t="shared" si="211"/>
        <v>CRÍTICO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45</v>
      </c>
      <c r="C3880" t="s">
        <v>43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 t="shared" si="208"/>
        <v>11</v>
      </c>
      <c r="J3880" s="3">
        <f t="shared" si="209"/>
        <v>14</v>
      </c>
      <c r="K3880" s="3">
        <f t="shared" si="210"/>
        <v>-3</v>
      </c>
      <c r="L3880" s="3" t="str">
        <f t="shared" si="211"/>
        <v>ATENÇÃO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46</v>
      </c>
      <c r="C3881" t="s">
        <v>18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 t="shared" si="208"/>
        <v>26</v>
      </c>
      <c r="J3881" s="3">
        <f t="shared" si="209"/>
        <v>24</v>
      </c>
      <c r="K3881" s="3">
        <f t="shared" si="210"/>
        <v>2</v>
      </c>
      <c r="L3881" s="3" t="str">
        <f t="shared" si="211"/>
        <v>OPORTUNO</v>
      </c>
      <c r="N3881">
        <v>99.15</v>
      </c>
      <c r="O3881">
        <v>27.370689655172409</v>
      </c>
    </row>
    <row r="3882" spans="1:15" hidden="1" x14ac:dyDescent="0.25">
      <c r="A3882" s="11">
        <v>46122</v>
      </c>
      <c r="B3882" t="s">
        <v>47</v>
      </c>
      <c r="C3882" t="s">
        <v>16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 t="shared" si="208"/>
        <v>19</v>
      </c>
      <c r="J3882" s="3">
        <f t="shared" si="209"/>
        <v>19</v>
      </c>
      <c r="K3882" s="3">
        <f t="shared" si="210"/>
        <v>0</v>
      </c>
      <c r="L3882" s="3" t="str">
        <f t="shared" si="211"/>
        <v>OPORTUNO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48</v>
      </c>
      <c r="C3883" t="s">
        <v>16</v>
      </c>
      <c r="D3883">
        <v>0</v>
      </c>
      <c r="E3883">
        <v>0</v>
      </c>
      <c r="F3883">
        <v>0</v>
      </c>
      <c r="G3883">
        <v>0</v>
      </c>
      <c r="H3883">
        <v>0</v>
      </c>
      <c r="I3883" s="3">
        <f t="shared" si="208"/>
        <v>0</v>
      </c>
      <c r="J3883" s="3">
        <f t="shared" si="209"/>
        <v>19</v>
      </c>
      <c r="K3883" s="3">
        <f t="shared" si="210"/>
        <v>-19</v>
      </c>
      <c r="L3883" s="3" t="str">
        <f t="shared" si="211"/>
        <v>CRÍTICO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49</v>
      </c>
      <c r="C3884" t="s">
        <v>18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si="208"/>
        <v>37</v>
      </c>
      <c r="J3884" s="3">
        <f t="shared" si="209"/>
        <v>24</v>
      </c>
      <c r="K3884" s="3">
        <f t="shared" si="210"/>
        <v>13</v>
      </c>
      <c r="L3884" s="3" t="str">
        <f t="shared" si="211"/>
        <v>MUITO BOM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50</v>
      </c>
      <c r="C3885" t="s">
        <v>20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208"/>
        <v>18</v>
      </c>
      <c r="J3885" s="3">
        <f t="shared" si="209"/>
        <v>16</v>
      </c>
      <c r="K3885" s="3">
        <f t="shared" si="210"/>
        <v>2</v>
      </c>
      <c r="L3885" s="3" t="str">
        <f t="shared" si="211"/>
        <v>OPORTUNO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51</v>
      </c>
      <c r="C3886" t="s">
        <v>23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208"/>
        <v>18</v>
      </c>
      <c r="J3886" s="3">
        <f t="shared" si="209"/>
        <v>7</v>
      </c>
      <c r="K3886" s="3">
        <f t="shared" si="210"/>
        <v>11</v>
      </c>
      <c r="L3886" s="3" t="str">
        <f t="shared" si="211"/>
        <v>MUITO BOM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52</v>
      </c>
      <c r="C3887" t="s">
        <v>18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208"/>
        <v>11</v>
      </c>
      <c r="J3887" s="3">
        <f t="shared" si="209"/>
        <v>24</v>
      </c>
      <c r="K3887" s="3">
        <f t="shared" si="210"/>
        <v>-13</v>
      </c>
      <c r="L3887" s="3" t="str">
        <f t="shared" si="211"/>
        <v>CRÍTICO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53</v>
      </c>
      <c r="C3888" t="s">
        <v>18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208"/>
        <v>23</v>
      </c>
      <c r="J3888" s="3">
        <f t="shared" si="209"/>
        <v>24</v>
      </c>
      <c r="K3888" s="3">
        <f t="shared" si="210"/>
        <v>-1</v>
      </c>
      <c r="L3888" s="3" t="str">
        <f t="shared" si="211"/>
        <v>ATENÇÃO</v>
      </c>
      <c r="N3888">
        <v>95.49</v>
      </c>
      <c r="O3888">
        <v>28.16901408450704</v>
      </c>
    </row>
    <row r="3889" spans="1:15" hidden="1" x14ac:dyDescent="0.25">
      <c r="A3889" s="11">
        <v>46122</v>
      </c>
      <c r="B3889" t="s">
        <v>54</v>
      </c>
      <c r="C3889" t="s">
        <v>23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208"/>
        <v>16</v>
      </c>
      <c r="J3889" s="3">
        <f t="shared" si="209"/>
        <v>7</v>
      </c>
      <c r="K3889" s="3">
        <f t="shared" si="210"/>
        <v>9</v>
      </c>
      <c r="L3889" s="3" t="str">
        <f t="shared" si="211"/>
        <v>MUITO BOM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55</v>
      </c>
      <c r="C3890" t="s">
        <v>43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208"/>
        <v>31</v>
      </c>
      <c r="J3890" s="3">
        <f t="shared" si="209"/>
        <v>14</v>
      </c>
      <c r="K3890" s="3">
        <f t="shared" si="210"/>
        <v>17</v>
      </c>
      <c r="L3890" s="3" t="str">
        <f t="shared" si="211"/>
        <v>MUITO BOM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56</v>
      </c>
      <c r="C3891" t="s">
        <v>16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208"/>
        <v>18</v>
      </c>
      <c r="J3891" s="3">
        <f t="shared" si="209"/>
        <v>19</v>
      </c>
      <c r="K3891" s="3">
        <f t="shared" si="210"/>
        <v>-1</v>
      </c>
      <c r="L3891" s="3" t="str">
        <f t="shared" si="211"/>
        <v>ATENÇÃO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57</v>
      </c>
      <c r="C3892" t="s">
        <v>43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208"/>
        <v>12</v>
      </c>
      <c r="J3892" s="3">
        <f t="shared" si="209"/>
        <v>14</v>
      </c>
      <c r="K3892" s="3">
        <f t="shared" si="210"/>
        <v>-2</v>
      </c>
      <c r="L3892" s="3" t="str">
        <f t="shared" si="211"/>
        <v>ATENÇÃO</v>
      </c>
      <c r="N3892">
        <v>98.84</v>
      </c>
      <c r="O3892">
        <v>31.5018315018315</v>
      </c>
    </row>
    <row r="3893" spans="1:15" hidden="1" x14ac:dyDescent="0.25">
      <c r="A3893" s="11">
        <v>46122</v>
      </c>
      <c r="B3893" t="s">
        <v>58</v>
      </c>
      <c r="C3893" t="s">
        <v>43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208"/>
        <v>20</v>
      </c>
      <c r="J3893" s="3">
        <f t="shared" si="209"/>
        <v>14</v>
      </c>
      <c r="K3893" s="3">
        <f t="shared" si="210"/>
        <v>6</v>
      </c>
      <c r="L3893" s="3" t="str">
        <f t="shared" si="211"/>
        <v>MUITO BOM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59</v>
      </c>
      <c r="C3894" t="s">
        <v>23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208"/>
        <v>7</v>
      </c>
      <c r="J3894" s="3">
        <f t="shared" si="209"/>
        <v>7</v>
      </c>
      <c r="K3894" s="3">
        <f t="shared" si="210"/>
        <v>0</v>
      </c>
      <c r="L3894" s="3" t="str">
        <f t="shared" si="211"/>
        <v>OPORTUNO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60</v>
      </c>
      <c r="C3895" t="s">
        <v>20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208"/>
        <v>25</v>
      </c>
      <c r="J3895" s="3">
        <f t="shared" si="209"/>
        <v>16</v>
      </c>
      <c r="K3895" s="3">
        <f t="shared" si="210"/>
        <v>9</v>
      </c>
      <c r="L3895" s="3" t="str">
        <f t="shared" si="211"/>
        <v>MUITO BOM</v>
      </c>
      <c r="N3895">
        <v>98.32</v>
      </c>
      <c r="O3895">
        <v>26.618705035971221</v>
      </c>
    </row>
    <row r="3896" spans="1:15" hidden="1" x14ac:dyDescent="0.25">
      <c r="A3896" s="11">
        <v>46122</v>
      </c>
      <c r="B3896" t="s">
        <v>61</v>
      </c>
      <c r="C3896" t="s">
        <v>18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208"/>
        <v>34</v>
      </c>
      <c r="J3896" s="3">
        <f t="shared" si="209"/>
        <v>24</v>
      </c>
      <c r="K3896" s="3">
        <f t="shared" si="210"/>
        <v>10</v>
      </c>
      <c r="L3896" s="3" t="str">
        <f t="shared" si="211"/>
        <v>MUITO BOM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62</v>
      </c>
      <c r="C3897" t="s">
        <v>20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208"/>
        <v>13</v>
      </c>
      <c r="J3897" s="3">
        <f t="shared" si="209"/>
        <v>16</v>
      </c>
      <c r="K3897" s="3">
        <f t="shared" si="210"/>
        <v>-3</v>
      </c>
      <c r="L3897" s="3" t="str">
        <f t="shared" si="211"/>
        <v>ATENÇÃO</v>
      </c>
      <c r="N3897">
        <v>100</v>
      </c>
      <c r="O3897">
        <v>26.027397260273968</v>
      </c>
    </row>
    <row r="3898" spans="1:15" hidden="1" x14ac:dyDescent="0.25">
      <c r="A3898" s="11">
        <v>46122</v>
      </c>
      <c r="B3898" t="s">
        <v>63</v>
      </c>
      <c r="C3898" t="s">
        <v>18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208"/>
        <v>11</v>
      </c>
      <c r="J3898" s="3">
        <f t="shared" si="209"/>
        <v>24</v>
      </c>
      <c r="K3898" s="3">
        <f t="shared" si="210"/>
        <v>-13</v>
      </c>
      <c r="L3898" s="3" t="str">
        <f t="shared" si="211"/>
        <v>CRÍTICO</v>
      </c>
      <c r="N3898">
        <v>99.21</v>
      </c>
      <c r="O3898">
        <v>24.937027707808561</v>
      </c>
    </row>
    <row r="3899" spans="1:15" hidden="1" x14ac:dyDescent="0.25">
      <c r="A3899" s="11">
        <v>46125</v>
      </c>
      <c r="B3899" t="s">
        <v>15</v>
      </c>
      <c r="C3899" t="s">
        <v>16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208"/>
        <v>15</v>
      </c>
      <c r="J3899" s="3">
        <f t="shared" si="209"/>
        <v>19</v>
      </c>
      <c r="K3899" s="3">
        <f t="shared" si="210"/>
        <v>-4</v>
      </c>
      <c r="L3899" s="3" t="str">
        <f t="shared" si="211"/>
        <v>ATENÇÃO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17</v>
      </c>
      <c r="C3900" t="s">
        <v>18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f t="shared" si="208"/>
        <v>0</v>
      </c>
      <c r="J3900" s="3">
        <f t="shared" si="209"/>
        <v>24</v>
      </c>
      <c r="K3900" s="3">
        <f t="shared" si="210"/>
        <v>-24</v>
      </c>
      <c r="L3900" s="3" t="str">
        <f t="shared" si="211"/>
        <v>CRÍTICO</v>
      </c>
      <c r="N3900">
        <v>98.66</v>
      </c>
      <c r="O3900">
        <v>35.15625</v>
      </c>
    </row>
    <row r="3901" spans="1:15" hidden="1" x14ac:dyDescent="0.25">
      <c r="A3901" s="11">
        <v>46125</v>
      </c>
      <c r="B3901" t="s">
        <v>19</v>
      </c>
      <c r="C3901" t="s">
        <v>20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si="208"/>
        <v>29</v>
      </c>
      <c r="J3901" s="3">
        <f t="shared" si="209"/>
        <v>16</v>
      </c>
      <c r="K3901" s="3">
        <f t="shared" si="210"/>
        <v>13</v>
      </c>
      <c r="L3901" s="3" t="str">
        <f t="shared" si="211"/>
        <v>MUITO BOM</v>
      </c>
      <c r="N3901">
        <v>99.32</v>
      </c>
      <c r="O3901">
        <v>30.45186640471513</v>
      </c>
    </row>
    <row r="3902" spans="1:15" hidden="1" x14ac:dyDescent="0.25">
      <c r="A3902" s="11">
        <v>46125</v>
      </c>
      <c r="B3902" t="s">
        <v>21</v>
      </c>
      <c r="C3902" t="s">
        <v>18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208"/>
        <v>13</v>
      </c>
      <c r="J3902" s="3">
        <f t="shared" si="209"/>
        <v>24</v>
      </c>
      <c r="K3902" s="3">
        <f t="shared" si="210"/>
        <v>-11</v>
      </c>
      <c r="L3902" s="3" t="str">
        <f t="shared" si="211"/>
        <v>CRÍTICO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22</v>
      </c>
      <c r="C3903" t="s">
        <v>23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208"/>
        <v>25</v>
      </c>
      <c r="J3903" s="3">
        <f t="shared" si="209"/>
        <v>7</v>
      </c>
      <c r="K3903" s="3">
        <f t="shared" si="210"/>
        <v>18</v>
      </c>
      <c r="L3903" s="3" t="str">
        <f t="shared" si="211"/>
        <v>MUITO BOM</v>
      </c>
      <c r="N3903">
        <v>96.74</v>
      </c>
      <c r="O3903">
        <v>28.43137254901961</v>
      </c>
    </row>
    <row r="3904" spans="1:15" hidden="1" x14ac:dyDescent="0.25">
      <c r="A3904" s="11">
        <v>46125</v>
      </c>
      <c r="B3904" t="s">
        <v>24</v>
      </c>
      <c r="C3904" t="s">
        <v>16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208"/>
        <v>27</v>
      </c>
      <c r="J3904" s="3">
        <f t="shared" si="209"/>
        <v>19</v>
      </c>
      <c r="K3904" s="3">
        <f t="shared" si="210"/>
        <v>8</v>
      </c>
      <c r="L3904" s="3" t="str">
        <f t="shared" si="211"/>
        <v>MUITO BOM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25</v>
      </c>
      <c r="C3905" t="s">
        <v>16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208"/>
        <v>14</v>
      </c>
      <c r="J3905" s="3">
        <f t="shared" si="209"/>
        <v>19</v>
      </c>
      <c r="K3905" s="3">
        <f t="shared" si="210"/>
        <v>-5</v>
      </c>
      <c r="L3905" s="3" t="str">
        <f t="shared" si="211"/>
        <v>ATENÇÃO</v>
      </c>
      <c r="N3905">
        <v>98.2</v>
      </c>
      <c r="O3905">
        <v>26.890756302521009</v>
      </c>
    </row>
    <row r="3906" spans="1:15" hidden="1" x14ac:dyDescent="0.25">
      <c r="A3906" s="11">
        <v>46125</v>
      </c>
      <c r="B3906" t="s">
        <v>26</v>
      </c>
      <c r="C3906" t="s">
        <v>23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208"/>
        <v>10</v>
      </c>
      <c r="J3906" s="3">
        <f t="shared" si="209"/>
        <v>7</v>
      </c>
      <c r="K3906" s="3">
        <f t="shared" si="210"/>
        <v>3</v>
      </c>
      <c r="L3906" s="3" t="str">
        <f t="shared" si="211"/>
        <v>OPORTUNO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27</v>
      </c>
      <c r="C3907" t="s">
        <v>20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208"/>
        <v>28</v>
      </c>
      <c r="J3907" s="3">
        <f t="shared" si="209"/>
        <v>16</v>
      </c>
      <c r="K3907" s="3">
        <f t="shared" si="210"/>
        <v>12</v>
      </c>
      <c r="L3907" s="3" t="str">
        <f t="shared" si="211"/>
        <v>MUITO BOM</v>
      </c>
      <c r="N3907">
        <v>96.3</v>
      </c>
      <c r="O3907">
        <v>31.980906921241051</v>
      </c>
    </row>
    <row r="3908" spans="1:15" hidden="1" x14ac:dyDescent="0.25">
      <c r="A3908" s="11">
        <v>46125</v>
      </c>
      <c r="B3908" t="s">
        <v>28</v>
      </c>
      <c r="C3908" t="s">
        <v>18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208"/>
        <v>28</v>
      </c>
      <c r="J3908" s="3">
        <f t="shared" si="209"/>
        <v>24</v>
      </c>
      <c r="K3908" s="3">
        <f t="shared" si="210"/>
        <v>4</v>
      </c>
      <c r="L3908" s="3" t="str">
        <f t="shared" si="211"/>
        <v>OPORTUNO</v>
      </c>
      <c r="N3908">
        <v>93.75</v>
      </c>
      <c r="O3908">
        <v>26.628352490421459</v>
      </c>
    </row>
    <row r="3909" spans="1:15" hidden="1" x14ac:dyDescent="0.25">
      <c r="A3909" s="11">
        <v>46125</v>
      </c>
      <c r="B3909" t="s">
        <v>29</v>
      </c>
      <c r="C3909" t="s">
        <v>16</v>
      </c>
      <c r="D3909">
        <v>0</v>
      </c>
      <c r="E3909">
        <v>0</v>
      </c>
      <c r="F3909">
        <v>0</v>
      </c>
      <c r="G3909">
        <v>0</v>
      </c>
      <c r="H3909">
        <v>0</v>
      </c>
      <c r="I3909" s="3">
        <f t="shared" si="208"/>
        <v>0</v>
      </c>
      <c r="J3909" s="3">
        <f t="shared" si="209"/>
        <v>19</v>
      </c>
      <c r="K3909" s="3">
        <f t="shared" si="210"/>
        <v>-19</v>
      </c>
      <c r="L3909" s="3" t="str">
        <f t="shared" si="211"/>
        <v>CRÍTICO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30</v>
      </c>
      <c r="C3910" t="s">
        <v>20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 t="shared" si="208"/>
        <v>7</v>
      </c>
      <c r="J3910" s="3">
        <f t="shared" si="209"/>
        <v>16</v>
      </c>
      <c r="K3910" s="3">
        <f t="shared" si="210"/>
        <v>-9</v>
      </c>
      <c r="L3910" s="3" t="str">
        <f t="shared" si="211"/>
        <v>CRÍTICO</v>
      </c>
      <c r="N3910">
        <v>100</v>
      </c>
      <c r="O3910">
        <v>36.231884057971023</v>
      </c>
    </row>
    <row r="3911" spans="1:15" hidden="1" x14ac:dyDescent="0.25">
      <c r="A3911" s="11">
        <v>46125</v>
      </c>
      <c r="B3911" t="s">
        <v>31</v>
      </c>
      <c r="C3911" t="s">
        <v>18</v>
      </c>
      <c r="D3911">
        <v>0</v>
      </c>
      <c r="E3911">
        <v>0</v>
      </c>
      <c r="F3911">
        <v>0</v>
      </c>
      <c r="G3911">
        <v>0</v>
      </c>
      <c r="H3911">
        <v>0</v>
      </c>
      <c r="I3911" s="3">
        <f t="shared" si="208"/>
        <v>0</v>
      </c>
      <c r="J3911" s="3">
        <f t="shared" si="209"/>
        <v>24</v>
      </c>
      <c r="K3911" s="3">
        <f t="shared" si="210"/>
        <v>-24</v>
      </c>
      <c r="L3911" s="3" t="str">
        <f t="shared" si="211"/>
        <v>CRÍTICO</v>
      </c>
      <c r="N3911">
        <v>100</v>
      </c>
      <c r="O3911">
        <v>38.269230769230766</v>
      </c>
    </row>
    <row r="3912" spans="1:15" hidden="1" x14ac:dyDescent="0.25">
      <c r="A3912" s="11">
        <v>46125</v>
      </c>
      <c r="B3912" t="s">
        <v>32</v>
      </c>
      <c r="C3912" t="s">
        <v>23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 t="shared" si="208"/>
        <v>4</v>
      </c>
      <c r="J3912" s="3">
        <f t="shared" si="209"/>
        <v>7</v>
      </c>
      <c r="K3912" s="3">
        <f t="shared" si="210"/>
        <v>-3</v>
      </c>
      <c r="L3912" s="3" t="str">
        <f t="shared" si="211"/>
        <v>ATENÇÃO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33</v>
      </c>
      <c r="C3913" t="s">
        <v>16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 t="shared" si="208"/>
        <v>26</v>
      </c>
      <c r="J3913" s="3">
        <f t="shared" si="209"/>
        <v>19</v>
      </c>
      <c r="K3913" s="3">
        <f t="shared" si="210"/>
        <v>7</v>
      </c>
      <c r="L3913" s="3" t="str">
        <f t="shared" si="211"/>
        <v>MUITO BOM</v>
      </c>
      <c r="N3913">
        <v>97.83</v>
      </c>
      <c r="O3913">
        <v>28.131868131868131</v>
      </c>
    </row>
    <row r="3914" spans="1:15" hidden="1" x14ac:dyDescent="0.25">
      <c r="A3914" s="11">
        <v>46125</v>
      </c>
      <c r="B3914" t="s">
        <v>34</v>
      </c>
      <c r="C3914" t="s">
        <v>18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 t="shared" si="208"/>
        <v>28</v>
      </c>
      <c r="J3914" s="3">
        <f t="shared" si="209"/>
        <v>24</v>
      </c>
      <c r="K3914" s="3">
        <f t="shared" si="210"/>
        <v>4</v>
      </c>
      <c r="L3914" s="3" t="str">
        <f t="shared" si="211"/>
        <v>OPORTUNO</v>
      </c>
      <c r="N3914">
        <v>99.26</v>
      </c>
      <c r="O3914">
        <v>29.57198443579767</v>
      </c>
    </row>
    <row r="3915" spans="1:15" hidden="1" x14ac:dyDescent="0.25">
      <c r="A3915" s="11">
        <v>46125</v>
      </c>
      <c r="B3915" t="s">
        <v>35</v>
      </c>
      <c r="C3915" t="s">
        <v>16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 t="shared" si="208"/>
        <v>18</v>
      </c>
      <c r="J3915" s="3">
        <f t="shared" si="209"/>
        <v>19</v>
      </c>
      <c r="K3915" s="3">
        <f t="shared" si="210"/>
        <v>-1</v>
      </c>
      <c r="L3915" s="3" t="str">
        <f t="shared" si="211"/>
        <v>ATENÇÃO</v>
      </c>
      <c r="N3915">
        <v>99.19</v>
      </c>
      <c r="O3915">
        <v>29.462365591397852</v>
      </c>
    </row>
    <row r="3916" spans="1:15" hidden="1" x14ac:dyDescent="0.25">
      <c r="A3916" s="5">
        <v>46157</v>
      </c>
      <c r="B3916" s="6" t="s">
        <v>64</v>
      </c>
      <c r="C3916" s="3" t="s">
        <v>23</v>
      </c>
      <c r="D3916" s="3">
        <v>4</v>
      </c>
      <c r="E3916" s="3">
        <v>4</v>
      </c>
      <c r="G3916" s="3">
        <v>0</v>
      </c>
      <c r="H3916" s="3">
        <v>0</v>
      </c>
      <c r="I3916" s="3">
        <f t="shared" si="208"/>
        <v>4</v>
      </c>
      <c r="J3916" s="3">
        <f t="shared" si="209"/>
        <v>8</v>
      </c>
      <c r="K3916" s="3">
        <f t="shared" si="210"/>
        <v>-4</v>
      </c>
      <c r="L3916" s="3" t="str">
        <f t="shared" si="211"/>
        <v>ATENÇÃO</v>
      </c>
      <c r="M3916">
        <v>3</v>
      </c>
      <c r="N3916">
        <v>100</v>
      </c>
      <c r="O3916">
        <v>14.285714285714279</v>
      </c>
    </row>
    <row r="3917" spans="1:15" hidden="1" x14ac:dyDescent="0.25">
      <c r="A3917" s="11">
        <v>46125</v>
      </c>
      <c r="B3917" t="s">
        <v>37</v>
      </c>
      <c r="C3917" t="s">
        <v>16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f t="shared" si="208"/>
        <v>0</v>
      </c>
      <c r="J3917" s="3">
        <f t="shared" si="209"/>
        <v>19</v>
      </c>
      <c r="K3917" s="3">
        <f t="shared" si="210"/>
        <v>-19</v>
      </c>
      <c r="L3917" s="3" t="str">
        <f t="shared" si="211"/>
        <v>CRÍTICO</v>
      </c>
      <c r="N3917">
        <v>100</v>
      </c>
      <c r="O3917">
        <v>27.941176470588239</v>
      </c>
    </row>
    <row r="3918" spans="1:15" hidden="1" x14ac:dyDescent="0.25">
      <c r="A3918" s="11">
        <v>46125</v>
      </c>
      <c r="B3918" t="s">
        <v>38</v>
      </c>
      <c r="C3918" t="s">
        <v>18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 t="shared" si="208"/>
        <v>35</v>
      </c>
      <c r="J3918" s="3">
        <f t="shared" si="209"/>
        <v>24</v>
      </c>
      <c r="K3918" s="3">
        <f t="shared" si="210"/>
        <v>11</v>
      </c>
      <c r="L3918" s="3" t="str">
        <f t="shared" si="211"/>
        <v>MUITO BOM</v>
      </c>
      <c r="N3918">
        <v>99.57</v>
      </c>
      <c r="O3918">
        <v>29.913294797687861</v>
      </c>
    </row>
    <row r="3919" spans="1:15" hidden="1" x14ac:dyDescent="0.25">
      <c r="A3919" s="11">
        <v>46125</v>
      </c>
      <c r="B3919" t="s">
        <v>39</v>
      </c>
      <c r="C3919" t="s">
        <v>18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f t="shared" si="208"/>
        <v>0</v>
      </c>
      <c r="J3919" s="3">
        <f t="shared" si="209"/>
        <v>24</v>
      </c>
      <c r="K3919" s="3">
        <f t="shared" si="210"/>
        <v>-24</v>
      </c>
      <c r="L3919" s="3" t="str">
        <f t="shared" si="211"/>
        <v>CRÍTICO</v>
      </c>
      <c r="N3919">
        <v>95.65</v>
      </c>
      <c r="O3919">
        <v>31.081081081081081</v>
      </c>
    </row>
    <row r="3920" spans="1:15" hidden="1" x14ac:dyDescent="0.25">
      <c r="A3920" s="11">
        <v>46125</v>
      </c>
      <c r="B3920" t="s">
        <v>40</v>
      </c>
      <c r="C3920" t="s">
        <v>16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 t="shared" si="208"/>
        <v>22</v>
      </c>
      <c r="J3920" s="3">
        <f t="shared" si="209"/>
        <v>19</v>
      </c>
      <c r="K3920" s="3">
        <f t="shared" si="210"/>
        <v>3</v>
      </c>
      <c r="L3920" s="3" t="str">
        <f t="shared" si="211"/>
        <v>OPORTUNO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41</v>
      </c>
      <c r="C3921" t="s">
        <v>18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f t="shared" si="208"/>
        <v>0</v>
      </c>
      <c r="J3921" s="3">
        <f t="shared" si="209"/>
        <v>24</v>
      </c>
      <c r="K3921" s="3">
        <f t="shared" si="210"/>
        <v>-24</v>
      </c>
      <c r="L3921" s="3" t="str">
        <f t="shared" si="211"/>
        <v>CRÍTICO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42</v>
      </c>
      <c r="C3922" t="s">
        <v>43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 t="shared" si="208"/>
        <v>21</v>
      </c>
      <c r="J3922" s="3">
        <f t="shared" si="209"/>
        <v>14</v>
      </c>
      <c r="K3922" s="3">
        <f t="shared" si="210"/>
        <v>7</v>
      </c>
      <c r="L3922" s="3" t="str">
        <f t="shared" si="211"/>
        <v>MUITO BOM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44</v>
      </c>
      <c r="C3923" t="s">
        <v>18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 t="shared" si="208"/>
        <v>15</v>
      </c>
      <c r="J3923" s="3">
        <f t="shared" si="209"/>
        <v>24</v>
      </c>
      <c r="K3923" s="3">
        <f t="shared" si="210"/>
        <v>-9</v>
      </c>
      <c r="L3923" s="3" t="str">
        <f t="shared" si="211"/>
        <v>CRÍTICO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45</v>
      </c>
      <c r="C3924" t="s">
        <v>43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 t="shared" si="208"/>
        <v>17</v>
      </c>
      <c r="J3924" s="3">
        <f t="shared" si="209"/>
        <v>14</v>
      </c>
      <c r="K3924" s="3">
        <f t="shared" si="210"/>
        <v>3</v>
      </c>
      <c r="L3924" s="3" t="str">
        <f t="shared" si="211"/>
        <v>OPORTUNO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46</v>
      </c>
      <c r="C3925" t="s">
        <v>18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 t="shared" si="208"/>
        <v>21</v>
      </c>
      <c r="J3925" s="3">
        <f t="shared" si="209"/>
        <v>24</v>
      </c>
      <c r="K3925" s="3">
        <f t="shared" si="210"/>
        <v>-3</v>
      </c>
      <c r="L3925" s="3" t="str">
        <f t="shared" si="211"/>
        <v>ATENÇÃO</v>
      </c>
      <c r="N3925">
        <v>99.15</v>
      </c>
      <c r="O3925">
        <v>27.370689655172409</v>
      </c>
    </row>
    <row r="3926" spans="1:15" hidden="1" x14ac:dyDescent="0.25">
      <c r="A3926" s="11">
        <v>46125</v>
      </c>
      <c r="B3926" t="s">
        <v>47</v>
      </c>
      <c r="C3926" t="s">
        <v>16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 t="shared" si="208"/>
        <v>22</v>
      </c>
      <c r="J3926" s="3">
        <f t="shared" si="209"/>
        <v>19</v>
      </c>
      <c r="K3926" s="3">
        <f t="shared" si="210"/>
        <v>3</v>
      </c>
      <c r="L3926" s="3" t="str">
        <f t="shared" si="211"/>
        <v>OPORTUNO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48</v>
      </c>
      <c r="C3927" t="s">
        <v>16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f t="shared" si="208"/>
        <v>0</v>
      </c>
      <c r="J3927" s="3">
        <f t="shared" si="209"/>
        <v>19</v>
      </c>
      <c r="K3927" s="3">
        <f t="shared" si="210"/>
        <v>-19</v>
      </c>
      <c r="L3927" s="3" t="str">
        <f t="shared" si="211"/>
        <v>CRÍTICO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49</v>
      </c>
      <c r="C3928" t="s">
        <v>18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 t="shared" si="208"/>
        <v>31</v>
      </c>
      <c r="J3928" s="3">
        <f t="shared" si="209"/>
        <v>24</v>
      </c>
      <c r="K3928" s="3">
        <f t="shared" si="210"/>
        <v>7</v>
      </c>
      <c r="L3928" s="3" t="str">
        <f t="shared" si="211"/>
        <v>MUITO BOM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50</v>
      </c>
      <c r="C3929" t="s">
        <v>20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 t="shared" si="208"/>
        <v>25</v>
      </c>
      <c r="J3929" s="3">
        <f t="shared" si="209"/>
        <v>16</v>
      </c>
      <c r="K3929" s="3">
        <f t="shared" si="210"/>
        <v>9</v>
      </c>
      <c r="L3929" s="3" t="str">
        <f t="shared" si="211"/>
        <v>MUITO BOM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51</v>
      </c>
      <c r="C3930" t="s">
        <v>23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f t="shared" si="208"/>
        <v>0</v>
      </c>
      <c r="J3930" s="3">
        <f t="shared" si="209"/>
        <v>7</v>
      </c>
      <c r="K3930" s="3">
        <f t="shared" si="210"/>
        <v>-7</v>
      </c>
      <c r="L3930" s="3" t="str">
        <f t="shared" si="211"/>
        <v>CRÍTICO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52</v>
      </c>
      <c r="C3931" t="s">
        <v>18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59" si="212">E3931+G3931+H3931</f>
        <v>21</v>
      </c>
      <c r="J3931" s="3">
        <f t="shared" ref="J3931:J3959" si="213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24</v>
      </c>
      <c r="K3931" s="3">
        <f t="shared" ref="K3931:K3959" si="214">I3931-J3931</f>
        <v>-3</v>
      </c>
      <c r="L3931" s="3" t="str">
        <f t="shared" ref="L3931:L3959" si="215">IF(K3931&lt;-5,"CRÍTICO",IF(K3931&lt;0,"ATENÇÃO",IF(K3931&lt;=5,"OPORTUNO","MUITO BOM")))</f>
        <v>ATENÇÃO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53</v>
      </c>
      <c r="C3932" t="s">
        <v>18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212"/>
        <v>29</v>
      </c>
      <c r="J3932" s="3">
        <f t="shared" si="213"/>
        <v>24</v>
      </c>
      <c r="K3932" s="3">
        <f t="shared" si="214"/>
        <v>5</v>
      </c>
      <c r="L3932" s="3" t="str">
        <f t="shared" si="215"/>
        <v>OPORTUNO</v>
      </c>
      <c r="N3932">
        <v>95.49</v>
      </c>
      <c r="O3932">
        <v>28.16901408450704</v>
      </c>
    </row>
    <row r="3933" spans="1:15" hidden="1" x14ac:dyDescent="0.25">
      <c r="A3933" s="11">
        <v>46125</v>
      </c>
      <c r="B3933" t="s">
        <v>54</v>
      </c>
      <c r="C3933" t="s">
        <v>23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212"/>
        <v>13</v>
      </c>
      <c r="J3933" s="3">
        <f t="shared" si="213"/>
        <v>7</v>
      </c>
      <c r="K3933" s="3">
        <f t="shared" si="214"/>
        <v>6</v>
      </c>
      <c r="L3933" s="3" t="str">
        <f t="shared" si="215"/>
        <v>MUITO BOM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55</v>
      </c>
      <c r="C3934" t="s">
        <v>43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212"/>
        <v>22</v>
      </c>
      <c r="J3934" s="3">
        <f t="shared" si="213"/>
        <v>14</v>
      </c>
      <c r="K3934" s="3">
        <f t="shared" si="214"/>
        <v>8</v>
      </c>
      <c r="L3934" s="3" t="str">
        <f t="shared" si="215"/>
        <v>MUITO BOM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56</v>
      </c>
      <c r="C3935" t="s">
        <v>16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212"/>
        <v>19</v>
      </c>
      <c r="J3935" s="3">
        <f t="shared" si="213"/>
        <v>19</v>
      </c>
      <c r="K3935" s="3">
        <f t="shared" si="214"/>
        <v>0</v>
      </c>
      <c r="L3935" s="3" t="str">
        <f t="shared" si="215"/>
        <v>OPORTUNO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57</v>
      </c>
      <c r="C3936" t="s">
        <v>43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212"/>
        <v>17</v>
      </c>
      <c r="J3936" s="3">
        <f t="shared" si="213"/>
        <v>14</v>
      </c>
      <c r="K3936" s="3">
        <f t="shared" si="214"/>
        <v>3</v>
      </c>
      <c r="L3936" s="3" t="str">
        <f t="shared" si="215"/>
        <v>OPORTUNO</v>
      </c>
      <c r="N3936">
        <v>98.84</v>
      </c>
      <c r="O3936">
        <v>31.5018315018315</v>
      </c>
    </row>
    <row r="3937" spans="1:15" hidden="1" x14ac:dyDescent="0.25">
      <c r="A3937" s="11">
        <v>46125</v>
      </c>
      <c r="B3937" t="s">
        <v>58</v>
      </c>
      <c r="C3937" t="s">
        <v>43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212"/>
        <v>22</v>
      </c>
      <c r="J3937" s="3">
        <f t="shared" si="213"/>
        <v>14</v>
      </c>
      <c r="K3937" s="3">
        <f t="shared" si="214"/>
        <v>8</v>
      </c>
      <c r="L3937" s="3" t="str">
        <f t="shared" si="215"/>
        <v>MUITO BOM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59</v>
      </c>
      <c r="C3938" t="s">
        <v>23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212"/>
        <v>3</v>
      </c>
      <c r="J3938" s="3">
        <f t="shared" si="213"/>
        <v>7</v>
      </c>
      <c r="K3938" s="3">
        <f t="shared" si="214"/>
        <v>-4</v>
      </c>
      <c r="L3938" s="3" t="str">
        <f t="shared" si="215"/>
        <v>ATENÇÃO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60</v>
      </c>
      <c r="C3939" t="s">
        <v>20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212"/>
        <v>20</v>
      </c>
      <c r="J3939" s="3">
        <f t="shared" si="213"/>
        <v>16</v>
      </c>
      <c r="K3939" s="3">
        <f t="shared" si="214"/>
        <v>4</v>
      </c>
      <c r="L3939" s="3" t="str">
        <f t="shared" si="215"/>
        <v>OPORTUNO</v>
      </c>
      <c r="N3939">
        <v>98.32</v>
      </c>
      <c r="O3939">
        <v>26.618705035971221</v>
      </c>
    </row>
    <row r="3940" spans="1:15" hidden="1" x14ac:dyDescent="0.25">
      <c r="A3940" s="11">
        <v>46125</v>
      </c>
      <c r="B3940" t="s">
        <v>61</v>
      </c>
      <c r="C3940" t="s">
        <v>18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212"/>
        <v>25</v>
      </c>
      <c r="J3940" s="3">
        <f t="shared" si="213"/>
        <v>24</v>
      </c>
      <c r="K3940" s="3">
        <f t="shared" si="214"/>
        <v>1</v>
      </c>
      <c r="L3940" s="3" t="str">
        <f t="shared" si="215"/>
        <v>OPORTUNO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62</v>
      </c>
      <c r="C3941" t="s">
        <v>20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212"/>
        <v>13</v>
      </c>
      <c r="J3941" s="3">
        <f t="shared" si="213"/>
        <v>16</v>
      </c>
      <c r="K3941" s="3">
        <f t="shared" si="214"/>
        <v>-3</v>
      </c>
      <c r="L3941" s="3" t="str">
        <f t="shared" si="215"/>
        <v>ATENÇÃO</v>
      </c>
      <c r="N3941">
        <v>100</v>
      </c>
      <c r="O3941">
        <v>26.027397260273968</v>
      </c>
    </row>
    <row r="3942" spans="1:15" hidden="1" x14ac:dyDescent="0.25">
      <c r="A3942" s="11">
        <v>46125</v>
      </c>
      <c r="B3942" t="s">
        <v>63</v>
      </c>
      <c r="C3942" t="s">
        <v>18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212"/>
        <v>20</v>
      </c>
      <c r="J3942" s="3">
        <f t="shared" si="213"/>
        <v>24</v>
      </c>
      <c r="K3942" s="3">
        <f t="shared" si="214"/>
        <v>-4</v>
      </c>
      <c r="L3942" s="3" t="str">
        <f t="shared" si="215"/>
        <v>ATENÇÃO</v>
      </c>
      <c r="N3942">
        <v>99.21</v>
      </c>
      <c r="O3942">
        <v>24.937027707808561</v>
      </c>
    </row>
    <row r="3943" spans="1:15" hidden="1" x14ac:dyDescent="0.25">
      <c r="A3943" s="11">
        <v>46126</v>
      </c>
      <c r="B3943" t="s">
        <v>15</v>
      </c>
      <c r="C3943" t="s">
        <v>16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212"/>
        <v>12</v>
      </c>
      <c r="J3943" s="3">
        <f t="shared" si="213"/>
        <v>23</v>
      </c>
      <c r="K3943" s="3">
        <f t="shared" si="214"/>
        <v>-11</v>
      </c>
      <c r="L3943" s="3" t="str">
        <f t="shared" si="215"/>
        <v>CRÍTICO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17</v>
      </c>
      <c r="C3944" t="s">
        <v>18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f t="shared" si="212"/>
        <v>0</v>
      </c>
      <c r="J3944" s="3">
        <f t="shared" si="213"/>
        <v>28</v>
      </c>
      <c r="K3944" s="3">
        <f t="shared" si="214"/>
        <v>-28</v>
      </c>
      <c r="L3944" s="3" t="str">
        <f t="shared" si="215"/>
        <v>CRÍTICO</v>
      </c>
      <c r="N3944">
        <v>98.66</v>
      </c>
      <c r="O3944">
        <v>35.15625</v>
      </c>
    </row>
    <row r="3945" spans="1:15" hidden="1" x14ac:dyDescent="0.25">
      <c r="A3945" s="11">
        <v>46126</v>
      </c>
      <c r="B3945" t="s">
        <v>19</v>
      </c>
      <c r="C3945" t="s">
        <v>20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si="212"/>
        <v>15</v>
      </c>
      <c r="J3945" s="3">
        <f t="shared" si="213"/>
        <v>19</v>
      </c>
      <c r="K3945" s="3">
        <f t="shared" si="214"/>
        <v>-4</v>
      </c>
      <c r="L3945" s="3" t="str">
        <f t="shared" si="215"/>
        <v>ATENÇÃO</v>
      </c>
      <c r="N3945">
        <v>99.32</v>
      </c>
      <c r="O3945">
        <v>30.45186640471513</v>
      </c>
    </row>
    <row r="3946" spans="1:15" hidden="1" x14ac:dyDescent="0.25">
      <c r="A3946" s="11">
        <v>46126</v>
      </c>
      <c r="B3946" t="s">
        <v>21</v>
      </c>
      <c r="C3946" t="s">
        <v>18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212"/>
        <v>34</v>
      </c>
      <c r="J3946" s="3">
        <f t="shared" si="213"/>
        <v>28</v>
      </c>
      <c r="K3946" s="3">
        <f t="shared" si="214"/>
        <v>6</v>
      </c>
      <c r="L3946" s="3" t="str">
        <f t="shared" si="215"/>
        <v>MUITO BOM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22</v>
      </c>
      <c r="C3947" t="s">
        <v>23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212"/>
        <v>32</v>
      </c>
      <c r="J3947" s="3">
        <f t="shared" si="213"/>
        <v>8</v>
      </c>
      <c r="K3947" s="3">
        <f t="shared" si="214"/>
        <v>24</v>
      </c>
      <c r="L3947" s="3" t="str">
        <f t="shared" si="215"/>
        <v>MUITO BOM</v>
      </c>
      <c r="N3947">
        <v>96.74</v>
      </c>
      <c r="O3947">
        <v>28.43137254901961</v>
      </c>
    </row>
    <row r="3948" spans="1:15" hidden="1" x14ac:dyDescent="0.25">
      <c r="A3948" s="11">
        <v>46126</v>
      </c>
      <c r="B3948" t="s">
        <v>24</v>
      </c>
      <c r="C3948" t="s">
        <v>16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212"/>
        <v>31</v>
      </c>
      <c r="J3948" s="3">
        <f t="shared" si="213"/>
        <v>23</v>
      </c>
      <c r="K3948" s="3">
        <f t="shared" si="214"/>
        <v>8</v>
      </c>
      <c r="L3948" s="3" t="str">
        <f t="shared" si="215"/>
        <v>MUITO BOM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25</v>
      </c>
      <c r="C3949" t="s">
        <v>16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212"/>
        <v>16</v>
      </c>
      <c r="J3949" s="3">
        <f t="shared" si="213"/>
        <v>23</v>
      </c>
      <c r="K3949" s="3">
        <f t="shared" si="214"/>
        <v>-7</v>
      </c>
      <c r="L3949" s="3" t="str">
        <f t="shared" si="215"/>
        <v>CRÍTICO</v>
      </c>
      <c r="N3949">
        <v>98.2</v>
      </c>
      <c r="O3949">
        <v>26.890756302521009</v>
      </c>
    </row>
    <row r="3950" spans="1:15" hidden="1" x14ac:dyDescent="0.25">
      <c r="A3950" s="11">
        <v>46126</v>
      </c>
      <c r="B3950" t="s">
        <v>26</v>
      </c>
      <c r="C3950" t="s">
        <v>23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212"/>
        <v>6</v>
      </c>
      <c r="J3950" s="3">
        <f t="shared" si="213"/>
        <v>8</v>
      </c>
      <c r="K3950" s="3">
        <f t="shared" si="214"/>
        <v>-2</v>
      </c>
      <c r="L3950" s="3" t="str">
        <f t="shared" si="215"/>
        <v>ATENÇÃO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27</v>
      </c>
      <c r="C3951" t="s">
        <v>20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212"/>
        <v>25</v>
      </c>
      <c r="J3951" s="3">
        <f t="shared" si="213"/>
        <v>19</v>
      </c>
      <c r="K3951" s="3">
        <f t="shared" si="214"/>
        <v>6</v>
      </c>
      <c r="L3951" s="3" t="str">
        <f t="shared" si="215"/>
        <v>MUITO BOM</v>
      </c>
      <c r="N3951">
        <v>96.3</v>
      </c>
      <c r="O3951">
        <v>31.980906921241051</v>
      </c>
    </row>
    <row r="3952" spans="1:15" hidden="1" x14ac:dyDescent="0.25">
      <c r="A3952" s="11">
        <v>46126</v>
      </c>
      <c r="B3952" t="s">
        <v>28</v>
      </c>
      <c r="C3952" t="s">
        <v>18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212"/>
        <v>38</v>
      </c>
      <c r="J3952" s="3">
        <f t="shared" si="213"/>
        <v>28</v>
      </c>
      <c r="K3952" s="3">
        <f t="shared" si="214"/>
        <v>10</v>
      </c>
      <c r="L3952" s="3" t="str">
        <f t="shared" si="215"/>
        <v>MUITO BOM</v>
      </c>
      <c r="N3952">
        <v>93.75</v>
      </c>
      <c r="O3952">
        <v>26.628352490421459</v>
      </c>
    </row>
    <row r="3953" spans="1:15" hidden="1" x14ac:dyDescent="0.25">
      <c r="A3953" s="11">
        <v>46126</v>
      </c>
      <c r="B3953" t="s">
        <v>29</v>
      </c>
      <c r="C3953" t="s">
        <v>16</v>
      </c>
      <c r="D3953">
        <v>0</v>
      </c>
      <c r="E3953">
        <v>0</v>
      </c>
      <c r="F3953">
        <v>0</v>
      </c>
      <c r="G3953">
        <v>0</v>
      </c>
      <c r="H3953">
        <v>0</v>
      </c>
      <c r="I3953" s="3">
        <f t="shared" si="212"/>
        <v>0</v>
      </c>
      <c r="J3953" s="3">
        <f t="shared" si="213"/>
        <v>23</v>
      </c>
      <c r="K3953" s="3">
        <f t="shared" si="214"/>
        <v>-23</v>
      </c>
      <c r="L3953" s="3" t="str">
        <f t="shared" si="215"/>
        <v>CRÍTICO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30</v>
      </c>
      <c r="C3954" t="s">
        <v>20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 t="shared" si="212"/>
        <v>17</v>
      </c>
      <c r="J3954" s="3">
        <f t="shared" si="213"/>
        <v>19</v>
      </c>
      <c r="K3954" s="3">
        <f t="shared" si="214"/>
        <v>-2</v>
      </c>
      <c r="L3954" s="3" t="str">
        <f t="shared" si="215"/>
        <v>ATENÇÃO</v>
      </c>
      <c r="N3954">
        <v>100</v>
      </c>
      <c r="O3954">
        <v>36.231884057971023</v>
      </c>
    </row>
    <row r="3955" spans="1:15" hidden="1" x14ac:dyDescent="0.25">
      <c r="A3955" s="11">
        <v>46126</v>
      </c>
      <c r="B3955" t="s">
        <v>31</v>
      </c>
      <c r="C3955" t="s">
        <v>18</v>
      </c>
      <c r="D3955">
        <v>0</v>
      </c>
      <c r="E3955">
        <v>0</v>
      </c>
      <c r="F3955">
        <v>0</v>
      </c>
      <c r="G3955">
        <v>0</v>
      </c>
      <c r="H3955">
        <v>0</v>
      </c>
      <c r="I3955" s="3">
        <f t="shared" si="212"/>
        <v>0</v>
      </c>
      <c r="J3955" s="3">
        <f t="shared" si="213"/>
        <v>28</v>
      </c>
      <c r="K3955" s="3">
        <f t="shared" si="214"/>
        <v>-28</v>
      </c>
      <c r="L3955" s="3" t="str">
        <f t="shared" si="215"/>
        <v>CRÍTICO</v>
      </c>
      <c r="N3955">
        <v>100</v>
      </c>
      <c r="O3955">
        <v>38.269230769230766</v>
      </c>
    </row>
    <row r="3956" spans="1:15" hidden="1" x14ac:dyDescent="0.25">
      <c r="A3956" s="11">
        <v>46126</v>
      </c>
      <c r="B3956" t="s">
        <v>32</v>
      </c>
      <c r="C3956" t="s">
        <v>23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 t="shared" si="212"/>
        <v>10</v>
      </c>
      <c r="J3956" s="3">
        <f t="shared" si="213"/>
        <v>8</v>
      </c>
      <c r="K3956" s="3">
        <f t="shared" si="214"/>
        <v>2</v>
      </c>
      <c r="L3956" s="3" t="str">
        <f t="shared" si="215"/>
        <v>OPORTUNO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33</v>
      </c>
      <c r="C3957" t="s">
        <v>16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 t="shared" si="212"/>
        <v>18</v>
      </c>
      <c r="J3957" s="3">
        <f t="shared" si="213"/>
        <v>23</v>
      </c>
      <c r="K3957" s="3">
        <f t="shared" si="214"/>
        <v>-5</v>
      </c>
      <c r="L3957" s="3" t="str">
        <f t="shared" si="215"/>
        <v>ATENÇÃO</v>
      </c>
      <c r="N3957">
        <v>97.83</v>
      </c>
      <c r="O3957">
        <v>28.131868131868131</v>
      </c>
    </row>
    <row r="3958" spans="1:15" hidden="1" x14ac:dyDescent="0.25">
      <c r="A3958" s="11">
        <v>46126</v>
      </c>
      <c r="B3958" t="s">
        <v>34</v>
      </c>
      <c r="C3958" t="s">
        <v>18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 t="shared" si="212"/>
        <v>31</v>
      </c>
      <c r="J3958" s="3">
        <f t="shared" si="213"/>
        <v>28</v>
      </c>
      <c r="K3958" s="3">
        <f t="shared" si="214"/>
        <v>3</v>
      </c>
      <c r="L3958" s="3" t="str">
        <f t="shared" si="215"/>
        <v>OPORTUNO</v>
      </c>
      <c r="N3958">
        <v>99.26</v>
      </c>
      <c r="O3958">
        <v>29.57198443579767</v>
      </c>
    </row>
    <row r="3959" spans="1:15" hidden="1" x14ac:dyDescent="0.25">
      <c r="A3959" s="11">
        <v>46126</v>
      </c>
      <c r="B3959" t="s">
        <v>35</v>
      </c>
      <c r="C3959" t="s">
        <v>16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 t="shared" si="212"/>
        <v>31</v>
      </c>
      <c r="J3959" s="3">
        <f t="shared" si="213"/>
        <v>23</v>
      </c>
      <c r="K3959" s="3">
        <f t="shared" si="214"/>
        <v>8</v>
      </c>
      <c r="L3959" s="3" t="str">
        <f t="shared" si="215"/>
        <v>MUITO BOM</v>
      </c>
      <c r="N3959">
        <v>99.19</v>
      </c>
      <c r="O3959">
        <v>29.462365591397852</v>
      </c>
    </row>
    <row r="3960" spans="1:15" hidden="1" x14ac:dyDescent="0.25">
      <c r="A3960" s="5">
        <v>46160</v>
      </c>
      <c r="B3960" s="6" t="s">
        <v>36</v>
      </c>
      <c r="C3960" s="3" t="s">
        <v>20</v>
      </c>
      <c r="D3960" s="3">
        <v>21</v>
      </c>
      <c r="E3960" s="3">
        <v>18</v>
      </c>
      <c r="G3960" s="3">
        <v>6</v>
      </c>
      <c r="H3960" s="3">
        <v>1</v>
      </c>
      <c r="I3960" s="3">
        <f t="shared" ref="I3931:I3994" si="216">E3960+G3960+H3960</f>
        <v>25</v>
      </c>
      <c r="J3960" s="3">
        <f t="shared" ref="J3931:J3994" si="217"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>18</v>
      </c>
      <c r="K3960" s="3">
        <f t="shared" ref="K3931:K3994" si="218">I3960-J3960</f>
        <v>7</v>
      </c>
      <c r="L3960" s="3" t="str">
        <f t="shared" ref="L3931:L3994" si="219">IF(K3960&lt;-5,"CRÍTICO",IF(K3960&lt;0,"ATENÇÃO",IF(K3960&lt;=5,"OPORTUNO","MUITO BOM")))</f>
        <v>MUITO BOM</v>
      </c>
      <c r="M3960">
        <v>18</v>
      </c>
      <c r="N3960">
        <v>98.8</v>
      </c>
      <c r="O3960">
        <v>15.41353383458646</v>
      </c>
    </row>
    <row r="3961" spans="1:15" hidden="1" x14ac:dyDescent="0.25">
      <c r="A3961" s="11">
        <v>46126</v>
      </c>
      <c r="B3961" t="s">
        <v>37</v>
      </c>
      <c r="C3961" t="s">
        <v>16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f t="shared" si="216"/>
        <v>0</v>
      </c>
      <c r="J3961" s="3">
        <f t="shared" si="217"/>
        <v>23</v>
      </c>
      <c r="K3961" s="3">
        <f t="shared" si="218"/>
        <v>-23</v>
      </c>
      <c r="L3961" s="3" t="str">
        <f t="shared" si="219"/>
        <v>CRÍTICO</v>
      </c>
      <c r="N3961">
        <v>100</v>
      </c>
      <c r="O3961">
        <v>27.941176470588239</v>
      </c>
    </row>
    <row r="3962" spans="1:15" hidden="1" x14ac:dyDescent="0.25">
      <c r="A3962" s="11">
        <v>46126</v>
      </c>
      <c r="B3962" t="s">
        <v>38</v>
      </c>
      <c r="C3962" t="s">
        <v>18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 t="shared" si="216"/>
        <v>30</v>
      </c>
      <c r="J3962" s="3">
        <f t="shared" si="217"/>
        <v>28</v>
      </c>
      <c r="K3962" s="3">
        <f t="shared" si="218"/>
        <v>2</v>
      </c>
      <c r="L3962" s="3" t="str">
        <f t="shared" si="219"/>
        <v>OPORTUNO</v>
      </c>
      <c r="N3962">
        <v>99.57</v>
      </c>
      <c r="O3962">
        <v>29.913294797687861</v>
      </c>
    </row>
    <row r="3963" spans="1:15" hidden="1" x14ac:dyDescent="0.25">
      <c r="A3963" s="11">
        <v>46126</v>
      </c>
      <c r="B3963" t="s">
        <v>39</v>
      </c>
      <c r="C3963" t="s">
        <v>18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f t="shared" si="216"/>
        <v>0</v>
      </c>
      <c r="J3963" s="3">
        <f t="shared" si="217"/>
        <v>28</v>
      </c>
      <c r="K3963" s="3">
        <f t="shared" si="218"/>
        <v>-28</v>
      </c>
      <c r="L3963" s="3" t="str">
        <f t="shared" si="219"/>
        <v>CRÍTICO</v>
      </c>
      <c r="N3963">
        <v>95.65</v>
      </c>
      <c r="O3963">
        <v>31.081081081081081</v>
      </c>
    </row>
    <row r="3964" spans="1:15" hidden="1" x14ac:dyDescent="0.25">
      <c r="A3964" s="11">
        <v>46126</v>
      </c>
      <c r="B3964" t="s">
        <v>40</v>
      </c>
      <c r="C3964" t="s">
        <v>16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 t="shared" si="216"/>
        <v>12</v>
      </c>
      <c r="J3964" s="3">
        <f t="shared" si="217"/>
        <v>23</v>
      </c>
      <c r="K3964" s="3">
        <f t="shared" si="218"/>
        <v>-11</v>
      </c>
      <c r="L3964" s="3" t="str">
        <f t="shared" si="219"/>
        <v>CRÍTICO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41</v>
      </c>
      <c r="C3965" t="s">
        <v>18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f t="shared" si="216"/>
        <v>0</v>
      </c>
      <c r="J3965" s="3">
        <f t="shared" si="217"/>
        <v>28</v>
      </c>
      <c r="K3965" s="3">
        <f t="shared" si="218"/>
        <v>-28</v>
      </c>
      <c r="L3965" s="3" t="str">
        <f t="shared" si="219"/>
        <v>CRÍTICO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42</v>
      </c>
      <c r="C3966" t="s">
        <v>43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 t="shared" si="216"/>
        <v>25</v>
      </c>
      <c r="J3966" s="3">
        <f t="shared" si="217"/>
        <v>16</v>
      </c>
      <c r="K3966" s="3">
        <f t="shared" si="218"/>
        <v>9</v>
      </c>
      <c r="L3966" s="3" t="str">
        <f t="shared" si="219"/>
        <v>MUITO BOM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44</v>
      </c>
      <c r="C3967" t="s">
        <v>18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 t="shared" si="216"/>
        <v>22</v>
      </c>
      <c r="J3967" s="3">
        <f t="shared" si="217"/>
        <v>28</v>
      </c>
      <c r="K3967" s="3">
        <f t="shared" si="218"/>
        <v>-6</v>
      </c>
      <c r="L3967" s="3" t="str">
        <f t="shared" si="219"/>
        <v>CRÍTICO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45</v>
      </c>
      <c r="C3968" t="s">
        <v>43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 t="shared" si="216"/>
        <v>15</v>
      </c>
      <c r="J3968" s="3">
        <f t="shared" si="217"/>
        <v>16</v>
      </c>
      <c r="K3968" s="3">
        <f t="shared" si="218"/>
        <v>-1</v>
      </c>
      <c r="L3968" s="3" t="str">
        <f t="shared" si="219"/>
        <v>ATENÇÃO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46</v>
      </c>
      <c r="C3969" t="s">
        <v>18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 t="shared" si="216"/>
        <v>28</v>
      </c>
      <c r="J3969" s="3">
        <f t="shared" si="217"/>
        <v>28</v>
      </c>
      <c r="K3969" s="3">
        <f t="shared" si="218"/>
        <v>0</v>
      </c>
      <c r="L3969" s="3" t="str">
        <f t="shared" si="219"/>
        <v>OPORTUNO</v>
      </c>
      <c r="N3969">
        <v>99.15</v>
      </c>
      <c r="O3969">
        <v>27.370689655172409</v>
      </c>
    </row>
    <row r="3970" spans="1:15" hidden="1" x14ac:dyDescent="0.25">
      <c r="A3970" s="11">
        <v>46126</v>
      </c>
      <c r="B3970" t="s">
        <v>47</v>
      </c>
      <c r="C3970" t="s">
        <v>16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 t="shared" si="216"/>
        <v>30</v>
      </c>
      <c r="J3970" s="3">
        <f t="shared" si="217"/>
        <v>23</v>
      </c>
      <c r="K3970" s="3">
        <f t="shared" si="218"/>
        <v>7</v>
      </c>
      <c r="L3970" s="3" t="str">
        <f t="shared" si="219"/>
        <v>MUITO BOM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48</v>
      </c>
      <c r="C3971" t="s">
        <v>16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f t="shared" si="216"/>
        <v>0</v>
      </c>
      <c r="J3971" s="3">
        <f t="shared" si="217"/>
        <v>23</v>
      </c>
      <c r="K3971" s="3">
        <f t="shared" si="218"/>
        <v>-23</v>
      </c>
      <c r="L3971" s="3" t="str">
        <f t="shared" si="219"/>
        <v>CRÍTICO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49</v>
      </c>
      <c r="C3972" t="s">
        <v>18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 t="shared" si="216"/>
        <v>25</v>
      </c>
      <c r="J3972" s="3">
        <f t="shared" si="217"/>
        <v>28</v>
      </c>
      <c r="K3972" s="3">
        <f t="shared" si="218"/>
        <v>-3</v>
      </c>
      <c r="L3972" s="3" t="str">
        <f t="shared" si="219"/>
        <v>ATENÇÃO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50</v>
      </c>
      <c r="C3973" t="s">
        <v>20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 t="shared" si="216"/>
        <v>20</v>
      </c>
      <c r="J3973" s="3">
        <f t="shared" si="217"/>
        <v>19</v>
      </c>
      <c r="K3973" s="3">
        <f t="shared" si="218"/>
        <v>1</v>
      </c>
      <c r="L3973" s="3" t="str">
        <f t="shared" si="219"/>
        <v>OPORTUNO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51</v>
      </c>
      <c r="C3974" t="s">
        <v>23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 t="shared" si="216"/>
        <v>10</v>
      </c>
      <c r="J3974" s="3">
        <f t="shared" si="217"/>
        <v>8</v>
      </c>
      <c r="K3974" s="3">
        <f t="shared" si="218"/>
        <v>2</v>
      </c>
      <c r="L3974" s="3" t="str">
        <f t="shared" si="219"/>
        <v>OPORTUNO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52</v>
      </c>
      <c r="C3975" t="s">
        <v>18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 t="shared" si="216"/>
        <v>25</v>
      </c>
      <c r="J3975" s="3">
        <f t="shared" si="217"/>
        <v>28</v>
      </c>
      <c r="K3975" s="3">
        <f t="shared" si="218"/>
        <v>-3</v>
      </c>
      <c r="L3975" s="3" t="str">
        <f t="shared" si="219"/>
        <v>ATENÇÃO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53</v>
      </c>
      <c r="C3976" t="s">
        <v>18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 t="shared" si="216"/>
        <v>37</v>
      </c>
      <c r="J3976" s="3">
        <f t="shared" si="217"/>
        <v>28</v>
      </c>
      <c r="K3976" s="3">
        <f t="shared" si="218"/>
        <v>9</v>
      </c>
      <c r="L3976" s="3" t="str">
        <f t="shared" si="219"/>
        <v>MUITO BOM</v>
      </c>
      <c r="N3976">
        <v>95.49</v>
      </c>
      <c r="O3976">
        <v>28.16901408450704</v>
      </c>
    </row>
    <row r="3977" spans="1:15" hidden="1" x14ac:dyDescent="0.25">
      <c r="A3977" s="11">
        <v>46126</v>
      </c>
      <c r="B3977" t="s">
        <v>54</v>
      </c>
      <c r="C3977" t="s">
        <v>23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f t="shared" si="216"/>
        <v>0</v>
      </c>
      <c r="J3977" s="3">
        <f t="shared" si="217"/>
        <v>8</v>
      </c>
      <c r="K3977" s="3">
        <f t="shared" si="218"/>
        <v>-8</v>
      </c>
      <c r="L3977" s="3" t="str">
        <f t="shared" si="219"/>
        <v>CRÍTICO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55</v>
      </c>
      <c r="C3978" t="s">
        <v>43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 t="shared" si="216"/>
        <v>35</v>
      </c>
      <c r="J3978" s="3">
        <f t="shared" si="217"/>
        <v>16</v>
      </c>
      <c r="K3978" s="3">
        <f t="shared" si="218"/>
        <v>19</v>
      </c>
      <c r="L3978" s="3" t="str">
        <f t="shared" si="219"/>
        <v>MUITO BOM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56</v>
      </c>
      <c r="C3979" t="s">
        <v>16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 t="shared" si="216"/>
        <v>30</v>
      </c>
      <c r="J3979" s="3">
        <f t="shared" si="217"/>
        <v>23</v>
      </c>
      <c r="K3979" s="3">
        <f t="shared" si="218"/>
        <v>7</v>
      </c>
      <c r="L3979" s="3" t="str">
        <f t="shared" si="219"/>
        <v>MUITO BOM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57</v>
      </c>
      <c r="C3980" t="s">
        <v>43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 t="shared" si="216"/>
        <v>24</v>
      </c>
      <c r="J3980" s="3">
        <f t="shared" si="217"/>
        <v>16</v>
      </c>
      <c r="K3980" s="3">
        <f t="shared" si="218"/>
        <v>8</v>
      </c>
      <c r="L3980" s="3" t="str">
        <f t="shared" si="219"/>
        <v>MUITO BOM</v>
      </c>
      <c r="N3980">
        <v>98.84</v>
      </c>
      <c r="O3980">
        <v>31.5018315018315</v>
      </c>
    </row>
    <row r="3981" spans="1:15" hidden="1" x14ac:dyDescent="0.25">
      <c r="A3981" s="11">
        <v>46126</v>
      </c>
      <c r="B3981" t="s">
        <v>58</v>
      </c>
      <c r="C3981" t="s">
        <v>43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 t="shared" si="216"/>
        <v>19</v>
      </c>
      <c r="J3981" s="3">
        <f t="shared" si="217"/>
        <v>16</v>
      </c>
      <c r="K3981" s="3">
        <f t="shared" si="218"/>
        <v>3</v>
      </c>
      <c r="L3981" s="3" t="str">
        <f t="shared" si="219"/>
        <v>OPORTUNO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59</v>
      </c>
      <c r="C3982" t="s">
        <v>23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f t="shared" si="216"/>
        <v>0</v>
      </c>
      <c r="J3982" s="3">
        <f t="shared" si="217"/>
        <v>8</v>
      </c>
      <c r="K3982" s="3">
        <f t="shared" si="218"/>
        <v>-8</v>
      </c>
      <c r="L3982" s="3" t="str">
        <f t="shared" si="219"/>
        <v>CRÍTICO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60</v>
      </c>
      <c r="C3983" t="s">
        <v>20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 t="shared" si="216"/>
        <v>29</v>
      </c>
      <c r="J3983" s="3">
        <f t="shared" si="217"/>
        <v>19</v>
      </c>
      <c r="K3983" s="3">
        <f t="shared" si="218"/>
        <v>10</v>
      </c>
      <c r="L3983" s="3" t="str">
        <f t="shared" si="219"/>
        <v>MUITO BOM</v>
      </c>
      <c r="N3983">
        <v>98.32</v>
      </c>
      <c r="O3983">
        <v>26.618705035971221</v>
      </c>
    </row>
    <row r="3984" spans="1:15" hidden="1" x14ac:dyDescent="0.25">
      <c r="A3984" s="11">
        <v>46126</v>
      </c>
      <c r="B3984" t="s">
        <v>61</v>
      </c>
      <c r="C3984" t="s">
        <v>18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 t="shared" si="216"/>
        <v>36</v>
      </c>
      <c r="J3984" s="3">
        <f t="shared" si="217"/>
        <v>28</v>
      </c>
      <c r="K3984" s="3">
        <f t="shared" si="218"/>
        <v>8</v>
      </c>
      <c r="L3984" s="3" t="str">
        <f t="shared" si="219"/>
        <v>MUITO BOM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62</v>
      </c>
      <c r="C3985" t="s">
        <v>20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 t="shared" si="216"/>
        <v>19</v>
      </c>
      <c r="J3985" s="3">
        <f t="shared" si="217"/>
        <v>19</v>
      </c>
      <c r="K3985" s="3">
        <f t="shared" si="218"/>
        <v>0</v>
      </c>
      <c r="L3985" s="3" t="str">
        <f t="shared" si="219"/>
        <v>OPORTUNO</v>
      </c>
      <c r="N3985">
        <v>100</v>
      </c>
      <c r="O3985">
        <v>26.027397260273968</v>
      </c>
    </row>
    <row r="3986" spans="1:15" hidden="1" x14ac:dyDescent="0.25">
      <c r="A3986" s="11">
        <v>46126</v>
      </c>
      <c r="B3986" t="s">
        <v>63</v>
      </c>
      <c r="C3986" t="s">
        <v>18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 t="shared" si="216"/>
        <v>22</v>
      </c>
      <c r="J3986" s="3">
        <f t="shared" si="217"/>
        <v>28</v>
      </c>
      <c r="K3986" s="3">
        <f t="shared" si="218"/>
        <v>-6</v>
      </c>
      <c r="L3986" s="3" t="str">
        <f t="shared" si="219"/>
        <v>CRÍTICO</v>
      </c>
      <c r="N3986">
        <v>99.21</v>
      </c>
      <c r="O3986">
        <v>24.937027707808561</v>
      </c>
    </row>
    <row r="3987" spans="1:15" hidden="1" x14ac:dyDescent="0.25">
      <c r="A3987" s="11">
        <v>46127</v>
      </c>
      <c r="B3987" t="s">
        <v>15</v>
      </c>
      <c r="C3987" t="s">
        <v>16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 t="shared" si="216"/>
        <v>26</v>
      </c>
      <c r="J3987" s="3">
        <f t="shared" si="217"/>
        <v>24</v>
      </c>
      <c r="K3987" s="3">
        <f t="shared" si="218"/>
        <v>2</v>
      </c>
      <c r="L3987" s="3" t="str">
        <f t="shared" si="219"/>
        <v>OPORTUNO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17</v>
      </c>
      <c r="C3988" t="s">
        <v>18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f t="shared" si="216"/>
        <v>0</v>
      </c>
      <c r="J3988" s="3">
        <f t="shared" si="217"/>
        <v>30</v>
      </c>
      <c r="K3988" s="3">
        <f t="shared" si="218"/>
        <v>-30</v>
      </c>
      <c r="L3988" s="3" t="str">
        <f t="shared" si="219"/>
        <v>CRÍTICO</v>
      </c>
      <c r="N3988">
        <v>98.66</v>
      </c>
      <c r="O3988">
        <v>35.15625</v>
      </c>
    </row>
    <row r="3989" spans="1:15" hidden="1" x14ac:dyDescent="0.25">
      <c r="A3989" s="11">
        <v>46127</v>
      </c>
      <c r="B3989" t="s">
        <v>19</v>
      </c>
      <c r="C3989" t="s">
        <v>20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si="216"/>
        <v>31</v>
      </c>
      <c r="J3989" s="3">
        <f t="shared" si="217"/>
        <v>20</v>
      </c>
      <c r="K3989" s="3">
        <f t="shared" si="218"/>
        <v>11</v>
      </c>
      <c r="L3989" s="3" t="str">
        <f t="shared" si="219"/>
        <v>MUITO BOM</v>
      </c>
      <c r="N3989">
        <v>99.32</v>
      </c>
      <c r="O3989">
        <v>30.45186640471513</v>
      </c>
    </row>
    <row r="3990" spans="1:15" hidden="1" x14ac:dyDescent="0.25">
      <c r="A3990" s="11">
        <v>46127</v>
      </c>
      <c r="B3990" t="s">
        <v>21</v>
      </c>
      <c r="C3990" t="s">
        <v>18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216"/>
        <v>32</v>
      </c>
      <c r="J3990" s="3">
        <f t="shared" si="217"/>
        <v>30</v>
      </c>
      <c r="K3990" s="3">
        <f t="shared" si="218"/>
        <v>2</v>
      </c>
      <c r="L3990" s="3" t="str">
        <f t="shared" si="219"/>
        <v>OPORTUNO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22</v>
      </c>
      <c r="C3991" t="s">
        <v>23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216"/>
        <v>32</v>
      </c>
      <c r="J3991" s="3">
        <f t="shared" si="217"/>
        <v>9</v>
      </c>
      <c r="K3991" s="3">
        <f t="shared" si="218"/>
        <v>23</v>
      </c>
      <c r="L3991" s="3" t="str">
        <f t="shared" si="219"/>
        <v>MUITO BOM</v>
      </c>
      <c r="N3991">
        <v>96.74</v>
      </c>
      <c r="O3991">
        <v>28.43137254901961</v>
      </c>
    </row>
    <row r="3992" spans="1:15" hidden="1" x14ac:dyDescent="0.25">
      <c r="A3992" s="11">
        <v>46127</v>
      </c>
      <c r="B3992" t="s">
        <v>24</v>
      </c>
      <c r="C3992" t="s">
        <v>16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216"/>
        <v>36</v>
      </c>
      <c r="J3992" s="3">
        <f t="shared" si="217"/>
        <v>24</v>
      </c>
      <c r="K3992" s="3">
        <f t="shared" si="218"/>
        <v>12</v>
      </c>
      <c r="L3992" s="3" t="str">
        <f t="shared" si="219"/>
        <v>MUITO BOM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25</v>
      </c>
      <c r="C3993" t="s">
        <v>16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216"/>
        <v>20</v>
      </c>
      <c r="J3993" s="3">
        <f t="shared" si="217"/>
        <v>24</v>
      </c>
      <c r="K3993" s="3">
        <f t="shared" si="218"/>
        <v>-4</v>
      </c>
      <c r="L3993" s="3" t="str">
        <f t="shared" si="219"/>
        <v>ATENÇÃO</v>
      </c>
      <c r="N3993">
        <v>98.2</v>
      </c>
      <c r="O3993">
        <v>26.890756302521009</v>
      </c>
    </row>
    <row r="3994" spans="1:15" hidden="1" x14ac:dyDescent="0.25">
      <c r="A3994" s="11">
        <v>46127</v>
      </c>
      <c r="B3994" t="s">
        <v>26</v>
      </c>
      <c r="C3994" t="s">
        <v>23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216"/>
        <v>8</v>
      </c>
      <c r="J3994" s="3">
        <f t="shared" si="217"/>
        <v>9</v>
      </c>
      <c r="K3994" s="3">
        <f t="shared" si="218"/>
        <v>-1</v>
      </c>
      <c r="L3994" s="3" t="str">
        <f t="shared" si="219"/>
        <v>ATENÇÃO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27</v>
      </c>
      <c r="C3995" t="s">
        <v>20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ref="I3995:I3999" si="220">E3995+G3995+H3995</f>
        <v>22</v>
      </c>
      <c r="J3995" s="3">
        <f t="shared" ref="J3995:J3999" si="221"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20</v>
      </c>
      <c r="K3995" s="3">
        <f t="shared" ref="K3995:K3999" si="222">I3995-J3995</f>
        <v>2</v>
      </c>
      <c r="L3995" s="3" t="str">
        <f t="shared" ref="L3995:L3999" si="223">IF(K3995&lt;-5,"CRÍTICO",IF(K3995&lt;0,"ATENÇÃO",IF(K3995&lt;=5,"OPORTUNO","MUITO BOM")))</f>
        <v>OPORTUNO</v>
      </c>
      <c r="N3995">
        <v>96.3</v>
      </c>
      <c r="O3995">
        <v>31.980906921241051</v>
      </c>
    </row>
    <row r="3996" spans="1:15" hidden="1" x14ac:dyDescent="0.25">
      <c r="A3996" s="11">
        <v>46127</v>
      </c>
      <c r="B3996" t="s">
        <v>28</v>
      </c>
      <c r="C3996" t="s">
        <v>18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220"/>
        <v>41</v>
      </c>
      <c r="J3996" s="3">
        <f t="shared" si="221"/>
        <v>30</v>
      </c>
      <c r="K3996" s="3">
        <f t="shared" si="222"/>
        <v>11</v>
      </c>
      <c r="L3996" s="3" t="str">
        <f t="shared" si="223"/>
        <v>MUITO BOM</v>
      </c>
      <c r="N3996">
        <v>93.75</v>
      </c>
      <c r="O3996">
        <v>26.628352490421459</v>
      </c>
    </row>
    <row r="3997" spans="1:15" hidden="1" x14ac:dyDescent="0.25">
      <c r="A3997" s="11">
        <v>46127</v>
      </c>
      <c r="B3997" t="s">
        <v>29</v>
      </c>
      <c r="C3997" t="s">
        <v>16</v>
      </c>
      <c r="D3997">
        <v>0</v>
      </c>
      <c r="E3997">
        <v>0</v>
      </c>
      <c r="F3997">
        <v>0</v>
      </c>
      <c r="G3997">
        <v>0</v>
      </c>
      <c r="H3997">
        <v>0</v>
      </c>
      <c r="I3997" s="3">
        <f t="shared" si="220"/>
        <v>0</v>
      </c>
      <c r="J3997" s="3">
        <f t="shared" si="221"/>
        <v>24</v>
      </c>
      <c r="K3997" s="3">
        <f t="shared" si="222"/>
        <v>-24</v>
      </c>
      <c r="L3997" s="3" t="str">
        <f t="shared" si="223"/>
        <v>CRÍTICO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30</v>
      </c>
      <c r="C3998" t="s">
        <v>20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 t="shared" si="220"/>
        <v>28</v>
      </c>
      <c r="J3998" s="3">
        <f t="shared" si="221"/>
        <v>20</v>
      </c>
      <c r="K3998" s="3">
        <f t="shared" si="222"/>
        <v>8</v>
      </c>
      <c r="L3998" s="3" t="str">
        <f t="shared" si="223"/>
        <v>MUITO BOM</v>
      </c>
      <c r="N3998">
        <v>100</v>
      </c>
      <c r="O3998">
        <v>36.231884057971023</v>
      </c>
    </row>
    <row r="3999" spans="1:15" hidden="1" x14ac:dyDescent="0.25">
      <c r="A3999" s="11">
        <v>46127</v>
      </c>
      <c r="B3999" t="s">
        <v>31</v>
      </c>
      <c r="C3999" t="s">
        <v>18</v>
      </c>
      <c r="D3999">
        <v>0</v>
      </c>
      <c r="E3999">
        <v>0</v>
      </c>
      <c r="F3999">
        <v>0</v>
      </c>
      <c r="G3999">
        <v>0</v>
      </c>
      <c r="H3999">
        <v>0</v>
      </c>
      <c r="I3999" s="3">
        <f t="shared" si="220"/>
        <v>0</v>
      </c>
      <c r="J3999" s="3">
        <f t="shared" si="221"/>
        <v>30</v>
      </c>
      <c r="K3999" s="3">
        <f t="shared" si="222"/>
        <v>-30</v>
      </c>
      <c r="L3999" s="3" t="str">
        <f t="shared" si="223"/>
        <v>CRÍTICO</v>
      </c>
      <c r="N3999">
        <v>100</v>
      </c>
      <c r="O3999">
        <v>38.269230769230766</v>
      </c>
    </row>
    <row r="4000" spans="1:15" hidden="1" x14ac:dyDescent="0.25">
      <c r="A4000" s="11">
        <v>46127</v>
      </c>
      <c r="B4000" t="s">
        <v>32</v>
      </c>
      <c r="C4000" t="s">
        <v>23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 t="shared" ref="I3995:I4058" si="224">E4000+G4000+H4000</f>
        <v>8</v>
      </c>
      <c r="J4000" s="3">
        <f t="shared" ref="J3995:J4058" si="225"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 t="shared" ref="K3995:K4058" si="226">I4000-J4000</f>
        <v>-1</v>
      </c>
      <c r="L4000" s="3" t="str">
        <f t="shared" ref="L3995:L4058" si="227">IF(K4000&lt;-5,"CRÍTICO",IF(K4000&lt;0,"ATENÇÃO",IF(K4000&lt;=5,"OPORTUNO","MUITO BOM")))</f>
        <v>ATENÇÃO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33</v>
      </c>
      <c r="C4001" t="s">
        <v>16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 t="shared" si="224"/>
        <v>24</v>
      </c>
      <c r="J4001" s="3">
        <f t="shared" si="225"/>
        <v>24</v>
      </c>
      <c r="K4001" s="3">
        <f t="shared" si="226"/>
        <v>0</v>
      </c>
      <c r="L4001" s="3" t="str">
        <f t="shared" si="227"/>
        <v>OPORTUNO</v>
      </c>
      <c r="N4001">
        <v>97.83</v>
      </c>
      <c r="O4001">
        <v>28.131868131868131</v>
      </c>
    </row>
    <row r="4002" spans="1:15" hidden="1" x14ac:dyDescent="0.25">
      <c r="A4002" s="11">
        <v>46127</v>
      </c>
      <c r="B4002" t="s">
        <v>34</v>
      </c>
      <c r="C4002" t="s">
        <v>18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 t="shared" si="224"/>
        <v>27</v>
      </c>
      <c r="J4002" s="3">
        <f t="shared" si="225"/>
        <v>30</v>
      </c>
      <c r="K4002" s="3">
        <f t="shared" si="226"/>
        <v>-3</v>
      </c>
      <c r="L4002" s="3" t="str">
        <f t="shared" si="227"/>
        <v>ATENÇÃO</v>
      </c>
      <c r="N4002">
        <v>99.26</v>
      </c>
      <c r="O4002">
        <v>29.57198443579767</v>
      </c>
    </row>
    <row r="4003" spans="1:15" hidden="1" x14ac:dyDescent="0.25">
      <c r="A4003" s="11">
        <v>46127</v>
      </c>
      <c r="B4003" t="s">
        <v>35</v>
      </c>
      <c r="C4003" t="s">
        <v>16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 t="shared" si="224"/>
        <v>26</v>
      </c>
      <c r="J4003" s="3">
        <f t="shared" si="225"/>
        <v>24</v>
      </c>
      <c r="K4003" s="3">
        <f t="shared" si="226"/>
        <v>2</v>
      </c>
      <c r="L4003" s="3" t="str">
        <f t="shared" si="227"/>
        <v>OPORTUNO</v>
      </c>
      <c r="N4003">
        <v>99.19</v>
      </c>
      <c r="O4003">
        <v>29.462365591397852</v>
      </c>
    </row>
    <row r="4004" spans="1:15" hidden="1" x14ac:dyDescent="0.25">
      <c r="A4004" s="5">
        <v>46160</v>
      </c>
      <c r="B4004" s="6" t="s">
        <v>64</v>
      </c>
      <c r="C4004" s="3" t="s">
        <v>23</v>
      </c>
      <c r="D4004" s="3">
        <v>2</v>
      </c>
      <c r="E4004" s="3">
        <v>2</v>
      </c>
      <c r="G4004" s="3">
        <v>0</v>
      </c>
      <c r="H4004" s="3">
        <v>0</v>
      </c>
      <c r="I4004" s="3">
        <f t="shared" si="224"/>
        <v>2</v>
      </c>
      <c r="J4004" s="3">
        <f t="shared" si="225"/>
        <v>8</v>
      </c>
      <c r="K4004" s="3">
        <f t="shared" si="226"/>
        <v>-6</v>
      </c>
      <c r="L4004" s="3" t="str">
        <f t="shared" si="227"/>
        <v>CRÍTICO</v>
      </c>
      <c r="M4004">
        <v>2</v>
      </c>
      <c r="N4004">
        <v>100</v>
      </c>
      <c r="O4004">
        <v>14.285714285714279</v>
      </c>
    </row>
    <row r="4005" spans="1:15" hidden="1" x14ac:dyDescent="0.25">
      <c r="A4005" s="11">
        <v>46127</v>
      </c>
      <c r="B4005" t="s">
        <v>37</v>
      </c>
      <c r="C4005" t="s">
        <v>16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f t="shared" si="224"/>
        <v>0</v>
      </c>
      <c r="J4005" s="3">
        <f t="shared" si="225"/>
        <v>24</v>
      </c>
      <c r="K4005" s="3">
        <f t="shared" si="226"/>
        <v>-24</v>
      </c>
      <c r="L4005" s="3" t="str">
        <f t="shared" si="227"/>
        <v>CRÍTICO</v>
      </c>
      <c r="N4005">
        <v>100</v>
      </c>
      <c r="O4005">
        <v>27.941176470588239</v>
      </c>
    </row>
    <row r="4006" spans="1:15" hidden="1" x14ac:dyDescent="0.25">
      <c r="A4006" s="11">
        <v>46127</v>
      </c>
      <c r="B4006" t="s">
        <v>38</v>
      </c>
      <c r="C4006" t="s">
        <v>18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 t="shared" si="224"/>
        <v>42</v>
      </c>
      <c r="J4006" s="3">
        <f t="shared" si="225"/>
        <v>30</v>
      </c>
      <c r="K4006" s="3">
        <f t="shared" si="226"/>
        <v>12</v>
      </c>
      <c r="L4006" s="3" t="str">
        <f t="shared" si="227"/>
        <v>MUITO BOM</v>
      </c>
      <c r="N4006">
        <v>99.57</v>
      </c>
      <c r="O4006">
        <v>29.913294797687861</v>
      </c>
    </row>
    <row r="4007" spans="1:15" hidden="1" x14ac:dyDescent="0.25">
      <c r="A4007" s="11">
        <v>46127</v>
      </c>
      <c r="B4007" t="s">
        <v>39</v>
      </c>
      <c r="C4007" t="s">
        <v>18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f t="shared" si="224"/>
        <v>0</v>
      </c>
      <c r="J4007" s="3">
        <f t="shared" si="225"/>
        <v>30</v>
      </c>
      <c r="K4007" s="3">
        <f t="shared" si="226"/>
        <v>-30</v>
      </c>
      <c r="L4007" s="3" t="str">
        <f t="shared" si="227"/>
        <v>CRÍTICO</v>
      </c>
      <c r="N4007">
        <v>95.65</v>
      </c>
      <c r="O4007">
        <v>31.081081081081081</v>
      </c>
    </row>
    <row r="4008" spans="1:15" hidden="1" x14ac:dyDescent="0.25">
      <c r="A4008" s="11">
        <v>46127</v>
      </c>
      <c r="B4008" t="s">
        <v>40</v>
      </c>
      <c r="C4008" t="s">
        <v>16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 t="shared" si="224"/>
        <v>24</v>
      </c>
      <c r="J4008" s="3">
        <f t="shared" si="225"/>
        <v>24</v>
      </c>
      <c r="K4008" s="3">
        <f t="shared" si="226"/>
        <v>0</v>
      </c>
      <c r="L4008" s="3" t="str">
        <f t="shared" si="227"/>
        <v>OPORTUNO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41</v>
      </c>
      <c r="C4009" t="s">
        <v>18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f t="shared" si="224"/>
        <v>0</v>
      </c>
      <c r="J4009" s="3">
        <f t="shared" si="225"/>
        <v>30</v>
      </c>
      <c r="K4009" s="3">
        <f t="shared" si="226"/>
        <v>-30</v>
      </c>
      <c r="L4009" s="3" t="str">
        <f t="shared" si="227"/>
        <v>CRÍTICO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42</v>
      </c>
      <c r="C4010" t="s">
        <v>43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 t="shared" si="224"/>
        <v>21</v>
      </c>
      <c r="J4010" s="3">
        <f t="shared" si="225"/>
        <v>17</v>
      </c>
      <c r="K4010" s="3">
        <f t="shared" si="226"/>
        <v>4</v>
      </c>
      <c r="L4010" s="3" t="str">
        <f t="shared" si="227"/>
        <v>OPORTUNO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44</v>
      </c>
      <c r="C4011" t="s">
        <v>18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f t="shared" si="224"/>
        <v>0</v>
      </c>
      <c r="J4011" s="3">
        <f t="shared" si="225"/>
        <v>30</v>
      </c>
      <c r="K4011" s="3">
        <f t="shared" si="226"/>
        <v>-30</v>
      </c>
      <c r="L4011" s="3" t="str">
        <f t="shared" si="227"/>
        <v>CRÍTICO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45</v>
      </c>
      <c r="C4012" t="s">
        <v>43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 t="shared" si="224"/>
        <v>13</v>
      </c>
      <c r="J4012" s="3">
        <f t="shared" si="225"/>
        <v>17</v>
      </c>
      <c r="K4012" s="3">
        <f t="shared" si="226"/>
        <v>-4</v>
      </c>
      <c r="L4012" s="3" t="str">
        <f t="shared" si="227"/>
        <v>ATENÇÃO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46</v>
      </c>
      <c r="C4013" t="s">
        <v>18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 t="shared" si="224"/>
        <v>28</v>
      </c>
      <c r="J4013" s="3">
        <f t="shared" si="225"/>
        <v>30</v>
      </c>
      <c r="K4013" s="3">
        <f t="shared" si="226"/>
        <v>-2</v>
      </c>
      <c r="L4013" s="3" t="str">
        <f t="shared" si="227"/>
        <v>ATENÇÃO</v>
      </c>
      <c r="N4013">
        <v>99.15</v>
      </c>
      <c r="O4013">
        <v>27.370689655172409</v>
      </c>
    </row>
    <row r="4014" spans="1:15" hidden="1" x14ac:dyDescent="0.25">
      <c r="A4014" s="11">
        <v>46127</v>
      </c>
      <c r="B4014" t="s">
        <v>47</v>
      </c>
      <c r="C4014" t="s">
        <v>16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 t="shared" si="224"/>
        <v>27</v>
      </c>
      <c r="J4014" s="3">
        <f t="shared" si="225"/>
        <v>24</v>
      </c>
      <c r="K4014" s="3">
        <f t="shared" si="226"/>
        <v>3</v>
      </c>
      <c r="L4014" s="3" t="str">
        <f t="shared" si="227"/>
        <v>OPORTUNO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48</v>
      </c>
      <c r="C4015" t="s">
        <v>16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f t="shared" si="224"/>
        <v>0</v>
      </c>
      <c r="J4015" s="3">
        <f t="shared" si="225"/>
        <v>24</v>
      </c>
      <c r="K4015" s="3">
        <f t="shared" si="226"/>
        <v>-24</v>
      </c>
      <c r="L4015" s="3" t="str">
        <f t="shared" si="227"/>
        <v>CRÍTICO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49</v>
      </c>
      <c r="C4016" t="s">
        <v>18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si="224"/>
        <v>33</v>
      </c>
      <c r="J4016" s="3">
        <f t="shared" si="225"/>
        <v>30</v>
      </c>
      <c r="K4016" s="3">
        <f t="shared" si="226"/>
        <v>3</v>
      </c>
      <c r="L4016" s="3" t="str">
        <f t="shared" si="227"/>
        <v>OPORTUNO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50</v>
      </c>
      <c r="C4017" t="s">
        <v>20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224"/>
        <v>20</v>
      </c>
      <c r="J4017" s="3">
        <f t="shared" si="225"/>
        <v>20</v>
      </c>
      <c r="K4017" s="3">
        <f t="shared" si="226"/>
        <v>0</v>
      </c>
      <c r="L4017" s="3" t="str">
        <f t="shared" si="227"/>
        <v>OPORTUNO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51</v>
      </c>
      <c r="C4018" t="s">
        <v>23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224"/>
        <v>18</v>
      </c>
      <c r="J4018" s="3">
        <f t="shared" si="225"/>
        <v>9</v>
      </c>
      <c r="K4018" s="3">
        <f t="shared" si="226"/>
        <v>9</v>
      </c>
      <c r="L4018" s="3" t="str">
        <f t="shared" si="227"/>
        <v>MUITO BOM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52</v>
      </c>
      <c r="C4019" t="s">
        <v>18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224"/>
        <v>28</v>
      </c>
      <c r="J4019" s="3">
        <f t="shared" si="225"/>
        <v>30</v>
      </c>
      <c r="K4019" s="3">
        <f t="shared" si="226"/>
        <v>-2</v>
      </c>
      <c r="L4019" s="3" t="str">
        <f t="shared" si="227"/>
        <v>ATENÇÃO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53</v>
      </c>
      <c r="C4020" t="s">
        <v>18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224"/>
        <v>34</v>
      </c>
      <c r="J4020" s="3">
        <f t="shared" si="225"/>
        <v>30</v>
      </c>
      <c r="K4020" s="3">
        <f t="shared" si="226"/>
        <v>4</v>
      </c>
      <c r="L4020" s="3" t="str">
        <f t="shared" si="227"/>
        <v>OPORTUNO</v>
      </c>
      <c r="N4020">
        <v>95.49</v>
      </c>
      <c r="O4020">
        <v>28.16901408450704</v>
      </c>
    </row>
    <row r="4021" spans="1:15" hidden="1" x14ac:dyDescent="0.25">
      <c r="A4021" s="11">
        <v>46127</v>
      </c>
      <c r="B4021" t="s">
        <v>54</v>
      </c>
      <c r="C4021" t="s">
        <v>23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224"/>
        <v>19</v>
      </c>
      <c r="J4021" s="3">
        <f t="shared" si="225"/>
        <v>9</v>
      </c>
      <c r="K4021" s="3">
        <f t="shared" si="226"/>
        <v>10</v>
      </c>
      <c r="L4021" s="3" t="str">
        <f t="shared" si="227"/>
        <v>MUITO BOM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55</v>
      </c>
      <c r="C4022" t="s">
        <v>43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224"/>
        <v>22</v>
      </c>
      <c r="J4022" s="3">
        <f t="shared" si="225"/>
        <v>17</v>
      </c>
      <c r="K4022" s="3">
        <f t="shared" si="226"/>
        <v>5</v>
      </c>
      <c r="L4022" s="3" t="str">
        <f t="shared" si="227"/>
        <v>OPORTUNO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56</v>
      </c>
      <c r="C4023" t="s">
        <v>16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224"/>
        <v>25</v>
      </c>
      <c r="J4023" s="3">
        <f t="shared" si="225"/>
        <v>24</v>
      </c>
      <c r="K4023" s="3">
        <f t="shared" si="226"/>
        <v>1</v>
      </c>
      <c r="L4023" s="3" t="str">
        <f t="shared" si="227"/>
        <v>OPORTUNO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57</v>
      </c>
      <c r="C4024" t="s">
        <v>43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224"/>
        <v>26</v>
      </c>
      <c r="J4024" s="3">
        <f t="shared" si="225"/>
        <v>17</v>
      </c>
      <c r="K4024" s="3">
        <f t="shared" si="226"/>
        <v>9</v>
      </c>
      <c r="L4024" s="3" t="str">
        <f t="shared" si="227"/>
        <v>MUITO BOM</v>
      </c>
      <c r="N4024">
        <v>98.84</v>
      </c>
      <c r="O4024">
        <v>31.5018315018315</v>
      </c>
    </row>
    <row r="4025" spans="1:15" hidden="1" x14ac:dyDescent="0.25">
      <c r="A4025" s="11">
        <v>46127</v>
      </c>
      <c r="B4025" t="s">
        <v>58</v>
      </c>
      <c r="C4025" t="s">
        <v>43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224"/>
        <v>22</v>
      </c>
      <c r="J4025" s="3">
        <f t="shared" si="225"/>
        <v>17</v>
      </c>
      <c r="K4025" s="3">
        <f t="shared" si="226"/>
        <v>5</v>
      </c>
      <c r="L4025" s="3" t="str">
        <f t="shared" si="227"/>
        <v>OPORTUNO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59</v>
      </c>
      <c r="C4026" t="s">
        <v>23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224"/>
        <v>11</v>
      </c>
      <c r="J4026" s="3">
        <f t="shared" si="225"/>
        <v>9</v>
      </c>
      <c r="K4026" s="3">
        <f t="shared" si="226"/>
        <v>2</v>
      </c>
      <c r="L4026" s="3" t="str">
        <f t="shared" si="227"/>
        <v>OPORTUNO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60</v>
      </c>
      <c r="C4027" t="s">
        <v>20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224"/>
        <v>23</v>
      </c>
      <c r="J4027" s="3">
        <f t="shared" si="225"/>
        <v>20</v>
      </c>
      <c r="K4027" s="3">
        <f t="shared" si="226"/>
        <v>3</v>
      </c>
      <c r="L4027" s="3" t="str">
        <f t="shared" si="227"/>
        <v>OPORTUNO</v>
      </c>
      <c r="N4027">
        <v>98.32</v>
      </c>
      <c r="O4027">
        <v>26.618705035971221</v>
      </c>
    </row>
    <row r="4028" spans="1:15" hidden="1" x14ac:dyDescent="0.25">
      <c r="A4028" s="11">
        <v>46127</v>
      </c>
      <c r="B4028" t="s">
        <v>61</v>
      </c>
      <c r="C4028" t="s">
        <v>18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224"/>
        <v>24</v>
      </c>
      <c r="J4028" s="3">
        <f t="shared" si="225"/>
        <v>30</v>
      </c>
      <c r="K4028" s="3">
        <f t="shared" si="226"/>
        <v>-6</v>
      </c>
      <c r="L4028" s="3" t="str">
        <f t="shared" si="227"/>
        <v>CRÍTICO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62</v>
      </c>
      <c r="C4029" t="s">
        <v>20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224"/>
        <v>12</v>
      </c>
      <c r="J4029" s="3">
        <f t="shared" si="225"/>
        <v>20</v>
      </c>
      <c r="K4029" s="3">
        <f t="shared" si="226"/>
        <v>-8</v>
      </c>
      <c r="L4029" s="3" t="str">
        <f t="shared" si="227"/>
        <v>CRÍTICO</v>
      </c>
      <c r="N4029">
        <v>100</v>
      </c>
      <c r="O4029">
        <v>26.027397260273968</v>
      </c>
    </row>
    <row r="4030" spans="1:15" hidden="1" x14ac:dyDescent="0.25">
      <c r="A4030" s="11">
        <v>46127</v>
      </c>
      <c r="B4030" t="s">
        <v>63</v>
      </c>
      <c r="C4030" t="s">
        <v>18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224"/>
        <v>33</v>
      </c>
      <c r="J4030" s="3">
        <f t="shared" si="225"/>
        <v>30</v>
      </c>
      <c r="K4030" s="3">
        <f t="shared" si="226"/>
        <v>3</v>
      </c>
      <c r="L4030" s="3" t="str">
        <f t="shared" si="227"/>
        <v>OPORTUNO</v>
      </c>
      <c r="N4030">
        <v>99.21</v>
      </c>
      <c r="O4030">
        <v>24.937027707808561</v>
      </c>
    </row>
    <row r="4031" spans="1:15" hidden="1" x14ac:dyDescent="0.25">
      <c r="A4031" s="11">
        <v>46128</v>
      </c>
      <c r="B4031" t="s">
        <v>15</v>
      </c>
      <c r="C4031" t="s">
        <v>16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224"/>
        <v>13</v>
      </c>
      <c r="J4031" s="3">
        <f t="shared" si="225"/>
        <v>22</v>
      </c>
      <c r="K4031" s="3">
        <f t="shared" si="226"/>
        <v>-9</v>
      </c>
      <c r="L4031" s="3" t="str">
        <f t="shared" si="227"/>
        <v>CRÍTICO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17</v>
      </c>
      <c r="C4032" t="s">
        <v>18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f t="shared" si="224"/>
        <v>0</v>
      </c>
      <c r="J4032" s="3">
        <f t="shared" si="225"/>
        <v>28</v>
      </c>
      <c r="K4032" s="3">
        <f t="shared" si="226"/>
        <v>-28</v>
      </c>
      <c r="L4032" s="3" t="str">
        <f t="shared" si="227"/>
        <v>CRÍTICO</v>
      </c>
      <c r="N4032">
        <v>98.66</v>
      </c>
      <c r="O4032">
        <v>35.15625</v>
      </c>
    </row>
    <row r="4033" spans="1:15" hidden="1" x14ac:dyDescent="0.25">
      <c r="A4033" s="11">
        <v>46128</v>
      </c>
      <c r="B4033" t="s">
        <v>19</v>
      </c>
      <c r="C4033" t="s">
        <v>20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si="224"/>
        <v>22</v>
      </c>
      <c r="J4033" s="3">
        <f t="shared" si="225"/>
        <v>18</v>
      </c>
      <c r="K4033" s="3">
        <f t="shared" si="226"/>
        <v>4</v>
      </c>
      <c r="L4033" s="3" t="str">
        <f t="shared" si="227"/>
        <v>OPORTUNO</v>
      </c>
      <c r="N4033">
        <v>99.32</v>
      </c>
      <c r="O4033">
        <v>30.45186640471513</v>
      </c>
    </row>
    <row r="4034" spans="1:15" hidden="1" x14ac:dyDescent="0.25">
      <c r="A4034" s="11">
        <v>46128</v>
      </c>
      <c r="B4034" t="s">
        <v>21</v>
      </c>
      <c r="C4034" t="s">
        <v>18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224"/>
        <v>16</v>
      </c>
      <c r="J4034" s="3">
        <f t="shared" si="225"/>
        <v>28</v>
      </c>
      <c r="K4034" s="3">
        <f t="shared" si="226"/>
        <v>-12</v>
      </c>
      <c r="L4034" s="3" t="str">
        <f t="shared" si="227"/>
        <v>CRÍTICO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22</v>
      </c>
      <c r="C4035" t="s">
        <v>23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224"/>
        <v>27</v>
      </c>
      <c r="J4035" s="3">
        <f t="shared" si="225"/>
        <v>8</v>
      </c>
      <c r="K4035" s="3">
        <f t="shared" si="226"/>
        <v>19</v>
      </c>
      <c r="L4035" s="3" t="str">
        <f t="shared" si="227"/>
        <v>MUITO BOM</v>
      </c>
      <c r="N4035">
        <v>96.74</v>
      </c>
      <c r="O4035">
        <v>28.43137254901961</v>
      </c>
    </row>
    <row r="4036" spans="1:15" hidden="1" x14ac:dyDescent="0.25">
      <c r="A4036" s="11">
        <v>46128</v>
      </c>
      <c r="B4036" t="s">
        <v>24</v>
      </c>
      <c r="C4036" t="s">
        <v>16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224"/>
        <v>42</v>
      </c>
      <c r="J4036" s="3">
        <f t="shared" si="225"/>
        <v>22</v>
      </c>
      <c r="K4036" s="3">
        <f t="shared" si="226"/>
        <v>20</v>
      </c>
      <c r="L4036" s="3" t="str">
        <f t="shared" si="227"/>
        <v>MUITO BOM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25</v>
      </c>
      <c r="C4037" t="s">
        <v>16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224"/>
        <v>24</v>
      </c>
      <c r="J4037" s="3">
        <f t="shared" si="225"/>
        <v>22</v>
      </c>
      <c r="K4037" s="3">
        <f t="shared" si="226"/>
        <v>2</v>
      </c>
      <c r="L4037" s="3" t="str">
        <f t="shared" si="227"/>
        <v>OPORTUNO</v>
      </c>
      <c r="N4037">
        <v>98.2</v>
      </c>
      <c r="O4037">
        <v>26.890756302521009</v>
      </c>
    </row>
    <row r="4038" spans="1:15" hidden="1" x14ac:dyDescent="0.25">
      <c r="A4038" s="11">
        <v>46128</v>
      </c>
      <c r="B4038" t="s">
        <v>26</v>
      </c>
      <c r="C4038" t="s">
        <v>23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224"/>
        <v>9</v>
      </c>
      <c r="J4038" s="3">
        <f t="shared" si="225"/>
        <v>8</v>
      </c>
      <c r="K4038" s="3">
        <f t="shared" si="226"/>
        <v>1</v>
      </c>
      <c r="L4038" s="3" t="str">
        <f t="shared" si="227"/>
        <v>OPORTUNO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27</v>
      </c>
      <c r="C4039" t="s">
        <v>20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224"/>
        <v>11</v>
      </c>
      <c r="J4039" s="3">
        <f t="shared" si="225"/>
        <v>18</v>
      </c>
      <c r="K4039" s="3">
        <f t="shared" si="226"/>
        <v>-7</v>
      </c>
      <c r="L4039" s="3" t="str">
        <f t="shared" si="227"/>
        <v>CRÍTICO</v>
      </c>
      <c r="N4039">
        <v>96.3</v>
      </c>
      <c r="O4039">
        <v>31.980906921241051</v>
      </c>
    </row>
    <row r="4040" spans="1:15" hidden="1" x14ac:dyDescent="0.25">
      <c r="A4040" s="11">
        <v>46128</v>
      </c>
      <c r="B4040" t="s">
        <v>28</v>
      </c>
      <c r="C4040" t="s">
        <v>18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224"/>
        <v>26</v>
      </c>
      <c r="J4040" s="3">
        <f t="shared" si="225"/>
        <v>28</v>
      </c>
      <c r="K4040" s="3">
        <f t="shared" si="226"/>
        <v>-2</v>
      </c>
      <c r="L4040" s="3" t="str">
        <f t="shared" si="227"/>
        <v>ATENÇÃO</v>
      </c>
      <c r="N4040">
        <v>93.75</v>
      </c>
      <c r="O4040">
        <v>26.628352490421459</v>
      </c>
    </row>
    <row r="4041" spans="1:15" hidden="1" x14ac:dyDescent="0.25">
      <c r="A4041" s="11">
        <v>46128</v>
      </c>
      <c r="B4041" t="s">
        <v>29</v>
      </c>
      <c r="C4041" t="s">
        <v>16</v>
      </c>
      <c r="D4041">
        <v>0</v>
      </c>
      <c r="E4041">
        <v>0</v>
      </c>
      <c r="F4041">
        <v>0</v>
      </c>
      <c r="G4041">
        <v>0</v>
      </c>
      <c r="H4041">
        <v>0</v>
      </c>
      <c r="I4041" s="3">
        <f t="shared" si="224"/>
        <v>0</v>
      </c>
      <c r="J4041" s="3">
        <f t="shared" si="225"/>
        <v>22</v>
      </c>
      <c r="K4041" s="3">
        <f t="shared" si="226"/>
        <v>-22</v>
      </c>
      <c r="L4041" s="3" t="str">
        <f t="shared" si="227"/>
        <v>CRÍTICO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30</v>
      </c>
      <c r="C4042" t="s">
        <v>20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 t="shared" si="224"/>
        <v>22</v>
      </c>
      <c r="J4042" s="3">
        <f t="shared" si="225"/>
        <v>18</v>
      </c>
      <c r="K4042" s="3">
        <f t="shared" si="226"/>
        <v>4</v>
      </c>
      <c r="L4042" s="3" t="str">
        <f t="shared" si="227"/>
        <v>OPORTUNO</v>
      </c>
      <c r="N4042">
        <v>100</v>
      </c>
      <c r="O4042">
        <v>36.231884057971023</v>
      </c>
    </row>
    <row r="4043" spans="1:15" hidden="1" x14ac:dyDescent="0.25">
      <c r="A4043" s="11">
        <v>46128</v>
      </c>
      <c r="B4043" t="s">
        <v>31</v>
      </c>
      <c r="C4043" t="s">
        <v>18</v>
      </c>
      <c r="D4043">
        <v>0</v>
      </c>
      <c r="E4043">
        <v>0</v>
      </c>
      <c r="F4043">
        <v>0</v>
      </c>
      <c r="G4043">
        <v>0</v>
      </c>
      <c r="H4043">
        <v>0</v>
      </c>
      <c r="I4043" s="3">
        <f t="shared" si="224"/>
        <v>0</v>
      </c>
      <c r="J4043" s="3">
        <f t="shared" si="225"/>
        <v>28</v>
      </c>
      <c r="K4043" s="3">
        <f t="shared" si="226"/>
        <v>-28</v>
      </c>
      <c r="L4043" s="3" t="str">
        <f t="shared" si="227"/>
        <v>CRÍTICO</v>
      </c>
      <c r="N4043">
        <v>100</v>
      </c>
      <c r="O4043">
        <v>38.269230769230766</v>
      </c>
    </row>
    <row r="4044" spans="1:15" hidden="1" x14ac:dyDescent="0.25">
      <c r="A4044" s="11">
        <v>46128</v>
      </c>
      <c r="B4044" t="s">
        <v>32</v>
      </c>
      <c r="C4044" t="s">
        <v>23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 t="shared" si="224"/>
        <v>5</v>
      </c>
      <c r="J4044" s="3">
        <f t="shared" si="225"/>
        <v>8</v>
      </c>
      <c r="K4044" s="3">
        <f t="shared" si="226"/>
        <v>-3</v>
      </c>
      <c r="L4044" s="3" t="str">
        <f t="shared" si="227"/>
        <v>ATENÇÃO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33</v>
      </c>
      <c r="C4045" t="s">
        <v>16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 t="shared" si="224"/>
        <v>25</v>
      </c>
      <c r="J4045" s="3">
        <f t="shared" si="225"/>
        <v>22</v>
      </c>
      <c r="K4045" s="3">
        <f t="shared" si="226"/>
        <v>3</v>
      </c>
      <c r="L4045" s="3" t="str">
        <f t="shared" si="227"/>
        <v>OPORTUNO</v>
      </c>
      <c r="N4045">
        <v>97.83</v>
      </c>
      <c r="O4045">
        <v>28.131868131868131</v>
      </c>
    </row>
    <row r="4046" spans="1:15" hidden="1" x14ac:dyDescent="0.25">
      <c r="A4046" s="11">
        <v>46128</v>
      </c>
      <c r="B4046" t="s">
        <v>34</v>
      </c>
      <c r="C4046" t="s">
        <v>18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 t="shared" si="224"/>
        <v>19</v>
      </c>
      <c r="J4046" s="3">
        <f t="shared" si="225"/>
        <v>28</v>
      </c>
      <c r="K4046" s="3">
        <f t="shared" si="226"/>
        <v>-9</v>
      </c>
      <c r="L4046" s="3" t="str">
        <f t="shared" si="227"/>
        <v>CRÍTICO</v>
      </c>
      <c r="N4046">
        <v>99.26</v>
      </c>
      <c r="O4046">
        <v>29.57198443579767</v>
      </c>
    </row>
    <row r="4047" spans="1:15" hidden="1" x14ac:dyDescent="0.25">
      <c r="A4047" s="11">
        <v>46128</v>
      </c>
      <c r="B4047" t="s">
        <v>35</v>
      </c>
      <c r="C4047" t="s">
        <v>16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 t="shared" si="224"/>
        <v>26</v>
      </c>
      <c r="J4047" s="3">
        <f t="shared" si="225"/>
        <v>22</v>
      </c>
      <c r="K4047" s="3">
        <f t="shared" si="226"/>
        <v>4</v>
      </c>
      <c r="L4047" s="3" t="str">
        <f t="shared" si="227"/>
        <v>OPORTUNO</v>
      </c>
      <c r="N4047">
        <v>99.19</v>
      </c>
      <c r="O4047">
        <v>29.462365591397852</v>
      </c>
    </row>
    <row r="4048" spans="1:15" hidden="1" x14ac:dyDescent="0.25">
      <c r="A4048" s="7">
        <v>46161</v>
      </c>
      <c r="B4048" s="8" t="s">
        <v>64</v>
      </c>
      <c r="C4048" s="9" t="s">
        <v>23</v>
      </c>
      <c r="D4048" s="3">
        <v>4</v>
      </c>
      <c r="E4048" s="3">
        <v>4</v>
      </c>
      <c r="G4048" s="3">
        <v>0</v>
      </c>
      <c r="H4048" s="3">
        <v>0</v>
      </c>
      <c r="I4048" s="3">
        <f t="shared" si="224"/>
        <v>4</v>
      </c>
      <c r="J4048" s="3">
        <f t="shared" si="225"/>
        <v>8</v>
      </c>
      <c r="K4048" s="3">
        <f t="shared" si="226"/>
        <v>-4</v>
      </c>
      <c r="L4048" s="3" t="str">
        <f t="shared" si="227"/>
        <v>ATENÇÃO</v>
      </c>
      <c r="M4048">
        <v>3</v>
      </c>
      <c r="N4048">
        <v>100</v>
      </c>
      <c r="O4048">
        <v>14.285714285714279</v>
      </c>
    </row>
    <row r="4049" spans="1:15" hidden="1" x14ac:dyDescent="0.25">
      <c r="A4049" s="11">
        <v>46128</v>
      </c>
      <c r="B4049" t="s">
        <v>37</v>
      </c>
      <c r="C4049" t="s">
        <v>16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f t="shared" si="224"/>
        <v>0</v>
      </c>
      <c r="J4049" s="3">
        <f t="shared" si="225"/>
        <v>22</v>
      </c>
      <c r="K4049" s="3">
        <f t="shared" si="226"/>
        <v>-22</v>
      </c>
      <c r="L4049" s="3" t="str">
        <f t="shared" si="227"/>
        <v>CRÍTICO</v>
      </c>
      <c r="N4049">
        <v>100</v>
      </c>
      <c r="O4049">
        <v>27.941176470588239</v>
      </c>
    </row>
    <row r="4050" spans="1:15" hidden="1" x14ac:dyDescent="0.25">
      <c r="A4050" s="11">
        <v>46128</v>
      </c>
      <c r="B4050" t="s">
        <v>38</v>
      </c>
      <c r="C4050" t="s">
        <v>18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 t="shared" si="224"/>
        <v>34</v>
      </c>
      <c r="J4050" s="3">
        <f t="shared" si="225"/>
        <v>28</v>
      </c>
      <c r="K4050" s="3">
        <f t="shared" si="226"/>
        <v>6</v>
      </c>
      <c r="L4050" s="3" t="str">
        <f t="shared" si="227"/>
        <v>MUITO BOM</v>
      </c>
      <c r="N4050">
        <v>99.57</v>
      </c>
      <c r="O4050">
        <v>29.913294797687861</v>
      </c>
    </row>
    <row r="4051" spans="1:15" hidden="1" x14ac:dyDescent="0.25">
      <c r="A4051" s="11">
        <v>46128</v>
      </c>
      <c r="B4051" t="s">
        <v>39</v>
      </c>
      <c r="C4051" t="s">
        <v>18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f t="shared" si="224"/>
        <v>0</v>
      </c>
      <c r="J4051" s="3">
        <f t="shared" si="225"/>
        <v>28</v>
      </c>
      <c r="K4051" s="3">
        <f t="shared" si="226"/>
        <v>-28</v>
      </c>
      <c r="L4051" s="3" t="str">
        <f t="shared" si="227"/>
        <v>CRÍTICO</v>
      </c>
      <c r="N4051">
        <v>95.65</v>
      </c>
      <c r="O4051">
        <v>31.081081081081081</v>
      </c>
    </row>
    <row r="4052" spans="1:15" hidden="1" x14ac:dyDescent="0.25">
      <c r="A4052" s="11">
        <v>46128</v>
      </c>
      <c r="B4052" t="s">
        <v>40</v>
      </c>
      <c r="C4052" t="s">
        <v>16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 t="shared" si="224"/>
        <v>10</v>
      </c>
      <c r="J4052" s="3">
        <f t="shared" si="225"/>
        <v>22</v>
      </c>
      <c r="K4052" s="3">
        <f t="shared" si="226"/>
        <v>-12</v>
      </c>
      <c r="L4052" s="3" t="str">
        <f t="shared" si="227"/>
        <v>CRÍTICO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41</v>
      </c>
      <c r="C4053" t="s">
        <v>18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f t="shared" si="224"/>
        <v>0</v>
      </c>
      <c r="J4053" s="3">
        <f t="shared" si="225"/>
        <v>28</v>
      </c>
      <c r="K4053" s="3">
        <f t="shared" si="226"/>
        <v>-28</v>
      </c>
      <c r="L4053" s="3" t="str">
        <f t="shared" si="227"/>
        <v>CRÍTICO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42</v>
      </c>
      <c r="C4054" t="s">
        <v>43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 t="shared" si="224"/>
        <v>19</v>
      </c>
      <c r="J4054" s="3">
        <f t="shared" si="225"/>
        <v>16</v>
      </c>
      <c r="K4054" s="3">
        <f t="shared" si="226"/>
        <v>3</v>
      </c>
      <c r="L4054" s="3" t="str">
        <f t="shared" si="227"/>
        <v>OPORTUNO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44</v>
      </c>
      <c r="C4055" t="s">
        <v>18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f t="shared" si="224"/>
        <v>0</v>
      </c>
      <c r="J4055" s="3">
        <f t="shared" si="225"/>
        <v>28</v>
      </c>
      <c r="K4055" s="3">
        <f t="shared" si="226"/>
        <v>-28</v>
      </c>
      <c r="L4055" s="3" t="str">
        <f t="shared" si="227"/>
        <v>CRÍTICO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45</v>
      </c>
      <c r="C4056" t="s">
        <v>43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 t="shared" si="224"/>
        <v>13</v>
      </c>
      <c r="J4056" s="3">
        <f t="shared" si="225"/>
        <v>16</v>
      </c>
      <c r="K4056" s="3">
        <f t="shared" si="226"/>
        <v>-3</v>
      </c>
      <c r="L4056" s="3" t="str">
        <f t="shared" si="227"/>
        <v>ATENÇÃO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46</v>
      </c>
      <c r="C4057" t="s">
        <v>18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 t="shared" si="224"/>
        <v>19</v>
      </c>
      <c r="J4057" s="3">
        <f t="shared" si="225"/>
        <v>28</v>
      </c>
      <c r="K4057" s="3">
        <f t="shared" si="226"/>
        <v>-9</v>
      </c>
      <c r="L4057" s="3" t="str">
        <f t="shared" si="227"/>
        <v>CRÍTICO</v>
      </c>
      <c r="N4057">
        <v>99.15</v>
      </c>
      <c r="O4057">
        <v>27.370689655172409</v>
      </c>
    </row>
    <row r="4058" spans="1:15" hidden="1" x14ac:dyDescent="0.25">
      <c r="A4058" s="11">
        <v>46128</v>
      </c>
      <c r="B4058" t="s">
        <v>47</v>
      </c>
      <c r="C4058" t="s">
        <v>16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 t="shared" si="224"/>
        <v>29</v>
      </c>
      <c r="J4058" s="3">
        <f t="shared" si="225"/>
        <v>22</v>
      </c>
      <c r="K4058" s="3">
        <f t="shared" si="226"/>
        <v>7</v>
      </c>
      <c r="L4058" s="3" t="str">
        <f t="shared" si="227"/>
        <v>MUITO BOM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48</v>
      </c>
      <c r="C4059" t="s">
        <v>16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f t="shared" ref="I4059:I4122" si="228">E4059+G4059+H4059</f>
        <v>0</v>
      </c>
      <c r="J4059" s="3">
        <f t="shared" ref="J4059:J4122" si="229"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22</v>
      </c>
      <c r="K4059" s="3">
        <f t="shared" ref="K4059:K4122" si="230">I4059-J4059</f>
        <v>-22</v>
      </c>
      <c r="L4059" s="3" t="str">
        <f t="shared" ref="L4059:L4122" si="231">IF(K4059&lt;-5,"CRÍTICO",IF(K4059&lt;0,"ATENÇÃO",IF(K4059&lt;=5,"OPORTUNO","MUITO BOM")))</f>
        <v>CRÍTICO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49</v>
      </c>
      <c r="C4060" t="s">
        <v>18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si="228"/>
        <v>14</v>
      </c>
      <c r="J4060" s="3">
        <f t="shared" si="229"/>
        <v>28</v>
      </c>
      <c r="K4060" s="3">
        <f t="shared" si="230"/>
        <v>-14</v>
      </c>
      <c r="L4060" s="3" t="str">
        <f t="shared" si="231"/>
        <v>CRÍTICO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50</v>
      </c>
      <c r="C4061" t="s">
        <v>20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228"/>
        <v>18</v>
      </c>
      <c r="J4061" s="3">
        <f t="shared" si="229"/>
        <v>18</v>
      </c>
      <c r="K4061" s="3">
        <f t="shared" si="230"/>
        <v>0</v>
      </c>
      <c r="L4061" s="3" t="str">
        <f t="shared" si="231"/>
        <v>OPORTUNO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51</v>
      </c>
      <c r="C4062" t="s">
        <v>23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228"/>
        <v>29</v>
      </c>
      <c r="J4062" s="3">
        <f t="shared" si="229"/>
        <v>8</v>
      </c>
      <c r="K4062" s="3">
        <f t="shared" si="230"/>
        <v>21</v>
      </c>
      <c r="L4062" s="3" t="str">
        <f t="shared" si="231"/>
        <v>MUITO BOM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52</v>
      </c>
      <c r="C4063" t="s">
        <v>18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228"/>
        <v>24</v>
      </c>
      <c r="J4063" s="3">
        <f t="shared" si="229"/>
        <v>28</v>
      </c>
      <c r="K4063" s="3">
        <f t="shared" si="230"/>
        <v>-4</v>
      </c>
      <c r="L4063" s="3" t="str">
        <f t="shared" si="231"/>
        <v>ATENÇÃO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53</v>
      </c>
      <c r="C4064" t="s">
        <v>18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228"/>
        <v>34</v>
      </c>
      <c r="J4064" s="3">
        <f t="shared" si="229"/>
        <v>28</v>
      </c>
      <c r="K4064" s="3">
        <f t="shared" si="230"/>
        <v>6</v>
      </c>
      <c r="L4064" s="3" t="str">
        <f t="shared" si="231"/>
        <v>MUITO BOM</v>
      </c>
      <c r="N4064">
        <v>95.49</v>
      </c>
      <c r="O4064">
        <v>28.16901408450704</v>
      </c>
    </row>
    <row r="4065" spans="1:15" hidden="1" x14ac:dyDescent="0.25">
      <c r="A4065" s="11">
        <v>46128</v>
      </c>
      <c r="B4065" t="s">
        <v>54</v>
      </c>
      <c r="C4065" t="s">
        <v>23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228"/>
        <v>16</v>
      </c>
      <c r="J4065" s="3">
        <f t="shared" si="229"/>
        <v>8</v>
      </c>
      <c r="K4065" s="3">
        <f t="shared" si="230"/>
        <v>8</v>
      </c>
      <c r="L4065" s="3" t="str">
        <f t="shared" si="231"/>
        <v>MUITO BOM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55</v>
      </c>
      <c r="C4066" t="s">
        <v>43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228"/>
        <v>25</v>
      </c>
      <c r="J4066" s="3">
        <f t="shared" si="229"/>
        <v>16</v>
      </c>
      <c r="K4066" s="3">
        <f t="shared" si="230"/>
        <v>9</v>
      </c>
      <c r="L4066" s="3" t="str">
        <f t="shared" si="231"/>
        <v>MUITO BOM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56</v>
      </c>
      <c r="C4067" t="s">
        <v>16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228"/>
        <v>19</v>
      </c>
      <c r="J4067" s="3">
        <f t="shared" si="229"/>
        <v>22</v>
      </c>
      <c r="K4067" s="3">
        <f t="shared" si="230"/>
        <v>-3</v>
      </c>
      <c r="L4067" s="3" t="str">
        <f t="shared" si="231"/>
        <v>ATENÇÃO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57</v>
      </c>
      <c r="C4068" t="s">
        <v>43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228"/>
        <v>11</v>
      </c>
      <c r="J4068" s="3">
        <f t="shared" si="229"/>
        <v>16</v>
      </c>
      <c r="K4068" s="3">
        <f t="shared" si="230"/>
        <v>-5</v>
      </c>
      <c r="L4068" s="3" t="str">
        <f t="shared" si="231"/>
        <v>ATENÇÃO</v>
      </c>
      <c r="N4068">
        <v>98.84</v>
      </c>
      <c r="O4068">
        <v>31.5018315018315</v>
      </c>
    </row>
    <row r="4069" spans="1:15" hidden="1" x14ac:dyDescent="0.25">
      <c r="A4069" s="11">
        <v>46128</v>
      </c>
      <c r="B4069" t="s">
        <v>58</v>
      </c>
      <c r="C4069" t="s">
        <v>43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228"/>
        <v>14</v>
      </c>
      <c r="J4069" s="3">
        <f t="shared" si="229"/>
        <v>16</v>
      </c>
      <c r="K4069" s="3">
        <f t="shared" si="230"/>
        <v>-2</v>
      </c>
      <c r="L4069" s="3" t="str">
        <f t="shared" si="231"/>
        <v>ATENÇÃO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59</v>
      </c>
      <c r="C4070" t="s">
        <v>23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228"/>
        <v>13</v>
      </c>
      <c r="J4070" s="3">
        <f t="shared" si="229"/>
        <v>8</v>
      </c>
      <c r="K4070" s="3">
        <f t="shared" si="230"/>
        <v>5</v>
      </c>
      <c r="L4070" s="3" t="str">
        <f t="shared" si="231"/>
        <v>OPORTUNO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60</v>
      </c>
      <c r="C4071" t="s">
        <v>20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228"/>
        <v>36</v>
      </c>
      <c r="J4071" s="3">
        <f t="shared" si="229"/>
        <v>18</v>
      </c>
      <c r="K4071" s="3">
        <f t="shared" si="230"/>
        <v>18</v>
      </c>
      <c r="L4071" s="3" t="str">
        <f t="shared" si="231"/>
        <v>MUITO BOM</v>
      </c>
      <c r="N4071">
        <v>98.32</v>
      </c>
      <c r="O4071">
        <v>26.618705035971221</v>
      </c>
    </row>
    <row r="4072" spans="1:15" hidden="1" x14ac:dyDescent="0.25">
      <c r="A4072" s="11">
        <v>46128</v>
      </c>
      <c r="B4072" t="s">
        <v>61</v>
      </c>
      <c r="C4072" t="s">
        <v>18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228"/>
        <v>34</v>
      </c>
      <c r="J4072" s="3">
        <f t="shared" si="229"/>
        <v>28</v>
      </c>
      <c r="K4072" s="3">
        <f t="shared" si="230"/>
        <v>6</v>
      </c>
      <c r="L4072" s="3" t="str">
        <f t="shared" si="231"/>
        <v>MUITO BOM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62</v>
      </c>
      <c r="C4073" t="s">
        <v>20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228"/>
        <v>18</v>
      </c>
      <c r="J4073" s="3">
        <f t="shared" si="229"/>
        <v>18</v>
      </c>
      <c r="K4073" s="3">
        <f t="shared" si="230"/>
        <v>0</v>
      </c>
      <c r="L4073" s="3" t="str">
        <f t="shared" si="231"/>
        <v>OPORTUNO</v>
      </c>
      <c r="N4073">
        <v>100</v>
      </c>
      <c r="O4073">
        <v>26.027397260273968</v>
      </c>
    </row>
    <row r="4074" spans="1:15" hidden="1" x14ac:dyDescent="0.25">
      <c r="A4074" s="11">
        <v>46128</v>
      </c>
      <c r="B4074" t="s">
        <v>63</v>
      </c>
      <c r="C4074" t="s">
        <v>18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228"/>
        <v>28</v>
      </c>
      <c r="J4074" s="3">
        <f t="shared" si="229"/>
        <v>28</v>
      </c>
      <c r="K4074" s="3">
        <f t="shared" si="230"/>
        <v>0</v>
      </c>
      <c r="L4074" s="3" t="str">
        <f t="shared" si="231"/>
        <v>OPORTUNO</v>
      </c>
      <c r="N4074">
        <v>99.21</v>
      </c>
      <c r="O4074">
        <v>24.937027707808561</v>
      </c>
    </row>
    <row r="4075" spans="1:15" hidden="1" x14ac:dyDescent="0.25">
      <c r="A4075" s="11">
        <v>46129</v>
      </c>
      <c r="B4075" t="s">
        <v>15</v>
      </c>
      <c r="C4075" t="s">
        <v>16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228"/>
        <v>21</v>
      </c>
      <c r="J4075" s="3">
        <f t="shared" si="229"/>
        <v>20</v>
      </c>
      <c r="K4075" s="3">
        <f t="shared" si="230"/>
        <v>1</v>
      </c>
      <c r="L4075" s="3" t="str">
        <f t="shared" si="231"/>
        <v>OPORTUNO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17</v>
      </c>
      <c r="C4076" t="s">
        <v>18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f t="shared" si="228"/>
        <v>0</v>
      </c>
      <c r="J4076" s="3">
        <f t="shared" si="229"/>
        <v>25</v>
      </c>
      <c r="K4076" s="3">
        <f t="shared" si="230"/>
        <v>-25</v>
      </c>
      <c r="L4076" s="3" t="str">
        <f t="shared" si="231"/>
        <v>CRÍTICO</v>
      </c>
      <c r="N4076">
        <v>98.66</v>
      </c>
      <c r="O4076">
        <v>35.15625</v>
      </c>
    </row>
    <row r="4077" spans="1:15" hidden="1" x14ac:dyDescent="0.25">
      <c r="A4077" s="11">
        <v>46129</v>
      </c>
      <c r="B4077" t="s">
        <v>19</v>
      </c>
      <c r="C4077" t="s">
        <v>20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 t="shared" si="228"/>
        <v>22</v>
      </c>
      <c r="J4077" s="3">
        <f t="shared" si="229"/>
        <v>17</v>
      </c>
      <c r="K4077" s="3">
        <f t="shared" si="230"/>
        <v>5</v>
      </c>
      <c r="L4077" s="3" t="str">
        <f t="shared" si="231"/>
        <v>OPORTUNO</v>
      </c>
      <c r="N4077">
        <v>99.32</v>
      </c>
      <c r="O4077">
        <v>30.45186640471513</v>
      </c>
    </row>
    <row r="4078" spans="1:15" hidden="1" x14ac:dyDescent="0.25">
      <c r="A4078" s="11">
        <v>46129</v>
      </c>
      <c r="B4078" t="s">
        <v>21</v>
      </c>
      <c r="C4078" t="s">
        <v>18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 t="shared" si="228"/>
        <v>23</v>
      </c>
      <c r="J4078" s="3">
        <f t="shared" si="229"/>
        <v>25</v>
      </c>
      <c r="K4078" s="3">
        <f t="shared" si="230"/>
        <v>-2</v>
      </c>
      <c r="L4078" s="3" t="str">
        <f t="shared" si="231"/>
        <v>ATENÇÃO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22</v>
      </c>
      <c r="C4079" t="s">
        <v>23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f t="shared" si="228"/>
        <v>0</v>
      </c>
      <c r="J4079" s="3">
        <f t="shared" si="229"/>
        <v>7</v>
      </c>
      <c r="K4079" s="3">
        <f t="shared" si="230"/>
        <v>-7</v>
      </c>
      <c r="L4079" s="3" t="str">
        <f t="shared" si="231"/>
        <v>CRÍTICO</v>
      </c>
      <c r="N4079">
        <v>96.74</v>
      </c>
      <c r="O4079">
        <v>28.43137254901961</v>
      </c>
    </row>
    <row r="4080" spans="1:15" hidden="1" x14ac:dyDescent="0.25">
      <c r="A4080" s="11">
        <v>46129</v>
      </c>
      <c r="B4080" t="s">
        <v>24</v>
      </c>
      <c r="C4080" t="s">
        <v>16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 t="shared" si="228"/>
        <v>32</v>
      </c>
      <c r="J4080" s="3">
        <f t="shared" si="229"/>
        <v>20</v>
      </c>
      <c r="K4080" s="3">
        <f t="shared" si="230"/>
        <v>12</v>
      </c>
      <c r="L4080" s="3" t="str">
        <f t="shared" si="231"/>
        <v>MUITO BOM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25</v>
      </c>
      <c r="C4081" t="s">
        <v>16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 t="shared" si="228"/>
        <v>16</v>
      </c>
      <c r="J4081" s="3">
        <f t="shared" si="229"/>
        <v>20</v>
      </c>
      <c r="K4081" s="3">
        <f t="shared" si="230"/>
        <v>-4</v>
      </c>
      <c r="L4081" s="3" t="str">
        <f t="shared" si="231"/>
        <v>ATENÇÃO</v>
      </c>
      <c r="N4081">
        <v>98.2</v>
      </c>
      <c r="O4081">
        <v>26.890756302521009</v>
      </c>
    </row>
    <row r="4082" spans="1:15" hidden="1" x14ac:dyDescent="0.25">
      <c r="A4082" s="11">
        <v>46129</v>
      </c>
      <c r="B4082" t="s">
        <v>26</v>
      </c>
      <c r="C4082" t="s">
        <v>23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 t="shared" si="228"/>
        <v>6</v>
      </c>
      <c r="J4082" s="3">
        <f t="shared" si="229"/>
        <v>7</v>
      </c>
      <c r="K4082" s="3">
        <f t="shared" si="230"/>
        <v>-1</v>
      </c>
      <c r="L4082" s="3" t="str">
        <f t="shared" si="231"/>
        <v>ATENÇÃO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27</v>
      </c>
      <c r="C4083" t="s">
        <v>20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 t="shared" si="228"/>
        <v>26</v>
      </c>
      <c r="J4083" s="3">
        <f t="shared" si="229"/>
        <v>17</v>
      </c>
      <c r="K4083" s="3">
        <f t="shared" si="230"/>
        <v>9</v>
      </c>
      <c r="L4083" s="3" t="str">
        <f t="shared" si="231"/>
        <v>MUITO BOM</v>
      </c>
      <c r="N4083">
        <v>96.3</v>
      </c>
      <c r="O4083">
        <v>31.980906921241051</v>
      </c>
    </row>
    <row r="4084" spans="1:15" hidden="1" x14ac:dyDescent="0.25">
      <c r="A4084" s="11">
        <v>46129</v>
      </c>
      <c r="B4084" t="s">
        <v>28</v>
      </c>
      <c r="C4084" t="s">
        <v>18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 t="shared" si="228"/>
        <v>27</v>
      </c>
      <c r="J4084" s="3">
        <f t="shared" si="229"/>
        <v>25</v>
      </c>
      <c r="K4084" s="3">
        <f t="shared" si="230"/>
        <v>2</v>
      </c>
      <c r="L4084" s="3" t="str">
        <f t="shared" si="231"/>
        <v>OPORTUNO</v>
      </c>
      <c r="N4084">
        <v>93.75</v>
      </c>
      <c r="O4084">
        <v>26.628352490421459</v>
      </c>
    </row>
    <row r="4085" spans="1:15" hidden="1" x14ac:dyDescent="0.25">
      <c r="A4085" s="11">
        <v>46129</v>
      </c>
      <c r="B4085" t="s">
        <v>29</v>
      </c>
      <c r="C4085" t="s">
        <v>16</v>
      </c>
      <c r="D4085">
        <v>0</v>
      </c>
      <c r="E4085">
        <v>0</v>
      </c>
      <c r="F4085">
        <v>0</v>
      </c>
      <c r="G4085">
        <v>0</v>
      </c>
      <c r="H4085">
        <v>0</v>
      </c>
      <c r="I4085" s="3">
        <f t="shared" si="228"/>
        <v>0</v>
      </c>
      <c r="J4085" s="3">
        <f t="shared" si="229"/>
        <v>20</v>
      </c>
      <c r="K4085" s="3">
        <f t="shared" si="230"/>
        <v>-20</v>
      </c>
      <c r="L4085" s="3" t="str">
        <f t="shared" si="231"/>
        <v>CRÍTICO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30</v>
      </c>
      <c r="C4086" t="s">
        <v>20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 t="shared" si="228"/>
        <v>23</v>
      </c>
      <c r="J4086" s="3">
        <f t="shared" si="229"/>
        <v>17</v>
      </c>
      <c r="K4086" s="3">
        <f t="shared" si="230"/>
        <v>6</v>
      </c>
      <c r="L4086" s="3" t="str">
        <f t="shared" si="231"/>
        <v>MUITO BOM</v>
      </c>
      <c r="N4086">
        <v>100</v>
      </c>
      <c r="O4086">
        <v>36.231884057971023</v>
      </c>
    </row>
    <row r="4087" spans="1:15" hidden="1" x14ac:dyDescent="0.25">
      <c r="A4087" s="11">
        <v>46129</v>
      </c>
      <c r="B4087" t="s">
        <v>31</v>
      </c>
      <c r="C4087" t="s">
        <v>18</v>
      </c>
      <c r="D4087">
        <v>0</v>
      </c>
      <c r="E4087">
        <v>0</v>
      </c>
      <c r="F4087">
        <v>0</v>
      </c>
      <c r="G4087">
        <v>0</v>
      </c>
      <c r="H4087">
        <v>0</v>
      </c>
      <c r="I4087" s="3">
        <f t="shared" si="228"/>
        <v>0</v>
      </c>
      <c r="J4087" s="3">
        <f t="shared" si="229"/>
        <v>25</v>
      </c>
      <c r="K4087" s="3">
        <f t="shared" si="230"/>
        <v>-25</v>
      </c>
      <c r="L4087" s="3" t="str">
        <f t="shared" si="231"/>
        <v>CRÍTICO</v>
      </c>
      <c r="N4087">
        <v>100</v>
      </c>
      <c r="O4087">
        <v>38.269230769230766</v>
      </c>
    </row>
    <row r="4088" spans="1:15" hidden="1" x14ac:dyDescent="0.25">
      <c r="A4088" s="11">
        <v>46129</v>
      </c>
      <c r="B4088" t="s">
        <v>32</v>
      </c>
      <c r="C4088" t="s">
        <v>23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 t="shared" si="228"/>
        <v>11</v>
      </c>
      <c r="J4088" s="3">
        <f t="shared" si="229"/>
        <v>7</v>
      </c>
      <c r="K4088" s="3">
        <f t="shared" si="230"/>
        <v>4</v>
      </c>
      <c r="L4088" s="3" t="str">
        <f t="shared" si="231"/>
        <v>OPORTUNO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33</v>
      </c>
      <c r="C4089" t="s">
        <v>16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 t="shared" si="228"/>
        <v>25</v>
      </c>
      <c r="J4089" s="3">
        <f t="shared" si="229"/>
        <v>20</v>
      </c>
      <c r="K4089" s="3">
        <f t="shared" si="230"/>
        <v>5</v>
      </c>
      <c r="L4089" s="3" t="str">
        <f t="shared" si="231"/>
        <v>OPORTUNO</v>
      </c>
      <c r="N4089">
        <v>97.83</v>
      </c>
      <c r="O4089">
        <v>28.131868131868131</v>
      </c>
    </row>
    <row r="4090" spans="1:15" hidden="1" x14ac:dyDescent="0.25">
      <c r="A4090" s="11">
        <v>46129</v>
      </c>
      <c r="B4090" t="s">
        <v>34</v>
      </c>
      <c r="C4090" t="s">
        <v>18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 t="shared" si="228"/>
        <v>27</v>
      </c>
      <c r="J4090" s="3">
        <f t="shared" si="229"/>
        <v>25</v>
      </c>
      <c r="K4090" s="3">
        <f t="shared" si="230"/>
        <v>2</v>
      </c>
      <c r="L4090" s="3" t="str">
        <f t="shared" si="231"/>
        <v>OPORTUNO</v>
      </c>
      <c r="N4090">
        <v>99.26</v>
      </c>
      <c r="O4090">
        <v>29.57198443579767</v>
      </c>
    </row>
    <row r="4091" spans="1:15" hidden="1" x14ac:dyDescent="0.25">
      <c r="A4091" s="11">
        <v>46129</v>
      </c>
      <c r="B4091" t="s">
        <v>35</v>
      </c>
      <c r="C4091" t="s">
        <v>16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 t="shared" si="228"/>
        <v>28</v>
      </c>
      <c r="J4091" s="3">
        <f t="shared" si="229"/>
        <v>20</v>
      </c>
      <c r="K4091" s="3">
        <f t="shared" si="230"/>
        <v>8</v>
      </c>
      <c r="L4091" s="3" t="str">
        <f t="shared" si="231"/>
        <v>MUITO BOM</v>
      </c>
      <c r="N4091">
        <v>99.19</v>
      </c>
      <c r="O4091">
        <v>29.462365591397852</v>
      </c>
    </row>
    <row r="4092" spans="1:15" hidden="1" x14ac:dyDescent="0.25">
      <c r="A4092" s="7">
        <v>46161</v>
      </c>
      <c r="B4092" s="8" t="s">
        <v>36</v>
      </c>
      <c r="C4092" s="9" t="s">
        <v>20</v>
      </c>
      <c r="D4092" s="3">
        <v>19</v>
      </c>
      <c r="E4092" s="3">
        <v>18</v>
      </c>
      <c r="G4092" s="3">
        <v>3</v>
      </c>
      <c r="H4092" s="3">
        <v>3</v>
      </c>
      <c r="I4092" s="3">
        <f t="shared" si="228"/>
        <v>24</v>
      </c>
      <c r="J4092" s="3">
        <f t="shared" si="229"/>
        <v>19</v>
      </c>
      <c r="K4092" s="3">
        <f t="shared" si="230"/>
        <v>5</v>
      </c>
      <c r="L4092" s="3" t="str">
        <f t="shared" si="231"/>
        <v>OPORTUNO</v>
      </c>
      <c r="M4092">
        <v>20</v>
      </c>
      <c r="N4092">
        <v>98.8</v>
      </c>
      <c r="O4092">
        <v>15.41353383458646</v>
      </c>
    </row>
    <row r="4093" spans="1:15" hidden="1" x14ac:dyDescent="0.25">
      <c r="A4093" s="11">
        <v>46129</v>
      </c>
      <c r="B4093" t="s">
        <v>37</v>
      </c>
      <c r="C4093" t="s">
        <v>16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f t="shared" si="228"/>
        <v>0</v>
      </c>
      <c r="J4093" s="3">
        <f t="shared" si="229"/>
        <v>20</v>
      </c>
      <c r="K4093" s="3">
        <f t="shared" si="230"/>
        <v>-20</v>
      </c>
      <c r="L4093" s="3" t="str">
        <f t="shared" si="231"/>
        <v>CRÍTICO</v>
      </c>
      <c r="N4093">
        <v>100</v>
      </c>
      <c r="O4093">
        <v>27.941176470588239</v>
      </c>
    </row>
    <row r="4094" spans="1:15" hidden="1" x14ac:dyDescent="0.25">
      <c r="A4094" s="11">
        <v>46129</v>
      </c>
      <c r="B4094" t="s">
        <v>38</v>
      </c>
      <c r="C4094" t="s">
        <v>18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 t="shared" si="228"/>
        <v>28</v>
      </c>
      <c r="J4094" s="3">
        <f t="shared" si="229"/>
        <v>25</v>
      </c>
      <c r="K4094" s="3">
        <f t="shared" si="230"/>
        <v>3</v>
      </c>
      <c r="L4094" s="3" t="str">
        <f t="shared" si="231"/>
        <v>OPORTUNO</v>
      </c>
      <c r="N4094">
        <v>99.57</v>
      </c>
      <c r="O4094">
        <v>29.913294797687861</v>
      </c>
    </row>
    <row r="4095" spans="1:15" hidden="1" x14ac:dyDescent="0.25">
      <c r="A4095" s="11">
        <v>46129</v>
      </c>
      <c r="B4095" t="s">
        <v>39</v>
      </c>
      <c r="C4095" t="s">
        <v>18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f t="shared" si="228"/>
        <v>0</v>
      </c>
      <c r="J4095" s="3">
        <f t="shared" si="229"/>
        <v>25</v>
      </c>
      <c r="K4095" s="3">
        <f t="shared" si="230"/>
        <v>-25</v>
      </c>
      <c r="L4095" s="3" t="str">
        <f t="shared" si="231"/>
        <v>CRÍTICO</v>
      </c>
      <c r="N4095">
        <v>95.65</v>
      </c>
      <c r="O4095">
        <v>31.081081081081081</v>
      </c>
    </row>
    <row r="4096" spans="1:15" hidden="1" x14ac:dyDescent="0.25">
      <c r="A4096" s="11">
        <v>46129</v>
      </c>
      <c r="B4096" t="s">
        <v>40</v>
      </c>
      <c r="C4096" t="s">
        <v>16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 t="shared" si="228"/>
        <v>21</v>
      </c>
      <c r="J4096" s="3">
        <f t="shared" si="229"/>
        <v>20</v>
      </c>
      <c r="K4096" s="3">
        <f t="shared" si="230"/>
        <v>1</v>
      </c>
      <c r="L4096" s="3" t="str">
        <f t="shared" si="231"/>
        <v>OPORTUNO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41</v>
      </c>
      <c r="C4097" t="s">
        <v>18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f t="shared" si="228"/>
        <v>0</v>
      </c>
      <c r="J4097" s="3">
        <f t="shared" si="229"/>
        <v>25</v>
      </c>
      <c r="K4097" s="3">
        <f t="shared" si="230"/>
        <v>-25</v>
      </c>
      <c r="L4097" s="3" t="str">
        <f t="shared" si="231"/>
        <v>CRÍTICO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42</v>
      </c>
      <c r="C4098" t="s">
        <v>43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 t="shared" si="228"/>
        <v>21</v>
      </c>
      <c r="J4098" s="3">
        <f t="shared" si="229"/>
        <v>14</v>
      </c>
      <c r="K4098" s="3">
        <f t="shared" si="230"/>
        <v>7</v>
      </c>
      <c r="L4098" s="3" t="str">
        <f t="shared" si="231"/>
        <v>MUITO BOM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44</v>
      </c>
      <c r="C4099" t="s">
        <v>18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f t="shared" si="228"/>
        <v>0</v>
      </c>
      <c r="J4099" s="3">
        <f t="shared" si="229"/>
        <v>25</v>
      </c>
      <c r="K4099" s="3">
        <f t="shared" si="230"/>
        <v>-25</v>
      </c>
      <c r="L4099" s="3" t="str">
        <f t="shared" si="231"/>
        <v>CRÍTICO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45</v>
      </c>
      <c r="C4100" t="s">
        <v>43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 t="shared" si="228"/>
        <v>8</v>
      </c>
      <c r="J4100" s="3">
        <f t="shared" si="229"/>
        <v>14</v>
      </c>
      <c r="K4100" s="3">
        <f t="shared" si="230"/>
        <v>-6</v>
      </c>
      <c r="L4100" s="3" t="str">
        <f t="shared" si="231"/>
        <v>CRÍTICO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46</v>
      </c>
      <c r="C4101" t="s">
        <v>18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 t="shared" si="228"/>
        <v>22</v>
      </c>
      <c r="J4101" s="3">
        <f t="shared" si="229"/>
        <v>25</v>
      </c>
      <c r="K4101" s="3">
        <f t="shared" si="230"/>
        <v>-3</v>
      </c>
      <c r="L4101" s="3" t="str">
        <f t="shared" si="231"/>
        <v>ATENÇÃO</v>
      </c>
      <c r="N4101">
        <v>99.15</v>
      </c>
      <c r="O4101">
        <v>27.370689655172409</v>
      </c>
    </row>
    <row r="4102" spans="1:15" hidden="1" x14ac:dyDescent="0.25">
      <c r="A4102" s="11">
        <v>46129</v>
      </c>
      <c r="B4102" t="s">
        <v>47</v>
      </c>
      <c r="C4102" t="s">
        <v>16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 t="shared" si="228"/>
        <v>27</v>
      </c>
      <c r="J4102" s="3">
        <f t="shared" si="229"/>
        <v>20</v>
      </c>
      <c r="K4102" s="3">
        <f t="shared" si="230"/>
        <v>7</v>
      </c>
      <c r="L4102" s="3" t="str">
        <f t="shared" si="231"/>
        <v>MUITO BOM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48</v>
      </c>
      <c r="C4103" t="s">
        <v>16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f t="shared" si="228"/>
        <v>0</v>
      </c>
      <c r="J4103" s="3">
        <f t="shared" si="229"/>
        <v>20</v>
      </c>
      <c r="K4103" s="3">
        <f t="shared" si="230"/>
        <v>-20</v>
      </c>
      <c r="L4103" s="3" t="str">
        <f t="shared" si="231"/>
        <v>CRÍTICO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49</v>
      </c>
      <c r="C4104" t="s">
        <v>18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f t="shared" si="228"/>
        <v>0</v>
      </c>
      <c r="J4104" s="3">
        <f t="shared" si="229"/>
        <v>25</v>
      </c>
      <c r="K4104" s="3">
        <f t="shared" si="230"/>
        <v>-25</v>
      </c>
      <c r="L4104" s="3" t="str">
        <f t="shared" si="231"/>
        <v>CRÍTICO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50</v>
      </c>
      <c r="C4105" t="s">
        <v>20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si="228"/>
        <v>20</v>
      </c>
      <c r="J4105" s="3">
        <f t="shared" si="229"/>
        <v>17</v>
      </c>
      <c r="K4105" s="3">
        <f t="shared" si="230"/>
        <v>3</v>
      </c>
      <c r="L4105" s="3" t="str">
        <f t="shared" si="231"/>
        <v>OPORTUNO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51</v>
      </c>
      <c r="C4106" t="s">
        <v>23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228"/>
        <v>28</v>
      </c>
      <c r="J4106" s="3">
        <f t="shared" si="229"/>
        <v>7</v>
      </c>
      <c r="K4106" s="3">
        <f t="shared" si="230"/>
        <v>21</v>
      </c>
      <c r="L4106" s="3" t="str">
        <f t="shared" si="231"/>
        <v>MUITO BOM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52</v>
      </c>
      <c r="C4107" t="s">
        <v>18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228"/>
        <v>29</v>
      </c>
      <c r="J4107" s="3">
        <f t="shared" si="229"/>
        <v>25</v>
      </c>
      <c r="K4107" s="3">
        <f t="shared" si="230"/>
        <v>4</v>
      </c>
      <c r="L4107" s="3" t="str">
        <f t="shared" si="231"/>
        <v>OPORTUNO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53</v>
      </c>
      <c r="C4108" t="s">
        <v>18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228"/>
        <v>28</v>
      </c>
      <c r="J4108" s="3">
        <f t="shared" si="229"/>
        <v>25</v>
      </c>
      <c r="K4108" s="3">
        <f t="shared" si="230"/>
        <v>3</v>
      </c>
      <c r="L4108" s="3" t="str">
        <f t="shared" si="231"/>
        <v>OPORTUNO</v>
      </c>
      <c r="N4108">
        <v>95.49</v>
      </c>
      <c r="O4108">
        <v>28.16901408450704</v>
      </c>
    </row>
    <row r="4109" spans="1:15" hidden="1" x14ac:dyDescent="0.25">
      <c r="A4109" s="11">
        <v>46129</v>
      </c>
      <c r="B4109" t="s">
        <v>54</v>
      </c>
      <c r="C4109" t="s">
        <v>23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228"/>
        <v>12</v>
      </c>
      <c r="J4109" s="3">
        <f t="shared" si="229"/>
        <v>7</v>
      </c>
      <c r="K4109" s="3">
        <f t="shared" si="230"/>
        <v>5</v>
      </c>
      <c r="L4109" s="3" t="str">
        <f t="shared" si="231"/>
        <v>OPORTUNO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55</v>
      </c>
      <c r="C4110" t="s">
        <v>43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228"/>
        <v>31</v>
      </c>
      <c r="J4110" s="3">
        <f t="shared" si="229"/>
        <v>14</v>
      </c>
      <c r="K4110" s="3">
        <f t="shared" si="230"/>
        <v>17</v>
      </c>
      <c r="L4110" s="3" t="str">
        <f t="shared" si="231"/>
        <v>MUITO BOM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56</v>
      </c>
      <c r="C4111" t="s">
        <v>16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228"/>
        <v>25</v>
      </c>
      <c r="J4111" s="3">
        <f t="shared" si="229"/>
        <v>20</v>
      </c>
      <c r="K4111" s="3">
        <f t="shared" si="230"/>
        <v>5</v>
      </c>
      <c r="L4111" s="3" t="str">
        <f t="shared" si="231"/>
        <v>OPORTUNO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57</v>
      </c>
      <c r="C4112" t="s">
        <v>43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228"/>
        <v>17</v>
      </c>
      <c r="J4112" s="3">
        <f t="shared" si="229"/>
        <v>14</v>
      </c>
      <c r="K4112" s="3">
        <f t="shared" si="230"/>
        <v>3</v>
      </c>
      <c r="L4112" s="3" t="str">
        <f t="shared" si="231"/>
        <v>OPORTUNO</v>
      </c>
      <c r="N4112">
        <v>98.84</v>
      </c>
      <c r="O4112">
        <v>31.5018315018315</v>
      </c>
    </row>
    <row r="4113" spans="1:15" hidden="1" x14ac:dyDescent="0.25">
      <c r="A4113" s="11">
        <v>46129</v>
      </c>
      <c r="B4113" t="s">
        <v>58</v>
      </c>
      <c r="C4113" t="s">
        <v>43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228"/>
        <v>14</v>
      </c>
      <c r="J4113" s="3">
        <f t="shared" si="229"/>
        <v>14</v>
      </c>
      <c r="K4113" s="3">
        <f t="shared" si="230"/>
        <v>0</v>
      </c>
      <c r="L4113" s="3" t="str">
        <f t="shared" si="231"/>
        <v>OPORTUNO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59</v>
      </c>
      <c r="C4114" t="s">
        <v>23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228"/>
        <v>14</v>
      </c>
      <c r="J4114" s="3">
        <f t="shared" si="229"/>
        <v>7</v>
      </c>
      <c r="K4114" s="3">
        <f t="shared" si="230"/>
        <v>7</v>
      </c>
      <c r="L4114" s="3" t="str">
        <f t="shared" si="231"/>
        <v>MUITO BOM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60</v>
      </c>
      <c r="C4115" t="s">
        <v>20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228"/>
        <v>26</v>
      </c>
      <c r="J4115" s="3">
        <f t="shared" si="229"/>
        <v>17</v>
      </c>
      <c r="K4115" s="3">
        <f t="shared" si="230"/>
        <v>9</v>
      </c>
      <c r="L4115" s="3" t="str">
        <f t="shared" si="231"/>
        <v>MUITO BOM</v>
      </c>
      <c r="N4115">
        <v>98.32</v>
      </c>
      <c r="O4115">
        <v>26.618705035971221</v>
      </c>
    </row>
    <row r="4116" spans="1:15" hidden="1" x14ac:dyDescent="0.25">
      <c r="A4116" s="11">
        <v>46129</v>
      </c>
      <c r="B4116" t="s">
        <v>61</v>
      </c>
      <c r="C4116" t="s">
        <v>18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228"/>
        <v>31</v>
      </c>
      <c r="J4116" s="3">
        <f t="shared" si="229"/>
        <v>25</v>
      </c>
      <c r="K4116" s="3">
        <f t="shared" si="230"/>
        <v>6</v>
      </c>
      <c r="L4116" s="3" t="str">
        <f t="shared" si="231"/>
        <v>MUITO BOM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62</v>
      </c>
      <c r="C4117" t="s">
        <v>20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228"/>
        <v>17</v>
      </c>
      <c r="J4117" s="3">
        <f t="shared" si="229"/>
        <v>17</v>
      </c>
      <c r="K4117" s="3">
        <f t="shared" si="230"/>
        <v>0</v>
      </c>
      <c r="L4117" s="3" t="str">
        <f t="shared" si="231"/>
        <v>OPORTUNO</v>
      </c>
      <c r="N4117">
        <v>100</v>
      </c>
      <c r="O4117">
        <v>26.027397260273968</v>
      </c>
    </row>
    <row r="4118" spans="1:15" hidden="1" x14ac:dyDescent="0.25">
      <c r="A4118" s="11">
        <v>46129</v>
      </c>
      <c r="B4118" t="s">
        <v>63</v>
      </c>
      <c r="C4118" t="s">
        <v>18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f t="shared" si="228"/>
        <v>0</v>
      </c>
      <c r="J4118" s="3">
        <f t="shared" si="229"/>
        <v>25</v>
      </c>
      <c r="K4118" s="3">
        <f t="shared" si="230"/>
        <v>-25</v>
      </c>
      <c r="L4118" s="3" t="str">
        <f t="shared" si="231"/>
        <v>CRÍTICO</v>
      </c>
      <c r="N4118">
        <v>99.21</v>
      </c>
      <c r="O4118">
        <v>24.937027707808561</v>
      </c>
    </row>
    <row r="4119" spans="1:15" hidden="1" x14ac:dyDescent="0.25">
      <c r="A4119" s="11">
        <v>46132</v>
      </c>
      <c r="B4119" t="s">
        <v>15</v>
      </c>
      <c r="C4119" t="s">
        <v>16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 t="shared" si="228"/>
        <v>27</v>
      </c>
      <c r="J4119" s="3">
        <f t="shared" si="229"/>
        <v>15</v>
      </c>
      <c r="K4119" s="3">
        <f t="shared" si="230"/>
        <v>12</v>
      </c>
      <c r="L4119" s="3" t="str">
        <f t="shared" si="231"/>
        <v>MUITO BOM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17</v>
      </c>
      <c r="C4120" t="s">
        <v>18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f t="shared" si="228"/>
        <v>0</v>
      </c>
      <c r="J4120" s="3">
        <f t="shared" si="229"/>
        <v>19</v>
      </c>
      <c r="K4120" s="3">
        <f t="shared" si="230"/>
        <v>-19</v>
      </c>
      <c r="L4120" s="3" t="str">
        <f t="shared" si="231"/>
        <v>CRÍTICO</v>
      </c>
      <c r="N4120">
        <v>98.66</v>
      </c>
      <c r="O4120">
        <v>35.15625</v>
      </c>
    </row>
    <row r="4121" spans="1:15" hidden="1" x14ac:dyDescent="0.25">
      <c r="A4121" s="11">
        <v>46132</v>
      </c>
      <c r="B4121" t="s">
        <v>19</v>
      </c>
      <c r="C4121" t="s">
        <v>20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si="228"/>
        <v>24</v>
      </c>
      <c r="J4121" s="3">
        <f t="shared" si="229"/>
        <v>12</v>
      </c>
      <c r="K4121" s="3">
        <f t="shared" si="230"/>
        <v>12</v>
      </c>
      <c r="L4121" s="3" t="str">
        <f t="shared" si="231"/>
        <v>MUITO BOM</v>
      </c>
      <c r="N4121">
        <v>99.32</v>
      </c>
      <c r="O4121">
        <v>30.45186640471513</v>
      </c>
    </row>
    <row r="4122" spans="1:15" hidden="1" x14ac:dyDescent="0.25">
      <c r="A4122" s="11">
        <v>46132</v>
      </c>
      <c r="B4122" t="s">
        <v>21</v>
      </c>
      <c r="C4122" t="s">
        <v>18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228"/>
        <v>15</v>
      </c>
      <c r="J4122" s="3">
        <f t="shared" si="229"/>
        <v>19</v>
      </c>
      <c r="K4122" s="3">
        <f t="shared" si="230"/>
        <v>-4</v>
      </c>
      <c r="L4122" s="3" t="str">
        <f t="shared" si="231"/>
        <v>ATENÇÃO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22</v>
      </c>
      <c r="C4123" t="s">
        <v>23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ref="I4123:I4186" si="232">E4123+G4123+H4123</f>
        <v>11</v>
      </c>
      <c r="J4123" s="3">
        <f t="shared" ref="J4123:J4186" si="233"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5</v>
      </c>
      <c r="K4123" s="3">
        <f t="shared" ref="K4123:K4186" si="234">I4123-J4123</f>
        <v>6</v>
      </c>
      <c r="L4123" s="3" t="str">
        <f t="shared" ref="L4123:L4186" si="235">IF(K4123&lt;-5,"CRÍTICO",IF(K4123&lt;0,"ATENÇÃO",IF(K4123&lt;=5,"OPORTUNO","MUITO BOM")))</f>
        <v>MUITO BOM</v>
      </c>
      <c r="N4123">
        <v>96.74</v>
      </c>
      <c r="O4123">
        <v>28.43137254901961</v>
      </c>
    </row>
    <row r="4124" spans="1:15" hidden="1" x14ac:dyDescent="0.25">
      <c r="A4124" s="11">
        <v>46132</v>
      </c>
      <c r="B4124" t="s">
        <v>24</v>
      </c>
      <c r="C4124" t="s">
        <v>16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232"/>
        <v>30</v>
      </c>
      <c r="J4124" s="3">
        <f t="shared" si="233"/>
        <v>15</v>
      </c>
      <c r="K4124" s="3">
        <f t="shared" si="234"/>
        <v>15</v>
      </c>
      <c r="L4124" s="3" t="str">
        <f t="shared" si="235"/>
        <v>MUITO BOM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25</v>
      </c>
      <c r="C4125" t="s">
        <v>16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232"/>
        <v>25</v>
      </c>
      <c r="J4125" s="3">
        <f t="shared" si="233"/>
        <v>15</v>
      </c>
      <c r="K4125" s="3">
        <f t="shared" si="234"/>
        <v>10</v>
      </c>
      <c r="L4125" s="3" t="str">
        <f t="shared" si="235"/>
        <v>MUITO BOM</v>
      </c>
      <c r="N4125">
        <v>98.2</v>
      </c>
      <c r="O4125">
        <v>26.890756302521009</v>
      </c>
    </row>
    <row r="4126" spans="1:15" hidden="1" x14ac:dyDescent="0.25">
      <c r="A4126" s="11">
        <v>46132</v>
      </c>
      <c r="B4126" t="s">
        <v>26</v>
      </c>
      <c r="C4126" t="s">
        <v>23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232"/>
        <v>1</v>
      </c>
      <c r="J4126" s="3">
        <f t="shared" si="233"/>
        <v>5</v>
      </c>
      <c r="K4126" s="3">
        <f t="shared" si="234"/>
        <v>-4</v>
      </c>
      <c r="L4126" s="3" t="str">
        <f t="shared" si="235"/>
        <v>ATENÇÃO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27</v>
      </c>
      <c r="C4127" t="s">
        <v>20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232"/>
        <v>19</v>
      </c>
      <c r="J4127" s="3">
        <f t="shared" si="233"/>
        <v>12</v>
      </c>
      <c r="K4127" s="3">
        <f t="shared" si="234"/>
        <v>7</v>
      </c>
      <c r="L4127" s="3" t="str">
        <f t="shared" si="235"/>
        <v>MUITO BOM</v>
      </c>
      <c r="N4127">
        <v>96.3</v>
      </c>
      <c r="O4127">
        <v>31.980906921241051</v>
      </c>
    </row>
    <row r="4128" spans="1:15" hidden="1" x14ac:dyDescent="0.25">
      <c r="A4128" s="11">
        <v>46132</v>
      </c>
      <c r="B4128" t="s">
        <v>28</v>
      </c>
      <c r="C4128" t="s">
        <v>18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232"/>
        <v>21</v>
      </c>
      <c r="J4128" s="3">
        <f t="shared" si="233"/>
        <v>19</v>
      </c>
      <c r="K4128" s="3">
        <f t="shared" si="234"/>
        <v>2</v>
      </c>
      <c r="L4128" s="3" t="str">
        <f t="shared" si="235"/>
        <v>OPORTUNO</v>
      </c>
      <c r="N4128">
        <v>93.75</v>
      </c>
      <c r="O4128">
        <v>26.628352490421459</v>
      </c>
    </row>
    <row r="4129" spans="1:15" hidden="1" x14ac:dyDescent="0.25">
      <c r="A4129" s="11">
        <v>46132</v>
      </c>
      <c r="B4129" t="s">
        <v>29</v>
      </c>
      <c r="C4129" t="s">
        <v>16</v>
      </c>
      <c r="D4129">
        <v>0</v>
      </c>
      <c r="E4129">
        <v>0</v>
      </c>
      <c r="F4129">
        <v>0</v>
      </c>
      <c r="G4129">
        <v>0</v>
      </c>
      <c r="H4129">
        <v>0</v>
      </c>
      <c r="I4129" s="3">
        <f t="shared" si="232"/>
        <v>0</v>
      </c>
      <c r="J4129" s="3">
        <f t="shared" si="233"/>
        <v>15</v>
      </c>
      <c r="K4129" s="3">
        <f t="shared" si="234"/>
        <v>-15</v>
      </c>
      <c r="L4129" s="3" t="str">
        <f t="shared" si="235"/>
        <v>CRÍTICO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30</v>
      </c>
      <c r="C4130" t="s">
        <v>20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 t="shared" si="232"/>
        <v>17</v>
      </c>
      <c r="J4130" s="3">
        <f t="shared" si="233"/>
        <v>12</v>
      </c>
      <c r="K4130" s="3">
        <f t="shared" si="234"/>
        <v>5</v>
      </c>
      <c r="L4130" s="3" t="str">
        <f t="shared" si="235"/>
        <v>OPORTUNO</v>
      </c>
      <c r="N4130">
        <v>100</v>
      </c>
      <c r="O4130">
        <v>36.231884057971023</v>
      </c>
    </row>
    <row r="4131" spans="1:15" hidden="1" x14ac:dyDescent="0.25">
      <c r="A4131" s="11">
        <v>46132</v>
      </c>
      <c r="B4131" t="s">
        <v>31</v>
      </c>
      <c r="C4131" t="s">
        <v>18</v>
      </c>
      <c r="D4131">
        <v>0</v>
      </c>
      <c r="E4131">
        <v>0</v>
      </c>
      <c r="F4131">
        <v>0</v>
      </c>
      <c r="G4131">
        <v>0</v>
      </c>
      <c r="H4131">
        <v>0</v>
      </c>
      <c r="I4131" s="3">
        <f t="shared" si="232"/>
        <v>0</v>
      </c>
      <c r="J4131" s="3">
        <f t="shared" si="233"/>
        <v>19</v>
      </c>
      <c r="K4131" s="3">
        <f t="shared" si="234"/>
        <v>-19</v>
      </c>
      <c r="L4131" s="3" t="str">
        <f t="shared" si="235"/>
        <v>CRÍTICO</v>
      </c>
      <c r="N4131">
        <v>100</v>
      </c>
      <c r="O4131">
        <v>38.269230769230766</v>
      </c>
    </row>
    <row r="4132" spans="1:15" hidden="1" x14ac:dyDescent="0.25">
      <c r="A4132" s="11">
        <v>46132</v>
      </c>
      <c r="B4132" t="s">
        <v>32</v>
      </c>
      <c r="C4132" t="s">
        <v>23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 t="shared" si="232"/>
        <v>6</v>
      </c>
      <c r="J4132" s="3">
        <f t="shared" si="233"/>
        <v>5</v>
      </c>
      <c r="K4132" s="3">
        <f t="shared" si="234"/>
        <v>1</v>
      </c>
      <c r="L4132" s="3" t="str">
        <f t="shared" si="235"/>
        <v>OPORTUNO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33</v>
      </c>
      <c r="C4133" t="s">
        <v>16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 t="shared" si="232"/>
        <v>25</v>
      </c>
      <c r="J4133" s="3">
        <f t="shared" si="233"/>
        <v>15</v>
      </c>
      <c r="K4133" s="3">
        <f t="shared" si="234"/>
        <v>10</v>
      </c>
      <c r="L4133" s="3" t="str">
        <f t="shared" si="235"/>
        <v>MUITO BOM</v>
      </c>
      <c r="N4133">
        <v>97.83</v>
      </c>
      <c r="O4133">
        <v>28.131868131868131</v>
      </c>
    </row>
    <row r="4134" spans="1:15" hidden="1" x14ac:dyDescent="0.25">
      <c r="A4134" s="11">
        <v>46132</v>
      </c>
      <c r="B4134" t="s">
        <v>34</v>
      </c>
      <c r="C4134" t="s">
        <v>18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 t="shared" si="232"/>
        <v>23</v>
      </c>
      <c r="J4134" s="3">
        <f t="shared" si="233"/>
        <v>19</v>
      </c>
      <c r="K4134" s="3">
        <f t="shared" si="234"/>
        <v>4</v>
      </c>
      <c r="L4134" s="3" t="str">
        <f t="shared" si="235"/>
        <v>OPORTUNO</v>
      </c>
      <c r="N4134">
        <v>99.26</v>
      </c>
      <c r="O4134">
        <v>29.57198443579767</v>
      </c>
    </row>
    <row r="4135" spans="1:15" hidden="1" x14ac:dyDescent="0.25">
      <c r="A4135" s="11">
        <v>46132</v>
      </c>
      <c r="B4135" t="s">
        <v>35</v>
      </c>
      <c r="C4135" t="s">
        <v>16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 t="shared" si="232"/>
        <v>9</v>
      </c>
      <c r="J4135" s="3">
        <f t="shared" si="233"/>
        <v>15</v>
      </c>
      <c r="K4135" s="3">
        <f t="shared" si="234"/>
        <v>-6</v>
      </c>
      <c r="L4135" s="3" t="str">
        <f t="shared" si="235"/>
        <v>CRÍTICO</v>
      </c>
      <c r="N4135">
        <v>99.19</v>
      </c>
      <c r="O4135">
        <v>29.462365591397852</v>
      </c>
    </row>
    <row r="4136" spans="1:15" hidden="1" x14ac:dyDescent="0.25">
      <c r="A4136" s="7">
        <v>46162</v>
      </c>
      <c r="B4136" s="8" t="s">
        <v>64</v>
      </c>
      <c r="C4136" s="9" t="s">
        <v>23</v>
      </c>
      <c r="D4136" s="3">
        <v>7</v>
      </c>
      <c r="E4136" s="3">
        <v>7</v>
      </c>
      <c r="F4136" s="3">
        <v>22.26</v>
      </c>
      <c r="G4136" s="3">
        <v>0</v>
      </c>
      <c r="H4136" s="3">
        <v>0</v>
      </c>
      <c r="I4136" s="3">
        <f t="shared" si="232"/>
        <v>7</v>
      </c>
      <c r="J4136" s="3">
        <f t="shared" si="233"/>
        <v>7</v>
      </c>
      <c r="K4136" s="3">
        <f t="shared" si="234"/>
        <v>0</v>
      </c>
      <c r="L4136" s="3" t="str">
        <f t="shared" si="235"/>
        <v>OPORTUNO</v>
      </c>
      <c r="M4136" s="9">
        <v>6</v>
      </c>
      <c r="N4136" s="9">
        <v>100</v>
      </c>
      <c r="O4136" s="9">
        <v>14.285714285714279</v>
      </c>
    </row>
    <row r="4137" spans="1:15" hidden="1" x14ac:dyDescent="0.25">
      <c r="A4137" s="11">
        <v>46132</v>
      </c>
      <c r="B4137" t="s">
        <v>37</v>
      </c>
      <c r="C4137" t="s">
        <v>16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f t="shared" si="232"/>
        <v>0</v>
      </c>
      <c r="J4137" s="3">
        <f t="shared" si="233"/>
        <v>15</v>
      </c>
      <c r="K4137" s="3">
        <f t="shared" si="234"/>
        <v>-15</v>
      </c>
      <c r="L4137" s="3" t="str">
        <f t="shared" si="235"/>
        <v>CRÍTICO</v>
      </c>
      <c r="N4137">
        <v>100</v>
      </c>
      <c r="O4137">
        <v>27.941176470588239</v>
      </c>
    </row>
    <row r="4138" spans="1:15" hidden="1" x14ac:dyDescent="0.25">
      <c r="A4138" s="11">
        <v>46132</v>
      </c>
      <c r="B4138" t="s">
        <v>38</v>
      </c>
      <c r="C4138" t="s">
        <v>18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 t="shared" si="232"/>
        <v>30</v>
      </c>
      <c r="J4138" s="3">
        <f t="shared" si="233"/>
        <v>19</v>
      </c>
      <c r="K4138" s="3">
        <f t="shared" si="234"/>
        <v>11</v>
      </c>
      <c r="L4138" s="3" t="str">
        <f t="shared" si="235"/>
        <v>MUITO BOM</v>
      </c>
      <c r="N4138">
        <v>99.57</v>
      </c>
      <c r="O4138">
        <v>29.913294797687861</v>
      </c>
    </row>
    <row r="4139" spans="1:15" hidden="1" x14ac:dyDescent="0.25">
      <c r="A4139" s="11">
        <v>46132</v>
      </c>
      <c r="B4139" t="s">
        <v>39</v>
      </c>
      <c r="C4139" t="s">
        <v>18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f t="shared" si="232"/>
        <v>0</v>
      </c>
      <c r="J4139" s="3">
        <f t="shared" si="233"/>
        <v>19</v>
      </c>
      <c r="K4139" s="3">
        <f t="shared" si="234"/>
        <v>-19</v>
      </c>
      <c r="L4139" s="3" t="str">
        <f t="shared" si="235"/>
        <v>CRÍTICO</v>
      </c>
      <c r="N4139">
        <v>95.65</v>
      </c>
      <c r="O4139">
        <v>31.081081081081081</v>
      </c>
    </row>
    <row r="4140" spans="1:15" hidden="1" x14ac:dyDescent="0.25">
      <c r="A4140" s="11">
        <v>46132</v>
      </c>
      <c r="B4140" t="s">
        <v>40</v>
      </c>
      <c r="C4140" t="s">
        <v>16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 t="shared" si="232"/>
        <v>23</v>
      </c>
      <c r="J4140" s="3">
        <f t="shared" si="233"/>
        <v>15</v>
      </c>
      <c r="K4140" s="3">
        <f t="shared" si="234"/>
        <v>8</v>
      </c>
      <c r="L4140" s="3" t="str">
        <f t="shared" si="235"/>
        <v>MUITO BOM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41</v>
      </c>
      <c r="C4141" t="s">
        <v>18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f t="shared" si="232"/>
        <v>0</v>
      </c>
      <c r="J4141" s="3">
        <f t="shared" si="233"/>
        <v>19</v>
      </c>
      <c r="K4141" s="3">
        <f t="shared" si="234"/>
        <v>-19</v>
      </c>
      <c r="L4141" s="3" t="str">
        <f t="shared" si="235"/>
        <v>CRÍTICO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42</v>
      </c>
      <c r="C4142" t="s">
        <v>43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 t="shared" si="232"/>
        <v>6</v>
      </c>
      <c r="J4142" s="3">
        <f t="shared" si="233"/>
        <v>11</v>
      </c>
      <c r="K4142" s="3">
        <f t="shared" si="234"/>
        <v>-5</v>
      </c>
      <c r="L4142" s="3" t="str">
        <f t="shared" si="235"/>
        <v>ATENÇÃO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44</v>
      </c>
      <c r="C4143" t="s">
        <v>18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f t="shared" si="232"/>
        <v>0</v>
      </c>
      <c r="J4143" s="3">
        <f t="shared" si="233"/>
        <v>19</v>
      </c>
      <c r="K4143" s="3">
        <f t="shared" si="234"/>
        <v>-19</v>
      </c>
      <c r="L4143" s="3" t="str">
        <f t="shared" si="235"/>
        <v>CRÍTICO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45</v>
      </c>
      <c r="C4144" t="s">
        <v>43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 t="shared" si="232"/>
        <v>8</v>
      </c>
      <c r="J4144" s="3">
        <f t="shared" si="233"/>
        <v>11</v>
      </c>
      <c r="K4144" s="3">
        <f t="shared" si="234"/>
        <v>-3</v>
      </c>
      <c r="L4144" s="3" t="str">
        <f t="shared" si="235"/>
        <v>ATENÇÃO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46</v>
      </c>
      <c r="C4145" t="s">
        <v>18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 t="shared" si="232"/>
        <v>23</v>
      </c>
      <c r="J4145" s="3">
        <f t="shared" si="233"/>
        <v>19</v>
      </c>
      <c r="K4145" s="3">
        <f t="shared" si="234"/>
        <v>4</v>
      </c>
      <c r="L4145" s="3" t="str">
        <f t="shared" si="235"/>
        <v>OPORTUNO</v>
      </c>
      <c r="N4145">
        <v>99.15</v>
      </c>
      <c r="O4145">
        <v>27.370689655172409</v>
      </c>
    </row>
    <row r="4146" spans="1:15" hidden="1" x14ac:dyDescent="0.25">
      <c r="A4146" s="11">
        <v>46132</v>
      </c>
      <c r="B4146" t="s">
        <v>47</v>
      </c>
      <c r="C4146" t="s">
        <v>16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 t="shared" si="232"/>
        <v>19</v>
      </c>
      <c r="J4146" s="3">
        <f t="shared" si="233"/>
        <v>15</v>
      </c>
      <c r="K4146" s="3">
        <f t="shared" si="234"/>
        <v>4</v>
      </c>
      <c r="L4146" s="3" t="str">
        <f t="shared" si="235"/>
        <v>OPORTUNO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48</v>
      </c>
      <c r="C4147" t="s">
        <v>16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f t="shared" si="232"/>
        <v>0</v>
      </c>
      <c r="J4147" s="3">
        <f t="shared" si="233"/>
        <v>15</v>
      </c>
      <c r="K4147" s="3">
        <f t="shared" si="234"/>
        <v>-15</v>
      </c>
      <c r="L4147" s="3" t="str">
        <f t="shared" si="235"/>
        <v>CRÍTICO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49</v>
      </c>
      <c r="C4148" t="s">
        <v>18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f t="shared" si="232"/>
        <v>0</v>
      </c>
      <c r="J4148" s="3">
        <f t="shared" si="233"/>
        <v>19</v>
      </c>
      <c r="K4148" s="3">
        <f t="shared" si="234"/>
        <v>-19</v>
      </c>
      <c r="L4148" s="3" t="str">
        <f t="shared" si="235"/>
        <v>CRÍTICO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50</v>
      </c>
      <c r="C4149" t="s">
        <v>20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 t="shared" si="232"/>
        <v>11</v>
      </c>
      <c r="J4149" s="3">
        <f t="shared" si="233"/>
        <v>12</v>
      </c>
      <c r="K4149" s="3">
        <f t="shared" si="234"/>
        <v>-1</v>
      </c>
      <c r="L4149" s="3" t="str">
        <f t="shared" si="235"/>
        <v>ATENÇÃO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51</v>
      </c>
      <c r="C4150" t="s">
        <v>23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 t="shared" si="232"/>
        <v>10</v>
      </c>
      <c r="J4150" s="3">
        <f t="shared" si="233"/>
        <v>5</v>
      </c>
      <c r="K4150" s="3">
        <f t="shared" si="234"/>
        <v>5</v>
      </c>
      <c r="L4150" s="3" t="str">
        <f t="shared" si="235"/>
        <v>OPORTUNO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52</v>
      </c>
      <c r="C4151" t="s">
        <v>18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 t="shared" si="232"/>
        <v>21</v>
      </c>
      <c r="J4151" s="3">
        <f t="shared" si="233"/>
        <v>19</v>
      </c>
      <c r="K4151" s="3">
        <f t="shared" si="234"/>
        <v>2</v>
      </c>
      <c r="L4151" s="3" t="str">
        <f t="shared" si="235"/>
        <v>OPORTUNO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53</v>
      </c>
      <c r="C4152" t="s">
        <v>18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 t="shared" si="232"/>
        <v>26</v>
      </c>
      <c r="J4152" s="3">
        <f t="shared" si="233"/>
        <v>19</v>
      </c>
      <c r="K4152" s="3">
        <f t="shared" si="234"/>
        <v>7</v>
      </c>
      <c r="L4152" s="3" t="str">
        <f t="shared" si="235"/>
        <v>MUITO BOM</v>
      </c>
      <c r="N4152">
        <v>95.49</v>
      </c>
      <c r="O4152">
        <v>28.16901408450704</v>
      </c>
    </row>
    <row r="4153" spans="1:15" hidden="1" x14ac:dyDescent="0.25">
      <c r="A4153" s="11">
        <v>46132</v>
      </c>
      <c r="B4153" t="s">
        <v>54</v>
      </c>
      <c r="C4153" t="s">
        <v>23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f t="shared" si="232"/>
        <v>0</v>
      </c>
      <c r="J4153" s="3">
        <f t="shared" si="233"/>
        <v>5</v>
      </c>
      <c r="K4153" s="3">
        <f t="shared" si="234"/>
        <v>-5</v>
      </c>
      <c r="L4153" s="3" t="str">
        <f t="shared" si="235"/>
        <v>ATENÇÃO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55</v>
      </c>
      <c r="C4154" t="s">
        <v>43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si="232"/>
        <v>8</v>
      </c>
      <c r="J4154" s="3">
        <f t="shared" si="233"/>
        <v>11</v>
      </c>
      <c r="K4154" s="3">
        <f t="shared" si="234"/>
        <v>-3</v>
      </c>
      <c r="L4154" s="3" t="str">
        <f t="shared" si="235"/>
        <v>ATENÇÃO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56</v>
      </c>
      <c r="C4155" t="s">
        <v>16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232"/>
        <v>12</v>
      </c>
      <c r="J4155" s="3">
        <f t="shared" si="233"/>
        <v>15</v>
      </c>
      <c r="K4155" s="3">
        <f t="shared" si="234"/>
        <v>-3</v>
      </c>
      <c r="L4155" s="3" t="str">
        <f t="shared" si="235"/>
        <v>ATENÇÃO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57</v>
      </c>
      <c r="C4156" t="s">
        <v>43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232"/>
        <v>10</v>
      </c>
      <c r="J4156" s="3">
        <f t="shared" si="233"/>
        <v>11</v>
      </c>
      <c r="K4156" s="3">
        <f t="shared" si="234"/>
        <v>-1</v>
      </c>
      <c r="L4156" s="3" t="str">
        <f t="shared" si="235"/>
        <v>ATENÇÃO</v>
      </c>
      <c r="N4156">
        <v>98.84</v>
      </c>
      <c r="O4156">
        <v>31.5018315018315</v>
      </c>
    </row>
    <row r="4157" spans="1:15" hidden="1" x14ac:dyDescent="0.25">
      <c r="A4157" s="11">
        <v>46132</v>
      </c>
      <c r="B4157" t="s">
        <v>58</v>
      </c>
      <c r="C4157" t="s">
        <v>43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232"/>
        <v>9</v>
      </c>
      <c r="J4157" s="3">
        <f t="shared" si="233"/>
        <v>11</v>
      </c>
      <c r="K4157" s="3">
        <f t="shared" si="234"/>
        <v>-2</v>
      </c>
      <c r="L4157" s="3" t="str">
        <f t="shared" si="235"/>
        <v>ATENÇÃO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59</v>
      </c>
      <c r="C4158" t="s">
        <v>23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232"/>
        <v>6</v>
      </c>
      <c r="J4158" s="3">
        <f t="shared" si="233"/>
        <v>5</v>
      </c>
      <c r="K4158" s="3">
        <f t="shared" si="234"/>
        <v>1</v>
      </c>
      <c r="L4158" s="3" t="str">
        <f t="shared" si="235"/>
        <v>OPORTUNO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60</v>
      </c>
      <c r="C4159" t="s">
        <v>20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232"/>
        <v>11</v>
      </c>
      <c r="J4159" s="3">
        <f t="shared" si="233"/>
        <v>12</v>
      </c>
      <c r="K4159" s="3">
        <f t="shared" si="234"/>
        <v>-1</v>
      </c>
      <c r="L4159" s="3" t="str">
        <f t="shared" si="235"/>
        <v>ATENÇÃO</v>
      </c>
      <c r="N4159">
        <v>98.32</v>
      </c>
      <c r="O4159">
        <v>26.618705035971221</v>
      </c>
    </row>
    <row r="4160" spans="1:15" hidden="1" x14ac:dyDescent="0.25">
      <c r="A4160" s="11">
        <v>46132</v>
      </c>
      <c r="B4160" t="s">
        <v>61</v>
      </c>
      <c r="C4160" t="s">
        <v>18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232"/>
        <v>30</v>
      </c>
      <c r="J4160" s="3">
        <f t="shared" si="233"/>
        <v>19</v>
      </c>
      <c r="K4160" s="3">
        <f t="shared" si="234"/>
        <v>11</v>
      </c>
      <c r="L4160" s="3" t="str">
        <f t="shared" si="235"/>
        <v>MUITO BOM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62</v>
      </c>
      <c r="C4161" t="s">
        <v>20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232"/>
        <v>7</v>
      </c>
      <c r="J4161" s="3">
        <f t="shared" si="233"/>
        <v>12</v>
      </c>
      <c r="K4161" s="3">
        <f t="shared" si="234"/>
        <v>-5</v>
      </c>
      <c r="L4161" s="3" t="str">
        <f t="shared" si="235"/>
        <v>ATENÇÃO</v>
      </c>
      <c r="N4161">
        <v>100</v>
      </c>
      <c r="O4161">
        <v>26.027397260273968</v>
      </c>
    </row>
    <row r="4162" spans="1:15" hidden="1" x14ac:dyDescent="0.25">
      <c r="A4162" s="11">
        <v>46132</v>
      </c>
      <c r="B4162" t="s">
        <v>63</v>
      </c>
      <c r="C4162" t="s">
        <v>18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232"/>
        <v>23</v>
      </c>
      <c r="J4162" s="3">
        <f t="shared" si="233"/>
        <v>19</v>
      </c>
      <c r="K4162" s="3">
        <f t="shared" si="234"/>
        <v>4</v>
      </c>
      <c r="L4162" s="3" t="str">
        <f t="shared" si="235"/>
        <v>OPORTUNO</v>
      </c>
      <c r="N4162">
        <v>99.21</v>
      </c>
      <c r="O4162">
        <v>24.937027707808561</v>
      </c>
    </row>
    <row r="4163" spans="1:15" hidden="1" x14ac:dyDescent="0.25">
      <c r="A4163" s="11">
        <v>46134</v>
      </c>
      <c r="B4163" t="s">
        <v>15</v>
      </c>
      <c r="C4163" t="s">
        <v>16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232"/>
        <v>38</v>
      </c>
      <c r="J4163" s="3">
        <f t="shared" si="233"/>
        <v>17</v>
      </c>
      <c r="K4163" s="3">
        <f t="shared" si="234"/>
        <v>21</v>
      </c>
      <c r="L4163" s="3" t="str">
        <f t="shared" si="235"/>
        <v>MUITO BOM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17</v>
      </c>
      <c r="C4164" t="s">
        <v>18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f t="shared" si="232"/>
        <v>0</v>
      </c>
      <c r="J4164" s="3">
        <f t="shared" si="233"/>
        <v>21</v>
      </c>
      <c r="K4164" s="3">
        <f t="shared" si="234"/>
        <v>-21</v>
      </c>
      <c r="L4164" s="3" t="str">
        <f t="shared" si="235"/>
        <v>CRÍTICO</v>
      </c>
      <c r="N4164">
        <v>98.66</v>
      </c>
      <c r="O4164">
        <v>35.15625</v>
      </c>
    </row>
    <row r="4165" spans="1:15" hidden="1" x14ac:dyDescent="0.25">
      <c r="A4165" s="11">
        <v>46134</v>
      </c>
      <c r="B4165" t="s">
        <v>19</v>
      </c>
      <c r="C4165" t="s">
        <v>20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 t="shared" si="232"/>
        <v>30</v>
      </c>
      <c r="J4165" s="3">
        <f t="shared" si="233"/>
        <v>14</v>
      </c>
      <c r="K4165" s="3">
        <f t="shared" si="234"/>
        <v>16</v>
      </c>
      <c r="L4165" s="3" t="str">
        <f t="shared" si="235"/>
        <v>MUITO BOM</v>
      </c>
      <c r="N4165">
        <v>99.32</v>
      </c>
      <c r="O4165">
        <v>30.45186640471513</v>
      </c>
    </row>
    <row r="4166" spans="1:15" hidden="1" x14ac:dyDescent="0.25">
      <c r="A4166" s="11">
        <v>46134</v>
      </c>
      <c r="B4166" t="s">
        <v>21</v>
      </c>
      <c r="C4166" t="s">
        <v>18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 t="shared" si="232"/>
        <v>15</v>
      </c>
      <c r="J4166" s="3">
        <f t="shared" si="233"/>
        <v>21</v>
      </c>
      <c r="K4166" s="3">
        <f t="shared" si="234"/>
        <v>-6</v>
      </c>
      <c r="L4166" s="3" t="str">
        <f t="shared" si="235"/>
        <v>CRÍTICO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22</v>
      </c>
      <c r="C4167" t="s">
        <v>23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 t="shared" si="232"/>
        <v>25</v>
      </c>
      <c r="J4167" s="3">
        <f t="shared" si="233"/>
        <v>6</v>
      </c>
      <c r="K4167" s="3">
        <f t="shared" si="234"/>
        <v>19</v>
      </c>
      <c r="L4167" s="3" t="str">
        <f t="shared" si="235"/>
        <v>MUITO BOM</v>
      </c>
      <c r="N4167">
        <v>96.74</v>
      </c>
      <c r="O4167">
        <v>28.43137254901961</v>
      </c>
    </row>
    <row r="4168" spans="1:15" hidden="1" x14ac:dyDescent="0.25">
      <c r="A4168" s="11">
        <v>46134</v>
      </c>
      <c r="B4168" t="s">
        <v>24</v>
      </c>
      <c r="C4168" t="s">
        <v>16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f t="shared" si="232"/>
        <v>0</v>
      </c>
      <c r="J4168" s="3">
        <f t="shared" si="233"/>
        <v>17</v>
      </c>
      <c r="K4168" s="3">
        <f t="shared" si="234"/>
        <v>-17</v>
      </c>
      <c r="L4168" s="3" t="str">
        <f t="shared" si="235"/>
        <v>CRÍTICO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25</v>
      </c>
      <c r="C4169" t="s">
        <v>16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f t="shared" si="232"/>
        <v>0</v>
      </c>
      <c r="J4169" s="3">
        <f t="shared" si="233"/>
        <v>17</v>
      </c>
      <c r="K4169" s="3">
        <f t="shared" si="234"/>
        <v>-17</v>
      </c>
      <c r="L4169" s="3" t="str">
        <f t="shared" si="235"/>
        <v>CRÍTICO</v>
      </c>
      <c r="N4169">
        <v>98.2</v>
      </c>
      <c r="O4169">
        <v>26.890756302521009</v>
      </c>
    </row>
    <row r="4170" spans="1:15" hidden="1" x14ac:dyDescent="0.25">
      <c r="A4170" s="11">
        <v>46134</v>
      </c>
      <c r="B4170" t="s">
        <v>26</v>
      </c>
      <c r="C4170" t="s">
        <v>23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 t="shared" si="232"/>
        <v>5</v>
      </c>
      <c r="J4170" s="3">
        <f t="shared" si="233"/>
        <v>6</v>
      </c>
      <c r="K4170" s="3">
        <f t="shared" si="234"/>
        <v>-1</v>
      </c>
      <c r="L4170" s="3" t="str">
        <f t="shared" si="235"/>
        <v>ATENÇÃO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27</v>
      </c>
      <c r="C4171" t="s">
        <v>20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 t="shared" si="232"/>
        <v>13</v>
      </c>
      <c r="J4171" s="3">
        <f t="shared" si="233"/>
        <v>14</v>
      </c>
      <c r="K4171" s="3">
        <f t="shared" si="234"/>
        <v>-1</v>
      </c>
      <c r="L4171" s="3" t="str">
        <f t="shared" si="235"/>
        <v>ATENÇÃO</v>
      </c>
      <c r="N4171">
        <v>96.3</v>
      </c>
      <c r="O4171">
        <v>31.980906921241051</v>
      </c>
    </row>
    <row r="4172" spans="1:15" hidden="1" x14ac:dyDescent="0.25">
      <c r="A4172" s="11">
        <v>46134</v>
      </c>
      <c r="B4172" t="s">
        <v>28</v>
      </c>
      <c r="C4172" t="s">
        <v>18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 t="shared" si="232"/>
        <v>23</v>
      </c>
      <c r="J4172" s="3">
        <f t="shared" si="233"/>
        <v>21</v>
      </c>
      <c r="K4172" s="3">
        <f t="shared" si="234"/>
        <v>2</v>
      </c>
      <c r="L4172" s="3" t="str">
        <f t="shared" si="235"/>
        <v>OPORTUNO</v>
      </c>
      <c r="N4172">
        <v>93.75</v>
      </c>
      <c r="O4172">
        <v>26.628352490421459</v>
      </c>
    </row>
    <row r="4173" spans="1:15" hidden="1" x14ac:dyDescent="0.25">
      <c r="A4173" s="11">
        <v>46134</v>
      </c>
      <c r="B4173" t="s">
        <v>29</v>
      </c>
      <c r="C4173" t="s">
        <v>16</v>
      </c>
      <c r="D4173">
        <v>0</v>
      </c>
      <c r="E4173">
        <v>0</v>
      </c>
      <c r="F4173">
        <v>0</v>
      </c>
      <c r="G4173">
        <v>0</v>
      </c>
      <c r="H4173">
        <v>0</v>
      </c>
      <c r="I4173" s="3">
        <f t="shared" si="232"/>
        <v>0</v>
      </c>
      <c r="J4173" s="3">
        <f t="shared" si="233"/>
        <v>17</v>
      </c>
      <c r="K4173" s="3">
        <f t="shared" si="234"/>
        <v>-17</v>
      </c>
      <c r="L4173" s="3" t="str">
        <f t="shared" si="235"/>
        <v>CRÍTICO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30</v>
      </c>
      <c r="C4174" t="s">
        <v>20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 t="shared" si="232"/>
        <v>16</v>
      </c>
      <c r="J4174" s="3">
        <f t="shared" si="233"/>
        <v>14</v>
      </c>
      <c r="K4174" s="3">
        <f t="shared" si="234"/>
        <v>2</v>
      </c>
      <c r="L4174" s="3" t="str">
        <f t="shared" si="235"/>
        <v>OPORTUNO</v>
      </c>
      <c r="N4174">
        <v>100</v>
      </c>
      <c r="O4174">
        <v>36.231884057971023</v>
      </c>
    </row>
    <row r="4175" spans="1:15" hidden="1" x14ac:dyDescent="0.25">
      <c r="A4175" s="11">
        <v>46134</v>
      </c>
      <c r="B4175" t="s">
        <v>31</v>
      </c>
      <c r="C4175" t="s">
        <v>18</v>
      </c>
      <c r="D4175">
        <v>0</v>
      </c>
      <c r="E4175">
        <v>0</v>
      </c>
      <c r="F4175">
        <v>0</v>
      </c>
      <c r="G4175">
        <v>0</v>
      </c>
      <c r="H4175">
        <v>0</v>
      </c>
      <c r="I4175" s="3">
        <f t="shared" si="232"/>
        <v>0</v>
      </c>
      <c r="J4175" s="3">
        <f t="shared" si="233"/>
        <v>21</v>
      </c>
      <c r="K4175" s="3">
        <f t="shared" si="234"/>
        <v>-21</v>
      </c>
      <c r="L4175" s="3" t="str">
        <f t="shared" si="235"/>
        <v>CRÍTICO</v>
      </c>
      <c r="N4175">
        <v>100</v>
      </c>
      <c r="O4175">
        <v>38.269230769230766</v>
      </c>
    </row>
    <row r="4176" spans="1:15" hidden="1" x14ac:dyDescent="0.25">
      <c r="A4176" s="11">
        <v>46134</v>
      </c>
      <c r="B4176" t="s">
        <v>32</v>
      </c>
      <c r="C4176" t="s">
        <v>23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 t="shared" si="232"/>
        <v>7</v>
      </c>
      <c r="J4176" s="3">
        <f t="shared" si="233"/>
        <v>6</v>
      </c>
      <c r="K4176" s="3">
        <f t="shared" si="234"/>
        <v>1</v>
      </c>
      <c r="L4176" s="3" t="str">
        <f t="shared" si="235"/>
        <v>OPORTUNO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33</v>
      </c>
      <c r="C4177" t="s">
        <v>16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 t="shared" si="232"/>
        <v>29</v>
      </c>
      <c r="J4177" s="3">
        <f t="shared" si="233"/>
        <v>17</v>
      </c>
      <c r="K4177" s="3">
        <f t="shared" si="234"/>
        <v>12</v>
      </c>
      <c r="L4177" s="3" t="str">
        <f t="shared" si="235"/>
        <v>MUITO BOM</v>
      </c>
      <c r="N4177">
        <v>97.83</v>
      </c>
      <c r="O4177">
        <v>28.131868131868131</v>
      </c>
    </row>
    <row r="4178" spans="1:15" hidden="1" x14ac:dyDescent="0.25">
      <c r="A4178" s="11">
        <v>46134</v>
      </c>
      <c r="B4178" t="s">
        <v>34</v>
      </c>
      <c r="C4178" t="s">
        <v>18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 t="shared" si="232"/>
        <v>19</v>
      </c>
      <c r="J4178" s="3">
        <f t="shared" si="233"/>
        <v>21</v>
      </c>
      <c r="K4178" s="3">
        <f t="shared" si="234"/>
        <v>-2</v>
      </c>
      <c r="L4178" s="3" t="str">
        <f t="shared" si="235"/>
        <v>ATENÇÃO</v>
      </c>
      <c r="N4178">
        <v>99.26</v>
      </c>
      <c r="O4178">
        <v>29.57198443579767</v>
      </c>
    </row>
    <row r="4179" spans="1:15" hidden="1" x14ac:dyDescent="0.25">
      <c r="A4179" s="11">
        <v>46134</v>
      </c>
      <c r="B4179" t="s">
        <v>35</v>
      </c>
      <c r="C4179" t="s">
        <v>16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 t="shared" si="232"/>
        <v>19</v>
      </c>
      <c r="J4179" s="3">
        <f t="shared" si="233"/>
        <v>17</v>
      </c>
      <c r="K4179" s="3">
        <f t="shared" si="234"/>
        <v>2</v>
      </c>
      <c r="L4179" s="3" t="str">
        <f t="shared" si="235"/>
        <v>OPORTUNO</v>
      </c>
      <c r="N4179">
        <v>99.19</v>
      </c>
      <c r="O4179">
        <v>29.462365591397852</v>
      </c>
    </row>
    <row r="4180" spans="1:15" hidden="1" x14ac:dyDescent="0.25">
      <c r="A4180" s="7">
        <v>46162</v>
      </c>
      <c r="B4180" s="8" t="s">
        <v>36</v>
      </c>
      <c r="C4180" s="9" t="s">
        <v>20</v>
      </c>
      <c r="D4180" s="3">
        <v>26</v>
      </c>
      <c r="E4180" s="3">
        <v>20</v>
      </c>
      <c r="F4180" s="3">
        <v>9.09</v>
      </c>
      <c r="G4180" s="3">
        <v>5</v>
      </c>
      <c r="H4180" s="3">
        <v>2</v>
      </c>
      <c r="I4180" s="3">
        <f t="shared" si="232"/>
        <v>27</v>
      </c>
      <c r="J4180" s="3">
        <f t="shared" si="233"/>
        <v>17</v>
      </c>
      <c r="K4180" s="3">
        <f t="shared" si="234"/>
        <v>10</v>
      </c>
      <c r="L4180" s="3" t="str">
        <f t="shared" si="235"/>
        <v>MUITO BOM</v>
      </c>
      <c r="M4180" s="9">
        <v>21</v>
      </c>
      <c r="N4180" s="9">
        <v>98.8</v>
      </c>
      <c r="O4180" s="9">
        <v>15.41353383458646</v>
      </c>
    </row>
    <row r="4181" spans="1:15" hidden="1" x14ac:dyDescent="0.25">
      <c r="A4181" s="11">
        <v>46134</v>
      </c>
      <c r="B4181" t="s">
        <v>37</v>
      </c>
      <c r="C4181" t="s">
        <v>16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 t="shared" si="232"/>
        <v>18</v>
      </c>
      <c r="J4181" s="3">
        <f t="shared" si="233"/>
        <v>17</v>
      </c>
      <c r="K4181" s="3">
        <f t="shared" si="234"/>
        <v>1</v>
      </c>
      <c r="L4181" s="3" t="str">
        <f t="shared" si="235"/>
        <v>OPORTUNO</v>
      </c>
      <c r="N4181">
        <v>100</v>
      </c>
      <c r="O4181">
        <v>27.941176470588239</v>
      </c>
    </row>
    <row r="4182" spans="1:15" hidden="1" x14ac:dyDescent="0.25">
      <c r="A4182" s="11">
        <v>46134</v>
      </c>
      <c r="B4182" t="s">
        <v>38</v>
      </c>
      <c r="C4182" t="s">
        <v>18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 t="shared" si="232"/>
        <v>30</v>
      </c>
      <c r="J4182" s="3">
        <f t="shared" si="233"/>
        <v>21</v>
      </c>
      <c r="K4182" s="3">
        <f t="shared" si="234"/>
        <v>9</v>
      </c>
      <c r="L4182" s="3" t="str">
        <f t="shared" si="235"/>
        <v>MUITO BOM</v>
      </c>
      <c r="N4182">
        <v>99.57</v>
      </c>
      <c r="O4182">
        <v>29.913294797687861</v>
      </c>
    </row>
    <row r="4183" spans="1:15" hidden="1" x14ac:dyDescent="0.25">
      <c r="A4183" s="11">
        <v>46134</v>
      </c>
      <c r="B4183" t="s">
        <v>39</v>
      </c>
      <c r="C4183" t="s">
        <v>18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f t="shared" si="232"/>
        <v>0</v>
      </c>
      <c r="J4183" s="3">
        <f t="shared" si="233"/>
        <v>21</v>
      </c>
      <c r="K4183" s="3">
        <f t="shared" si="234"/>
        <v>-21</v>
      </c>
      <c r="L4183" s="3" t="str">
        <f t="shared" si="235"/>
        <v>CRÍTICO</v>
      </c>
      <c r="N4183">
        <v>95.65</v>
      </c>
      <c r="O4183">
        <v>31.081081081081081</v>
      </c>
    </row>
    <row r="4184" spans="1:15" hidden="1" x14ac:dyDescent="0.25">
      <c r="A4184" s="11">
        <v>46134</v>
      </c>
      <c r="B4184" t="s">
        <v>40</v>
      </c>
      <c r="C4184" t="s">
        <v>16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 t="shared" si="232"/>
        <v>21</v>
      </c>
      <c r="J4184" s="3">
        <f t="shared" si="233"/>
        <v>17</v>
      </c>
      <c r="K4184" s="3">
        <f t="shared" si="234"/>
        <v>4</v>
      </c>
      <c r="L4184" s="3" t="str">
        <f t="shared" si="235"/>
        <v>OPORTUNO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41</v>
      </c>
      <c r="C4185" t="s">
        <v>18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f t="shared" si="232"/>
        <v>0</v>
      </c>
      <c r="J4185" s="3">
        <f t="shared" si="233"/>
        <v>21</v>
      </c>
      <c r="K4185" s="3">
        <f t="shared" si="234"/>
        <v>-21</v>
      </c>
      <c r="L4185" s="3" t="str">
        <f t="shared" si="235"/>
        <v>CRÍTICO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42</v>
      </c>
      <c r="C4186" t="s">
        <v>43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 t="shared" si="232"/>
        <v>9</v>
      </c>
      <c r="J4186" s="3">
        <f t="shared" si="233"/>
        <v>12</v>
      </c>
      <c r="K4186" s="3">
        <f t="shared" si="234"/>
        <v>-3</v>
      </c>
      <c r="L4186" s="3" t="str">
        <f t="shared" si="235"/>
        <v>ATENÇÃO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44</v>
      </c>
      <c r="C4187" t="s">
        <v>18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f t="shared" ref="I4187:I4250" si="236">E4187+G4187+H4187</f>
        <v>0</v>
      </c>
      <c r="J4187" s="3">
        <f t="shared" ref="J4187:J4250" si="237"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21</v>
      </c>
      <c r="K4187" s="3">
        <f t="shared" ref="K4187:K4250" si="238">I4187-J4187</f>
        <v>-21</v>
      </c>
      <c r="L4187" s="3" t="str">
        <f t="shared" ref="L4187:L4250" si="239">IF(K4187&lt;-5,"CRÍTICO",IF(K4187&lt;0,"ATENÇÃO",IF(K4187&lt;=5,"OPORTUNO","MUITO BOM")))</f>
        <v>CRÍTICO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45</v>
      </c>
      <c r="C4188" t="s">
        <v>43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 t="shared" si="236"/>
        <v>5</v>
      </c>
      <c r="J4188" s="3">
        <f t="shared" si="237"/>
        <v>12</v>
      </c>
      <c r="K4188" s="3">
        <f t="shared" si="238"/>
        <v>-7</v>
      </c>
      <c r="L4188" s="3" t="str">
        <f t="shared" si="239"/>
        <v>CRÍTICO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46</v>
      </c>
      <c r="C4189" t="s">
        <v>18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 t="shared" si="236"/>
        <v>23</v>
      </c>
      <c r="J4189" s="3">
        <f t="shared" si="237"/>
        <v>21</v>
      </c>
      <c r="K4189" s="3">
        <f t="shared" si="238"/>
        <v>2</v>
      </c>
      <c r="L4189" s="3" t="str">
        <f t="shared" si="239"/>
        <v>OPORTUNO</v>
      </c>
      <c r="N4189">
        <v>99.15</v>
      </c>
      <c r="O4189">
        <v>27.370689655172409</v>
      </c>
    </row>
    <row r="4190" spans="1:15" hidden="1" x14ac:dyDescent="0.25">
      <c r="A4190" s="11">
        <v>46134</v>
      </c>
      <c r="B4190" t="s">
        <v>47</v>
      </c>
      <c r="C4190" t="s">
        <v>16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 t="shared" si="236"/>
        <v>21</v>
      </c>
      <c r="J4190" s="3">
        <f t="shared" si="237"/>
        <v>17</v>
      </c>
      <c r="K4190" s="3">
        <f t="shared" si="238"/>
        <v>4</v>
      </c>
      <c r="L4190" s="3" t="str">
        <f t="shared" si="239"/>
        <v>OPORTUNO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48</v>
      </c>
      <c r="C4191" t="s">
        <v>16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f t="shared" si="236"/>
        <v>0</v>
      </c>
      <c r="J4191" s="3">
        <f t="shared" si="237"/>
        <v>17</v>
      </c>
      <c r="K4191" s="3">
        <f t="shared" si="238"/>
        <v>-17</v>
      </c>
      <c r="L4191" s="3" t="str">
        <f t="shared" si="239"/>
        <v>CRÍTICO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49</v>
      </c>
      <c r="C4192" t="s">
        <v>18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f t="shared" si="236"/>
        <v>0</v>
      </c>
      <c r="J4192" s="3">
        <f t="shared" si="237"/>
        <v>21</v>
      </c>
      <c r="K4192" s="3">
        <f t="shared" si="238"/>
        <v>-21</v>
      </c>
      <c r="L4192" s="3" t="str">
        <f t="shared" si="239"/>
        <v>CRÍTICO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50</v>
      </c>
      <c r="C4193" t="s">
        <v>20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si="236"/>
        <v>19</v>
      </c>
      <c r="J4193" s="3">
        <f t="shared" si="237"/>
        <v>14</v>
      </c>
      <c r="K4193" s="3">
        <f t="shared" si="238"/>
        <v>5</v>
      </c>
      <c r="L4193" s="3" t="str">
        <f t="shared" si="239"/>
        <v>OPORTUNO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51</v>
      </c>
      <c r="C4194" t="s">
        <v>23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236"/>
        <v>2</v>
      </c>
      <c r="J4194" s="3">
        <f t="shared" si="237"/>
        <v>6</v>
      </c>
      <c r="K4194" s="3">
        <f t="shared" si="238"/>
        <v>-4</v>
      </c>
      <c r="L4194" s="3" t="str">
        <f t="shared" si="239"/>
        <v>ATENÇÃO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52</v>
      </c>
      <c r="C4195" t="s">
        <v>18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236"/>
        <v>21</v>
      </c>
      <c r="J4195" s="3">
        <f t="shared" si="237"/>
        <v>21</v>
      </c>
      <c r="K4195" s="3">
        <f t="shared" si="238"/>
        <v>0</v>
      </c>
      <c r="L4195" s="3" t="str">
        <f t="shared" si="239"/>
        <v>OPORTUNO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53</v>
      </c>
      <c r="C4196" t="s">
        <v>18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236"/>
        <v>23</v>
      </c>
      <c r="J4196" s="3">
        <f t="shared" si="237"/>
        <v>21</v>
      </c>
      <c r="K4196" s="3">
        <f t="shared" si="238"/>
        <v>2</v>
      </c>
      <c r="L4196" s="3" t="str">
        <f t="shared" si="239"/>
        <v>OPORTUNO</v>
      </c>
      <c r="N4196">
        <v>95.49</v>
      </c>
      <c r="O4196">
        <v>28.16901408450704</v>
      </c>
    </row>
    <row r="4197" spans="1:15" hidden="1" x14ac:dyDescent="0.25">
      <c r="A4197" s="11">
        <v>46134</v>
      </c>
      <c r="B4197" t="s">
        <v>54</v>
      </c>
      <c r="C4197" t="s">
        <v>23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236"/>
        <v>18</v>
      </c>
      <c r="J4197" s="3">
        <f t="shared" si="237"/>
        <v>6</v>
      </c>
      <c r="K4197" s="3">
        <f t="shared" si="238"/>
        <v>12</v>
      </c>
      <c r="L4197" s="3" t="str">
        <f t="shared" si="239"/>
        <v>MUITO BOM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55</v>
      </c>
      <c r="C4198" t="s">
        <v>43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236"/>
        <v>18</v>
      </c>
      <c r="J4198" s="3">
        <f t="shared" si="237"/>
        <v>12</v>
      </c>
      <c r="K4198" s="3">
        <f t="shared" si="238"/>
        <v>6</v>
      </c>
      <c r="L4198" s="3" t="str">
        <f t="shared" si="239"/>
        <v>MUITO BOM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56</v>
      </c>
      <c r="C4199" t="s">
        <v>16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236"/>
        <v>8</v>
      </c>
      <c r="J4199" s="3">
        <f t="shared" si="237"/>
        <v>17</v>
      </c>
      <c r="K4199" s="3">
        <f t="shared" si="238"/>
        <v>-9</v>
      </c>
      <c r="L4199" s="3" t="str">
        <f t="shared" si="239"/>
        <v>CRÍTICO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57</v>
      </c>
      <c r="C4200" t="s">
        <v>43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236"/>
        <v>4</v>
      </c>
      <c r="J4200" s="3">
        <f t="shared" si="237"/>
        <v>12</v>
      </c>
      <c r="K4200" s="3">
        <f t="shared" si="238"/>
        <v>-8</v>
      </c>
      <c r="L4200" s="3" t="str">
        <f t="shared" si="239"/>
        <v>CRÍTICO</v>
      </c>
      <c r="N4200">
        <v>98.84</v>
      </c>
      <c r="O4200">
        <v>31.5018315018315</v>
      </c>
    </row>
    <row r="4201" spans="1:15" hidden="1" x14ac:dyDescent="0.25">
      <c r="A4201" s="11">
        <v>46134</v>
      </c>
      <c r="B4201" t="s">
        <v>58</v>
      </c>
      <c r="C4201" t="s">
        <v>43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236"/>
        <v>7</v>
      </c>
      <c r="J4201" s="3">
        <f t="shared" si="237"/>
        <v>12</v>
      </c>
      <c r="K4201" s="3">
        <f t="shared" si="238"/>
        <v>-5</v>
      </c>
      <c r="L4201" s="3" t="str">
        <f t="shared" si="239"/>
        <v>ATENÇÃO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59</v>
      </c>
      <c r="C4202" t="s">
        <v>23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236"/>
        <v>7</v>
      </c>
      <c r="J4202" s="3">
        <f t="shared" si="237"/>
        <v>6</v>
      </c>
      <c r="K4202" s="3">
        <f t="shared" si="238"/>
        <v>1</v>
      </c>
      <c r="L4202" s="3" t="str">
        <f t="shared" si="239"/>
        <v>OPORTUNO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60</v>
      </c>
      <c r="C4203" t="s">
        <v>20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236"/>
        <v>18</v>
      </c>
      <c r="J4203" s="3">
        <f t="shared" si="237"/>
        <v>14</v>
      </c>
      <c r="K4203" s="3">
        <f t="shared" si="238"/>
        <v>4</v>
      </c>
      <c r="L4203" s="3" t="str">
        <f t="shared" si="239"/>
        <v>OPORTUNO</v>
      </c>
      <c r="N4203">
        <v>98.32</v>
      </c>
      <c r="O4203">
        <v>26.618705035971221</v>
      </c>
    </row>
    <row r="4204" spans="1:15" hidden="1" x14ac:dyDescent="0.25">
      <c r="A4204" s="11">
        <v>46134</v>
      </c>
      <c r="B4204" t="s">
        <v>61</v>
      </c>
      <c r="C4204" t="s">
        <v>18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236"/>
        <v>28</v>
      </c>
      <c r="J4204" s="3">
        <f t="shared" si="237"/>
        <v>21</v>
      </c>
      <c r="K4204" s="3">
        <f t="shared" si="238"/>
        <v>7</v>
      </c>
      <c r="L4204" s="3" t="str">
        <f t="shared" si="239"/>
        <v>MUITO BOM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62</v>
      </c>
      <c r="C4205" t="s">
        <v>20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236"/>
        <v>17</v>
      </c>
      <c r="J4205" s="3">
        <f t="shared" si="237"/>
        <v>14</v>
      </c>
      <c r="K4205" s="3">
        <f t="shared" si="238"/>
        <v>3</v>
      </c>
      <c r="L4205" s="3" t="str">
        <f t="shared" si="239"/>
        <v>OPORTUNO</v>
      </c>
      <c r="N4205">
        <v>100</v>
      </c>
      <c r="O4205">
        <v>26.027397260273968</v>
      </c>
    </row>
    <row r="4206" spans="1:15" hidden="1" x14ac:dyDescent="0.25">
      <c r="A4206" s="11">
        <v>46134</v>
      </c>
      <c r="B4206" t="s">
        <v>63</v>
      </c>
      <c r="C4206" t="s">
        <v>18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236"/>
        <v>23</v>
      </c>
      <c r="J4206" s="3">
        <f t="shared" si="237"/>
        <v>21</v>
      </c>
      <c r="K4206" s="3">
        <f t="shared" si="238"/>
        <v>2</v>
      </c>
      <c r="L4206" s="3" t="str">
        <f t="shared" si="239"/>
        <v>OPORTUNO</v>
      </c>
      <c r="N4206">
        <v>99.21</v>
      </c>
      <c r="O4206">
        <v>24.937027707808561</v>
      </c>
    </row>
    <row r="4207" spans="1:15" hidden="1" x14ac:dyDescent="0.25">
      <c r="A4207" s="11">
        <v>46135</v>
      </c>
      <c r="B4207" t="s">
        <v>15</v>
      </c>
      <c r="C4207" t="s">
        <v>16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236"/>
        <v>24</v>
      </c>
      <c r="J4207" s="3">
        <f t="shared" si="237"/>
        <v>19</v>
      </c>
      <c r="K4207" s="3">
        <f t="shared" si="238"/>
        <v>5</v>
      </c>
      <c r="L4207" s="3" t="str">
        <f t="shared" si="239"/>
        <v>OPORTUNO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17</v>
      </c>
      <c r="C4208" t="s">
        <v>18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f t="shared" si="236"/>
        <v>0</v>
      </c>
      <c r="J4208" s="3">
        <f t="shared" si="237"/>
        <v>23</v>
      </c>
      <c r="K4208" s="3">
        <f t="shared" si="238"/>
        <v>-23</v>
      </c>
      <c r="L4208" s="3" t="str">
        <f t="shared" si="239"/>
        <v>CRÍTICO</v>
      </c>
      <c r="N4208">
        <v>98.66</v>
      </c>
      <c r="O4208">
        <v>35.15625</v>
      </c>
    </row>
    <row r="4209" spans="1:15" hidden="1" x14ac:dyDescent="0.25">
      <c r="A4209" s="11">
        <v>46135</v>
      </c>
      <c r="B4209" t="s">
        <v>19</v>
      </c>
      <c r="C4209" t="s">
        <v>20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 t="shared" si="236"/>
        <v>27</v>
      </c>
      <c r="J4209" s="3">
        <f t="shared" si="237"/>
        <v>15</v>
      </c>
      <c r="K4209" s="3">
        <f t="shared" si="238"/>
        <v>12</v>
      </c>
      <c r="L4209" s="3" t="str">
        <f t="shared" si="239"/>
        <v>MUITO BOM</v>
      </c>
      <c r="N4209">
        <v>99.32</v>
      </c>
      <c r="O4209">
        <v>30.45186640471513</v>
      </c>
    </row>
    <row r="4210" spans="1:15" hidden="1" x14ac:dyDescent="0.25">
      <c r="A4210" s="11">
        <v>46135</v>
      </c>
      <c r="B4210" t="s">
        <v>21</v>
      </c>
      <c r="C4210" t="s">
        <v>18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 t="shared" si="236"/>
        <v>19</v>
      </c>
      <c r="J4210" s="3">
        <f t="shared" si="237"/>
        <v>23</v>
      </c>
      <c r="K4210" s="3">
        <f t="shared" si="238"/>
        <v>-4</v>
      </c>
      <c r="L4210" s="3" t="str">
        <f t="shared" si="239"/>
        <v>ATENÇÃO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22</v>
      </c>
      <c r="C4211" t="s">
        <v>23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 t="shared" si="236"/>
        <v>29</v>
      </c>
      <c r="J4211" s="3">
        <f t="shared" si="237"/>
        <v>7</v>
      </c>
      <c r="K4211" s="3">
        <f t="shared" si="238"/>
        <v>22</v>
      </c>
      <c r="L4211" s="3" t="str">
        <f t="shared" si="239"/>
        <v>MUITO BOM</v>
      </c>
      <c r="N4211">
        <v>96.74</v>
      </c>
      <c r="O4211">
        <v>28.43137254901961</v>
      </c>
    </row>
    <row r="4212" spans="1:15" hidden="1" x14ac:dyDescent="0.25">
      <c r="A4212" s="11">
        <v>46135</v>
      </c>
      <c r="B4212" t="s">
        <v>24</v>
      </c>
      <c r="C4212" t="s">
        <v>16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f t="shared" si="236"/>
        <v>0</v>
      </c>
      <c r="J4212" s="3">
        <f t="shared" si="237"/>
        <v>19</v>
      </c>
      <c r="K4212" s="3">
        <f t="shared" si="238"/>
        <v>-19</v>
      </c>
      <c r="L4212" s="3" t="str">
        <f t="shared" si="239"/>
        <v>CRÍTICO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25</v>
      </c>
      <c r="C4213" t="s">
        <v>16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f t="shared" si="236"/>
        <v>0</v>
      </c>
      <c r="J4213" s="3">
        <f t="shared" si="237"/>
        <v>19</v>
      </c>
      <c r="K4213" s="3">
        <f t="shared" si="238"/>
        <v>-19</v>
      </c>
      <c r="L4213" s="3" t="str">
        <f t="shared" si="239"/>
        <v>CRÍTICO</v>
      </c>
      <c r="N4213">
        <v>98.2</v>
      </c>
      <c r="O4213">
        <v>26.890756302521009</v>
      </c>
    </row>
    <row r="4214" spans="1:15" hidden="1" x14ac:dyDescent="0.25">
      <c r="A4214" s="11">
        <v>46135</v>
      </c>
      <c r="B4214" t="s">
        <v>26</v>
      </c>
      <c r="C4214" t="s">
        <v>23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 t="shared" si="236"/>
        <v>7</v>
      </c>
      <c r="J4214" s="3">
        <f t="shared" si="237"/>
        <v>7</v>
      </c>
      <c r="K4214" s="3">
        <f t="shared" si="238"/>
        <v>0</v>
      </c>
      <c r="L4214" s="3" t="str">
        <f t="shared" si="239"/>
        <v>OPORTUNO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27</v>
      </c>
      <c r="C4215" t="s">
        <v>20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 t="shared" si="236"/>
        <v>13</v>
      </c>
      <c r="J4215" s="3">
        <f t="shared" si="237"/>
        <v>15</v>
      </c>
      <c r="K4215" s="3">
        <f t="shared" si="238"/>
        <v>-2</v>
      </c>
      <c r="L4215" s="3" t="str">
        <f t="shared" si="239"/>
        <v>ATENÇÃO</v>
      </c>
      <c r="N4215">
        <v>96.3</v>
      </c>
      <c r="O4215">
        <v>31.980906921241051</v>
      </c>
    </row>
    <row r="4216" spans="1:15" hidden="1" x14ac:dyDescent="0.25">
      <c r="A4216" s="11">
        <v>46135</v>
      </c>
      <c r="B4216" t="s">
        <v>28</v>
      </c>
      <c r="C4216" t="s">
        <v>18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 t="shared" si="236"/>
        <v>21</v>
      </c>
      <c r="J4216" s="3">
        <f t="shared" si="237"/>
        <v>23</v>
      </c>
      <c r="K4216" s="3">
        <f t="shared" si="238"/>
        <v>-2</v>
      </c>
      <c r="L4216" s="3" t="str">
        <f t="shared" si="239"/>
        <v>ATENÇÃO</v>
      </c>
      <c r="N4216">
        <v>93.75</v>
      </c>
      <c r="O4216">
        <v>26.628352490421459</v>
      </c>
    </row>
    <row r="4217" spans="1:15" hidden="1" x14ac:dyDescent="0.25">
      <c r="A4217" s="11">
        <v>46135</v>
      </c>
      <c r="B4217" t="s">
        <v>29</v>
      </c>
      <c r="C4217" t="s">
        <v>16</v>
      </c>
      <c r="D4217">
        <v>0</v>
      </c>
      <c r="E4217">
        <v>0</v>
      </c>
      <c r="F4217">
        <v>0</v>
      </c>
      <c r="G4217">
        <v>0</v>
      </c>
      <c r="H4217">
        <v>0</v>
      </c>
      <c r="I4217" s="3">
        <f t="shared" si="236"/>
        <v>0</v>
      </c>
      <c r="J4217" s="3">
        <f t="shared" si="237"/>
        <v>19</v>
      </c>
      <c r="K4217" s="3">
        <f t="shared" si="238"/>
        <v>-19</v>
      </c>
      <c r="L4217" s="3" t="str">
        <f t="shared" si="239"/>
        <v>CRÍTICO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30</v>
      </c>
      <c r="C4218" t="s">
        <v>20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 t="shared" si="236"/>
        <v>18</v>
      </c>
      <c r="J4218" s="3">
        <f t="shared" si="237"/>
        <v>15</v>
      </c>
      <c r="K4218" s="3">
        <f t="shared" si="238"/>
        <v>3</v>
      </c>
      <c r="L4218" s="3" t="str">
        <f t="shared" si="239"/>
        <v>OPORTUNO</v>
      </c>
      <c r="N4218">
        <v>100</v>
      </c>
      <c r="O4218">
        <v>36.231884057971023</v>
      </c>
    </row>
    <row r="4219" spans="1:15" hidden="1" x14ac:dyDescent="0.25">
      <c r="A4219" s="11">
        <v>46135</v>
      </c>
      <c r="B4219" t="s">
        <v>31</v>
      </c>
      <c r="C4219" t="s">
        <v>18</v>
      </c>
      <c r="D4219">
        <v>0</v>
      </c>
      <c r="E4219">
        <v>0</v>
      </c>
      <c r="F4219">
        <v>0</v>
      </c>
      <c r="G4219">
        <v>0</v>
      </c>
      <c r="H4219">
        <v>0</v>
      </c>
      <c r="I4219" s="3">
        <f t="shared" si="236"/>
        <v>0</v>
      </c>
      <c r="J4219" s="3">
        <f t="shared" si="237"/>
        <v>23</v>
      </c>
      <c r="K4219" s="3">
        <f t="shared" si="238"/>
        <v>-23</v>
      </c>
      <c r="L4219" s="3" t="str">
        <f t="shared" si="239"/>
        <v>CRÍTICO</v>
      </c>
      <c r="N4219">
        <v>100</v>
      </c>
      <c r="O4219">
        <v>38.269230769230766</v>
      </c>
    </row>
    <row r="4220" spans="1:15" hidden="1" x14ac:dyDescent="0.25">
      <c r="A4220" s="11">
        <v>46135</v>
      </c>
      <c r="B4220" t="s">
        <v>32</v>
      </c>
      <c r="C4220" t="s">
        <v>23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si="236"/>
        <v>9</v>
      </c>
      <c r="J4220" s="3">
        <f t="shared" si="237"/>
        <v>7</v>
      </c>
      <c r="K4220" s="3">
        <f t="shared" si="238"/>
        <v>2</v>
      </c>
      <c r="L4220" s="3" t="str">
        <f t="shared" si="239"/>
        <v>OPORTUNO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33</v>
      </c>
      <c r="C4221" t="s">
        <v>16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236"/>
        <v>22</v>
      </c>
      <c r="J4221" s="3">
        <f t="shared" si="237"/>
        <v>19</v>
      </c>
      <c r="K4221" s="3">
        <f t="shared" si="238"/>
        <v>3</v>
      </c>
      <c r="L4221" s="3" t="str">
        <f t="shared" si="239"/>
        <v>OPORTUNO</v>
      </c>
      <c r="N4221">
        <v>97.83</v>
      </c>
      <c r="O4221">
        <v>28.131868131868131</v>
      </c>
    </row>
    <row r="4222" spans="1:15" hidden="1" x14ac:dyDescent="0.25">
      <c r="A4222" s="11">
        <v>46135</v>
      </c>
      <c r="B4222" t="s">
        <v>34</v>
      </c>
      <c r="C4222" t="s">
        <v>18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236"/>
        <v>25</v>
      </c>
      <c r="J4222" s="3">
        <f t="shared" si="237"/>
        <v>23</v>
      </c>
      <c r="K4222" s="3">
        <f t="shared" si="238"/>
        <v>2</v>
      </c>
      <c r="L4222" s="3" t="str">
        <f t="shared" si="239"/>
        <v>OPORTUNO</v>
      </c>
      <c r="N4222">
        <v>99.26</v>
      </c>
      <c r="O4222">
        <v>29.57198443579767</v>
      </c>
    </row>
    <row r="4223" spans="1:15" hidden="1" x14ac:dyDescent="0.25">
      <c r="A4223" s="11">
        <v>46135</v>
      </c>
      <c r="B4223" t="s">
        <v>35</v>
      </c>
      <c r="C4223" t="s">
        <v>16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236"/>
        <v>32</v>
      </c>
      <c r="J4223" s="3">
        <f t="shared" si="237"/>
        <v>19</v>
      </c>
      <c r="K4223" s="3">
        <f t="shared" si="238"/>
        <v>13</v>
      </c>
      <c r="L4223" s="3" t="str">
        <f t="shared" si="239"/>
        <v>MUITO BOM</v>
      </c>
      <c r="N4223">
        <v>99.19</v>
      </c>
      <c r="O4223">
        <v>29.462365591397852</v>
      </c>
    </row>
    <row r="4224" spans="1:15" hidden="1" x14ac:dyDescent="0.25">
      <c r="A4224" s="5">
        <v>46163</v>
      </c>
      <c r="B4224" s="6" t="s">
        <v>64</v>
      </c>
      <c r="C4224" s="3" t="s">
        <v>23</v>
      </c>
      <c r="D4224" s="3">
        <v>0</v>
      </c>
      <c r="E4224" s="3">
        <v>0</v>
      </c>
      <c r="F4224" s="3">
        <v>0</v>
      </c>
      <c r="G4224" s="3">
        <v>0</v>
      </c>
      <c r="H4224" s="3">
        <v>0</v>
      </c>
      <c r="I4224" s="3">
        <f t="shared" si="236"/>
        <v>0</v>
      </c>
      <c r="J4224" s="3">
        <f t="shared" si="237"/>
        <v>6</v>
      </c>
      <c r="K4224" s="3">
        <f t="shared" si="238"/>
        <v>-6</v>
      </c>
      <c r="L4224" s="3" t="str">
        <f t="shared" si="239"/>
        <v>CRÍTICO</v>
      </c>
      <c r="M4224" s="3">
        <v>0</v>
      </c>
      <c r="N4224" s="3">
        <v>100</v>
      </c>
      <c r="O4224" s="3">
        <v>14.285714285714279</v>
      </c>
    </row>
    <row r="4225" spans="1:15" hidden="1" x14ac:dyDescent="0.25">
      <c r="A4225" s="11">
        <v>46135</v>
      </c>
      <c r="B4225" t="s">
        <v>37</v>
      </c>
      <c r="C4225" t="s">
        <v>16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236"/>
        <v>18</v>
      </c>
      <c r="J4225" s="3">
        <f t="shared" si="237"/>
        <v>19</v>
      </c>
      <c r="K4225" s="3">
        <f t="shared" si="238"/>
        <v>-1</v>
      </c>
      <c r="L4225" s="3" t="str">
        <f t="shared" si="239"/>
        <v>ATENÇÃO</v>
      </c>
      <c r="N4225">
        <v>100</v>
      </c>
      <c r="O4225">
        <v>27.941176470588239</v>
      </c>
    </row>
    <row r="4226" spans="1:15" hidden="1" x14ac:dyDescent="0.25">
      <c r="A4226" s="11">
        <v>46135</v>
      </c>
      <c r="B4226" t="s">
        <v>38</v>
      </c>
      <c r="C4226" t="s">
        <v>18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236"/>
        <v>28</v>
      </c>
      <c r="J4226" s="3">
        <f t="shared" si="237"/>
        <v>23</v>
      </c>
      <c r="K4226" s="3">
        <f t="shared" si="238"/>
        <v>5</v>
      </c>
      <c r="L4226" s="3" t="str">
        <f t="shared" si="239"/>
        <v>OPORTUNO</v>
      </c>
      <c r="N4226">
        <v>99.57</v>
      </c>
      <c r="O4226">
        <v>29.913294797687861</v>
      </c>
    </row>
    <row r="4227" spans="1:15" hidden="1" x14ac:dyDescent="0.25">
      <c r="A4227" s="11">
        <v>46135</v>
      </c>
      <c r="B4227" t="s">
        <v>39</v>
      </c>
      <c r="C4227" t="s">
        <v>18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f t="shared" si="236"/>
        <v>0</v>
      </c>
      <c r="J4227" s="3">
        <f t="shared" si="237"/>
        <v>23</v>
      </c>
      <c r="K4227" s="3">
        <f t="shared" si="238"/>
        <v>-23</v>
      </c>
      <c r="L4227" s="3" t="str">
        <f t="shared" si="239"/>
        <v>CRÍTICO</v>
      </c>
      <c r="N4227">
        <v>95.65</v>
      </c>
      <c r="O4227">
        <v>31.081081081081081</v>
      </c>
    </row>
    <row r="4228" spans="1:15" hidden="1" x14ac:dyDescent="0.25">
      <c r="A4228" s="11">
        <v>46135</v>
      </c>
      <c r="B4228" t="s">
        <v>40</v>
      </c>
      <c r="C4228" t="s">
        <v>16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 t="shared" si="236"/>
        <v>23</v>
      </c>
      <c r="J4228" s="3">
        <f t="shared" si="237"/>
        <v>19</v>
      </c>
      <c r="K4228" s="3">
        <f t="shared" si="238"/>
        <v>4</v>
      </c>
      <c r="L4228" s="3" t="str">
        <f t="shared" si="239"/>
        <v>OPORTUNO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41</v>
      </c>
      <c r="C4229" t="s">
        <v>18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f t="shared" si="236"/>
        <v>0</v>
      </c>
      <c r="J4229" s="3">
        <f t="shared" si="237"/>
        <v>23</v>
      </c>
      <c r="K4229" s="3">
        <f t="shared" si="238"/>
        <v>-23</v>
      </c>
      <c r="L4229" s="3" t="str">
        <f t="shared" si="239"/>
        <v>CRÍTICO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42</v>
      </c>
      <c r="C4230" t="s">
        <v>43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 t="shared" si="236"/>
        <v>7</v>
      </c>
      <c r="J4230" s="3">
        <f t="shared" si="237"/>
        <v>13</v>
      </c>
      <c r="K4230" s="3">
        <f t="shared" si="238"/>
        <v>-6</v>
      </c>
      <c r="L4230" s="3" t="str">
        <f t="shared" si="239"/>
        <v>CRÍTICO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44</v>
      </c>
      <c r="C4231" t="s">
        <v>18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f t="shared" si="236"/>
        <v>0</v>
      </c>
      <c r="J4231" s="3">
        <f t="shared" si="237"/>
        <v>23</v>
      </c>
      <c r="K4231" s="3">
        <f t="shared" si="238"/>
        <v>-23</v>
      </c>
      <c r="L4231" s="3" t="str">
        <f t="shared" si="239"/>
        <v>CRÍTICO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45</v>
      </c>
      <c r="C4232" t="s">
        <v>43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 t="shared" si="236"/>
        <v>18</v>
      </c>
      <c r="J4232" s="3">
        <f t="shared" si="237"/>
        <v>13</v>
      </c>
      <c r="K4232" s="3">
        <f t="shared" si="238"/>
        <v>5</v>
      </c>
      <c r="L4232" s="3" t="str">
        <f t="shared" si="239"/>
        <v>OPORTUNO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46</v>
      </c>
      <c r="C4233" t="s">
        <v>18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 t="shared" si="236"/>
        <v>22</v>
      </c>
      <c r="J4233" s="3">
        <f t="shared" si="237"/>
        <v>23</v>
      </c>
      <c r="K4233" s="3">
        <f t="shared" si="238"/>
        <v>-1</v>
      </c>
      <c r="L4233" s="3" t="str">
        <f t="shared" si="239"/>
        <v>ATENÇÃO</v>
      </c>
      <c r="N4233">
        <v>99.15</v>
      </c>
      <c r="O4233">
        <v>27.370689655172409</v>
      </c>
    </row>
    <row r="4234" spans="1:15" hidden="1" x14ac:dyDescent="0.25">
      <c r="A4234" s="11">
        <v>46135</v>
      </c>
      <c r="B4234" t="s">
        <v>47</v>
      </c>
      <c r="C4234" t="s">
        <v>16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 t="shared" si="236"/>
        <v>21</v>
      </c>
      <c r="J4234" s="3">
        <f t="shared" si="237"/>
        <v>19</v>
      </c>
      <c r="K4234" s="3">
        <f t="shared" si="238"/>
        <v>2</v>
      </c>
      <c r="L4234" s="3" t="str">
        <f t="shared" si="239"/>
        <v>OPORTUNO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48</v>
      </c>
      <c r="C4235" t="s">
        <v>16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f t="shared" si="236"/>
        <v>0</v>
      </c>
      <c r="J4235" s="3">
        <f t="shared" si="237"/>
        <v>19</v>
      </c>
      <c r="K4235" s="3">
        <f t="shared" si="238"/>
        <v>-19</v>
      </c>
      <c r="L4235" s="3" t="str">
        <f t="shared" si="239"/>
        <v>CRÍTICO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49</v>
      </c>
      <c r="C4236" t="s">
        <v>18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f t="shared" si="236"/>
        <v>0</v>
      </c>
      <c r="J4236" s="3">
        <f t="shared" si="237"/>
        <v>23</v>
      </c>
      <c r="K4236" s="3">
        <f t="shared" si="238"/>
        <v>-23</v>
      </c>
      <c r="L4236" s="3" t="str">
        <f t="shared" si="239"/>
        <v>CRÍTICO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50</v>
      </c>
      <c r="C4237" t="s">
        <v>20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si="236"/>
        <v>20</v>
      </c>
      <c r="J4237" s="3">
        <f t="shared" si="237"/>
        <v>15</v>
      </c>
      <c r="K4237" s="3">
        <f t="shared" si="238"/>
        <v>5</v>
      </c>
      <c r="L4237" s="3" t="str">
        <f t="shared" si="239"/>
        <v>OPORTUNO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51</v>
      </c>
      <c r="C4238" t="s">
        <v>23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236"/>
        <v>16</v>
      </c>
      <c r="J4238" s="3">
        <f t="shared" si="237"/>
        <v>7</v>
      </c>
      <c r="K4238" s="3">
        <f t="shared" si="238"/>
        <v>9</v>
      </c>
      <c r="L4238" s="3" t="str">
        <f t="shared" si="239"/>
        <v>MUITO BOM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52</v>
      </c>
      <c r="C4239" t="s">
        <v>18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236"/>
        <v>17</v>
      </c>
      <c r="J4239" s="3">
        <f t="shared" si="237"/>
        <v>23</v>
      </c>
      <c r="K4239" s="3">
        <f t="shared" si="238"/>
        <v>-6</v>
      </c>
      <c r="L4239" s="3" t="str">
        <f t="shared" si="239"/>
        <v>CRÍTICO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53</v>
      </c>
      <c r="C4240" t="s">
        <v>18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236"/>
        <v>23</v>
      </c>
      <c r="J4240" s="3">
        <f t="shared" si="237"/>
        <v>23</v>
      </c>
      <c r="K4240" s="3">
        <f t="shared" si="238"/>
        <v>0</v>
      </c>
      <c r="L4240" s="3" t="str">
        <f t="shared" si="239"/>
        <v>OPORTUNO</v>
      </c>
      <c r="N4240">
        <v>95.49</v>
      </c>
      <c r="O4240">
        <v>28.16901408450704</v>
      </c>
    </row>
    <row r="4241" spans="1:15" hidden="1" x14ac:dyDescent="0.25">
      <c r="A4241" s="11">
        <v>46135</v>
      </c>
      <c r="B4241" t="s">
        <v>54</v>
      </c>
      <c r="C4241" t="s">
        <v>23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236"/>
        <v>12</v>
      </c>
      <c r="J4241" s="3">
        <f t="shared" si="237"/>
        <v>7</v>
      </c>
      <c r="K4241" s="3">
        <f t="shared" si="238"/>
        <v>5</v>
      </c>
      <c r="L4241" s="3" t="str">
        <f t="shared" si="239"/>
        <v>OPORTUNO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55</v>
      </c>
      <c r="C4242" t="s">
        <v>43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236"/>
        <v>19</v>
      </c>
      <c r="J4242" s="3">
        <f t="shared" si="237"/>
        <v>13</v>
      </c>
      <c r="K4242" s="3">
        <f t="shared" si="238"/>
        <v>6</v>
      </c>
      <c r="L4242" s="3" t="str">
        <f t="shared" si="239"/>
        <v>MUITO BOM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56</v>
      </c>
      <c r="C4243" t="s">
        <v>16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f t="shared" si="236"/>
        <v>0</v>
      </c>
      <c r="J4243" s="3">
        <f t="shared" si="237"/>
        <v>19</v>
      </c>
      <c r="K4243" s="3">
        <f t="shared" si="238"/>
        <v>-19</v>
      </c>
      <c r="L4243" s="3" t="str">
        <f t="shared" si="239"/>
        <v>CRÍTICO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57</v>
      </c>
      <c r="C4244" t="s">
        <v>43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f t="shared" si="236"/>
        <v>0</v>
      </c>
      <c r="J4244" s="3">
        <f t="shared" si="237"/>
        <v>13</v>
      </c>
      <c r="K4244" s="3">
        <f t="shared" si="238"/>
        <v>-13</v>
      </c>
      <c r="L4244" s="3" t="str">
        <f t="shared" si="239"/>
        <v>CRÍTICO</v>
      </c>
      <c r="N4244">
        <v>98.84</v>
      </c>
      <c r="O4244">
        <v>31.5018315018315</v>
      </c>
    </row>
    <row r="4245" spans="1:15" hidden="1" x14ac:dyDescent="0.25">
      <c r="A4245" s="11">
        <v>46135</v>
      </c>
      <c r="B4245" t="s">
        <v>58</v>
      </c>
      <c r="C4245" t="s">
        <v>43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si="236"/>
        <v>11</v>
      </c>
      <c r="J4245" s="3">
        <f t="shared" si="237"/>
        <v>13</v>
      </c>
      <c r="K4245" s="3">
        <f t="shared" si="238"/>
        <v>-2</v>
      </c>
      <c r="L4245" s="3" t="str">
        <f t="shared" si="239"/>
        <v>ATENÇÃO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59</v>
      </c>
      <c r="C4246" t="s">
        <v>23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236"/>
        <v>5</v>
      </c>
      <c r="J4246" s="3">
        <f t="shared" si="237"/>
        <v>7</v>
      </c>
      <c r="K4246" s="3">
        <f t="shared" si="238"/>
        <v>-2</v>
      </c>
      <c r="L4246" s="3" t="str">
        <f t="shared" si="239"/>
        <v>ATENÇÃO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60</v>
      </c>
      <c r="C4247" t="s">
        <v>20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236"/>
        <v>27</v>
      </c>
      <c r="J4247" s="3">
        <f t="shared" si="237"/>
        <v>15</v>
      </c>
      <c r="K4247" s="3">
        <f t="shared" si="238"/>
        <v>12</v>
      </c>
      <c r="L4247" s="3" t="str">
        <f t="shared" si="239"/>
        <v>MUITO BOM</v>
      </c>
      <c r="N4247">
        <v>98.32</v>
      </c>
      <c r="O4247">
        <v>26.618705035971221</v>
      </c>
    </row>
    <row r="4248" spans="1:15" hidden="1" x14ac:dyDescent="0.25">
      <c r="A4248" s="11">
        <v>46135</v>
      </c>
      <c r="B4248" t="s">
        <v>61</v>
      </c>
      <c r="C4248" t="s">
        <v>18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236"/>
        <v>30</v>
      </c>
      <c r="J4248" s="3">
        <f t="shared" si="237"/>
        <v>23</v>
      </c>
      <c r="K4248" s="3">
        <f t="shared" si="238"/>
        <v>7</v>
      </c>
      <c r="L4248" s="3" t="str">
        <f t="shared" si="239"/>
        <v>MUITO BOM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62</v>
      </c>
      <c r="C4249" t="s">
        <v>20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236"/>
        <v>17</v>
      </c>
      <c r="J4249" s="3">
        <f t="shared" si="237"/>
        <v>15</v>
      </c>
      <c r="K4249" s="3">
        <f t="shared" si="238"/>
        <v>2</v>
      </c>
      <c r="L4249" s="3" t="str">
        <f t="shared" si="239"/>
        <v>OPORTUNO</v>
      </c>
      <c r="N4249">
        <v>100</v>
      </c>
      <c r="O4249">
        <v>26.027397260273968</v>
      </c>
    </row>
    <row r="4250" spans="1:15" hidden="1" x14ac:dyDescent="0.25">
      <c r="A4250" s="11">
        <v>46135</v>
      </c>
      <c r="B4250" t="s">
        <v>63</v>
      </c>
      <c r="C4250" t="s">
        <v>18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236"/>
        <v>23</v>
      </c>
      <c r="J4250" s="3">
        <f t="shared" si="237"/>
        <v>23</v>
      </c>
      <c r="K4250" s="3">
        <f t="shared" si="238"/>
        <v>0</v>
      </c>
      <c r="L4250" s="3" t="str">
        <f t="shared" si="239"/>
        <v>OPORTUNO</v>
      </c>
      <c r="N4250">
        <v>99.21</v>
      </c>
      <c r="O4250">
        <v>24.937027707808561</v>
      </c>
    </row>
    <row r="4251" spans="1:15" hidden="1" x14ac:dyDescent="0.25">
      <c r="A4251" s="11">
        <v>46136</v>
      </c>
      <c r="B4251" t="s">
        <v>15</v>
      </c>
      <c r="C4251" t="s">
        <v>16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ref="I4251:I4314" si="240">E4251+G4251+H4251</f>
        <v>28</v>
      </c>
      <c r="J4251" s="3">
        <f t="shared" ref="J4251:J4314" si="241"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18</v>
      </c>
      <c r="K4251" s="3">
        <f t="shared" ref="K4251:K4314" si="242">I4251-J4251</f>
        <v>10</v>
      </c>
      <c r="L4251" s="3" t="str">
        <f t="shared" ref="L4251:L4314" si="243">IF(K4251&lt;-5,"CRÍTICO",IF(K4251&lt;0,"ATENÇÃO",IF(K4251&lt;=5,"OPORTUNO","MUITO BOM")))</f>
        <v>MUITO BOM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17</v>
      </c>
      <c r="C4252" t="s">
        <v>18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f t="shared" si="240"/>
        <v>0</v>
      </c>
      <c r="J4252" s="3">
        <f t="shared" si="241"/>
        <v>22</v>
      </c>
      <c r="K4252" s="3">
        <f t="shared" si="242"/>
        <v>-22</v>
      </c>
      <c r="L4252" s="3" t="str">
        <f t="shared" si="243"/>
        <v>CRÍTICO</v>
      </c>
      <c r="N4252">
        <v>98.66</v>
      </c>
      <c r="O4252">
        <v>35.15625</v>
      </c>
    </row>
    <row r="4253" spans="1:15" hidden="1" x14ac:dyDescent="0.25">
      <c r="A4253" s="11">
        <v>46136</v>
      </c>
      <c r="B4253" t="s">
        <v>19</v>
      </c>
      <c r="C4253" t="s">
        <v>20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 t="shared" si="240"/>
        <v>23</v>
      </c>
      <c r="J4253" s="3">
        <f t="shared" si="241"/>
        <v>14</v>
      </c>
      <c r="K4253" s="3">
        <f t="shared" si="242"/>
        <v>9</v>
      </c>
      <c r="L4253" s="3" t="str">
        <f t="shared" si="243"/>
        <v>MUITO BOM</v>
      </c>
      <c r="N4253">
        <v>99.32</v>
      </c>
      <c r="O4253">
        <v>30.45186640471513</v>
      </c>
    </row>
    <row r="4254" spans="1:15" hidden="1" x14ac:dyDescent="0.25">
      <c r="A4254" s="11">
        <v>46136</v>
      </c>
      <c r="B4254" t="s">
        <v>21</v>
      </c>
      <c r="C4254" t="s">
        <v>18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 t="shared" si="240"/>
        <v>22</v>
      </c>
      <c r="J4254" s="3">
        <f t="shared" si="241"/>
        <v>22</v>
      </c>
      <c r="K4254" s="3">
        <f t="shared" si="242"/>
        <v>0</v>
      </c>
      <c r="L4254" s="3" t="str">
        <f t="shared" si="243"/>
        <v>OPORTUNO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22</v>
      </c>
      <c r="C4255" t="s">
        <v>23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 t="shared" si="240"/>
        <v>31</v>
      </c>
      <c r="J4255" s="3">
        <f t="shared" si="241"/>
        <v>6</v>
      </c>
      <c r="K4255" s="3">
        <f t="shared" si="242"/>
        <v>25</v>
      </c>
      <c r="L4255" s="3" t="str">
        <f t="shared" si="243"/>
        <v>MUITO BOM</v>
      </c>
      <c r="N4255">
        <v>96.74</v>
      </c>
      <c r="O4255">
        <v>28.43137254901961</v>
      </c>
    </row>
    <row r="4256" spans="1:15" hidden="1" x14ac:dyDescent="0.25">
      <c r="A4256" s="11">
        <v>46136</v>
      </c>
      <c r="B4256" t="s">
        <v>24</v>
      </c>
      <c r="C4256" t="s">
        <v>16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f t="shared" si="240"/>
        <v>0</v>
      </c>
      <c r="J4256" s="3">
        <f t="shared" si="241"/>
        <v>18</v>
      </c>
      <c r="K4256" s="3">
        <f t="shared" si="242"/>
        <v>-18</v>
      </c>
      <c r="L4256" s="3" t="str">
        <f t="shared" si="243"/>
        <v>CRÍTICO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25</v>
      </c>
      <c r="C4257" t="s">
        <v>16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f t="shared" si="240"/>
        <v>0</v>
      </c>
      <c r="J4257" s="3">
        <f t="shared" si="241"/>
        <v>18</v>
      </c>
      <c r="K4257" s="3">
        <f t="shared" si="242"/>
        <v>-18</v>
      </c>
      <c r="L4257" s="3" t="str">
        <f t="shared" si="243"/>
        <v>CRÍTICO</v>
      </c>
      <c r="N4257">
        <v>98.2</v>
      </c>
      <c r="O4257">
        <v>26.890756302521009</v>
      </c>
    </row>
    <row r="4258" spans="1:15" hidden="1" x14ac:dyDescent="0.25">
      <c r="A4258" s="11">
        <v>46136</v>
      </c>
      <c r="B4258" t="s">
        <v>26</v>
      </c>
      <c r="C4258" t="s">
        <v>23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 t="shared" si="240"/>
        <v>10</v>
      </c>
      <c r="J4258" s="3">
        <f t="shared" si="241"/>
        <v>6</v>
      </c>
      <c r="K4258" s="3">
        <f t="shared" si="242"/>
        <v>4</v>
      </c>
      <c r="L4258" s="3" t="str">
        <f t="shared" si="243"/>
        <v>OPORTUNO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27</v>
      </c>
      <c r="C4259" t="s">
        <v>20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 t="shared" si="240"/>
        <v>12</v>
      </c>
      <c r="J4259" s="3">
        <f t="shared" si="241"/>
        <v>14</v>
      </c>
      <c r="K4259" s="3">
        <f t="shared" si="242"/>
        <v>-2</v>
      </c>
      <c r="L4259" s="3" t="str">
        <f t="shared" si="243"/>
        <v>ATENÇÃO</v>
      </c>
      <c r="N4259">
        <v>96.3</v>
      </c>
      <c r="O4259">
        <v>31.980906921241051</v>
      </c>
    </row>
    <row r="4260" spans="1:15" hidden="1" x14ac:dyDescent="0.25">
      <c r="A4260" s="11">
        <v>46136</v>
      </c>
      <c r="B4260" t="s">
        <v>28</v>
      </c>
      <c r="C4260" t="s">
        <v>18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 t="shared" si="240"/>
        <v>23</v>
      </c>
      <c r="J4260" s="3">
        <f t="shared" si="241"/>
        <v>22</v>
      </c>
      <c r="K4260" s="3">
        <f t="shared" si="242"/>
        <v>1</v>
      </c>
      <c r="L4260" s="3" t="str">
        <f t="shared" si="243"/>
        <v>OPORTUNO</v>
      </c>
      <c r="N4260">
        <v>93.75</v>
      </c>
      <c r="O4260">
        <v>26.628352490421459</v>
      </c>
    </row>
    <row r="4261" spans="1:15" hidden="1" x14ac:dyDescent="0.25">
      <c r="A4261" s="11">
        <v>46136</v>
      </c>
      <c r="B4261" t="s">
        <v>29</v>
      </c>
      <c r="C4261" t="s">
        <v>16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f t="shared" si="240"/>
        <v>0</v>
      </c>
      <c r="J4261" s="3">
        <f t="shared" si="241"/>
        <v>18</v>
      </c>
      <c r="K4261" s="3">
        <f t="shared" si="242"/>
        <v>-18</v>
      </c>
      <c r="L4261" s="3" t="str">
        <f t="shared" si="243"/>
        <v>CRÍTICO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30</v>
      </c>
      <c r="C4262" t="s">
        <v>20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 t="shared" si="240"/>
        <v>23</v>
      </c>
      <c r="J4262" s="3">
        <f t="shared" si="241"/>
        <v>14</v>
      </c>
      <c r="K4262" s="3">
        <f t="shared" si="242"/>
        <v>9</v>
      </c>
      <c r="L4262" s="3" t="str">
        <f t="shared" si="243"/>
        <v>MUITO BOM</v>
      </c>
      <c r="N4262">
        <v>100</v>
      </c>
      <c r="O4262">
        <v>36.231884057971023</v>
      </c>
    </row>
    <row r="4263" spans="1:15" hidden="1" x14ac:dyDescent="0.25">
      <c r="A4263" s="11">
        <v>46136</v>
      </c>
      <c r="B4263" t="s">
        <v>31</v>
      </c>
      <c r="C4263" t="s">
        <v>18</v>
      </c>
      <c r="D4263">
        <v>0</v>
      </c>
      <c r="E4263">
        <v>0</v>
      </c>
      <c r="F4263">
        <v>0</v>
      </c>
      <c r="G4263">
        <v>0</v>
      </c>
      <c r="H4263">
        <v>0</v>
      </c>
      <c r="I4263" s="3">
        <f t="shared" si="240"/>
        <v>0</v>
      </c>
      <c r="J4263" s="3">
        <f t="shared" si="241"/>
        <v>22</v>
      </c>
      <c r="K4263" s="3">
        <f t="shared" si="242"/>
        <v>-22</v>
      </c>
      <c r="L4263" s="3" t="str">
        <f t="shared" si="243"/>
        <v>CRÍTICO</v>
      </c>
      <c r="N4263">
        <v>100</v>
      </c>
      <c r="O4263">
        <v>38.269230769230766</v>
      </c>
    </row>
    <row r="4264" spans="1:15" hidden="1" x14ac:dyDescent="0.25">
      <c r="A4264" s="11">
        <v>46136</v>
      </c>
      <c r="B4264" t="s">
        <v>32</v>
      </c>
      <c r="C4264" t="s">
        <v>23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si="240"/>
        <v>8</v>
      </c>
      <c r="J4264" s="3">
        <f t="shared" si="241"/>
        <v>6</v>
      </c>
      <c r="K4264" s="3">
        <f t="shared" si="242"/>
        <v>2</v>
      </c>
      <c r="L4264" s="3" t="str">
        <f t="shared" si="243"/>
        <v>OPORTUNO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33</v>
      </c>
      <c r="C4265" t="s">
        <v>16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240"/>
        <v>23</v>
      </c>
      <c r="J4265" s="3">
        <f t="shared" si="241"/>
        <v>18</v>
      </c>
      <c r="K4265" s="3">
        <f t="shared" si="242"/>
        <v>5</v>
      </c>
      <c r="L4265" s="3" t="str">
        <f t="shared" si="243"/>
        <v>OPORTUNO</v>
      </c>
      <c r="N4265">
        <v>97.83</v>
      </c>
      <c r="O4265">
        <v>28.131868131868131</v>
      </c>
    </row>
    <row r="4266" spans="1:15" hidden="1" x14ac:dyDescent="0.25">
      <c r="A4266" s="11">
        <v>46136</v>
      </c>
      <c r="B4266" t="s">
        <v>34</v>
      </c>
      <c r="C4266" t="s">
        <v>18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240"/>
        <v>23</v>
      </c>
      <c r="J4266" s="3">
        <f t="shared" si="241"/>
        <v>22</v>
      </c>
      <c r="K4266" s="3">
        <f t="shared" si="242"/>
        <v>1</v>
      </c>
      <c r="L4266" s="3" t="str">
        <f t="shared" si="243"/>
        <v>OPORTUNO</v>
      </c>
      <c r="N4266">
        <v>99.26</v>
      </c>
      <c r="O4266">
        <v>29.57198443579767</v>
      </c>
    </row>
    <row r="4267" spans="1:15" hidden="1" x14ac:dyDescent="0.25">
      <c r="A4267" s="11">
        <v>46136</v>
      </c>
      <c r="B4267" t="s">
        <v>35</v>
      </c>
      <c r="C4267" t="s">
        <v>16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240"/>
        <v>25</v>
      </c>
      <c r="J4267" s="3">
        <f t="shared" si="241"/>
        <v>18</v>
      </c>
      <c r="K4267" s="3">
        <f t="shared" si="242"/>
        <v>7</v>
      </c>
      <c r="L4267" s="3" t="str">
        <f t="shared" si="243"/>
        <v>MUITO BOM</v>
      </c>
      <c r="N4267">
        <v>99.19</v>
      </c>
      <c r="O4267">
        <v>29.462365591397852</v>
      </c>
    </row>
    <row r="4268" spans="1:15" hidden="1" x14ac:dyDescent="0.25">
      <c r="A4268" s="5">
        <v>46163</v>
      </c>
      <c r="B4268" s="6" t="s">
        <v>36</v>
      </c>
      <c r="C4268" s="3" t="s">
        <v>20</v>
      </c>
      <c r="D4268" s="3">
        <v>16</v>
      </c>
      <c r="E4268" s="3">
        <v>15</v>
      </c>
      <c r="F4268" s="3">
        <v>25.07</v>
      </c>
      <c r="G4268" s="3">
        <v>3</v>
      </c>
      <c r="H4268" s="3">
        <v>0</v>
      </c>
      <c r="I4268" s="3">
        <f t="shared" si="240"/>
        <v>18</v>
      </c>
      <c r="J4268" s="3">
        <f t="shared" si="241"/>
        <v>15</v>
      </c>
      <c r="K4268" s="3">
        <f t="shared" si="242"/>
        <v>3</v>
      </c>
      <c r="L4268" s="3" t="str">
        <f t="shared" si="243"/>
        <v>OPORTUNO</v>
      </c>
      <c r="M4268" s="3">
        <v>15</v>
      </c>
      <c r="N4268" s="3">
        <v>98.8</v>
      </c>
      <c r="O4268" s="3">
        <v>15.41353383458646</v>
      </c>
    </row>
    <row r="4269" spans="1:15" hidden="1" x14ac:dyDescent="0.25">
      <c r="A4269" s="11">
        <v>46136</v>
      </c>
      <c r="B4269" t="s">
        <v>37</v>
      </c>
      <c r="C4269" t="s">
        <v>16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240"/>
        <v>19</v>
      </c>
      <c r="J4269" s="3">
        <f t="shared" si="241"/>
        <v>18</v>
      </c>
      <c r="K4269" s="3">
        <f t="shared" si="242"/>
        <v>1</v>
      </c>
      <c r="L4269" s="3" t="str">
        <f t="shared" si="243"/>
        <v>OPORTUNO</v>
      </c>
      <c r="N4269">
        <v>100</v>
      </c>
      <c r="O4269">
        <v>27.941176470588239</v>
      </c>
    </row>
    <row r="4270" spans="1:15" hidden="1" x14ac:dyDescent="0.25">
      <c r="A4270" s="11">
        <v>46136</v>
      </c>
      <c r="B4270" t="s">
        <v>38</v>
      </c>
      <c r="C4270" t="s">
        <v>18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240"/>
        <v>35</v>
      </c>
      <c r="J4270" s="3">
        <f t="shared" si="241"/>
        <v>22</v>
      </c>
      <c r="K4270" s="3">
        <f t="shared" si="242"/>
        <v>13</v>
      </c>
      <c r="L4270" s="3" t="str">
        <f t="shared" si="243"/>
        <v>MUITO BOM</v>
      </c>
      <c r="N4270">
        <v>99.57</v>
      </c>
      <c r="O4270">
        <v>29.913294797687861</v>
      </c>
    </row>
    <row r="4271" spans="1:15" hidden="1" x14ac:dyDescent="0.25">
      <c r="A4271" s="11">
        <v>46136</v>
      </c>
      <c r="B4271" t="s">
        <v>39</v>
      </c>
      <c r="C4271" t="s">
        <v>18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f t="shared" si="240"/>
        <v>0</v>
      </c>
      <c r="J4271" s="3">
        <f t="shared" si="241"/>
        <v>22</v>
      </c>
      <c r="K4271" s="3">
        <f t="shared" si="242"/>
        <v>-22</v>
      </c>
      <c r="L4271" s="3" t="str">
        <f t="shared" si="243"/>
        <v>CRÍTICO</v>
      </c>
      <c r="N4271">
        <v>95.65</v>
      </c>
      <c r="O4271">
        <v>31.081081081081081</v>
      </c>
    </row>
    <row r="4272" spans="1:15" hidden="1" x14ac:dyDescent="0.25">
      <c r="A4272" s="11">
        <v>46136</v>
      </c>
      <c r="B4272" t="s">
        <v>40</v>
      </c>
      <c r="C4272" t="s">
        <v>16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 t="shared" si="240"/>
        <v>17</v>
      </c>
      <c r="J4272" s="3">
        <f t="shared" si="241"/>
        <v>18</v>
      </c>
      <c r="K4272" s="3">
        <f t="shared" si="242"/>
        <v>-1</v>
      </c>
      <c r="L4272" s="3" t="str">
        <f t="shared" si="243"/>
        <v>ATENÇÃO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41</v>
      </c>
      <c r="C4273" t="s">
        <v>18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f t="shared" si="240"/>
        <v>0</v>
      </c>
      <c r="J4273" s="3">
        <f t="shared" si="241"/>
        <v>22</v>
      </c>
      <c r="K4273" s="3">
        <f t="shared" si="242"/>
        <v>-22</v>
      </c>
      <c r="L4273" s="3" t="str">
        <f t="shared" si="243"/>
        <v>CRÍTICO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42</v>
      </c>
      <c r="C4274" t="s">
        <v>43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 t="shared" si="240"/>
        <v>15</v>
      </c>
      <c r="J4274" s="3">
        <f t="shared" si="241"/>
        <v>13</v>
      </c>
      <c r="K4274" s="3">
        <f t="shared" si="242"/>
        <v>2</v>
      </c>
      <c r="L4274" s="3" t="str">
        <f t="shared" si="243"/>
        <v>OPORTUNO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44</v>
      </c>
      <c r="C4275" t="s">
        <v>18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f t="shared" si="240"/>
        <v>0</v>
      </c>
      <c r="J4275" s="3">
        <f t="shared" si="241"/>
        <v>22</v>
      </c>
      <c r="K4275" s="3">
        <f t="shared" si="242"/>
        <v>-22</v>
      </c>
      <c r="L4275" s="3" t="str">
        <f t="shared" si="243"/>
        <v>CRÍTICO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45</v>
      </c>
      <c r="C4276" t="s">
        <v>43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 t="shared" si="240"/>
        <v>11</v>
      </c>
      <c r="J4276" s="3">
        <f t="shared" si="241"/>
        <v>13</v>
      </c>
      <c r="K4276" s="3">
        <f t="shared" si="242"/>
        <v>-2</v>
      </c>
      <c r="L4276" s="3" t="str">
        <f t="shared" si="243"/>
        <v>ATENÇÃO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46</v>
      </c>
      <c r="C4277" t="s">
        <v>18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 t="shared" si="240"/>
        <v>19</v>
      </c>
      <c r="J4277" s="3">
        <f t="shared" si="241"/>
        <v>22</v>
      </c>
      <c r="K4277" s="3">
        <f t="shared" si="242"/>
        <v>-3</v>
      </c>
      <c r="L4277" s="3" t="str">
        <f t="shared" si="243"/>
        <v>ATENÇÃO</v>
      </c>
      <c r="N4277">
        <v>99.15</v>
      </c>
      <c r="O4277">
        <v>27.370689655172409</v>
      </c>
    </row>
    <row r="4278" spans="1:15" hidden="1" x14ac:dyDescent="0.25">
      <c r="A4278" s="11">
        <v>46136</v>
      </c>
      <c r="B4278" t="s">
        <v>47</v>
      </c>
      <c r="C4278" t="s">
        <v>16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 t="shared" si="240"/>
        <v>19</v>
      </c>
      <c r="J4278" s="3">
        <f t="shared" si="241"/>
        <v>18</v>
      </c>
      <c r="K4278" s="3">
        <f t="shared" si="242"/>
        <v>1</v>
      </c>
      <c r="L4278" s="3" t="str">
        <f t="shared" si="243"/>
        <v>OPORTUNO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48</v>
      </c>
      <c r="C4279" t="s">
        <v>16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f t="shared" si="240"/>
        <v>0</v>
      </c>
      <c r="J4279" s="3">
        <f t="shared" si="241"/>
        <v>18</v>
      </c>
      <c r="K4279" s="3">
        <f t="shared" si="242"/>
        <v>-18</v>
      </c>
      <c r="L4279" s="3" t="str">
        <f t="shared" si="243"/>
        <v>CRÍTICO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49</v>
      </c>
      <c r="C4280" t="s">
        <v>18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f t="shared" si="240"/>
        <v>0</v>
      </c>
      <c r="J4280" s="3">
        <f t="shared" si="241"/>
        <v>22</v>
      </c>
      <c r="K4280" s="3">
        <f t="shared" si="242"/>
        <v>-22</v>
      </c>
      <c r="L4280" s="3" t="str">
        <f t="shared" si="243"/>
        <v>CRÍTICO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50</v>
      </c>
      <c r="C4281" t="s">
        <v>20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si="240"/>
        <v>12</v>
      </c>
      <c r="J4281" s="3">
        <f t="shared" si="241"/>
        <v>14</v>
      </c>
      <c r="K4281" s="3">
        <f t="shared" si="242"/>
        <v>-2</v>
      </c>
      <c r="L4281" s="3" t="str">
        <f t="shared" si="243"/>
        <v>ATENÇÃO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51</v>
      </c>
      <c r="C4282" t="s">
        <v>23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240"/>
        <v>16</v>
      </c>
      <c r="J4282" s="3">
        <f t="shared" si="241"/>
        <v>6</v>
      </c>
      <c r="K4282" s="3">
        <f t="shared" si="242"/>
        <v>10</v>
      </c>
      <c r="L4282" s="3" t="str">
        <f t="shared" si="243"/>
        <v>MUITO BOM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52</v>
      </c>
      <c r="C4283" t="s">
        <v>18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240"/>
        <v>12</v>
      </c>
      <c r="J4283" s="3">
        <f t="shared" si="241"/>
        <v>22</v>
      </c>
      <c r="K4283" s="3">
        <f t="shared" si="242"/>
        <v>-10</v>
      </c>
      <c r="L4283" s="3" t="str">
        <f t="shared" si="243"/>
        <v>CRÍTICO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53</v>
      </c>
      <c r="C4284" t="s">
        <v>18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240"/>
        <v>28</v>
      </c>
      <c r="J4284" s="3">
        <f t="shared" si="241"/>
        <v>22</v>
      </c>
      <c r="K4284" s="3">
        <f t="shared" si="242"/>
        <v>6</v>
      </c>
      <c r="L4284" s="3" t="str">
        <f t="shared" si="243"/>
        <v>MUITO BOM</v>
      </c>
      <c r="N4284">
        <v>95.49</v>
      </c>
      <c r="O4284">
        <v>28.16901408450704</v>
      </c>
    </row>
    <row r="4285" spans="1:15" hidden="1" x14ac:dyDescent="0.25">
      <c r="A4285" s="11">
        <v>46136</v>
      </c>
      <c r="B4285" t="s">
        <v>54</v>
      </c>
      <c r="C4285" t="s">
        <v>23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240"/>
        <v>3</v>
      </c>
      <c r="J4285" s="3">
        <f t="shared" si="241"/>
        <v>6</v>
      </c>
      <c r="K4285" s="3">
        <f t="shared" si="242"/>
        <v>-3</v>
      </c>
      <c r="L4285" s="3" t="str">
        <f t="shared" si="243"/>
        <v>ATENÇÃO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55</v>
      </c>
      <c r="C4286" t="s">
        <v>43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240"/>
        <v>13</v>
      </c>
      <c r="J4286" s="3">
        <f t="shared" si="241"/>
        <v>13</v>
      </c>
      <c r="K4286" s="3">
        <f t="shared" si="242"/>
        <v>0</v>
      </c>
      <c r="L4286" s="3" t="str">
        <f t="shared" si="243"/>
        <v>OPORTUNO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56</v>
      </c>
      <c r="C4287" t="s">
        <v>16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240"/>
        <v>20</v>
      </c>
      <c r="J4287" s="3">
        <f t="shared" si="241"/>
        <v>18</v>
      </c>
      <c r="K4287" s="3">
        <f t="shared" si="242"/>
        <v>2</v>
      </c>
      <c r="L4287" s="3" t="str">
        <f t="shared" si="243"/>
        <v>OPORTUNO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57</v>
      </c>
      <c r="C4288" t="s">
        <v>43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240"/>
        <v>17</v>
      </c>
      <c r="J4288" s="3">
        <f t="shared" si="241"/>
        <v>13</v>
      </c>
      <c r="K4288" s="3">
        <f t="shared" si="242"/>
        <v>4</v>
      </c>
      <c r="L4288" s="3" t="str">
        <f t="shared" si="243"/>
        <v>OPORTUNO</v>
      </c>
      <c r="N4288">
        <v>98.84</v>
      </c>
      <c r="O4288">
        <v>31.5018315018315</v>
      </c>
    </row>
    <row r="4289" spans="1:15" hidden="1" x14ac:dyDescent="0.25">
      <c r="A4289" s="11">
        <v>46136</v>
      </c>
      <c r="B4289" t="s">
        <v>58</v>
      </c>
      <c r="C4289" t="s">
        <v>43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240"/>
        <v>23</v>
      </c>
      <c r="J4289" s="3">
        <f t="shared" si="241"/>
        <v>13</v>
      </c>
      <c r="K4289" s="3">
        <f t="shared" si="242"/>
        <v>10</v>
      </c>
      <c r="L4289" s="3" t="str">
        <f t="shared" si="243"/>
        <v>MUITO BOM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59</v>
      </c>
      <c r="C4290" t="s">
        <v>23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240"/>
        <v>9</v>
      </c>
      <c r="J4290" s="3">
        <f t="shared" si="241"/>
        <v>6</v>
      </c>
      <c r="K4290" s="3">
        <f t="shared" si="242"/>
        <v>3</v>
      </c>
      <c r="L4290" s="3" t="str">
        <f t="shared" si="243"/>
        <v>OPORTUNO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60</v>
      </c>
      <c r="C4291" t="s">
        <v>20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240"/>
        <v>17</v>
      </c>
      <c r="J4291" s="3">
        <f t="shared" si="241"/>
        <v>14</v>
      </c>
      <c r="K4291" s="3">
        <f t="shared" si="242"/>
        <v>3</v>
      </c>
      <c r="L4291" s="3" t="str">
        <f t="shared" si="243"/>
        <v>OPORTUNO</v>
      </c>
      <c r="N4291">
        <v>98.32</v>
      </c>
      <c r="O4291">
        <v>26.618705035971221</v>
      </c>
    </row>
    <row r="4292" spans="1:15" hidden="1" x14ac:dyDescent="0.25">
      <c r="A4292" s="11">
        <v>46136</v>
      </c>
      <c r="B4292" t="s">
        <v>61</v>
      </c>
      <c r="C4292" t="s">
        <v>18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240"/>
        <v>25</v>
      </c>
      <c r="J4292" s="3">
        <f t="shared" si="241"/>
        <v>22</v>
      </c>
      <c r="K4292" s="3">
        <f t="shared" si="242"/>
        <v>3</v>
      </c>
      <c r="L4292" s="3" t="str">
        <f t="shared" si="243"/>
        <v>OPORTUNO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62</v>
      </c>
      <c r="C4293" t="s">
        <v>20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240"/>
        <v>16</v>
      </c>
      <c r="J4293" s="3">
        <f t="shared" si="241"/>
        <v>14</v>
      </c>
      <c r="K4293" s="3">
        <f t="shared" si="242"/>
        <v>2</v>
      </c>
      <c r="L4293" s="3" t="str">
        <f t="shared" si="243"/>
        <v>OPORTUNO</v>
      </c>
      <c r="N4293">
        <v>100</v>
      </c>
      <c r="O4293">
        <v>26.027397260273968</v>
      </c>
    </row>
    <row r="4294" spans="1:15" hidden="1" x14ac:dyDescent="0.25">
      <c r="A4294" s="11">
        <v>46136</v>
      </c>
      <c r="B4294" t="s">
        <v>63</v>
      </c>
      <c r="C4294" t="s">
        <v>18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240"/>
        <v>18</v>
      </c>
      <c r="J4294" s="3">
        <f t="shared" si="241"/>
        <v>22</v>
      </c>
      <c r="K4294" s="3">
        <f t="shared" si="242"/>
        <v>-4</v>
      </c>
      <c r="L4294" s="3" t="str">
        <f t="shared" si="243"/>
        <v>ATENÇÃO</v>
      </c>
      <c r="N4294">
        <v>99.21</v>
      </c>
      <c r="O4294">
        <v>24.937027707808561</v>
      </c>
    </row>
    <row r="4295" spans="1:15" hidden="1" x14ac:dyDescent="0.25">
      <c r="A4295" s="11">
        <v>46139</v>
      </c>
      <c r="B4295" t="s">
        <v>15</v>
      </c>
      <c r="C4295" t="s">
        <v>16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240"/>
        <v>11</v>
      </c>
      <c r="J4295" s="3">
        <f t="shared" si="241"/>
        <v>11</v>
      </c>
      <c r="K4295" s="3">
        <f t="shared" si="242"/>
        <v>0</v>
      </c>
      <c r="L4295" s="3" t="str">
        <f t="shared" si="243"/>
        <v>OPORTUNO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17</v>
      </c>
      <c r="C4296" t="s">
        <v>18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f t="shared" si="240"/>
        <v>0</v>
      </c>
      <c r="J4296" s="3">
        <f t="shared" si="241"/>
        <v>14</v>
      </c>
      <c r="K4296" s="3">
        <f t="shared" si="242"/>
        <v>-14</v>
      </c>
      <c r="L4296" s="3" t="str">
        <f t="shared" si="243"/>
        <v>CRÍTICO</v>
      </c>
      <c r="N4296">
        <v>98.66</v>
      </c>
      <c r="O4296">
        <v>35.15625</v>
      </c>
    </row>
    <row r="4297" spans="1:15" hidden="1" x14ac:dyDescent="0.25">
      <c r="A4297" s="11">
        <v>46139</v>
      </c>
      <c r="B4297" t="s">
        <v>19</v>
      </c>
      <c r="C4297" t="s">
        <v>20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si="240"/>
        <v>9</v>
      </c>
      <c r="J4297" s="3">
        <f t="shared" si="241"/>
        <v>9</v>
      </c>
      <c r="K4297" s="3">
        <f t="shared" si="242"/>
        <v>0</v>
      </c>
      <c r="L4297" s="3" t="str">
        <f t="shared" si="243"/>
        <v>OPORTUNO</v>
      </c>
      <c r="N4297">
        <v>99.32</v>
      </c>
      <c r="O4297">
        <v>30.45186640471513</v>
      </c>
    </row>
    <row r="4298" spans="1:15" hidden="1" x14ac:dyDescent="0.25">
      <c r="A4298" s="11">
        <v>46139</v>
      </c>
      <c r="B4298" t="s">
        <v>21</v>
      </c>
      <c r="C4298" t="s">
        <v>18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240"/>
        <v>10</v>
      </c>
      <c r="J4298" s="3">
        <f t="shared" si="241"/>
        <v>14</v>
      </c>
      <c r="K4298" s="3">
        <f t="shared" si="242"/>
        <v>-4</v>
      </c>
      <c r="L4298" s="3" t="str">
        <f t="shared" si="243"/>
        <v>ATENÇÃO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22</v>
      </c>
      <c r="C4299" t="s">
        <v>23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240"/>
        <v>14</v>
      </c>
      <c r="J4299" s="3">
        <f t="shared" si="241"/>
        <v>4</v>
      </c>
      <c r="K4299" s="3">
        <f t="shared" si="242"/>
        <v>10</v>
      </c>
      <c r="L4299" s="3" t="str">
        <f t="shared" si="243"/>
        <v>MUITO BOM</v>
      </c>
      <c r="N4299">
        <v>96.74</v>
      </c>
      <c r="O4299">
        <v>28.43137254901961</v>
      </c>
    </row>
    <row r="4300" spans="1:15" hidden="1" x14ac:dyDescent="0.25">
      <c r="A4300" s="11">
        <v>46139</v>
      </c>
      <c r="B4300" t="s">
        <v>24</v>
      </c>
      <c r="C4300" t="s">
        <v>16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240"/>
        <v>13</v>
      </c>
      <c r="J4300" s="3">
        <f t="shared" si="241"/>
        <v>11</v>
      </c>
      <c r="K4300" s="3">
        <f t="shared" si="242"/>
        <v>2</v>
      </c>
      <c r="L4300" s="3" t="str">
        <f t="shared" si="243"/>
        <v>OPORTUNO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25</v>
      </c>
      <c r="C4301" t="s">
        <v>16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240"/>
        <v>12</v>
      </c>
      <c r="J4301" s="3">
        <f t="shared" si="241"/>
        <v>11</v>
      </c>
      <c r="K4301" s="3">
        <f t="shared" si="242"/>
        <v>1</v>
      </c>
      <c r="L4301" s="3" t="str">
        <f t="shared" si="243"/>
        <v>OPORTUNO</v>
      </c>
      <c r="N4301">
        <v>98.2</v>
      </c>
      <c r="O4301">
        <v>26.890756302521009</v>
      </c>
    </row>
    <row r="4302" spans="1:15" hidden="1" x14ac:dyDescent="0.25">
      <c r="A4302" s="11">
        <v>46139</v>
      </c>
      <c r="B4302" t="s">
        <v>26</v>
      </c>
      <c r="C4302" t="s">
        <v>23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240"/>
        <v>8</v>
      </c>
      <c r="J4302" s="3">
        <f t="shared" si="241"/>
        <v>4</v>
      </c>
      <c r="K4302" s="3">
        <f t="shared" si="242"/>
        <v>4</v>
      </c>
      <c r="L4302" s="3" t="str">
        <f t="shared" si="243"/>
        <v>OPORTUNO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27</v>
      </c>
      <c r="C4303" t="s">
        <v>20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240"/>
        <v>3</v>
      </c>
      <c r="J4303" s="3">
        <f t="shared" si="241"/>
        <v>9</v>
      </c>
      <c r="K4303" s="3">
        <f t="shared" si="242"/>
        <v>-6</v>
      </c>
      <c r="L4303" s="3" t="str">
        <f t="shared" si="243"/>
        <v>CRÍTICO</v>
      </c>
      <c r="N4303">
        <v>96.3</v>
      </c>
      <c r="O4303">
        <v>31.980906921241051</v>
      </c>
    </row>
    <row r="4304" spans="1:15" hidden="1" x14ac:dyDescent="0.25">
      <c r="A4304" s="11">
        <v>46139</v>
      </c>
      <c r="B4304" t="s">
        <v>28</v>
      </c>
      <c r="C4304" t="s">
        <v>18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240"/>
        <v>14</v>
      </c>
      <c r="J4304" s="3">
        <f t="shared" si="241"/>
        <v>14</v>
      </c>
      <c r="K4304" s="3">
        <f t="shared" si="242"/>
        <v>0</v>
      </c>
      <c r="L4304" s="3" t="str">
        <f t="shared" si="243"/>
        <v>OPORTUNO</v>
      </c>
      <c r="N4304">
        <v>93.75</v>
      </c>
      <c r="O4304">
        <v>26.628352490421459</v>
      </c>
    </row>
    <row r="4305" spans="1:15" hidden="1" x14ac:dyDescent="0.25">
      <c r="A4305" s="11">
        <v>46139</v>
      </c>
      <c r="B4305" t="s">
        <v>29</v>
      </c>
      <c r="C4305" t="s">
        <v>16</v>
      </c>
      <c r="D4305">
        <v>0</v>
      </c>
      <c r="E4305">
        <v>0</v>
      </c>
      <c r="F4305">
        <v>0</v>
      </c>
      <c r="G4305">
        <v>0</v>
      </c>
      <c r="H4305">
        <v>0</v>
      </c>
      <c r="I4305" s="3">
        <f t="shared" si="240"/>
        <v>0</v>
      </c>
      <c r="J4305" s="3">
        <f t="shared" si="241"/>
        <v>11</v>
      </c>
      <c r="K4305" s="3">
        <f t="shared" si="242"/>
        <v>-11</v>
      </c>
      <c r="L4305" s="3" t="str">
        <f t="shared" si="243"/>
        <v>CRÍTICO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30</v>
      </c>
      <c r="C4306" t="s">
        <v>20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 t="shared" si="240"/>
        <v>12</v>
      </c>
      <c r="J4306" s="3">
        <f t="shared" si="241"/>
        <v>9</v>
      </c>
      <c r="K4306" s="3">
        <f t="shared" si="242"/>
        <v>3</v>
      </c>
      <c r="L4306" s="3" t="str">
        <f t="shared" si="243"/>
        <v>OPORTUNO</v>
      </c>
      <c r="N4306">
        <v>100</v>
      </c>
      <c r="O4306">
        <v>36.231884057971023</v>
      </c>
    </row>
    <row r="4307" spans="1:15" hidden="1" x14ac:dyDescent="0.25">
      <c r="A4307" s="11">
        <v>46139</v>
      </c>
      <c r="B4307" t="s">
        <v>31</v>
      </c>
      <c r="C4307" t="s">
        <v>18</v>
      </c>
      <c r="D4307">
        <v>0</v>
      </c>
      <c r="E4307">
        <v>0</v>
      </c>
      <c r="F4307">
        <v>0</v>
      </c>
      <c r="G4307">
        <v>0</v>
      </c>
      <c r="H4307">
        <v>0</v>
      </c>
      <c r="I4307" s="3">
        <f t="shared" si="240"/>
        <v>0</v>
      </c>
      <c r="J4307" s="3">
        <f t="shared" si="241"/>
        <v>14</v>
      </c>
      <c r="K4307" s="3">
        <f t="shared" si="242"/>
        <v>-14</v>
      </c>
      <c r="L4307" s="3" t="str">
        <f t="shared" si="243"/>
        <v>CRÍTICO</v>
      </c>
      <c r="N4307">
        <v>100</v>
      </c>
      <c r="O4307">
        <v>38.269230769230766</v>
      </c>
    </row>
    <row r="4308" spans="1:15" hidden="1" x14ac:dyDescent="0.25">
      <c r="A4308" s="11">
        <v>46139</v>
      </c>
      <c r="B4308" t="s">
        <v>32</v>
      </c>
      <c r="C4308" t="s">
        <v>23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 t="shared" si="240"/>
        <v>9</v>
      </c>
      <c r="J4308" s="3">
        <f t="shared" si="241"/>
        <v>4</v>
      </c>
      <c r="K4308" s="3">
        <f t="shared" si="242"/>
        <v>5</v>
      </c>
      <c r="L4308" s="3" t="str">
        <f t="shared" si="243"/>
        <v>OPORTUNO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33</v>
      </c>
      <c r="C4309" t="s">
        <v>16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 t="shared" si="240"/>
        <v>16</v>
      </c>
      <c r="J4309" s="3">
        <f t="shared" si="241"/>
        <v>11</v>
      </c>
      <c r="K4309" s="3">
        <f t="shared" si="242"/>
        <v>5</v>
      </c>
      <c r="L4309" s="3" t="str">
        <f t="shared" si="243"/>
        <v>OPORTUNO</v>
      </c>
      <c r="N4309">
        <v>97.83</v>
      </c>
      <c r="O4309">
        <v>28.131868131868131</v>
      </c>
    </row>
    <row r="4310" spans="1:15" hidden="1" x14ac:dyDescent="0.25">
      <c r="A4310" s="11">
        <v>46139</v>
      </c>
      <c r="B4310" t="s">
        <v>34</v>
      </c>
      <c r="C4310" t="s">
        <v>18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 t="shared" si="240"/>
        <v>15</v>
      </c>
      <c r="J4310" s="3">
        <f t="shared" si="241"/>
        <v>14</v>
      </c>
      <c r="K4310" s="3">
        <f t="shared" si="242"/>
        <v>1</v>
      </c>
      <c r="L4310" s="3" t="str">
        <f t="shared" si="243"/>
        <v>OPORTUNO</v>
      </c>
      <c r="N4310">
        <v>99.26</v>
      </c>
      <c r="O4310">
        <v>29.57198443579767</v>
      </c>
    </row>
    <row r="4311" spans="1:15" hidden="1" x14ac:dyDescent="0.25">
      <c r="A4311" s="11">
        <v>46139</v>
      </c>
      <c r="B4311" t="s">
        <v>35</v>
      </c>
      <c r="C4311" t="s">
        <v>16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 t="shared" si="240"/>
        <v>14</v>
      </c>
      <c r="J4311" s="3">
        <f t="shared" si="241"/>
        <v>11</v>
      </c>
      <c r="K4311" s="3">
        <f t="shared" si="242"/>
        <v>3</v>
      </c>
      <c r="L4311" s="3" t="str">
        <f t="shared" si="243"/>
        <v>OPORTUNO</v>
      </c>
      <c r="N4311">
        <v>99.19</v>
      </c>
      <c r="O4311">
        <v>29.462365591397852</v>
      </c>
    </row>
    <row r="4312" spans="1:15" hidden="1" x14ac:dyDescent="0.25">
      <c r="A4312" s="10">
        <v>46164</v>
      </c>
      <c r="B4312" s="6" t="s">
        <v>64</v>
      </c>
      <c r="C4312" s="3" t="s">
        <v>23</v>
      </c>
      <c r="D4312" s="3">
        <v>0</v>
      </c>
      <c r="E4312" s="3">
        <v>0</v>
      </c>
      <c r="F4312" s="3">
        <v>0</v>
      </c>
      <c r="G4312" s="3">
        <v>0</v>
      </c>
      <c r="H4312" s="3">
        <v>0</v>
      </c>
      <c r="I4312" s="3">
        <f t="shared" si="240"/>
        <v>0</v>
      </c>
      <c r="J4312" s="3">
        <f t="shared" si="241"/>
        <v>6</v>
      </c>
      <c r="K4312" s="3">
        <f t="shared" si="242"/>
        <v>-6</v>
      </c>
      <c r="L4312" s="3" t="str">
        <f t="shared" si="243"/>
        <v>CRÍTICO</v>
      </c>
      <c r="M4312" s="3">
        <v>0</v>
      </c>
      <c r="N4312" s="3">
        <v>100</v>
      </c>
      <c r="O4312" s="3">
        <v>14.285714285714279</v>
      </c>
    </row>
    <row r="4313" spans="1:15" hidden="1" x14ac:dyDescent="0.25">
      <c r="A4313" s="11">
        <v>46139</v>
      </c>
      <c r="B4313" t="s">
        <v>37</v>
      </c>
      <c r="C4313" t="s">
        <v>16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 t="shared" si="240"/>
        <v>11</v>
      </c>
      <c r="J4313" s="3">
        <f t="shared" si="241"/>
        <v>11</v>
      </c>
      <c r="K4313" s="3">
        <f t="shared" si="242"/>
        <v>0</v>
      </c>
      <c r="L4313" s="3" t="str">
        <f t="shared" si="243"/>
        <v>OPORTUNO</v>
      </c>
      <c r="N4313">
        <v>100</v>
      </c>
      <c r="O4313">
        <v>27.941176470588239</v>
      </c>
    </row>
    <row r="4314" spans="1:15" hidden="1" x14ac:dyDescent="0.25">
      <c r="A4314" s="11">
        <v>46139</v>
      </c>
      <c r="B4314" t="s">
        <v>38</v>
      </c>
      <c r="C4314" t="s">
        <v>18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 t="shared" si="240"/>
        <v>19</v>
      </c>
      <c r="J4314" s="3">
        <f t="shared" si="241"/>
        <v>14</v>
      </c>
      <c r="K4314" s="3">
        <f t="shared" si="242"/>
        <v>5</v>
      </c>
      <c r="L4314" s="3" t="str">
        <f t="shared" si="243"/>
        <v>OPORTUNO</v>
      </c>
      <c r="N4314">
        <v>99.57</v>
      </c>
      <c r="O4314">
        <v>29.913294797687861</v>
      </c>
    </row>
    <row r="4315" spans="1:15" hidden="1" x14ac:dyDescent="0.25">
      <c r="A4315" s="11">
        <v>46139</v>
      </c>
      <c r="B4315" t="s">
        <v>39</v>
      </c>
      <c r="C4315" t="s">
        <v>18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 t="shared" ref="I4315:I4378" si="244">E4315+G4315+H4315</f>
        <v>13</v>
      </c>
      <c r="J4315" s="3">
        <f t="shared" ref="J4315:J4378" si="245"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 t="shared" ref="K4315:K4378" si="246">I4315-J4315</f>
        <v>-1</v>
      </c>
      <c r="L4315" s="3" t="str">
        <f t="shared" ref="L4315:L4378" si="247">IF(K4315&lt;-5,"CRÍTICO",IF(K4315&lt;0,"ATENÇÃO",IF(K4315&lt;=5,"OPORTUNO","MUITO BOM")))</f>
        <v>ATENÇÃO</v>
      </c>
      <c r="N4315">
        <v>95.65</v>
      </c>
      <c r="O4315">
        <v>31.081081081081081</v>
      </c>
    </row>
    <row r="4316" spans="1:15" hidden="1" x14ac:dyDescent="0.25">
      <c r="A4316" s="11">
        <v>46139</v>
      </c>
      <c r="B4316" t="s">
        <v>40</v>
      </c>
      <c r="C4316" t="s">
        <v>16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 t="shared" si="244"/>
        <v>13</v>
      </c>
      <c r="J4316" s="3">
        <f t="shared" si="245"/>
        <v>11</v>
      </c>
      <c r="K4316" s="3">
        <f t="shared" si="246"/>
        <v>2</v>
      </c>
      <c r="L4316" s="3" t="str">
        <f t="shared" si="247"/>
        <v>OPORTUNO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41</v>
      </c>
      <c r="C4317" t="s">
        <v>18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f t="shared" si="244"/>
        <v>0</v>
      </c>
      <c r="J4317" s="3">
        <f t="shared" si="245"/>
        <v>14</v>
      </c>
      <c r="K4317" s="3">
        <f t="shared" si="246"/>
        <v>-14</v>
      </c>
      <c r="L4317" s="3" t="str">
        <f t="shared" si="247"/>
        <v>CRÍTICO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42</v>
      </c>
      <c r="C4318" t="s">
        <v>43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 t="shared" si="244"/>
        <v>5</v>
      </c>
      <c r="J4318" s="3">
        <f t="shared" si="245"/>
        <v>8</v>
      </c>
      <c r="K4318" s="3">
        <f t="shared" si="246"/>
        <v>-3</v>
      </c>
      <c r="L4318" s="3" t="str">
        <f t="shared" si="247"/>
        <v>ATENÇÃO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44</v>
      </c>
      <c r="C4319" t="s">
        <v>18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f t="shared" si="244"/>
        <v>0</v>
      </c>
      <c r="J4319" s="3">
        <f t="shared" si="245"/>
        <v>14</v>
      </c>
      <c r="K4319" s="3">
        <f t="shared" si="246"/>
        <v>-14</v>
      </c>
      <c r="L4319" s="3" t="str">
        <f t="shared" si="247"/>
        <v>CRÍTICO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45</v>
      </c>
      <c r="C4320" t="s">
        <v>43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 t="shared" si="244"/>
        <v>13</v>
      </c>
      <c r="J4320" s="3">
        <f t="shared" si="245"/>
        <v>8</v>
      </c>
      <c r="K4320" s="3">
        <f t="shared" si="246"/>
        <v>5</v>
      </c>
      <c r="L4320" s="3" t="str">
        <f t="shared" si="247"/>
        <v>OPORTUNO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46</v>
      </c>
      <c r="C4321" t="s">
        <v>18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 t="shared" si="244"/>
        <v>13</v>
      </c>
      <c r="J4321" s="3">
        <f t="shared" si="245"/>
        <v>14</v>
      </c>
      <c r="K4321" s="3">
        <f t="shared" si="246"/>
        <v>-1</v>
      </c>
      <c r="L4321" s="3" t="str">
        <f t="shared" si="247"/>
        <v>ATENÇÃO</v>
      </c>
      <c r="N4321">
        <v>99.15</v>
      </c>
      <c r="O4321">
        <v>27.370689655172409</v>
      </c>
    </row>
    <row r="4322" spans="1:15" hidden="1" x14ac:dyDescent="0.25">
      <c r="A4322" s="11">
        <v>46139</v>
      </c>
      <c r="B4322" t="s">
        <v>47</v>
      </c>
      <c r="C4322" t="s">
        <v>16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 t="shared" si="244"/>
        <v>2</v>
      </c>
      <c r="J4322" s="3">
        <f t="shared" si="245"/>
        <v>11</v>
      </c>
      <c r="K4322" s="3">
        <f t="shared" si="246"/>
        <v>-9</v>
      </c>
      <c r="L4322" s="3" t="str">
        <f t="shared" si="247"/>
        <v>CRÍTICO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48</v>
      </c>
      <c r="C4323" t="s">
        <v>16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f t="shared" si="244"/>
        <v>0</v>
      </c>
      <c r="J4323" s="3">
        <f t="shared" si="245"/>
        <v>11</v>
      </c>
      <c r="K4323" s="3">
        <f t="shared" si="246"/>
        <v>-11</v>
      </c>
      <c r="L4323" s="3" t="str">
        <f t="shared" si="247"/>
        <v>CRÍTICO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49</v>
      </c>
      <c r="C4324" t="s">
        <v>18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f t="shared" si="244"/>
        <v>0</v>
      </c>
      <c r="J4324" s="3">
        <f t="shared" si="245"/>
        <v>14</v>
      </c>
      <c r="K4324" s="3">
        <f t="shared" si="246"/>
        <v>-14</v>
      </c>
      <c r="L4324" s="3" t="str">
        <f t="shared" si="247"/>
        <v>CRÍTICO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50</v>
      </c>
      <c r="C4325" t="s">
        <v>20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 t="shared" si="244"/>
        <v>9</v>
      </c>
      <c r="J4325" s="3">
        <f t="shared" si="245"/>
        <v>9</v>
      </c>
      <c r="K4325" s="3">
        <f t="shared" si="246"/>
        <v>0</v>
      </c>
      <c r="L4325" s="3" t="str">
        <f t="shared" si="247"/>
        <v>OPORTUNO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51</v>
      </c>
      <c r="C4326" t="s">
        <v>23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f t="shared" si="244"/>
        <v>0</v>
      </c>
      <c r="J4326" s="3">
        <f t="shared" si="245"/>
        <v>4</v>
      </c>
      <c r="K4326" s="3">
        <f t="shared" si="246"/>
        <v>-4</v>
      </c>
      <c r="L4326" s="3" t="str">
        <f t="shared" si="247"/>
        <v>ATENÇÃO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52</v>
      </c>
      <c r="C4327" t="s">
        <v>18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 t="shared" si="244"/>
        <v>14</v>
      </c>
      <c r="J4327" s="3">
        <f t="shared" si="245"/>
        <v>14</v>
      </c>
      <c r="K4327" s="3">
        <f t="shared" si="246"/>
        <v>0</v>
      </c>
      <c r="L4327" s="3" t="str">
        <f t="shared" si="247"/>
        <v>OPORTUNO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53</v>
      </c>
      <c r="C4328" t="s">
        <v>18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 t="shared" si="244"/>
        <v>14</v>
      </c>
      <c r="J4328" s="3">
        <f t="shared" si="245"/>
        <v>14</v>
      </c>
      <c r="K4328" s="3">
        <f t="shared" si="246"/>
        <v>0</v>
      </c>
      <c r="L4328" s="3" t="str">
        <f t="shared" si="247"/>
        <v>OPORTUNO</v>
      </c>
      <c r="N4328">
        <v>95.49</v>
      </c>
      <c r="O4328">
        <v>28.16901408450704</v>
      </c>
    </row>
    <row r="4329" spans="1:15" hidden="1" x14ac:dyDescent="0.25">
      <c r="A4329" s="11">
        <v>46139</v>
      </c>
      <c r="B4329" t="s">
        <v>54</v>
      </c>
      <c r="C4329" t="s">
        <v>23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 t="shared" si="244"/>
        <v>6</v>
      </c>
      <c r="J4329" s="3">
        <f t="shared" si="245"/>
        <v>4</v>
      </c>
      <c r="K4329" s="3">
        <f t="shared" si="246"/>
        <v>2</v>
      </c>
      <c r="L4329" s="3" t="str">
        <f t="shared" si="247"/>
        <v>OPORTUNO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55</v>
      </c>
      <c r="C4330" t="s">
        <v>43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f t="shared" si="244"/>
        <v>0</v>
      </c>
      <c r="J4330" s="3">
        <f t="shared" si="245"/>
        <v>8</v>
      </c>
      <c r="K4330" s="3">
        <f t="shared" si="246"/>
        <v>-8</v>
      </c>
      <c r="L4330" s="3" t="str">
        <f t="shared" si="247"/>
        <v>CRÍTICO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56</v>
      </c>
      <c r="C4331" t="s">
        <v>16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si="244"/>
        <v>8</v>
      </c>
      <c r="J4331" s="3">
        <f t="shared" si="245"/>
        <v>11</v>
      </c>
      <c r="K4331" s="3">
        <f t="shared" si="246"/>
        <v>-3</v>
      </c>
      <c r="L4331" s="3" t="str">
        <f t="shared" si="247"/>
        <v>ATENÇÃO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57</v>
      </c>
      <c r="C4332" t="s">
        <v>43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244"/>
        <v>8</v>
      </c>
      <c r="J4332" s="3">
        <f t="shared" si="245"/>
        <v>8</v>
      </c>
      <c r="K4332" s="3">
        <f t="shared" si="246"/>
        <v>0</v>
      </c>
      <c r="L4332" s="3" t="str">
        <f t="shared" si="247"/>
        <v>OPORTUNO</v>
      </c>
      <c r="N4332">
        <v>98.84</v>
      </c>
      <c r="O4332">
        <v>31.5018315018315</v>
      </c>
    </row>
    <row r="4333" spans="1:15" hidden="1" x14ac:dyDescent="0.25">
      <c r="A4333" s="11">
        <v>46139</v>
      </c>
      <c r="B4333" t="s">
        <v>58</v>
      </c>
      <c r="C4333" t="s">
        <v>43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244"/>
        <v>10</v>
      </c>
      <c r="J4333" s="3">
        <f t="shared" si="245"/>
        <v>8</v>
      </c>
      <c r="K4333" s="3">
        <f t="shared" si="246"/>
        <v>2</v>
      </c>
      <c r="L4333" s="3" t="str">
        <f t="shared" si="247"/>
        <v>OPORTUNO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59</v>
      </c>
      <c r="C4334" t="s">
        <v>23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244"/>
        <v>4</v>
      </c>
      <c r="J4334" s="3">
        <f t="shared" si="245"/>
        <v>4</v>
      </c>
      <c r="K4334" s="3">
        <f t="shared" si="246"/>
        <v>0</v>
      </c>
      <c r="L4334" s="3" t="str">
        <f t="shared" si="247"/>
        <v>OPORTUNO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60</v>
      </c>
      <c r="C4335" t="s">
        <v>20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244"/>
        <v>14</v>
      </c>
      <c r="J4335" s="3">
        <f t="shared" si="245"/>
        <v>9</v>
      </c>
      <c r="K4335" s="3">
        <f t="shared" si="246"/>
        <v>5</v>
      </c>
      <c r="L4335" s="3" t="str">
        <f t="shared" si="247"/>
        <v>OPORTUNO</v>
      </c>
      <c r="N4335">
        <v>98.32</v>
      </c>
      <c r="O4335">
        <v>26.618705035971221</v>
      </c>
    </row>
    <row r="4336" spans="1:15" hidden="1" x14ac:dyDescent="0.25">
      <c r="A4336" s="11">
        <v>46139</v>
      </c>
      <c r="B4336" t="s">
        <v>61</v>
      </c>
      <c r="C4336" t="s">
        <v>18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244"/>
        <v>16</v>
      </c>
      <c r="J4336" s="3">
        <f t="shared" si="245"/>
        <v>14</v>
      </c>
      <c r="K4336" s="3">
        <f t="shared" si="246"/>
        <v>2</v>
      </c>
      <c r="L4336" s="3" t="str">
        <f t="shared" si="247"/>
        <v>OPORTUNO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62</v>
      </c>
      <c r="C4337" t="s">
        <v>20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244"/>
        <v>10</v>
      </c>
      <c r="J4337" s="3">
        <f t="shared" si="245"/>
        <v>9</v>
      </c>
      <c r="K4337" s="3">
        <f t="shared" si="246"/>
        <v>1</v>
      </c>
      <c r="L4337" s="3" t="str">
        <f t="shared" si="247"/>
        <v>OPORTUNO</v>
      </c>
      <c r="N4337">
        <v>100</v>
      </c>
      <c r="O4337">
        <v>26.027397260273968</v>
      </c>
    </row>
    <row r="4338" spans="1:15" hidden="1" x14ac:dyDescent="0.25">
      <c r="A4338" s="11">
        <v>46139</v>
      </c>
      <c r="B4338" t="s">
        <v>63</v>
      </c>
      <c r="C4338" t="s">
        <v>18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244"/>
        <v>15</v>
      </c>
      <c r="J4338" s="3">
        <f t="shared" si="245"/>
        <v>14</v>
      </c>
      <c r="K4338" s="3">
        <f t="shared" si="246"/>
        <v>1</v>
      </c>
      <c r="L4338" s="3" t="str">
        <f t="shared" si="247"/>
        <v>OPORTUNO</v>
      </c>
      <c r="N4338">
        <v>99.21</v>
      </c>
      <c r="O4338">
        <v>24.937027707808561</v>
      </c>
    </row>
    <row r="4339" spans="1:15" hidden="1" x14ac:dyDescent="0.25">
      <c r="A4339" s="11">
        <v>46140</v>
      </c>
      <c r="B4339" t="s">
        <v>15</v>
      </c>
      <c r="C4339" t="s">
        <v>16</v>
      </c>
      <c r="D4339">
        <v>53</v>
      </c>
      <c r="E4339">
        <v>46</v>
      </c>
      <c r="F4339">
        <v>10.58</v>
      </c>
      <c r="G4339">
        <v>0</v>
      </c>
      <c r="H4339">
        <v>0</v>
      </c>
      <c r="I4339" s="3">
        <f t="shared" si="244"/>
        <v>46</v>
      </c>
      <c r="J4339" s="3">
        <f t="shared" si="245"/>
        <v>25</v>
      </c>
      <c r="K4339" s="3">
        <f t="shared" si="246"/>
        <v>21</v>
      </c>
      <c r="L4339" s="3" t="str">
        <f t="shared" si="247"/>
        <v>MUITO BOM</v>
      </c>
      <c r="N4339">
        <v>100</v>
      </c>
      <c r="O4339">
        <v>32.764505119453922</v>
      </c>
    </row>
    <row r="4340" spans="1:15" hidden="1" x14ac:dyDescent="0.25">
      <c r="A4340" s="11">
        <v>46140</v>
      </c>
      <c r="B4340" t="s">
        <v>17</v>
      </c>
      <c r="C4340" t="s">
        <v>18</v>
      </c>
      <c r="D4340">
        <v>0</v>
      </c>
      <c r="E4340">
        <v>0</v>
      </c>
      <c r="F4340">
        <v>0</v>
      </c>
      <c r="G4340">
        <v>0</v>
      </c>
      <c r="H4340">
        <v>0</v>
      </c>
      <c r="I4340" s="3">
        <f t="shared" si="244"/>
        <v>0</v>
      </c>
      <c r="J4340" s="3">
        <f t="shared" si="245"/>
        <v>32</v>
      </c>
      <c r="K4340" s="3">
        <f t="shared" si="246"/>
        <v>-32</v>
      </c>
      <c r="L4340" s="3" t="str">
        <f t="shared" si="247"/>
        <v>CRÍTICO</v>
      </c>
      <c r="N4340">
        <v>98.66</v>
      </c>
      <c r="O4340">
        <v>35.15625</v>
      </c>
    </row>
    <row r="4341" spans="1:15" hidden="1" x14ac:dyDescent="0.25">
      <c r="A4341" s="11">
        <v>46140</v>
      </c>
      <c r="B4341" t="s">
        <v>19</v>
      </c>
      <c r="C4341" t="s">
        <v>20</v>
      </c>
      <c r="D4341">
        <v>26</v>
      </c>
      <c r="E4341">
        <v>24</v>
      </c>
      <c r="F4341">
        <v>19.190000000000001</v>
      </c>
      <c r="G4341">
        <v>0</v>
      </c>
      <c r="H4341">
        <v>0</v>
      </c>
      <c r="I4341" s="3">
        <f t="shared" si="244"/>
        <v>24</v>
      </c>
      <c r="J4341" s="3">
        <f t="shared" si="245"/>
        <v>21</v>
      </c>
      <c r="K4341" s="3">
        <f t="shared" si="246"/>
        <v>3</v>
      </c>
      <c r="L4341" s="3" t="str">
        <f t="shared" si="247"/>
        <v>OPORTUNO</v>
      </c>
      <c r="N4341">
        <v>99.32</v>
      </c>
      <c r="O4341">
        <v>30.45186640471513</v>
      </c>
    </row>
    <row r="4342" spans="1:15" hidden="1" x14ac:dyDescent="0.25">
      <c r="A4342" s="11">
        <v>46140</v>
      </c>
      <c r="B4342" t="s">
        <v>21</v>
      </c>
      <c r="C4342" t="s">
        <v>18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f t="shared" si="244"/>
        <v>0</v>
      </c>
      <c r="J4342" s="3">
        <f t="shared" si="245"/>
        <v>32</v>
      </c>
      <c r="K4342" s="3">
        <f t="shared" si="246"/>
        <v>-32</v>
      </c>
      <c r="L4342" s="3" t="str">
        <f t="shared" si="247"/>
        <v>CRÍTICO</v>
      </c>
      <c r="N4342">
        <v>100</v>
      </c>
      <c r="O4342">
        <v>27.803738317757009</v>
      </c>
    </row>
    <row r="4343" spans="1:15" hidden="1" x14ac:dyDescent="0.25">
      <c r="A4343" s="11">
        <v>46140</v>
      </c>
      <c r="B4343" t="s">
        <v>22</v>
      </c>
      <c r="C4343" t="s">
        <v>23</v>
      </c>
      <c r="D4343">
        <v>27</v>
      </c>
      <c r="E4343">
        <v>27</v>
      </c>
      <c r="F4343">
        <v>20.5</v>
      </c>
      <c r="G4343">
        <v>0</v>
      </c>
      <c r="H4343">
        <v>0</v>
      </c>
      <c r="I4343" s="3">
        <f t="shared" si="244"/>
        <v>27</v>
      </c>
      <c r="J4343" s="3">
        <f t="shared" si="245"/>
        <v>9</v>
      </c>
      <c r="K4343" s="3">
        <f t="shared" si="246"/>
        <v>18</v>
      </c>
      <c r="L4343" s="3" t="str">
        <f t="shared" si="247"/>
        <v>MUITO BOM</v>
      </c>
      <c r="N4343">
        <v>96.74</v>
      </c>
      <c r="O4343">
        <v>28.43137254901961</v>
      </c>
    </row>
    <row r="4344" spans="1:15" hidden="1" x14ac:dyDescent="0.25">
      <c r="A4344" s="11">
        <v>46140</v>
      </c>
      <c r="B4344" t="s">
        <v>24</v>
      </c>
      <c r="C4344" t="s">
        <v>16</v>
      </c>
      <c r="D4344">
        <v>34</v>
      </c>
      <c r="E4344">
        <v>34</v>
      </c>
      <c r="F4344">
        <v>13.45</v>
      </c>
      <c r="G4344">
        <v>0</v>
      </c>
      <c r="H4344">
        <v>0</v>
      </c>
      <c r="I4344" s="3">
        <f t="shared" si="244"/>
        <v>34</v>
      </c>
      <c r="J4344" s="3">
        <f t="shared" si="245"/>
        <v>25</v>
      </c>
      <c r="K4344" s="3">
        <f t="shared" si="246"/>
        <v>9</v>
      </c>
      <c r="L4344" s="3" t="str">
        <f t="shared" si="247"/>
        <v>MUITO BOM</v>
      </c>
      <c r="N4344">
        <v>98.82</v>
      </c>
      <c r="O4344">
        <v>30.741410488245929</v>
      </c>
    </row>
    <row r="4345" spans="1:15" hidden="1" x14ac:dyDescent="0.25">
      <c r="A4345" s="11">
        <v>46140</v>
      </c>
      <c r="B4345" t="s">
        <v>25</v>
      </c>
      <c r="C4345" t="s">
        <v>16</v>
      </c>
      <c r="D4345">
        <v>24</v>
      </c>
      <c r="E4345">
        <v>23</v>
      </c>
      <c r="F4345">
        <v>25.57</v>
      </c>
      <c r="G4345">
        <v>0</v>
      </c>
      <c r="H4345">
        <v>0</v>
      </c>
      <c r="I4345" s="3">
        <f t="shared" si="244"/>
        <v>23</v>
      </c>
      <c r="J4345" s="3">
        <f t="shared" si="245"/>
        <v>25</v>
      </c>
      <c r="K4345" s="3">
        <f t="shared" si="246"/>
        <v>-2</v>
      </c>
      <c r="L4345" s="3" t="str">
        <f t="shared" si="247"/>
        <v>ATENÇÃO</v>
      </c>
      <c r="N4345">
        <v>98.2</v>
      </c>
      <c r="O4345">
        <v>26.890756302521009</v>
      </c>
    </row>
    <row r="4346" spans="1:15" hidden="1" x14ac:dyDescent="0.25">
      <c r="A4346" s="11">
        <v>46140</v>
      </c>
      <c r="B4346" t="s">
        <v>26</v>
      </c>
      <c r="C4346" t="s">
        <v>23</v>
      </c>
      <c r="D4346">
        <v>10</v>
      </c>
      <c r="E4346">
        <v>9</v>
      </c>
      <c r="F4346">
        <v>13.36</v>
      </c>
      <c r="G4346">
        <v>0</v>
      </c>
      <c r="H4346">
        <v>0</v>
      </c>
      <c r="I4346" s="3">
        <f t="shared" si="244"/>
        <v>9</v>
      </c>
      <c r="J4346" s="3">
        <f t="shared" si="245"/>
        <v>9</v>
      </c>
      <c r="K4346" s="3">
        <f t="shared" si="246"/>
        <v>0</v>
      </c>
      <c r="L4346" s="3" t="str">
        <f t="shared" si="247"/>
        <v>OPORTUNO</v>
      </c>
      <c r="N4346">
        <v>100</v>
      </c>
      <c r="O4346">
        <v>23.134328358208951</v>
      </c>
    </row>
    <row r="4347" spans="1:15" hidden="1" x14ac:dyDescent="0.25">
      <c r="A4347" s="11">
        <v>46140</v>
      </c>
      <c r="B4347" t="s">
        <v>27</v>
      </c>
      <c r="C4347" t="s">
        <v>20</v>
      </c>
      <c r="D4347">
        <v>27</v>
      </c>
      <c r="E4347">
        <v>26</v>
      </c>
      <c r="F4347">
        <v>15.4</v>
      </c>
      <c r="G4347">
        <v>0</v>
      </c>
      <c r="H4347">
        <v>0</v>
      </c>
      <c r="I4347" s="3">
        <f t="shared" si="244"/>
        <v>26</v>
      </c>
      <c r="J4347" s="3">
        <f t="shared" si="245"/>
        <v>21</v>
      </c>
      <c r="K4347" s="3">
        <f t="shared" si="246"/>
        <v>5</v>
      </c>
      <c r="L4347" s="3" t="str">
        <f t="shared" si="247"/>
        <v>OPORTUNO</v>
      </c>
      <c r="N4347">
        <v>96.3</v>
      </c>
      <c r="O4347">
        <v>31.980906921241051</v>
      </c>
    </row>
    <row r="4348" spans="1:15" hidden="1" x14ac:dyDescent="0.25">
      <c r="A4348" s="11">
        <v>46140</v>
      </c>
      <c r="B4348" t="s">
        <v>28</v>
      </c>
      <c r="C4348" t="s">
        <v>18</v>
      </c>
      <c r="D4348">
        <v>28</v>
      </c>
      <c r="E4348">
        <v>24</v>
      </c>
      <c r="F4348">
        <v>15.03</v>
      </c>
      <c r="G4348">
        <v>0</v>
      </c>
      <c r="H4348">
        <v>0</v>
      </c>
      <c r="I4348" s="3">
        <f t="shared" si="244"/>
        <v>24</v>
      </c>
      <c r="J4348" s="3">
        <f t="shared" si="245"/>
        <v>32</v>
      </c>
      <c r="K4348" s="3">
        <f t="shared" si="246"/>
        <v>-8</v>
      </c>
      <c r="L4348" s="3" t="str">
        <f t="shared" si="247"/>
        <v>CRÍTICO</v>
      </c>
      <c r="N4348">
        <v>93.75</v>
      </c>
      <c r="O4348">
        <v>26.628352490421459</v>
      </c>
    </row>
    <row r="4349" spans="1:15" hidden="1" x14ac:dyDescent="0.25">
      <c r="A4349" s="11">
        <v>46140</v>
      </c>
      <c r="B4349" t="s">
        <v>29</v>
      </c>
      <c r="C4349" t="s">
        <v>16</v>
      </c>
      <c r="D4349">
        <v>0</v>
      </c>
      <c r="E4349">
        <v>0</v>
      </c>
      <c r="F4349">
        <v>0</v>
      </c>
      <c r="G4349">
        <v>0</v>
      </c>
      <c r="H4349">
        <v>0</v>
      </c>
      <c r="I4349" s="3">
        <f t="shared" si="244"/>
        <v>0</v>
      </c>
      <c r="J4349" s="3">
        <f t="shared" si="245"/>
        <v>25</v>
      </c>
      <c r="K4349" s="3">
        <f t="shared" si="246"/>
        <v>-25</v>
      </c>
      <c r="L4349" s="3" t="str">
        <f t="shared" si="247"/>
        <v>CRÍTICO</v>
      </c>
      <c r="N4349">
        <v>97.86</v>
      </c>
      <c r="O4349">
        <v>31.018518518518519</v>
      </c>
    </row>
    <row r="4350" spans="1:15" hidden="1" x14ac:dyDescent="0.25">
      <c r="A4350" s="11">
        <v>46140</v>
      </c>
      <c r="B4350" t="s">
        <v>30</v>
      </c>
      <c r="C4350" t="s">
        <v>20</v>
      </c>
      <c r="D4350">
        <v>17</v>
      </c>
      <c r="E4350">
        <v>17</v>
      </c>
      <c r="F4350">
        <v>17.23</v>
      </c>
      <c r="G4350">
        <v>0</v>
      </c>
      <c r="H4350">
        <v>0</v>
      </c>
      <c r="I4350" s="3">
        <f t="shared" si="244"/>
        <v>17</v>
      </c>
      <c r="J4350" s="3">
        <f t="shared" si="245"/>
        <v>21</v>
      </c>
      <c r="K4350" s="3">
        <f t="shared" si="246"/>
        <v>-4</v>
      </c>
      <c r="L4350" s="3" t="str">
        <f t="shared" si="247"/>
        <v>ATENÇÃO</v>
      </c>
      <c r="N4350">
        <v>100</v>
      </c>
      <c r="O4350">
        <v>36.231884057971023</v>
      </c>
    </row>
    <row r="4351" spans="1:15" hidden="1" x14ac:dyDescent="0.25">
      <c r="A4351" s="11">
        <v>46140</v>
      </c>
      <c r="B4351" t="s">
        <v>31</v>
      </c>
      <c r="C4351" t="s">
        <v>18</v>
      </c>
      <c r="D4351">
        <v>0</v>
      </c>
      <c r="E4351">
        <v>0</v>
      </c>
      <c r="F4351">
        <v>0</v>
      </c>
      <c r="G4351">
        <v>0</v>
      </c>
      <c r="H4351">
        <v>0</v>
      </c>
      <c r="I4351" s="3">
        <f t="shared" si="244"/>
        <v>0</v>
      </c>
      <c r="J4351" s="3">
        <f t="shared" si="245"/>
        <v>32</v>
      </c>
      <c r="K4351" s="3">
        <f t="shared" si="246"/>
        <v>-32</v>
      </c>
      <c r="L4351" s="3" t="str">
        <f t="shared" si="247"/>
        <v>CRÍTICO</v>
      </c>
      <c r="N4351">
        <v>100</v>
      </c>
      <c r="O4351">
        <v>38.269230769230766</v>
      </c>
    </row>
    <row r="4352" spans="1:15" hidden="1" x14ac:dyDescent="0.25">
      <c r="A4352" s="11">
        <v>46140</v>
      </c>
      <c r="B4352" t="s">
        <v>32</v>
      </c>
      <c r="C4352" t="s">
        <v>23</v>
      </c>
      <c r="D4352">
        <v>8</v>
      </c>
      <c r="E4352">
        <v>6</v>
      </c>
      <c r="F4352">
        <v>39.18</v>
      </c>
      <c r="G4352">
        <v>0</v>
      </c>
      <c r="H4352">
        <v>0</v>
      </c>
      <c r="I4352" s="3">
        <f t="shared" si="244"/>
        <v>6</v>
      </c>
      <c r="J4352" s="3">
        <f t="shared" si="245"/>
        <v>9</v>
      </c>
      <c r="K4352" s="3">
        <f t="shared" si="246"/>
        <v>-3</v>
      </c>
      <c r="L4352" s="3" t="str">
        <f t="shared" si="247"/>
        <v>ATENÇÃO</v>
      </c>
      <c r="N4352">
        <v>100</v>
      </c>
      <c r="O4352">
        <v>27.368421052631579</v>
      </c>
    </row>
    <row r="4353" spans="1:15" hidden="1" x14ac:dyDescent="0.25">
      <c r="A4353" s="11">
        <v>46140</v>
      </c>
      <c r="B4353" t="s">
        <v>33</v>
      </c>
      <c r="C4353" t="s">
        <v>16</v>
      </c>
      <c r="D4353">
        <v>27</v>
      </c>
      <c r="E4353">
        <v>27</v>
      </c>
      <c r="F4353">
        <v>18.350000000000001</v>
      </c>
      <c r="G4353">
        <v>0</v>
      </c>
      <c r="H4353">
        <v>0</v>
      </c>
      <c r="I4353" s="3">
        <f t="shared" si="244"/>
        <v>27</v>
      </c>
      <c r="J4353" s="3">
        <f t="shared" si="245"/>
        <v>25</v>
      </c>
      <c r="K4353" s="3">
        <f t="shared" si="246"/>
        <v>2</v>
      </c>
      <c r="L4353" s="3" t="str">
        <f t="shared" si="247"/>
        <v>OPORTUNO</v>
      </c>
      <c r="N4353">
        <v>97.83</v>
      </c>
      <c r="O4353">
        <v>28.131868131868131</v>
      </c>
    </row>
    <row r="4354" spans="1:15" hidden="1" x14ac:dyDescent="0.25">
      <c r="A4354" s="11">
        <v>46140</v>
      </c>
      <c r="B4354" t="s">
        <v>34</v>
      </c>
      <c r="C4354" t="s">
        <v>18</v>
      </c>
      <c r="D4354">
        <v>32</v>
      </c>
      <c r="E4354">
        <v>31</v>
      </c>
      <c r="F4354">
        <v>18.489999999999998</v>
      </c>
      <c r="G4354">
        <v>0</v>
      </c>
      <c r="H4354">
        <v>0</v>
      </c>
      <c r="I4354" s="3">
        <f t="shared" si="244"/>
        <v>31</v>
      </c>
      <c r="J4354" s="3">
        <f t="shared" si="245"/>
        <v>32</v>
      </c>
      <c r="K4354" s="3">
        <f t="shared" si="246"/>
        <v>-1</v>
      </c>
      <c r="L4354" s="3" t="str">
        <f t="shared" si="247"/>
        <v>ATENÇÃO</v>
      </c>
      <c r="N4354">
        <v>99.26</v>
      </c>
      <c r="O4354">
        <v>29.57198443579767</v>
      </c>
    </row>
    <row r="4355" spans="1:15" hidden="1" x14ac:dyDescent="0.25">
      <c r="A4355" s="11">
        <v>46140</v>
      </c>
      <c r="B4355" t="s">
        <v>35</v>
      </c>
      <c r="C4355" t="s">
        <v>16</v>
      </c>
      <c r="D4355">
        <v>29</v>
      </c>
      <c r="E4355">
        <v>25</v>
      </c>
      <c r="F4355">
        <v>20.23</v>
      </c>
      <c r="G4355">
        <v>0</v>
      </c>
      <c r="H4355">
        <v>0</v>
      </c>
      <c r="I4355" s="3">
        <f t="shared" si="244"/>
        <v>25</v>
      </c>
      <c r="J4355" s="3">
        <f t="shared" si="245"/>
        <v>25</v>
      </c>
      <c r="K4355" s="3">
        <f t="shared" si="246"/>
        <v>0</v>
      </c>
      <c r="L4355" s="3" t="str">
        <f t="shared" si="247"/>
        <v>OPORTUNO</v>
      </c>
      <c r="N4355">
        <v>99.19</v>
      </c>
      <c r="O4355">
        <v>29.462365591397852</v>
      </c>
    </row>
    <row r="4356" spans="1:15" hidden="1" x14ac:dyDescent="0.25">
      <c r="A4356" s="10">
        <v>46164</v>
      </c>
      <c r="B4356" s="6" t="s">
        <v>36</v>
      </c>
      <c r="C4356" s="3" t="s">
        <v>20</v>
      </c>
      <c r="D4356" s="3">
        <v>8</v>
      </c>
      <c r="E4356" s="3">
        <v>7</v>
      </c>
      <c r="F4356" s="3">
        <v>18.34</v>
      </c>
      <c r="G4356" s="3">
        <v>0</v>
      </c>
      <c r="H4356" s="3">
        <v>0</v>
      </c>
      <c r="I4356" s="3">
        <f t="shared" si="244"/>
        <v>7</v>
      </c>
      <c r="J4356" s="3">
        <f t="shared" si="245"/>
        <v>13</v>
      </c>
      <c r="K4356" s="3">
        <f t="shared" si="246"/>
        <v>-6</v>
      </c>
      <c r="L4356" s="3" t="str">
        <f t="shared" si="247"/>
        <v>CRÍTICO</v>
      </c>
      <c r="M4356" s="3">
        <v>7</v>
      </c>
      <c r="N4356" s="3">
        <v>98.8</v>
      </c>
      <c r="O4356" s="3">
        <v>15.41353383458646</v>
      </c>
    </row>
    <row r="4357" spans="1:15" hidden="1" x14ac:dyDescent="0.25">
      <c r="A4357" s="11">
        <v>46140</v>
      </c>
      <c r="B4357" t="s">
        <v>37</v>
      </c>
      <c r="C4357" t="s">
        <v>16</v>
      </c>
      <c r="D4357">
        <v>37</v>
      </c>
      <c r="E4357">
        <v>36</v>
      </c>
      <c r="F4357">
        <v>15.51</v>
      </c>
      <c r="G4357">
        <v>0</v>
      </c>
      <c r="H4357">
        <v>0</v>
      </c>
      <c r="I4357" s="3">
        <f t="shared" si="244"/>
        <v>36</v>
      </c>
      <c r="J4357" s="3">
        <f t="shared" si="245"/>
        <v>25</v>
      </c>
      <c r="K4357" s="3">
        <f t="shared" si="246"/>
        <v>11</v>
      </c>
      <c r="L4357" s="3" t="str">
        <f t="shared" si="247"/>
        <v>MUITO BOM</v>
      </c>
      <c r="N4357">
        <v>100</v>
      </c>
      <c r="O4357">
        <v>27.941176470588239</v>
      </c>
    </row>
    <row r="4358" spans="1:15" hidden="1" x14ac:dyDescent="0.25">
      <c r="A4358" s="11">
        <v>46140</v>
      </c>
      <c r="B4358" t="s">
        <v>38</v>
      </c>
      <c r="C4358" t="s">
        <v>18</v>
      </c>
      <c r="D4358">
        <v>38</v>
      </c>
      <c r="E4358">
        <v>35</v>
      </c>
      <c r="F4358">
        <v>16.57</v>
      </c>
      <c r="G4358">
        <v>0</v>
      </c>
      <c r="H4358">
        <v>0</v>
      </c>
      <c r="I4358" s="3">
        <f t="shared" si="244"/>
        <v>35</v>
      </c>
      <c r="J4358" s="3">
        <f t="shared" si="245"/>
        <v>32</v>
      </c>
      <c r="K4358" s="3">
        <f t="shared" si="246"/>
        <v>3</v>
      </c>
      <c r="L4358" s="3" t="str">
        <f t="shared" si="247"/>
        <v>OPORTUNO</v>
      </c>
      <c r="N4358">
        <v>99.57</v>
      </c>
      <c r="O4358">
        <v>29.913294797687861</v>
      </c>
    </row>
    <row r="4359" spans="1:15" hidden="1" x14ac:dyDescent="0.25">
      <c r="A4359" s="11">
        <v>46140</v>
      </c>
      <c r="B4359" t="s">
        <v>39</v>
      </c>
      <c r="C4359" t="s">
        <v>18</v>
      </c>
      <c r="D4359">
        <v>28</v>
      </c>
      <c r="E4359">
        <v>28</v>
      </c>
      <c r="F4359">
        <v>14.08</v>
      </c>
      <c r="G4359">
        <v>0</v>
      </c>
      <c r="H4359">
        <v>0</v>
      </c>
      <c r="I4359" s="3">
        <f t="shared" si="244"/>
        <v>28</v>
      </c>
      <c r="J4359" s="3">
        <f t="shared" si="245"/>
        <v>32</v>
      </c>
      <c r="K4359" s="3">
        <f t="shared" si="246"/>
        <v>-4</v>
      </c>
      <c r="L4359" s="3" t="str">
        <f t="shared" si="247"/>
        <v>ATENÇÃO</v>
      </c>
      <c r="N4359">
        <v>95.65</v>
      </c>
      <c r="O4359">
        <v>31.081081081081081</v>
      </c>
    </row>
    <row r="4360" spans="1:15" hidden="1" x14ac:dyDescent="0.25">
      <c r="A4360" s="11">
        <v>46140</v>
      </c>
      <c r="B4360" t="s">
        <v>40</v>
      </c>
      <c r="C4360" t="s">
        <v>16</v>
      </c>
      <c r="D4360">
        <v>29</v>
      </c>
      <c r="E4360">
        <v>25</v>
      </c>
      <c r="F4360">
        <v>17.3</v>
      </c>
      <c r="G4360">
        <v>0</v>
      </c>
      <c r="H4360">
        <v>0</v>
      </c>
      <c r="I4360" s="3">
        <f t="shared" si="244"/>
        <v>25</v>
      </c>
      <c r="J4360" s="3">
        <f t="shared" si="245"/>
        <v>25</v>
      </c>
      <c r="K4360" s="3">
        <f t="shared" si="246"/>
        <v>0</v>
      </c>
      <c r="L4360" s="3" t="str">
        <f t="shared" si="247"/>
        <v>OPORTUNO</v>
      </c>
      <c r="N4360">
        <v>98.81</v>
      </c>
      <c r="O4360">
        <v>26.256983240223459</v>
      </c>
    </row>
    <row r="4361" spans="1:15" hidden="1" x14ac:dyDescent="0.25">
      <c r="A4361" s="11">
        <v>46140</v>
      </c>
      <c r="B4361" t="s">
        <v>41</v>
      </c>
      <c r="C4361" t="s">
        <v>18</v>
      </c>
      <c r="D4361">
        <v>0</v>
      </c>
      <c r="E4361">
        <v>0</v>
      </c>
      <c r="F4361">
        <v>0</v>
      </c>
      <c r="G4361">
        <v>0</v>
      </c>
      <c r="H4361">
        <v>0</v>
      </c>
      <c r="I4361" s="3">
        <f t="shared" si="244"/>
        <v>0</v>
      </c>
      <c r="J4361" s="3">
        <f t="shared" si="245"/>
        <v>32</v>
      </c>
      <c r="K4361" s="3">
        <f t="shared" si="246"/>
        <v>-32</v>
      </c>
      <c r="L4361" s="3" t="str">
        <f t="shared" si="247"/>
        <v>CRÍTICO</v>
      </c>
      <c r="N4361">
        <v>0</v>
      </c>
      <c r="O4361">
        <v>0</v>
      </c>
    </row>
    <row r="4362" spans="1:15" hidden="1" x14ac:dyDescent="0.25">
      <c r="A4362" s="11">
        <v>46140</v>
      </c>
      <c r="B4362" t="s">
        <v>42</v>
      </c>
      <c r="C4362" t="s">
        <v>43</v>
      </c>
      <c r="D4362">
        <v>27</v>
      </c>
      <c r="E4362">
        <v>25</v>
      </c>
      <c r="F4362">
        <v>16.48</v>
      </c>
      <c r="G4362">
        <v>0</v>
      </c>
      <c r="H4362">
        <v>0</v>
      </c>
      <c r="I4362" s="3">
        <f t="shared" si="244"/>
        <v>25</v>
      </c>
      <c r="J4362" s="3">
        <f t="shared" si="245"/>
        <v>18</v>
      </c>
      <c r="K4362" s="3">
        <f t="shared" si="246"/>
        <v>7</v>
      </c>
      <c r="L4362" s="3" t="str">
        <f t="shared" si="247"/>
        <v>MUITO BOM</v>
      </c>
      <c r="N4362">
        <v>97.17</v>
      </c>
      <c r="O4362">
        <v>28.81844380403458</v>
      </c>
    </row>
    <row r="4363" spans="1:15" hidden="1" x14ac:dyDescent="0.25">
      <c r="A4363" s="11">
        <v>46140</v>
      </c>
      <c r="B4363" t="s">
        <v>44</v>
      </c>
      <c r="C4363" t="s">
        <v>18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f t="shared" si="244"/>
        <v>0</v>
      </c>
      <c r="J4363" s="3">
        <f t="shared" si="245"/>
        <v>32</v>
      </c>
      <c r="K4363" s="3">
        <f t="shared" si="246"/>
        <v>-32</v>
      </c>
      <c r="L4363" s="3" t="str">
        <f t="shared" si="247"/>
        <v>CRÍTICO</v>
      </c>
      <c r="N4363">
        <v>96.81</v>
      </c>
      <c r="O4363">
        <v>48.018648018648022</v>
      </c>
    </row>
    <row r="4364" spans="1:15" hidden="1" x14ac:dyDescent="0.25">
      <c r="A4364" s="11">
        <v>46140</v>
      </c>
      <c r="B4364" t="s">
        <v>45</v>
      </c>
      <c r="C4364" t="s">
        <v>43</v>
      </c>
      <c r="D4364">
        <v>17</v>
      </c>
      <c r="E4364">
        <v>14</v>
      </c>
      <c r="F4364">
        <v>22.19</v>
      </c>
      <c r="G4364">
        <v>0</v>
      </c>
      <c r="H4364">
        <v>0</v>
      </c>
      <c r="I4364" s="3">
        <f t="shared" si="244"/>
        <v>14</v>
      </c>
      <c r="J4364" s="3">
        <f t="shared" si="245"/>
        <v>18</v>
      </c>
      <c r="K4364" s="3">
        <f t="shared" si="246"/>
        <v>-4</v>
      </c>
      <c r="L4364" s="3" t="str">
        <f t="shared" si="247"/>
        <v>ATENÇÃO</v>
      </c>
      <c r="N4364">
        <v>98.15</v>
      </c>
      <c r="O4364">
        <v>27.1551724137931</v>
      </c>
    </row>
    <row r="4365" spans="1:15" hidden="1" x14ac:dyDescent="0.25">
      <c r="A4365" s="11">
        <v>46140</v>
      </c>
      <c r="B4365" t="s">
        <v>46</v>
      </c>
      <c r="C4365" t="s">
        <v>18</v>
      </c>
      <c r="D4365">
        <v>29</v>
      </c>
      <c r="E4365">
        <v>28</v>
      </c>
      <c r="F4365">
        <v>17.309999999999999</v>
      </c>
      <c r="G4365">
        <v>0</v>
      </c>
      <c r="H4365">
        <v>0</v>
      </c>
      <c r="I4365" s="3">
        <f t="shared" si="244"/>
        <v>28</v>
      </c>
      <c r="J4365" s="3">
        <f t="shared" si="245"/>
        <v>32</v>
      </c>
      <c r="K4365" s="3">
        <f t="shared" si="246"/>
        <v>-4</v>
      </c>
      <c r="L4365" s="3" t="str">
        <f t="shared" si="247"/>
        <v>ATENÇÃO</v>
      </c>
      <c r="N4365">
        <v>99.15</v>
      </c>
      <c r="O4365">
        <v>27.370689655172409</v>
      </c>
    </row>
    <row r="4366" spans="1:15" hidden="1" x14ac:dyDescent="0.25">
      <c r="A4366" s="11">
        <v>46140</v>
      </c>
      <c r="B4366" t="s">
        <v>47</v>
      </c>
      <c r="C4366" t="s">
        <v>16</v>
      </c>
      <c r="D4366">
        <v>20</v>
      </c>
      <c r="E4366">
        <v>19</v>
      </c>
      <c r="F4366">
        <v>21.45</v>
      </c>
      <c r="G4366">
        <v>0</v>
      </c>
      <c r="H4366">
        <v>0</v>
      </c>
      <c r="I4366" s="3">
        <f t="shared" si="244"/>
        <v>19</v>
      </c>
      <c r="J4366" s="3">
        <f t="shared" si="245"/>
        <v>25</v>
      </c>
      <c r="K4366" s="3">
        <f t="shared" si="246"/>
        <v>-6</v>
      </c>
      <c r="L4366" s="3" t="str">
        <f t="shared" si="247"/>
        <v>CRÍTICO</v>
      </c>
      <c r="N4366">
        <v>99.17</v>
      </c>
      <c r="O4366">
        <v>29.75206611570248</v>
      </c>
    </row>
    <row r="4367" spans="1:15" hidden="1" x14ac:dyDescent="0.25">
      <c r="A4367" s="11">
        <v>46140</v>
      </c>
      <c r="B4367" t="s">
        <v>48</v>
      </c>
      <c r="C4367" t="s">
        <v>16</v>
      </c>
      <c r="D4367">
        <v>0</v>
      </c>
      <c r="E4367">
        <v>0</v>
      </c>
      <c r="F4367">
        <v>0</v>
      </c>
      <c r="G4367">
        <v>0</v>
      </c>
      <c r="H4367">
        <v>0</v>
      </c>
      <c r="I4367" s="3">
        <f t="shared" si="244"/>
        <v>0</v>
      </c>
      <c r="J4367" s="3">
        <f t="shared" si="245"/>
        <v>25</v>
      </c>
      <c r="K4367" s="3">
        <f t="shared" si="246"/>
        <v>-25</v>
      </c>
      <c r="L4367" s="3" t="str">
        <f t="shared" si="247"/>
        <v>CRÍTICO</v>
      </c>
      <c r="N4367">
        <v>98.73</v>
      </c>
      <c r="O4367">
        <v>28.961748633879779</v>
      </c>
    </row>
    <row r="4368" spans="1:15" hidden="1" x14ac:dyDescent="0.25">
      <c r="A4368" s="11">
        <v>46140</v>
      </c>
      <c r="B4368" t="s">
        <v>49</v>
      </c>
      <c r="C4368" t="s">
        <v>18</v>
      </c>
      <c r="D4368">
        <v>0</v>
      </c>
      <c r="E4368">
        <v>0</v>
      </c>
      <c r="F4368">
        <v>0</v>
      </c>
      <c r="G4368">
        <v>0</v>
      </c>
      <c r="H4368">
        <v>0</v>
      </c>
      <c r="I4368" s="3">
        <f t="shared" si="244"/>
        <v>0</v>
      </c>
      <c r="J4368" s="3">
        <f t="shared" si="245"/>
        <v>32</v>
      </c>
      <c r="K4368" s="3">
        <f t="shared" si="246"/>
        <v>-32</v>
      </c>
      <c r="L4368" s="3" t="str">
        <f t="shared" si="247"/>
        <v>CRÍTICO</v>
      </c>
      <c r="N4368">
        <v>88.68</v>
      </c>
      <c r="O4368">
        <v>22.03389830508474</v>
      </c>
    </row>
    <row r="4369" spans="1:15" hidden="1" x14ac:dyDescent="0.25">
      <c r="A4369" s="11">
        <v>46140</v>
      </c>
      <c r="B4369" t="s">
        <v>50</v>
      </c>
      <c r="C4369" t="s">
        <v>20</v>
      </c>
      <c r="D4369">
        <v>20</v>
      </c>
      <c r="E4369">
        <v>19</v>
      </c>
      <c r="F4369">
        <v>20.09</v>
      </c>
      <c r="G4369">
        <v>0</v>
      </c>
      <c r="H4369">
        <v>0</v>
      </c>
      <c r="I4369" s="3">
        <f t="shared" si="244"/>
        <v>19</v>
      </c>
      <c r="J4369" s="3">
        <f t="shared" si="245"/>
        <v>21</v>
      </c>
      <c r="K4369" s="3">
        <f t="shared" si="246"/>
        <v>-2</v>
      </c>
      <c r="L4369" s="3" t="str">
        <f t="shared" si="247"/>
        <v>ATENÇÃO</v>
      </c>
      <c r="N4369">
        <v>97.37</v>
      </c>
      <c r="O4369">
        <v>25.76530612244898</v>
      </c>
    </row>
    <row r="4370" spans="1:15" hidden="1" x14ac:dyDescent="0.25">
      <c r="A4370" s="11">
        <v>46140</v>
      </c>
      <c r="B4370" t="s">
        <v>51</v>
      </c>
      <c r="C4370" t="s">
        <v>23</v>
      </c>
      <c r="D4370">
        <v>78</v>
      </c>
      <c r="E4370">
        <v>47</v>
      </c>
      <c r="F4370">
        <v>5.47</v>
      </c>
      <c r="G4370">
        <v>0</v>
      </c>
      <c r="H4370">
        <v>0</v>
      </c>
      <c r="I4370" s="3">
        <f t="shared" si="244"/>
        <v>47</v>
      </c>
      <c r="J4370" s="3">
        <f t="shared" si="245"/>
        <v>9</v>
      </c>
      <c r="K4370" s="3">
        <f t="shared" si="246"/>
        <v>38</v>
      </c>
      <c r="L4370" s="3" t="str">
        <f t="shared" si="247"/>
        <v>MUITO BOM</v>
      </c>
      <c r="N4370">
        <v>100</v>
      </c>
      <c r="O4370">
        <v>25</v>
      </c>
    </row>
    <row r="4371" spans="1:15" hidden="1" x14ac:dyDescent="0.25">
      <c r="A4371" s="11">
        <v>46140</v>
      </c>
      <c r="B4371" t="s">
        <v>52</v>
      </c>
      <c r="C4371" t="s">
        <v>18</v>
      </c>
      <c r="D4371">
        <v>35</v>
      </c>
      <c r="E4371">
        <v>34</v>
      </c>
      <c r="F4371">
        <v>15.13</v>
      </c>
      <c r="G4371">
        <v>0</v>
      </c>
      <c r="H4371">
        <v>0</v>
      </c>
      <c r="I4371" s="3">
        <f t="shared" si="244"/>
        <v>34</v>
      </c>
      <c r="J4371" s="3">
        <f t="shared" si="245"/>
        <v>32</v>
      </c>
      <c r="K4371" s="3">
        <f t="shared" si="246"/>
        <v>2</v>
      </c>
      <c r="L4371" s="3" t="str">
        <f t="shared" si="247"/>
        <v>OPORTUNO</v>
      </c>
      <c r="N4371">
        <v>100</v>
      </c>
      <c r="O4371">
        <v>23.9870340356564</v>
      </c>
    </row>
    <row r="4372" spans="1:15" hidden="1" x14ac:dyDescent="0.25">
      <c r="A4372" s="11">
        <v>46140</v>
      </c>
      <c r="B4372" t="s">
        <v>53</v>
      </c>
      <c r="C4372" t="s">
        <v>18</v>
      </c>
      <c r="D4372">
        <v>38</v>
      </c>
      <c r="E4372">
        <v>32</v>
      </c>
      <c r="F4372">
        <v>12.32</v>
      </c>
      <c r="G4372">
        <v>0</v>
      </c>
      <c r="H4372">
        <v>0</v>
      </c>
      <c r="I4372" s="3">
        <f t="shared" si="244"/>
        <v>32</v>
      </c>
      <c r="J4372" s="3">
        <f t="shared" si="245"/>
        <v>32</v>
      </c>
      <c r="K4372" s="3">
        <f t="shared" si="246"/>
        <v>0</v>
      </c>
      <c r="L4372" s="3" t="str">
        <f t="shared" si="247"/>
        <v>OPORTUNO</v>
      </c>
      <c r="N4372">
        <v>95.49</v>
      </c>
      <c r="O4372">
        <v>28.16901408450704</v>
      </c>
    </row>
    <row r="4373" spans="1:15" hidden="1" x14ac:dyDescent="0.25">
      <c r="A4373" s="11">
        <v>46140</v>
      </c>
      <c r="B4373" t="s">
        <v>54</v>
      </c>
      <c r="C4373" t="s">
        <v>23</v>
      </c>
      <c r="D4373">
        <v>13</v>
      </c>
      <c r="E4373">
        <v>13</v>
      </c>
      <c r="F4373">
        <v>25.28</v>
      </c>
      <c r="G4373">
        <v>0</v>
      </c>
      <c r="H4373">
        <v>0</v>
      </c>
      <c r="I4373" s="3">
        <f t="shared" si="244"/>
        <v>13</v>
      </c>
      <c r="J4373" s="3">
        <f t="shared" si="245"/>
        <v>9</v>
      </c>
      <c r="K4373" s="3">
        <f t="shared" si="246"/>
        <v>4</v>
      </c>
      <c r="L4373" s="3" t="str">
        <f t="shared" si="247"/>
        <v>OPORTUNO</v>
      </c>
      <c r="N4373">
        <v>100</v>
      </c>
      <c r="O4373">
        <v>23.77622377622378</v>
      </c>
    </row>
    <row r="4374" spans="1:15" hidden="1" x14ac:dyDescent="0.25">
      <c r="A4374" s="11">
        <v>46140</v>
      </c>
      <c r="B4374" t="s">
        <v>55</v>
      </c>
      <c r="C4374" t="s">
        <v>43</v>
      </c>
      <c r="D4374">
        <v>28</v>
      </c>
      <c r="E4374">
        <v>18</v>
      </c>
      <c r="F4374">
        <v>15.03</v>
      </c>
      <c r="G4374">
        <v>0</v>
      </c>
      <c r="H4374">
        <v>0</v>
      </c>
      <c r="I4374" s="3">
        <f t="shared" si="244"/>
        <v>18</v>
      </c>
      <c r="J4374" s="3">
        <f t="shared" si="245"/>
        <v>18</v>
      </c>
      <c r="K4374" s="3">
        <f t="shared" si="246"/>
        <v>0</v>
      </c>
      <c r="L4374" s="3" t="str">
        <f t="shared" si="247"/>
        <v>OPORTUNO</v>
      </c>
      <c r="N4374">
        <v>96.15</v>
      </c>
      <c r="O4374">
        <v>24.045801526717561</v>
      </c>
    </row>
    <row r="4375" spans="1:15" hidden="1" x14ac:dyDescent="0.25">
      <c r="A4375" s="11">
        <v>46140</v>
      </c>
      <c r="B4375" t="s">
        <v>56</v>
      </c>
      <c r="C4375" t="s">
        <v>16</v>
      </c>
      <c r="D4375">
        <v>0</v>
      </c>
      <c r="E4375">
        <v>0</v>
      </c>
      <c r="F4375">
        <v>0</v>
      </c>
      <c r="G4375">
        <v>0</v>
      </c>
      <c r="H4375">
        <v>0</v>
      </c>
      <c r="I4375" s="3">
        <f t="shared" si="244"/>
        <v>0</v>
      </c>
      <c r="J4375" s="3">
        <f t="shared" si="245"/>
        <v>25</v>
      </c>
      <c r="K4375" s="3">
        <f t="shared" si="246"/>
        <v>-25</v>
      </c>
      <c r="L4375" s="3" t="str">
        <f t="shared" si="247"/>
        <v>CRÍTICO</v>
      </c>
      <c r="N4375">
        <v>99.02</v>
      </c>
      <c r="O4375">
        <v>34.797297297297298</v>
      </c>
    </row>
    <row r="4376" spans="1:15" hidden="1" x14ac:dyDescent="0.25">
      <c r="A4376" s="11">
        <v>46140</v>
      </c>
      <c r="B4376" t="s">
        <v>57</v>
      </c>
      <c r="C4376" t="s">
        <v>43</v>
      </c>
      <c r="D4376">
        <v>23</v>
      </c>
      <c r="E4376">
        <v>22</v>
      </c>
      <c r="F4376">
        <v>17.079999999999998</v>
      </c>
      <c r="G4376">
        <v>0</v>
      </c>
      <c r="H4376">
        <v>0</v>
      </c>
      <c r="I4376" s="3">
        <f t="shared" si="244"/>
        <v>22</v>
      </c>
      <c r="J4376" s="3">
        <f t="shared" si="245"/>
        <v>18</v>
      </c>
      <c r="K4376" s="3">
        <f t="shared" si="246"/>
        <v>4</v>
      </c>
      <c r="L4376" s="3" t="str">
        <f t="shared" si="247"/>
        <v>OPORTUNO</v>
      </c>
      <c r="N4376">
        <v>98.84</v>
      </c>
      <c r="O4376">
        <v>31.5018315018315</v>
      </c>
    </row>
    <row r="4377" spans="1:15" hidden="1" x14ac:dyDescent="0.25">
      <c r="A4377" s="11">
        <v>46140</v>
      </c>
      <c r="B4377" t="s">
        <v>58</v>
      </c>
      <c r="C4377" t="s">
        <v>43</v>
      </c>
      <c r="D4377">
        <v>19</v>
      </c>
      <c r="E4377">
        <v>19</v>
      </c>
      <c r="F4377">
        <v>17.21</v>
      </c>
      <c r="G4377">
        <v>0</v>
      </c>
      <c r="H4377">
        <v>0</v>
      </c>
      <c r="I4377" s="3">
        <f t="shared" si="244"/>
        <v>19</v>
      </c>
      <c r="J4377" s="3">
        <f t="shared" si="245"/>
        <v>18</v>
      </c>
      <c r="K4377" s="3">
        <f t="shared" si="246"/>
        <v>1</v>
      </c>
      <c r="L4377" s="3" t="str">
        <f t="shared" si="247"/>
        <v>OPORTUNO</v>
      </c>
      <c r="N4377">
        <v>100</v>
      </c>
      <c r="O4377">
        <v>34.666666666666671</v>
      </c>
    </row>
    <row r="4378" spans="1:15" hidden="1" x14ac:dyDescent="0.25">
      <c r="A4378" s="11">
        <v>46140</v>
      </c>
      <c r="B4378" t="s">
        <v>59</v>
      </c>
      <c r="C4378" t="s">
        <v>23</v>
      </c>
      <c r="D4378">
        <v>13</v>
      </c>
      <c r="E4378">
        <v>13</v>
      </c>
      <c r="F4378">
        <v>33.200000000000003</v>
      </c>
      <c r="G4378">
        <v>0</v>
      </c>
      <c r="H4378">
        <v>0</v>
      </c>
      <c r="I4378" s="3">
        <f t="shared" si="244"/>
        <v>13</v>
      </c>
      <c r="J4378" s="3">
        <f t="shared" si="245"/>
        <v>9</v>
      </c>
      <c r="K4378" s="3">
        <f t="shared" si="246"/>
        <v>4</v>
      </c>
      <c r="L4378" s="3" t="str">
        <f t="shared" si="247"/>
        <v>OPORTUNO</v>
      </c>
      <c r="N4378">
        <v>94.12</v>
      </c>
      <c r="O4378">
        <v>32.799999999999997</v>
      </c>
    </row>
    <row r="4379" spans="1:15" hidden="1" x14ac:dyDescent="0.25">
      <c r="A4379" s="11">
        <v>46140</v>
      </c>
      <c r="B4379" t="s">
        <v>60</v>
      </c>
      <c r="C4379" t="s">
        <v>20</v>
      </c>
      <c r="D4379">
        <v>36</v>
      </c>
      <c r="E4379">
        <v>30</v>
      </c>
      <c r="F4379">
        <v>13.43</v>
      </c>
      <c r="G4379">
        <v>0</v>
      </c>
      <c r="H4379">
        <v>0</v>
      </c>
      <c r="I4379" s="3">
        <f t="shared" ref="I4379:I4442" si="248">E4379+G4379+H4379</f>
        <v>30</v>
      </c>
      <c r="J4379" s="3">
        <f t="shared" ref="J4379:J4442" si="249"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21</v>
      </c>
      <c r="K4379" s="3">
        <f t="shared" ref="K4379:K4442" si="250">I4379-J4379</f>
        <v>9</v>
      </c>
      <c r="L4379" s="3" t="str">
        <f t="shared" ref="L4379:L4442" si="251">IF(K4379&lt;-5,"CRÍTICO",IF(K4379&lt;0,"ATENÇÃO",IF(K4379&lt;=5,"OPORTUNO","MUITO BOM")))</f>
        <v>MUITO BOM</v>
      </c>
      <c r="N4379">
        <v>98.32</v>
      </c>
      <c r="O4379">
        <v>26.618705035971221</v>
      </c>
    </row>
    <row r="4380" spans="1:15" hidden="1" x14ac:dyDescent="0.25">
      <c r="A4380" s="11">
        <v>46140</v>
      </c>
      <c r="B4380" t="s">
        <v>61</v>
      </c>
      <c r="C4380" t="s">
        <v>18</v>
      </c>
      <c r="D4380">
        <v>43</v>
      </c>
      <c r="E4380">
        <v>39</v>
      </c>
      <c r="F4380">
        <v>12.1</v>
      </c>
      <c r="G4380">
        <v>0</v>
      </c>
      <c r="H4380">
        <v>0</v>
      </c>
      <c r="I4380" s="3">
        <f t="shared" si="248"/>
        <v>39</v>
      </c>
      <c r="J4380" s="3">
        <f t="shared" si="249"/>
        <v>32</v>
      </c>
      <c r="K4380" s="3">
        <f t="shared" si="250"/>
        <v>7</v>
      </c>
      <c r="L4380" s="3" t="str">
        <f t="shared" si="251"/>
        <v>MUITO BOM</v>
      </c>
      <c r="N4380">
        <v>100</v>
      </c>
      <c r="O4380">
        <v>31.135531135531139</v>
      </c>
    </row>
    <row r="4381" spans="1:15" hidden="1" x14ac:dyDescent="0.25">
      <c r="A4381" s="11">
        <v>46140</v>
      </c>
      <c r="B4381" t="s">
        <v>62</v>
      </c>
      <c r="C4381" t="s">
        <v>20</v>
      </c>
      <c r="D4381">
        <v>25</v>
      </c>
      <c r="E4381">
        <v>25</v>
      </c>
      <c r="F4381">
        <v>20.47</v>
      </c>
      <c r="G4381">
        <v>0</v>
      </c>
      <c r="H4381">
        <v>0</v>
      </c>
      <c r="I4381" s="3">
        <f t="shared" si="248"/>
        <v>25</v>
      </c>
      <c r="J4381" s="3">
        <f t="shared" si="249"/>
        <v>21</v>
      </c>
      <c r="K4381" s="3">
        <f t="shared" si="250"/>
        <v>4</v>
      </c>
      <c r="L4381" s="3" t="str">
        <f t="shared" si="251"/>
        <v>OPORTUNO</v>
      </c>
      <c r="N4381">
        <v>100</v>
      </c>
      <c r="O4381">
        <v>26.027397260273968</v>
      </c>
    </row>
    <row r="4382" spans="1:15" hidden="1" x14ac:dyDescent="0.25">
      <c r="A4382" s="11">
        <v>46140</v>
      </c>
      <c r="B4382" t="s">
        <v>63</v>
      </c>
      <c r="C4382" t="s">
        <v>18</v>
      </c>
      <c r="D4382">
        <v>30</v>
      </c>
      <c r="E4382">
        <v>28</v>
      </c>
      <c r="F4382">
        <v>17.329999999999998</v>
      </c>
      <c r="G4382">
        <v>0</v>
      </c>
      <c r="H4382">
        <v>0</v>
      </c>
      <c r="I4382" s="3">
        <f t="shared" si="248"/>
        <v>28</v>
      </c>
      <c r="J4382" s="3">
        <f t="shared" si="249"/>
        <v>32</v>
      </c>
      <c r="K4382" s="3">
        <f t="shared" si="250"/>
        <v>-4</v>
      </c>
      <c r="L4382" s="3" t="str">
        <f t="shared" si="251"/>
        <v>ATENÇÃO</v>
      </c>
      <c r="N4382">
        <v>99.21</v>
      </c>
      <c r="O4382">
        <v>24.937027707808561</v>
      </c>
    </row>
    <row r="4383" spans="1:15" hidden="1" x14ac:dyDescent="0.25">
      <c r="A4383" s="11">
        <v>46141</v>
      </c>
      <c r="B4383" t="s">
        <v>15</v>
      </c>
      <c r="C4383" t="s">
        <v>16</v>
      </c>
      <c r="D4383">
        <v>43</v>
      </c>
      <c r="E4383">
        <v>35</v>
      </c>
      <c r="F4383">
        <v>10.15</v>
      </c>
      <c r="G4383">
        <v>0</v>
      </c>
      <c r="H4383">
        <v>0</v>
      </c>
      <c r="I4383" s="3">
        <f t="shared" si="248"/>
        <v>35</v>
      </c>
      <c r="J4383" s="3">
        <f t="shared" si="249"/>
        <v>27</v>
      </c>
      <c r="K4383" s="3">
        <f t="shared" si="250"/>
        <v>8</v>
      </c>
      <c r="L4383" s="3" t="str">
        <f t="shared" si="251"/>
        <v>MUITO BOM</v>
      </c>
      <c r="N4383">
        <v>100</v>
      </c>
      <c r="O4383">
        <v>32.764505119453922</v>
      </c>
    </row>
    <row r="4384" spans="1:15" hidden="1" x14ac:dyDescent="0.25">
      <c r="A4384" s="11">
        <v>46141</v>
      </c>
      <c r="B4384" t="s">
        <v>17</v>
      </c>
      <c r="C4384" t="s">
        <v>18</v>
      </c>
      <c r="D4384">
        <v>0</v>
      </c>
      <c r="E4384">
        <v>0</v>
      </c>
      <c r="F4384">
        <v>0</v>
      </c>
      <c r="G4384">
        <v>0</v>
      </c>
      <c r="H4384">
        <v>0</v>
      </c>
      <c r="I4384" s="3">
        <f t="shared" si="248"/>
        <v>0</v>
      </c>
      <c r="J4384" s="3">
        <f t="shared" si="249"/>
        <v>33</v>
      </c>
      <c r="K4384" s="3">
        <f t="shared" si="250"/>
        <v>-33</v>
      </c>
      <c r="L4384" s="3" t="str">
        <f t="shared" si="251"/>
        <v>CRÍTICO</v>
      </c>
      <c r="N4384">
        <v>98.66</v>
      </c>
      <c r="O4384">
        <v>35.15625</v>
      </c>
    </row>
    <row r="4385" spans="1:15" hidden="1" x14ac:dyDescent="0.25">
      <c r="A4385" s="11">
        <v>46141</v>
      </c>
      <c r="B4385" t="s">
        <v>19</v>
      </c>
      <c r="C4385" t="s">
        <v>20</v>
      </c>
      <c r="D4385">
        <v>33</v>
      </c>
      <c r="E4385">
        <v>29</v>
      </c>
      <c r="F4385">
        <v>20.25</v>
      </c>
      <c r="G4385">
        <v>0</v>
      </c>
      <c r="H4385">
        <v>0</v>
      </c>
      <c r="I4385" s="3">
        <f t="shared" si="248"/>
        <v>29</v>
      </c>
      <c r="J4385" s="3">
        <f t="shared" si="249"/>
        <v>22</v>
      </c>
      <c r="K4385" s="3">
        <f t="shared" si="250"/>
        <v>7</v>
      </c>
      <c r="L4385" s="3" t="str">
        <f t="shared" si="251"/>
        <v>MUITO BOM</v>
      </c>
      <c r="N4385">
        <v>99.32</v>
      </c>
      <c r="O4385">
        <v>30.45186640471513</v>
      </c>
    </row>
    <row r="4386" spans="1:15" hidden="1" x14ac:dyDescent="0.25">
      <c r="A4386" s="11">
        <v>46141</v>
      </c>
      <c r="B4386" t="s">
        <v>21</v>
      </c>
      <c r="C4386" t="s">
        <v>18</v>
      </c>
      <c r="D4386">
        <v>0</v>
      </c>
      <c r="E4386">
        <v>0</v>
      </c>
      <c r="F4386">
        <v>0</v>
      </c>
      <c r="G4386">
        <v>0</v>
      </c>
      <c r="H4386">
        <v>0</v>
      </c>
      <c r="I4386" s="3">
        <f t="shared" si="248"/>
        <v>0</v>
      </c>
      <c r="J4386" s="3">
        <f t="shared" si="249"/>
        <v>33</v>
      </c>
      <c r="K4386" s="3">
        <f t="shared" si="250"/>
        <v>-33</v>
      </c>
      <c r="L4386" s="3" t="str">
        <f t="shared" si="251"/>
        <v>CRÍTICO</v>
      </c>
      <c r="N4386">
        <v>100</v>
      </c>
      <c r="O4386">
        <v>27.803738317757009</v>
      </c>
    </row>
    <row r="4387" spans="1:15" hidden="1" x14ac:dyDescent="0.25">
      <c r="A4387" s="11">
        <v>46141</v>
      </c>
      <c r="B4387" t="s">
        <v>22</v>
      </c>
      <c r="C4387" t="s">
        <v>23</v>
      </c>
      <c r="D4387">
        <v>34</v>
      </c>
      <c r="E4387">
        <v>31</v>
      </c>
      <c r="F4387">
        <v>15.45</v>
      </c>
      <c r="G4387">
        <v>0</v>
      </c>
      <c r="H4387">
        <v>0</v>
      </c>
      <c r="I4387" s="3">
        <f t="shared" si="248"/>
        <v>31</v>
      </c>
      <c r="J4387" s="3">
        <f t="shared" si="249"/>
        <v>9</v>
      </c>
      <c r="K4387" s="3">
        <f t="shared" si="250"/>
        <v>22</v>
      </c>
      <c r="L4387" s="3" t="str">
        <f t="shared" si="251"/>
        <v>MUITO BOM</v>
      </c>
      <c r="N4387">
        <v>96.74</v>
      </c>
      <c r="O4387">
        <v>28.43137254901961</v>
      </c>
    </row>
    <row r="4388" spans="1:15" hidden="1" x14ac:dyDescent="0.25">
      <c r="A4388" s="11">
        <v>46141</v>
      </c>
      <c r="B4388" t="s">
        <v>24</v>
      </c>
      <c r="C4388" t="s">
        <v>16</v>
      </c>
      <c r="D4388">
        <v>38</v>
      </c>
      <c r="E4388">
        <v>31</v>
      </c>
      <c r="F4388">
        <v>11.5</v>
      </c>
      <c r="G4388">
        <v>0</v>
      </c>
      <c r="H4388">
        <v>0</v>
      </c>
      <c r="I4388" s="3">
        <f t="shared" si="248"/>
        <v>31</v>
      </c>
      <c r="J4388" s="3">
        <f t="shared" si="249"/>
        <v>27</v>
      </c>
      <c r="K4388" s="3">
        <f t="shared" si="250"/>
        <v>4</v>
      </c>
      <c r="L4388" s="3" t="str">
        <f t="shared" si="251"/>
        <v>OPORTUNO</v>
      </c>
      <c r="N4388">
        <v>98.82</v>
      </c>
      <c r="O4388">
        <v>30.741410488245929</v>
      </c>
    </row>
    <row r="4389" spans="1:15" hidden="1" x14ac:dyDescent="0.25">
      <c r="A4389" s="11">
        <v>46141</v>
      </c>
      <c r="B4389" t="s">
        <v>25</v>
      </c>
      <c r="C4389" t="s">
        <v>16</v>
      </c>
      <c r="D4389">
        <v>24</v>
      </c>
      <c r="E4389">
        <v>23</v>
      </c>
      <c r="F4389">
        <v>25.46</v>
      </c>
      <c r="G4389">
        <v>0</v>
      </c>
      <c r="H4389">
        <v>0</v>
      </c>
      <c r="I4389" s="3">
        <f t="shared" si="248"/>
        <v>23</v>
      </c>
      <c r="J4389" s="3">
        <f t="shared" si="249"/>
        <v>27</v>
      </c>
      <c r="K4389" s="3">
        <f t="shared" si="250"/>
        <v>-4</v>
      </c>
      <c r="L4389" s="3" t="str">
        <f t="shared" si="251"/>
        <v>ATENÇÃO</v>
      </c>
      <c r="N4389">
        <v>98.2</v>
      </c>
      <c r="O4389">
        <v>26.890756302521009</v>
      </c>
    </row>
    <row r="4390" spans="1:15" hidden="1" x14ac:dyDescent="0.25">
      <c r="A4390" s="11">
        <v>46141</v>
      </c>
      <c r="B4390" t="s">
        <v>26</v>
      </c>
      <c r="C4390" t="s">
        <v>23</v>
      </c>
      <c r="D4390">
        <v>22</v>
      </c>
      <c r="E4390">
        <v>17</v>
      </c>
      <c r="F4390">
        <v>10.53</v>
      </c>
      <c r="G4390">
        <v>0</v>
      </c>
      <c r="H4390">
        <v>0</v>
      </c>
      <c r="I4390" s="3">
        <f t="shared" si="248"/>
        <v>17</v>
      </c>
      <c r="J4390" s="3">
        <f t="shared" si="249"/>
        <v>9</v>
      </c>
      <c r="K4390" s="3">
        <f t="shared" si="250"/>
        <v>8</v>
      </c>
      <c r="L4390" s="3" t="str">
        <f t="shared" si="251"/>
        <v>MUITO BOM</v>
      </c>
      <c r="N4390">
        <v>100</v>
      </c>
      <c r="O4390">
        <v>23.134328358208951</v>
      </c>
    </row>
    <row r="4391" spans="1:15" hidden="1" x14ac:dyDescent="0.25">
      <c r="A4391" s="11">
        <v>46141</v>
      </c>
      <c r="B4391" t="s">
        <v>27</v>
      </c>
      <c r="C4391" t="s">
        <v>20</v>
      </c>
      <c r="D4391">
        <v>51</v>
      </c>
      <c r="E4391">
        <v>13</v>
      </c>
      <c r="F4391">
        <v>3.26</v>
      </c>
      <c r="G4391">
        <v>0</v>
      </c>
      <c r="H4391">
        <v>0</v>
      </c>
      <c r="I4391" s="3">
        <f t="shared" si="248"/>
        <v>13</v>
      </c>
      <c r="J4391" s="3">
        <f t="shared" si="249"/>
        <v>22</v>
      </c>
      <c r="K4391" s="3">
        <f t="shared" si="250"/>
        <v>-9</v>
      </c>
      <c r="L4391" s="3" t="str">
        <f t="shared" si="251"/>
        <v>CRÍTICO</v>
      </c>
      <c r="N4391">
        <v>96.3</v>
      </c>
      <c r="O4391">
        <v>31.980906921241051</v>
      </c>
    </row>
    <row r="4392" spans="1:15" hidden="1" x14ac:dyDescent="0.25">
      <c r="A4392" s="11">
        <v>46141</v>
      </c>
      <c r="B4392" t="s">
        <v>28</v>
      </c>
      <c r="C4392" t="s">
        <v>18</v>
      </c>
      <c r="D4392">
        <v>42</v>
      </c>
      <c r="E4392">
        <v>35</v>
      </c>
      <c r="F4392">
        <v>10.130000000000001</v>
      </c>
      <c r="G4392">
        <v>0</v>
      </c>
      <c r="H4392">
        <v>0</v>
      </c>
      <c r="I4392" s="3">
        <f t="shared" si="248"/>
        <v>35</v>
      </c>
      <c r="J4392" s="3">
        <f t="shared" si="249"/>
        <v>33</v>
      </c>
      <c r="K4392" s="3">
        <f t="shared" si="250"/>
        <v>2</v>
      </c>
      <c r="L4392" s="3" t="str">
        <f t="shared" si="251"/>
        <v>OPORTUNO</v>
      </c>
      <c r="N4392">
        <v>93.75</v>
      </c>
      <c r="O4392">
        <v>26.628352490421459</v>
      </c>
    </row>
    <row r="4393" spans="1:15" hidden="1" x14ac:dyDescent="0.25">
      <c r="A4393" s="11">
        <v>46141</v>
      </c>
      <c r="B4393" t="s">
        <v>29</v>
      </c>
      <c r="C4393" t="s">
        <v>16</v>
      </c>
      <c r="D4393">
        <v>0</v>
      </c>
      <c r="E4393">
        <v>0</v>
      </c>
      <c r="F4393">
        <v>0</v>
      </c>
      <c r="G4393">
        <v>0</v>
      </c>
      <c r="H4393">
        <v>0</v>
      </c>
      <c r="I4393" s="3">
        <f t="shared" si="248"/>
        <v>0</v>
      </c>
      <c r="J4393" s="3">
        <f t="shared" si="249"/>
        <v>27</v>
      </c>
      <c r="K4393" s="3">
        <f t="shared" si="250"/>
        <v>-27</v>
      </c>
      <c r="L4393" s="3" t="str">
        <f t="shared" si="251"/>
        <v>CRÍTICO</v>
      </c>
      <c r="N4393">
        <v>97.86</v>
      </c>
      <c r="O4393">
        <v>31.018518518518519</v>
      </c>
    </row>
    <row r="4394" spans="1:15" hidden="1" x14ac:dyDescent="0.25">
      <c r="A4394" s="11">
        <v>46141</v>
      </c>
      <c r="B4394" t="s">
        <v>30</v>
      </c>
      <c r="C4394" t="s">
        <v>20</v>
      </c>
      <c r="D4394">
        <v>29</v>
      </c>
      <c r="E4394">
        <v>28</v>
      </c>
      <c r="F4394">
        <v>18.510000000000002</v>
      </c>
      <c r="G4394">
        <v>0</v>
      </c>
      <c r="H4394">
        <v>0</v>
      </c>
      <c r="I4394" s="3">
        <f t="shared" si="248"/>
        <v>28</v>
      </c>
      <c r="J4394" s="3">
        <f t="shared" si="249"/>
        <v>22</v>
      </c>
      <c r="K4394" s="3">
        <f t="shared" si="250"/>
        <v>6</v>
      </c>
      <c r="L4394" s="3" t="str">
        <f t="shared" si="251"/>
        <v>MUITO BOM</v>
      </c>
      <c r="N4394">
        <v>100</v>
      </c>
      <c r="O4394">
        <v>36.231884057971023</v>
      </c>
    </row>
    <row r="4395" spans="1:15" hidden="1" x14ac:dyDescent="0.25">
      <c r="A4395" s="11">
        <v>46141</v>
      </c>
      <c r="B4395" t="s">
        <v>31</v>
      </c>
      <c r="C4395" t="s">
        <v>18</v>
      </c>
      <c r="D4395">
        <v>0</v>
      </c>
      <c r="E4395">
        <v>0</v>
      </c>
      <c r="F4395">
        <v>0</v>
      </c>
      <c r="G4395">
        <v>0</v>
      </c>
      <c r="H4395">
        <v>0</v>
      </c>
      <c r="I4395" s="3">
        <f t="shared" si="248"/>
        <v>0</v>
      </c>
      <c r="J4395" s="3">
        <f t="shared" si="249"/>
        <v>33</v>
      </c>
      <c r="K4395" s="3">
        <f t="shared" si="250"/>
        <v>-33</v>
      </c>
      <c r="L4395" s="3" t="str">
        <f t="shared" si="251"/>
        <v>CRÍTICO</v>
      </c>
      <c r="N4395">
        <v>100</v>
      </c>
      <c r="O4395">
        <v>38.269230769230766</v>
      </c>
    </row>
    <row r="4396" spans="1:15" hidden="1" x14ac:dyDescent="0.25">
      <c r="A4396" s="11">
        <v>46141</v>
      </c>
      <c r="B4396" t="s">
        <v>32</v>
      </c>
      <c r="C4396" t="s">
        <v>23</v>
      </c>
      <c r="D4396">
        <v>8</v>
      </c>
      <c r="E4396">
        <v>8</v>
      </c>
      <c r="F4396">
        <v>43.36</v>
      </c>
      <c r="G4396">
        <v>0</v>
      </c>
      <c r="H4396">
        <v>0</v>
      </c>
      <c r="I4396" s="3">
        <f t="shared" si="248"/>
        <v>8</v>
      </c>
      <c r="J4396" s="3">
        <f t="shared" si="249"/>
        <v>9</v>
      </c>
      <c r="K4396" s="3">
        <f t="shared" si="250"/>
        <v>-1</v>
      </c>
      <c r="L4396" s="3" t="str">
        <f t="shared" si="251"/>
        <v>ATENÇÃO</v>
      </c>
      <c r="N4396">
        <v>100</v>
      </c>
      <c r="O4396">
        <v>27.368421052631579</v>
      </c>
    </row>
    <row r="4397" spans="1:15" hidden="1" x14ac:dyDescent="0.25">
      <c r="A4397" s="11">
        <v>46141</v>
      </c>
      <c r="B4397" t="s">
        <v>33</v>
      </c>
      <c r="C4397" t="s">
        <v>16</v>
      </c>
      <c r="D4397">
        <v>31</v>
      </c>
      <c r="E4397">
        <v>28</v>
      </c>
      <c r="F4397">
        <v>18.260000000000002</v>
      </c>
      <c r="G4397">
        <v>0</v>
      </c>
      <c r="H4397">
        <v>0</v>
      </c>
      <c r="I4397" s="3">
        <f t="shared" si="248"/>
        <v>28</v>
      </c>
      <c r="J4397" s="3">
        <f t="shared" si="249"/>
        <v>27</v>
      </c>
      <c r="K4397" s="3">
        <f t="shared" si="250"/>
        <v>1</v>
      </c>
      <c r="L4397" s="3" t="str">
        <f t="shared" si="251"/>
        <v>OPORTUNO</v>
      </c>
      <c r="N4397">
        <v>97.83</v>
      </c>
      <c r="O4397">
        <v>28.131868131868131</v>
      </c>
    </row>
    <row r="4398" spans="1:15" hidden="1" x14ac:dyDescent="0.25">
      <c r="A4398" s="11">
        <v>46141</v>
      </c>
      <c r="B4398" t="s">
        <v>34</v>
      </c>
      <c r="C4398" t="s">
        <v>18</v>
      </c>
      <c r="D4398">
        <v>31</v>
      </c>
      <c r="E4398">
        <v>29</v>
      </c>
      <c r="F4398">
        <v>16.579999999999998</v>
      </c>
      <c r="G4398">
        <v>0</v>
      </c>
      <c r="H4398">
        <v>0</v>
      </c>
      <c r="I4398" s="3">
        <f t="shared" si="248"/>
        <v>29</v>
      </c>
      <c r="J4398" s="3">
        <f t="shared" si="249"/>
        <v>33</v>
      </c>
      <c r="K4398" s="3">
        <f t="shared" si="250"/>
        <v>-4</v>
      </c>
      <c r="L4398" s="3" t="str">
        <f t="shared" si="251"/>
        <v>ATENÇÃO</v>
      </c>
      <c r="N4398">
        <v>99.26</v>
      </c>
      <c r="O4398">
        <v>29.57198443579767</v>
      </c>
    </row>
    <row r="4399" spans="1:15" hidden="1" x14ac:dyDescent="0.25">
      <c r="A4399" s="11">
        <v>46141</v>
      </c>
      <c r="B4399" t="s">
        <v>35</v>
      </c>
      <c r="C4399" t="s">
        <v>16</v>
      </c>
      <c r="D4399">
        <v>36</v>
      </c>
      <c r="E4399">
        <v>34</v>
      </c>
      <c r="F4399">
        <v>15.24</v>
      </c>
      <c r="G4399">
        <v>0</v>
      </c>
      <c r="H4399">
        <v>0</v>
      </c>
      <c r="I4399" s="3">
        <f t="shared" si="248"/>
        <v>34</v>
      </c>
      <c r="J4399" s="3">
        <f t="shared" si="249"/>
        <v>27</v>
      </c>
      <c r="K4399" s="3">
        <f t="shared" si="250"/>
        <v>7</v>
      </c>
      <c r="L4399" s="3" t="str">
        <f t="shared" si="251"/>
        <v>MUITO BOM</v>
      </c>
      <c r="N4399">
        <v>99.19</v>
      </c>
      <c r="O4399">
        <v>29.462365591397852</v>
      </c>
    </row>
    <row r="4400" spans="1:15" hidden="1" x14ac:dyDescent="0.25">
      <c r="A4400" s="11">
        <v>46167</v>
      </c>
      <c r="B4400" t="s">
        <v>64</v>
      </c>
      <c r="C4400" t="s">
        <v>23</v>
      </c>
      <c r="D4400">
        <v>0</v>
      </c>
      <c r="E4400">
        <v>0</v>
      </c>
      <c r="F4400">
        <v>0</v>
      </c>
      <c r="G4400">
        <v>0</v>
      </c>
      <c r="H4400">
        <v>0</v>
      </c>
      <c r="I4400" s="3">
        <f t="shared" si="248"/>
        <v>0</v>
      </c>
      <c r="J4400" s="3">
        <f t="shared" si="249"/>
        <v>0</v>
      </c>
      <c r="K4400" s="3">
        <f t="shared" si="250"/>
        <v>0</v>
      </c>
      <c r="L4400" s="3" t="str">
        <f t="shared" si="251"/>
        <v>OPORTUNO</v>
      </c>
    </row>
    <row r="4401" spans="1:15" hidden="1" x14ac:dyDescent="0.25">
      <c r="A4401" s="11">
        <v>46141</v>
      </c>
      <c r="B4401" t="s">
        <v>37</v>
      </c>
      <c r="C4401" t="s">
        <v>16</v>
      </c>
      <c r="D4401">
        <v>29</v>
      </c>
      <c r="E4401">
        <v>26</v>
      </c>
      <c r="F4401">
        <v>18.329999999999998</v>
      </c>
      <c r="G4401">
        <v>0</v>
      </c>
      <c r="H4401">
        <v>0</v>
      </c>
      <c r="I4401" s="3">
        <f t="shared" si="248"/>
        <v>26</v>
      </c>
      <c r="J4401" s="3">
        <f t="shared" si="249"/>
        <v>27</v>
      </c>
      <c r="K4401" s="3">
        <f t="shared" si="250"/>
        <v>-1</v>
      </c>
      <c r="L4401" s="3" t="str">
        <f t="shared" si="251"/>
        <v>ATENÇÃO</v>
      </c>
      <c r="N4401">
        <v>100</v>
      </c>
      <c r="O4401">
        <v>27.941176470588239</v>
      </c>
    </row>
    <row r="4402" spans="1:15" hidden="1" x14ac:dyDescent="0.25">
      <c r="A4402" s="11">
        <v>46141</v>
      </c>
      <c r="B4402" t="s">
        <v>38</v>
      </c>
      <c r="C4402" t="s">
        <v>18</v>
      </c>
      <c r="D4402">
        <v>44</v>
      </c>
      <c r="E4402">
        <v>40</v>
      </c>
      <c r="F4402">
        <v>12.14</v>
      </c>
      <c r="G4402">
        <v>0</v>
      </c>
      <c r="H4402">
        <v>0</v>
      </c>
      <c r="I4402" s="3">
        <f t="shared" si="248"/>
        <v>40</v>
      </c>
      <c r="J4402" s="3">
        <f t="shared" si="249"/>
        <v>33</v>
      </c>
      <c r="K4402" s="3">
        <f t="shared" si="250"/>
        <v>7</v>
      </c>
      <c r="L4402" s="3" t="str">
        <f t="shared" si="251"/>
        <v>MUITO BOM</v>
      </c>
      <c r="N4402">
        <v>99.57</v>
      </c>
      <c r="O4402">
        <v>29.913294797687861</v>
      </c>
    </row>
    <row r="4403" spans="1:15" hidden="1" x14ac:dyDescent="0.25">
      <c r="A4403" s="11">
        <v>46141</v>
      </c>
      <c r="B4403" t="s">
        <v>39</v>
      </c>
      <c r="C4403" t="s">
        <v>18</v>
      </c>
      <c r="D4403">
        <v>22</v>
      </c>
      <c r="E4403">
        <v>20</v>
      </c>
      <c r="F4403">
        <v>15.05</v>
      </c>
      <c r="G4403">
        <v>0</v>
      </c>
      <c r="H4403">
        <v>0</v>
      </c>
      <c r="I4403" s="3">
        <f t="shared" si="248"/>
        <v>20</v>
      </c>
      <c r="J4403" s="3">
        <f t="shared" si="249"/>
        <v>33</v>
      </c>
      <c r="K4403" s="3">
        <f t="shared" si="250"/>
        <v>-13</v>
      </c>
      <c r="L4403" s="3" t="str">
        <f t="shared" si="251"/>
        <v>CRÍTICO</v>
      </c>
      <c r="N4403">
        <v>95.65</v>
      </c>
      <c r="O4403">
        <v>31.081081081081081</v>
      </c>
    </row>
    <row r="4404" spans="1:15" hidden="1" x14ac:dyDescent="0.25">
      <c r="A4404" s="11">
        <v>46141</v>
      </c>
      <c r="B4404" t="s">
        <v>40</v>
      </c>
      <c r="C4404" t="s">
        <v>16</v>
      </c>
      <c r="D4404">
        <v>39</v>
      </c>
      <c r="E4404">
        <v>28</v>
      </c>
      <c r="F4404">
        <v>10.24</v>
      </c>
      <c r="G4404">
        <v>0</v>
      </c>
      <c r="H4404">
        <v>0</v>
      </c>
      <c r="I4404" s="3">
        <f t="shared" si="248"/>
        <v>28</v>
      </c>
      <c r="J4404" s="3">
        <f t="shared" si="249"/>
        <v>27</v>
      </c>
      <c r="K4404" s="3">
        <f t="shared" si="250"/>
        <v>1</v>
      </c>
      <c r="L4404" s="3" t="str">
        <f t="shared" si="251"/>
        <v>OPORTUNO</v>
      </c>
      <c r="N4404">
        <v>98.81</v>
      </c>
      <c r="O4404">
        <v>26.256983240223459</v>
      </c>
    </row>
    <row r="4405" spans="1:15" hidden="1" x14ac:dyDescent="0.25">
      <c r="A4405" s="11">
        <v>46141</v>
      </c>
      <c r="B4405" t="s">
        <v>41</v>
      </c>
      <c r="C4405" t="s">
        <v>18</v>
      </c>
      <c r="D4405">
        <v>0</v>
      </c>
      <c r="E4405">
        <v>0</v>
      </c>
      <c r="F4405">
        <v>0</v>
      </c>
      <c r="G4405">
        <v>0</v>
      </c>
      <c r="H4405">
        <v>0</v>
      </c>
      <c r="I4405" s="3">
        <f t="shared" si="248"/>
        <v>0</v>
      </c>
      <c r="J4405" s="3">
        <f t="shared" si="249"/>
        <v>33</v>
      </c>
      <c r="K4405" s="3">
        <f t="shared" si="250"/>
        <v>-33</v>
      </c>
      <c r="L4405" s="3" t="str">
        <f t="shared" si="251"/>
        <v>CRÍTICO</v>
      </c>
      <c r="N4405">
        <v>0</v>
      </c>
      <c r="O4405">
        <v>0</v>
      </c>
    </row>
    <row r="4406" spans="1:15" hidden="1" x14ac:dyDescent="0.25">
      <c r="A4406" s="11">
        <v>46141</v>
      </c>
      <c r="B4406" t="s">
        <v>42</v>
      </c>
      <c r="C4406" t="s">
        <v>43</v>
      </c>
      <c r="D4406">
        <v>24</v>
      </c>
      <c r="E4406">
        <v>22</v>
      </c>
      <c r="F4406">
        <v>19.14</v>
      </c>
      <c r="G4406">
        <v>0</v>
      </c>
      <c r="H4406">
        <v>0</v>
      </c>
      <c r="I4406" s="3">
        <f t="shared" si="248"/>
        <v>22</v>
      </c>
      <c r="J4406" s="3">
        <f t="shared" si="249"/>
        <v>19</v>
      </c>
      <c r="K4406" s="3">
        <f t="shared" si="250"/>
        <v>3</v>
      </c>
      <c r="L4406" s="3" t="str">
        <f t="shared" si="251"/>
        <v>OPORTUNO</v>
      </c>
      <c r="N4406">
        <v>97.17</v>
      </c>
      <c r="O4406">
        <v>28.81844380403458</v>
      </c>
    </row>
    <row r="4407" spans="1:15" hidden="1" x14ac:dyDescent="0.25">
      <c r="A4407" s="11">
        <v>46141</v>
      </c>
      <c r="B4407" t="s">
        <v>44</v>
      </c>
      <c r="C4407" t="s">
        <v>18</v>
      </c>
      <c r="D4407">
        <v>0</v>
      </c>
      <c r="E4407">
        <v>0</v>
      </c>
      <c r="F4407">
        <v>0</v>
      </c>
      <c r="G4407">
        <v>0</v>
      </c>
      <c r="H4407">
        <v>0</v>
      </c>
      <c r="I4407" s="3">
        <f t="shared" si="248"/>
        <v>0</v>
      </c>
      <c r="J4407" s="3">
        <f t="shared" si="249"/>
        <v>33</v>
      </c>
      <c r="K4407" s="3">
        <f t="shared" si="250"/>
        <v>-33</v>
      </c>
      <c r="L4407" s="3" t="str">
        <f t="shared" si="251"/>
        <v>CRÍTICO</v>
      </c>
      <c r="N4407">
        <v>96.81</v>
      </c>
      <c r="O4407">
        <v>48.018648018648022</v>
      </c>
    </row>
    <row r="4408" spans="1:15" hidden="1" x14ac:dyDescent="0.25">
      <c r="A4408" s="11">
        <v>46141</v>
      </c>
      <c r="B4408" t="s">
        <v>45</v>
      </c>
      <c r="C4408" t="s">
        <v>43</v>
      </c>
      <c r="D4408">
        <v>16</v>
      </c>
      <c r="E4408">
        <v>14</v>
      </c>
      <c r="F4408">
        <v>20.46</v>
      </c>
      <c r="G4408">
        <v>0</v>
      </c>
      <c r="H4408">
        <v>0</v>
      </c>
      <c r="I4408" s="3">
        <f t="shared" si="248"/>
        <v>14</v>
      </c>
      <c r="J4408" s="3">
        <f t="shared" si="249"/>
        <v>19</v>
      </c>
      <c r="K4408" s="3">
        <f t="shared" si="250"/>
        <v>-5</v>
      </c>
      <c r="L4408" s="3" t="str">
        <f t="shared" si="251"/>
        <v>ATENÇÃO</v>
      </c>
      <c r="N4408">
        <v>98.15</v>
      </c>
      <c r="O4408">
        <v>27.1551724137931</v>
      </c>
    </row>
    <row r="4409" spans="1:15" hidden="1" x14ac:dyDescent="0.25">
      <c r="A4409" s="11">
        <v>46141</v>
      </c>
      <c r="B4409" t="s">
        <v>46</v>
      </c>
      <c r="C4409" t="s">
        <v>18</v>
      </c>
      <c r="D4409">
        <v>32</v>
      </c>
      <c r="E4409">
        <v>26</v>
      </c>
      <c r="F4409">
        <v>12.16</v>
      </c>
      <c r="G4409">
        <v>0</v>
      </c>
      <c r="H4409">
        <v>0</v>
      </c>
      <c r="I4409" s="3">
        <f t="shared" si="248"/>
        <v>26</v>
      </c>
      <c r="J4409" s="3">
        <f t="shared" si="249"/>
        <v>33</v>
      </c>
      <c r="K4409" s="3">
        <f t="shared" si="250"/>
        <v>-7</v>
      </c>
      <c r="L4409" s="3" t="str">
        <f t="shared" si="251"/>
        <v>CRÍTICO</v>
      </c>
      <c r="N4409">
        <v>99.15</v>
      </c>
      <c r="O4409">
        <v>27.370689655172409</v>
      </c>
    </row>
    <row r="4410" spans="1:15" hidden="1" x14ac:dyDescent="0.25">
      <c r="A4410" s="11">
        <v>46141</v>
      </c>
      <c r="B4410" t="s">
        <v>47</v>
      </c>
      <c r="C4410" t="s">
        <v>16</v>
      </c>
      <c r="D4410">
        <v>37</v>
      </c>
      <c r="E4410">
        <v>35</v>
      </c>
      <c r="F4410">
        <v>15.55</v>
      </c>
      <c r="G4410">
        <v>0</v>
      </c>
      <c r="H4410">
        <v>0</v>
      </c>
      <c r="I4410" s="3">
        <f t="shared" si="248"/>
        <v>35</v>
      </c>
      <c r="J4410" s="3">
        <f t="shared" si="249"/>
        <v>27</v>
      </c>
      <c r="K4410" s="3">
        <f t="shared" si="250"/>
        <v>8</v>
      </c>
      <c r="L4410" s="3" t="str">
        <f t="shared" si="251"/>
        <v>MUITO BOM</v>
      </c>
      <c r="N4410">
        <v>99.17</v>
      </c>
      <c r="O4410">
        <v>29.75206611570248</v>
      </c>
    </row>
    <row r="4411" spans="1:15" hidden="1" x14ac:dyDescent="0.25">
      <c r="A4411" s="11">
        <v>46141</v>
      </c>
      <c r="B4411" t="s">
        <v>48</v>
      </c>
      <c r="C4411" t="s">
        <v>16</v>
      </c>
      <c r="D4411">
        <v>0</v>
      </c>
      <c r="E4411">
        <v>0</v>
      </c>
      <c r="F4411">
        <v>0</v>
      </c>
      <c r="G4411">
        <v>0</v>
      </c>
      <c r="H4411">
        <v>0</v>
      </c>
      <c r="I4411" s="3">
        <f t="shared" si="248"/>
        <v>0</v>
      </c>
      <c r="J4411" s="3">
        <f t="shared" si="249"/>
        <v>27</v>
      </c>
      <c r="K4411" s="3">
        <f t="shared" si="250"/>
        <v>-27</v>
      </c>
      <c r="L4411" s="3" t="str">
        <f t="shared" si="251"/>
        <v>CRÍTICO</v>
      </c>
      <c r="N4411">
        <v>98.73</v>
      </c>
      <c r="O4411">
        <v>28.961748633879779</v>
      </c>
    </row>
    <row r="4412" spans="1:15" hidden="1" x14ac:dyDescent="0.25">
      <c r="A4412" s="11">
        <v>46141</v>
      </c>
      <c r="B4412" t="s">
        <v>49</v>
      </c>
      <c r="C4412" t="s">
        <v>18</v>
      </c>
      <c r="D4412">
        <v>0</v>
      </c>
      <c r="E4412">
        <v>0</v>
      </c>
      <c r="F4412">
        <v>0</v>
      </c>
      <c r="G4412">
        <v>0</v>
      </c>
      <c r="H4412">
        <v>0</v>
      </c>
      <c r="I4412" s="3">
        <f t="shared" si="248"/>
        <v>0</v>
      </c>
      <c r="J4412" s="3">
        <f t="shared" si="249"/>
        <v>33</v>
      </c>
      <c r="K4412" s="3">
        <f t="shared" si="250"/>
        <v>-33</v>
      </c>
      <c r="L4412" s="3" t="str">
        <f t="shared" si="251"/>
        <v>CRÍTICO</v>
      </c>
      <c r="N4412">
        <v>88.68</v>
      </c>
      <c r="O4412">
        <v>22.03389830508474</v>
      </c>
    </row>
    <row r="4413" spans="1:15" hidden="1" x14ac:dyDescent="0.25">
      <c r="A4413" s="11">
        <v>46141</v>
      </c>
      <c r="B4413" t="s">
        <v>50</v>
      </c>
      <c r="C4413" t="s">
        <v>20</v>
      </c>
      <c r="D4413">
        <v>20</v>
      </c>
      <c r="E4413">
        <v>18</v>
      </c>
      <c r="F4413">
        <v>20.37</v>
      </c>
      <c r="G4413">
        <v>0</v>
      </c>
      <c r="H4413">
        <v>0</v>
      </c>
      <c r="I4413" s="3">
        <f t="shared" si="248"/>
        <v>18</v>
      </c>
      <c r="J4413" s="3">
        <f t="shared" si="249"/>
        <v>22</v>
      </c>
      <c r="K4413" s="3">
        <f t="shared" si="250"/>
        <v>-4</v>
      </c>
      <c r="L4413" s="3" t="str">
        <f t="shared" si="251"/>
        <v>ATENÇÃO</v>
      </c>
      <c r="N4413">
        <v>97.37</v>
      </c>
      <c r="O4413">
        <v>25.76530612244898</v>
      </c>
    </row>
    <row r="4414" spans="1:15" hidden="1" x14ac:dyDescent="0.25">
      <c r="A4414" s="11">
        <v>46141</v>
      </c>
      <c r="B4414" t="s">
        <v>51</v>
      </c>
      <c r="C4414" t="s">
        <v>23</v>
      </c>
      <c r="D4414">
        <v>69</v>
      </c>
      <c r="E4414">
        <v>34</v>
      </c>
      <c r="F4414">
        <v>3.49</v>
      </c>
      <c r="G4414">
        <v>0</v>
      </c>
      <c r="H4414">
        <v>0</v>
      </c>
      <c r="I4414" s="3">
        <f t="shared" si="248"/>
        <v>34</v>
      </c>
      <c r="J4414" s="3">
        <f t="shared" si="249"/>
        <v>9</v>
      </c>
      <c r="K4414" s="3">
        <f t="shared" si="250"/>
        <v>25</v>
      </c>
      <c r="L4414" s="3" t="str">
        <f t="shared" si="251"/>
        <v>MUITO BOM</v>
      </c>
      <c r="N4414">
        <v>100</v>
      </c>
      <c r="O4414">
        <v>25</v>
      </c>
    </row>
    <row r="4415" spans="1:15" hidden="1" x14ac:dyDescent="0.25">
      <c r="A4415" s="11">
        <v>46141</v>
      </c>
      <c r="B4415" t="s">
        <v>52</v>
      </c>
      <c r="C4415" t="s">
        <v>18</v>
      </c>
      <c r="D4415">
        <v>26</v>
      </c>
      <c r="E4415">
        <v>23</v>
      </c>
      <c r="F4415">
        <v>11.5</v>
      </c>
      <c r="G4415">
        <v>0</v>
      </c>
      <c r="H4415">
        <v>0</v>
      </c>
      <c r="I4415" s="3">
        <f t="shared" si="248"/>
        <v>23</v>
      </c>
      <c r="J4415" s="3">
        <f t="shared" si="249"/>
        <v>33</v>
      </c>
      <c r="K4415" s="3">
        <f t="shared" si="250"/>
        <v>-10</v>
      </c>
      <c r="L4415" s="3" t="str">
        <f t="shared" si="251"/>
        <v>CRÍTICO</v>
      </c>
      <c r="N4415">
        <v>100</v>
      </c>
      <c r="O4415">
        <v>23.9870340356564</v>
      </c>
    </row>
    <row r="4416" spans="1:15" hidden="1" x14ac:dyDescent="0.25">
      <c r="A4416" s="11">
        <v>46141</v>
      </c>
      <c r="B4416" t="s">
        <v>53</v>
      </c>
      <c r="C4416" t="s">
        <v>18</v>
      </c>
      <c r="D4416">
        <v>32</v>
      </c>
      <c r="E4416">
        <v>29</v>
      </c>
      <c r="F4416">
        <v>12.35</v>
      </c>
      <c r="G4416">
        <v>0</v>
      </c>
      <c r="H4416">
        <v>0</v>
      </c>
      <c r="I4416" s="3">
        <f t="shared" si="248"/>
        <v>29</v>
      </c>
      <c r="J4416" s="3">
        <f t="shared" si="249"/>
        <v>33</v>
      </c>
      <c r="K4416" s="3">
        <f t="shared" si="250"/>
        <v>-4</v>
      </c>
      <c r="L4416" s="3" t="str">
        <f t="shared" si="251"/>
        <v>ATENÇÃO</v>
      </c>
      <c r="N4416">
        <v>95.49</v>
      </c>
      <c r="O4416">
        <v>28.16901408450704</v>
      </c>
    </row>
    <row r="4417" spans="1:15" hidden="1" x14ac:dyDescent="0.25">
      <c r="A4417" s="11">
        <v>46141</v>
      </c>
      <c r="B4417" t="s">
        <v>54</v>
      </c>
      <c r="C4417" t="s">
        <v>23</v>
      </c>
      <c r="D4417">
        <v>19</v>
      </c>
      <c r="E4417">
        <v>15</v>
      </c>
      <c r="F4417">
        <v>21.55</v>
      </c>
      <c r="G4417">
        <v>0</v>
      </c>
      <c r="H4417">
        <v>0</v>
      </c>
      <c r="I4417" s="3">
        <f t="shared" si="248"/>
        <v>15</v>
      </c>
      <c r="J4417" s="3">
        <f t="shared" si="249"/>
        <v>9</v>
      </c>
      <c r="K4417" s="3">
        <f t="shared" si="250"/>
        <v>6</v>
      </c>
      <c r="L4417" s="3" t="str">
        <f t="shared" si="251"/>
        <v>MUITO BOM</v>
      </c>
      <c r="N4417">
        <v>100</v>
      </c>
      <c r="O4417">
        <v>23.77622377622378</v>
      </c>
    </row>
    <row r="4418" spans="1:15" hidden="1" x14ac:dyDescent="0.25">
      <c r="A4418" s="11">
        <v>46141</v>
      </c>
      <c r="B4418" t="s">
        <v>55</v>
      </c>
      <c r="C4418" t="s">
        <v>43</v>
      </c>
      <c r="D4418">
        <v>0</v>
      </c>
      <c r="E4418">
        <v>0</v>
      </c>
      <c r="F4418">
        <v>0</v>
      </c>
      <c r="G4418">
        <v>0</v>
      </c>
      <c r="H4418">
        <v>0</v>
      </c>
      <c r="I4418" s="3">
        <f t="shared" si="248"/>
        <v>0</v>
      </c>
      <c r="J4418" s="3">
        <f t="shared" si="249"/>
        <v>19</v>
      </c>
      <c r="K4418" s="3">
        <f t="shared" si="250"/>
        <v>-19</v>
      </c>
      <c r="L4418" s="3" t="str">
        <f t="shared" si="251"/>
        <v>CRÍTICO</v>
      </c>
      <c r="N4418">
        <v>96.15</v>
      </c>
      <c r="O4418">
        <v>24.045801526717561</v>
      </c>
    </row>
    <row r="4419" spans="1:15" hidden="1" x14ac:dyDescent="0.25">
      <c r="A4419" s="11">
        <v>46141</v>
      </c>
      <c r="B4419" t="s">
        <v>56</v>
      </c>
      <c r="C4419" t="s">
        <v>16</v>
      </c>
      <c r="D4419">
        <v>0</v>
      </c>
      <c r="E4419">
        <v>0</v>
      </c>
      <c r="F4419">
        <v>0</v>
      </c>
      <c r="G4419">
        <v>0</v>
      </c>
      <c r="H4419">
        <v>0</v>
      </c>
      <c r="I4419" s="3">
        <f t="shared" si="248"/>
        <v>0</v>
      </c>
      <c r="J4419" s="3">
        <f t="shared" si="249"/>
        <v>27</v>
      </c>
      <c r="K4419" s="3">
        <f t="shared" si="250"/>
        <v>-27</v>
      </c>
      <c r="L4419" s="3" t="str">
        <f t="shared" si="251"/>
        <v>CRÍTICO</v>
      </c>
      <c r="N4419">
        <v>99.02</v>
      </c>
      <c r="O4419">
        <v>34.797297297297298</v>
      </c>
    </row>
    <row r="4420" spans="1:15" hidden="1" x14ac:dyDescent="0.25">
      <c r="A4420" s="11">
        <v>46141</v>
      </c>
      <c r="B4420" t="s">
        <v>57</v>
      </c>
      <c r="C4420" t="s">
        <v>43</v>
      </c>
      <c r="D4420">
        <v>23</v>
      </c>
      <c r="E4420">
        <v>22</v>
      </c>
      <c r="F4420">
        <v>17.07</v>
      </c>
      <c r="G4420">
        <v>0</v>
      </c>
      <c r="H4420">
        <v>0</v>
      </c>
      <c r="I4420" s="3">
        <f t="shared" si="248"/>
        <v>22</v>
      </c>
      <c r="J4420" s="3">
        <f t="shared" si="249"/>
        <v>19</v>
      </c>
      <c r="K4420" s="3">
        <f t="shared" si="250"/>
        <v>3</v>
      </c>
      <c r="L4420" s="3" t="str">
        <f t="shared" si="251"/>
        <v>OPORTUNO</v>
      </c>
      <c r="N4420">
        <v>98.84</v>
      </c>
      <c r="O4420">
        <v>31.5018315018315</v>
      </c>
    </row>
    <row r="4421" spans="1:15" hidden="1" x14ac:dyDescent="0.25">
      <c r="A4421" s="11">
        <v>46141</v>
      </c>
      <c r="B4421" t="s">
        <v>58</v>
      </c>
      <c r="C4421" t="s">
        <v>43</v>
      </c>
      <c r="D4421">
        <v>24</v>
      </c>
      <c r="E4421">
        <v>23</v>
      </c>
      <c r="F4421">
        <v>17.3</v>
      </c>
      <c r="G4421">
        <v>0</v>
      </c>
      <c r="H4421">
        <v>0</v>
      </c>
      <c r="I4421" s="3">
        <f t="shared" si="248"/>
        <v>23</v>
      </c>
      <c r="J4421" s="3">
        <f t="shared" si="249"/>
        <v>19</v>
      </c>
      <c r="K4421" s="3">
        <f t="shared" si="250"/>
        <v>4</v>
      </c>
      <c r="L4421" s="3" t="str">
        <f t="shared" si="251"/>
        <v>OPORTUNO</v>
      </c>
      <c r="N4421">
        <v>100</v>
      </c>
      <c r="O4421">
        <v>34.666666666666671</v>
      </c>
    </row>
    <row r="4422" spans="1:15" hidden="1" x14ac:dyDescent="0.25">
      <c r="A4422" s="11">
        <v>46141</v>
      </c>
      <c r="B4422" t="s">
        <v>59</v>
      </c>
      <c r="C4422" t="s">
        <v>23</v>
      </c>
      <c r="D4422">
        <v>19</v>
      </c>
      <c r="E4422">
        <v>17</v>
      </c>
      <c r="F4422">
        <v>18.46</v>
      </c>
      <c r="G4422">
        <v>0</v>
      </c>
      <c r="H4422">
        <v>0</v>
      </c>
      <c r="I4422" s="3">
        <f t="shared" si="248"/>
        <v>17</v>
      </c>
      <c r="J4422" s="3">
        <f t="shared" si="249"/>
        <v>9</v>
      </c>
      <c r="K4422" s="3">
        <f t="shared" si="250"/>
        <v>8</v>
      </c>
      <c r="L4422" s="3" t="str">
        <f t="shared" si="251"/>
        <v>MUITO BOM</v>
      </c>
      <c r="N4422">
        <v>94.12</v>
      </c>
      <c r="O4422">
        <v>32.799999999999997</v>
      </c>
    </row>
    <row r="4423" spans="1:15" hidden="1" x14ac:dyDescent="0.25">
      <c r="A4423" s="11">
        <v>46141</v>
      </c>
      <c r="B4423" t="s">
        <v>60</v>
      </c>
      <c r="C4423" t="s">
        <v>20</v>
      </c>
      <c r="D4423">
        <v>32</v>
      </c>
      <c r="E4423">
        <v>28</v>
      </c>
      <c r="F4423">
        <v>13.21</v>
      </c>
      <c r="G4423">
        <v>0</v>
      </c>
      <c r="H4423">
        <v>0</v>
      </c>
      <c r="I4423" s="3">
        <f t="shared" si="248"/>
        <v>28</v>
      </c>
      <c r="J4423" s="3">
        <f t="shared" si="249"/>
        <v>22</v>
      </c>
      <c r="K4423" s="3">
        <f t="shared" si="250"/>
        <v>6</v>
      </c>
      <c r="L4423" s="3" t="str">
        <f t="shared" si="251"/>
        <v>MUITO BOM</v>
      </c>
      <c r="N4423">
        <v>98.32</v>
      </c>
      <c r="O4423">
        <v>26.618705035971221</v>
      </c>
    </row>
    <row r="4424" spans="1:15" hidden="1" x14ac:dyDescent="0.25">
      <c r="A4424" s="11">
        <v>46141</v>
      </c>
      <c r="B4424" t="s">
        <v>61</v>
      </c>
      <c r="C4424" t="s">
        <v>18</v>
      </c>
      <c r="D4424">
        <v>52</v>
      </c>
      <c r="E4424">
        <v>48</v>
      </c>
      <c r="F4424">
        <v>10.56</v>
      </c>
      <c r="G4424">
        <v>0</v>
      </c>
      <c r="H4424">
        <v>0</v>
      </c>
      <c r="I4424" s="3">
        <f t="shared" si="248"/>
        <v>48</v>
      </c>
      <c r="J4424" s="3">
        <f t="shared" si="249"/>
        <v>33</v>
      </c>
      <c r="K4424" s="3">
        <f t="shared" si="250"/>
        <v>15</v>
      </c>
      <c r="L4424" s="3" t="str">
        <f t="shared" si="251"/>
        <v>MUITO BOM</v>
      </c>
      <c r="N4424">
        <v>100</v>
      </c>
      <c r="O4424">
        <v>31.135531135531139</v>
      </c>
    </row>
    <row r="4425" spans="1:15" hidden="1" x14ac:dyDescent="0.25">
      <c r="A4425" s="11">
        <v>46141</v>
      </c>
      <c r="B4425" t="s">
        <v>62</v>
      </c>
      <c r="C4425" t="s">
        <v>20</v>
      </c>
      <c r="D4425">
        <v>15</v>
      </c>
      <c r="E4425">
        <v>14</v>
      </c>
      <c r="F4425">
        <v>23.58</v>
      </c>
      <c r="G4425">
        <v>0</v>
      </c>
      <c r="H4425">
        <v>0</v>
      </c>
      <c r="I4425" s="3">
        <f t="shared" si="248"/>
        <v>14</v>
      </c>
      <c r="J4425" s="3">
        <f t="shared" si="249"/>
        <v>22</v>
      </c>
      <c r="K4425" s="3">
        <f t="shared" si="250"/>
        <v>-8</v>
      </c>
      <c r="L4425" s="3" t="str">
        <f t="shared" si="251"/>
        <v>CRÍTICO</v>
      </c>
      <c r="N4425">
        <v>100</v>
      </c>
      <c r="O4425">
        <v>26.027397260273968</v>
      </c>
    </row>
    <row r="4426" spans="1:15" hidden="1" x14ac:dyDescent="0.25">
      <c r="A4426" s="11">
        <v>46141</v>
      </c>
      <c r="B4426" t="s">
        <v>63</v>
      </c>
      <c r="C4426" t="s">
        <v>18</v>
      </c>
      <c r="D4426">
        <v>30</v>
      </c>
      <c r="E4426">
        <v>30</v>
      </c>
      <c r="F4426">
        <v>15</v>
      </c>
      <c r="G4426">
        <v>0</v>
      </c>
      <c r="H4426">
        <v>0</v>
      </c>
      <c r="I4426" s="3">
        <f t="shared" si="248"/>
        <v>30</v>
      </c>
      <c r="J4426" s="3">
        <f t="shared" si="249"/>
        <v>33</v>
      </c>
      <c r="K4426" s="3">
        <f t="shared" si="250"/>
        <v>-3</v>
      </c>
      <c r="L4426" s="3" t="str">
        <f t="shared" si="251"/>
        <v>ATENÇÃO</v>
      </c>
      <c r="N4426">
        <v>99.21</v>
      </c>
      <c r="O4426">
        <v>24.937027707808561</v>
      </c>
    </row>
    <row r="4427" spans="1:15" hidden="1" x14ac:dyDescent="0.25">
      <c r="A4427" s="11">
        <v>46142</v>
      </c>
      <c r="B4427" t="s">
        <v>15</v>
      </c>
      <c r="C4427" t="s">
        <v>16</v>
      </c>
      <c r="D4427">
        <v>12</v>
      </c>
      <c r="E4427">
        <v>10</v>
      </c>
      <c r="F4427">
        <v>9.1199999999999992</v>
      </c>
      <c r="G4427">
        <v>0</v>
      </c>
      <c r="H4427">
        <v>0</v>
      </c>
      <c r="I4427" s="3">
        <f t="shared" si="248"/>
        <v>10</v>
      </c>
      <c r="J4427" s="3">
        <f t="shared" si="249"/>
        <v>24</v>
      </c>
      <c r="K4427" s="3">
        <f t="shared" si="250"/>
        <v>-14</v>
      </c>
      <c r="L4427" s="3" t="str">
        <f t="shared" si="251"/>
        <v>CRÍTICO</v>
      </c>
      <c r="N4427">
        <v>100</v>
      </c>
      <c r="O4427">
        <v>32.764505119453922</v>
      </c>
    </row>
    <row r="4428" spans="1:15" hidden="1" x14ac:dyDescent="0.25">
      <c r="A4428" s="11">
        <v>46142</v>
      </c>
      <c r="B4428" t="s">
        <v>17</v>
      </c>
      <c r="C4428" t="s">
        <v>18</v>
      </c>
      <c r="D4428">
        <v>0</v>
      </c>
      <c r="E4428">
        <v>0</v>
      </c>
      <c r="F4428">
        <v>0</v>
      </c>
      <c r="G4428">
        <v>0</v>
      </c>
      <c r="H4428">
        <v>0</v>
      </c>
      <c r="I4428" s="3">
        <f t="shared" si="248"/>
        <v>0</v>
      </c>
      <c r="J4428" s="3">
        <f t="shared" si="249"/>
        <v>30</v>
      </c>
      <c r="K4428" s="3">
        <f t="shared" si="250"/>
        <v>-30</v>
      </c>
      <c r="L4428" s="3" t="str">
        <f t="shared" si="251"/>
        <v>CRÍTICO</v>
      </c>
      <c r="N4428">
        <v>98.66</v>
      </c>
      <c r="O4428">
        <v>35.15625</v>
      </c>
    </row>
    <row r="4429" spans="1:15" hidden="1" x14ac:dyDescent="0.25">
      <c r="A4429" s="11">
        <v>46142</v>
      </c>
      <c r="B4429" t="s">
        <v>19</v>
      </c>
      <c r="C4429" t="s">
        <v>20</v>
      </c>
      <c r="D4429">
        <v>26</v>
      </c>
      <c r="E4429">
        <v>24</v>
      </c>
      <c r="F4429">
        <v>18.239999999999998</v>
      </c>
      <c r="G4429">
        <v>0</v>
      </c>
      <c r="H4429">
        <v>0</v>
      </c>
      <c r="I4429" s="3">
        <f t="shared" si="248"/>
        <v>24</v>
      </c>
      <c r="J4429" s="3">
        <f t="shared" si="249"/>
        <v>20</v>
      </c>
      <c r="K4429" s="3">
        <f t="shared" si="250"/>
        <v>4</v>
      </c>
      <c r="L4429" s="3" t="str">
        <f t="shared" si="251"/>
        <v>OPORTUNO</v>
      </c>
      <c r="N4429">
        <v>99.32</v>
      </c>
      <c r="O4429">
        <v>30.45186640471513</v>
      </c>
    </row>
    <row r="4430" spans="1:15" hidden="1" x14ac:dyDescent="0.25">
      <c r="A4430" s="11">
        <v>46142</v>
      </c>
      <c r="B4430" t="s">
        <v>21</v>
      </c>
      <c r="C4430" t="s">
        <v>18</v>
      </c>
      <c r="D4430">
        <v>33</v>
      </c>
      <c r="E4430">
        <v>32</v>
      </c>
      <c r="F4430">
        <v>13.4</v>
      </c>
      <c r="G4430">
        <v>0</v>
      </c>
      <c r="H4430">
        <v>0</v>
      </c>
      <c r="I4430" s="3">
        <f t="shared" si="248"/>
        <v>32</v>
      </c>
      <c r="J4430" s="3">
        <f t="shared" si="249"/>
        <v>30</v>
      </c>
      <c r="K4430" s="3">
        <f t="shared" si="250"/>
        <v>2</v>
      </c>
      <c r="L4430" s="3" t="str">
        <f t="shared" si="251"/>
        <v>OPORTUNO</v>
      </c>
      <c r="N4430">
        <v>100</v>
      </c>
      <c r="O4430">
        <v>27.803738317757009</v>
      </c>
    </row>
    <row r="4431" spans="1:15" hidden="1" x14ac:dyDescent="0.25">
      <c r="A4431" s="11">
        <v>46142</v>
      </c>
      <c r="B4431" t="s">
        <v>22</v>
      </c>
      <c r="C4431" t="s">
        <v>23</v>
      </c>
      <c r="D4431">
        <v>34</v>
      </c>
      <c r="E4431">
        <v>33</v>
      </c>
      <c r="F4431">
        <v>14.16</v>
      </c>
      <c r="G4431">
        <v>0</v>
      </c>
      <c r="H4431">
        <v>0</v>
      </c>
      <c r="I4431" s="3">
        <f t="shared" si="248"/>
        <v>33</v>
      </c>
      <c r="J4431" s="3">
        <f t="shared" si="249"/>
        <v>9</v>
      </c>
      <c r="K4431" s="3">
        <f t="shared" si="250"/>
        <v>24</v>
      </c>
      <c r="L4431" s="3" t="str">
        <f t="shared" si="251"/>
        <v>MUITO BOM</v>
      </c>
      <c r="N4431">
        <v>96.74</v>
      </c>
      <c r="O4431">
        <v>28.43137254901961</v>
      </c>
    </row>
    <row r="4432" spans="1:15" hidden="1" x14ac:dyDescent="0.25">
      <c r="A4432" s="11">
        <v>46142</v>
      </c>
      <c r="B4432" t="s">
        <v>24</v>
      </c>
      <c r="C4432" t="s">
        <v>16</v>
      </c>
      <c r="D4432">
        <v>32</v>
      </c>
      <c r="E4432">
        <v>31</v>
      </c>
      <c r="F4432">
        <v>13.5</v>
      </c>
      <c r="G4432">
        <v>0</v>
      </c>
      <c r="H4432">
        <v>0</v>
      </c>
      <c r="I4432" s="3">
        <f t="shared" si="248"/>
        <v>31</v>
      </c>
      <c r="J4432" s="3">
        <f t="shared" si="249"/>
        <v>24</v>
      </c>
      <c r="K4432" s="3">
        <f t="shared" si="250"/>
        <v>7</v>
      </c>
      <c r="L4432" s="3" t="str">
        <f t="shared" si="251"/>
        <v>MUITO BOM</v>
      </c>
      <c r="N4432">
        <v>98.82</v>
      </c>
      <c r="O4432">
        <v>30.741410488245929</v>
      </c>
    </row>
    <row r="4433" spans="1:15" hidden="1" x14ac:dyDescent="0.25">
      <c r="A4433" s="11">
        <v>46142</v>
      </c>
      <c r="B4433" t="s">
        <v>25</v>
      </c>
      <c r="C4433" t="s">
        <v>16</v>
      </c>
      <c r="D4433">
        <v>32</v>
      </c>
      <c r="E4433">
        <v>30</v>
      </c>
      <c r="F4433">
        <v>15.09</v>
      </c>
      <c r="G4433">
        <v>0</v>
      </c>
      <c r="H4433">
        <v>0</v>
      </c>
      <c r="I4433" s="3">
        <f t="shared" si="248"/>
        <v>30</v>
      </c>
      <c r="J4433" s="3">
        <f t="shared" si="249"/>
        <v>24</v>
      </c>
      <c r="K4433" s="3">
        <f t="shared" si="250"/>
        <v>6</v>
      </c>
      <c r="L4433" s="3" t="str">
        <f t="shared" si="251"/>
        <v>MUITO BOM</v>
      </c>
      <c r="N4433">
        <v>98.2</v>
      </c>
      <c r="O4433">
        <v>26.890756302521009</v>
      </c>
    </row>
    <row r="4434" spans="1:15" hidden="1" x14ac:dyDescent="0.25">
      <c r="A4434" s="11">
        <v>46142</v>
      </c>
      <c r="B4434" t="s">
        <v>26</v>
      </c>
      <c r="C4434" t="s">
        <v>23</v>
      </c>
      <c r="D4434">
        <v>6</v>
      </c>
      <c r="E4434">
        <v>6</v>
      </c>
      <c r="F4434">
        <v>28.42</v>
      </c>
      <c r="G4434">
        <v>0</v>
      </c>
      <c r="H4434">
        <v>0</v>
      </c>
      <c r="I4434" s="3">
        <f t="shared" si="248"/>
        <v>6</v>
      </c>
      <c r="J4434" s="3">
        <f t="shared" si="249"/>
        <v>9</v>
      </c>
      <c r="K4434" s="3">
        <f t="shared" si="250"/>
        <v>-3</v>
      </c>
      <c r="L4434" s="3" t="str">
        <f t="shared" si="251"/>
        <v>ATENÇÃO</v>
      </c>
      <c r="N4434">
        <v>100</v>
      </c>
      <c r="O4434">
        <v>23.134328358208951</v>
      </c>
    </row>
    <row r="4435" spans="1:15" hidden="1" x14ac:dyDescent="0.25">
      <c r="A4435" s="11">
        <v>46142</v>
      </c>
      <c r="B4435" t="s">
        <v>27</v>
      </c>
      <c r="C4435" t="s">
        <v>20</v>
      </c>
      <c r="D4435">
        <v>23</v>
      </c>
      <c r="E4435">
        <v>23</v>
      </c>
      <c r="F4435">
        <v>25.3</v>
      </c>
      <c r="G4435">
        <v>0</v>
      </c>
      <c r="H4435">
        <v>0</v>
      </c>
      <c r="I4435" s="3">
        <f t="shared" si="248"/>
        <v>23</v>
      </c>
      <c r="J4435" s="3">
        <f t="shared" si="249"/>
        <v>20</v>
      </c>
      <c r="K4435" s="3">
        <f t="shared" si="250"/>
        <v>3</v>
      </c>
      <c r="L4435" s="3" t="str">
        <f t="shared" si="251"/>
        <v>OPORTUNO</v>
      </c>
      <c r="N4435">
        <v>96.3</v>
      </c>
      <c r="O4435">
        <v>31.980906921241051</v>
      </c>
    </row>
    <row r="4436" spans="1:15" hidden="1" x14ac:dyDescent="0.25">
      <c r="A4436" s="11">
        <v>46142</v>
      </c>
      <c r="B4436" t="s">
        <v>28</v>
      </c>
      <c r="C4436" t="s">
        <v>18</v>
      </c>
      <c r="D4436">
        <v>39</v>
      </c>
      <c r="E4436">
        <v>37</v>
      </c>
      <c r="F4436">
        <v>11.54</v>
      </c>
      <c r="G4436">
        <v>0</v>
      </c>
      <c r="H4436">
        <v>0</v>
      </c>
      <c r="I4436" s="3">
        <f t="shared" si="248"/>
        <v>37</v>
      </c>
      <c r="J4436" s="3">
        <f t="shared" si="249"/>
        <v>30</v>
      </c>
      <c r="K4436" s="3">
        <f t="shared" si="250"/>
        <v>7</v>
      </c>
      <c r="L4436" s="3" t="str">
        <f t="shared" si="251"/>
        <v>MUITO BOM</v>
      </c>
      <c r="N4436">
        <v>93.75</v>
      </c>
      <c r="O4436">
        <v>26.628352490421459</v>
      </c>
    </row>
    <row r="4437" spans="1:15" hidden="1" x14ac:dyDescent="0.25">
      <c r="A4437" s="11">
        <v>46142</v>
      </c>
      <c r="B4437" t="s">
        <v>29</v>
      </c>
      <c r="C4437" t="s">
        <v>16</v>
      </c>
      <c r="D4437">
        <v>0</v>
      </c>
      <c r="E4437">
        <v>0</v>
      </c>
      <c r="F4437">
        <v>0</v>
      </c>
      <c r="G4437">
        <v>0</v>
      </c>
      <c r="H4437">
        <v>0</v>
      </c>
      <c r="I4437" s="3">
        <f t="shared" si="248"/>
        <v>0</v>
      </c>
      <c r="J4437" s="3">
        <f t="shared" si="249"/>
        <v>24</v>
      </c>
      <c r="K4437" s="3">
        <f t="shared" si="250"/>
        <v>-24</v>
      </c>
      <c r="L4437" s="3" t="str">
        <f t="shared" si="251"/>
        <v>CRÍTICO</v>
      </c>
      <c r="N4437">
        <v>97.86</v>
      </c>
      <c r="O4437">
        <v>31.018518518518519</v>
      </c>
    </row>
    <row r="4438" spans="1:15" hidden="1" x14ac:dyDescent="0.25">
      <c r="A4438" s="11">
        <v>46142</v>
      </c>
      <c r="B4438" t="s">
        <v>30</v>
      </c>
      <c r="C4438" t="s">
        <v>20</v>
      </c>
      <c r="D4438">
        <v>23</v>
      </c>
      <c r="E4438">
        <v>23</v>
      </c>
      <c r="F4438">
        <v>20.21</v>
      </c>
      <c r="G4438">
        <v>0</v>
      </c>
      <c r="H4438">
        <v>0</v>
      </c>
      <c r="I4438" s="3">
        <f t="shared" si="248"/>
        <v>23</v>
      </c>
      <c r="J4438" s="3">
        <f t="shared" si="249"/>
        <v>20</v>
      </c>
      <c r="K4438" s="3">
        <f t="shared" si="250"/>
        <v>3</v>
      </c>
      <c r="L4438" s="3" t="str">
        <f t="shared" si="251"/>
        <v>OPORTUNO</v>
      </c>
      <c r="N4438">
        <v>100</v>
      </c>
      <c r="O4438">
        <v>36.231884057971023</v>
      </c>
    </row>
    <row r="4439" spans="1:15" hidden="1" x14ac:dyDescent="0.25">
      <c r="A4439" s="11">
        <v>46142</v>
      </c>
      <c r="B4439" t="s">
        <v>31</v>
      </c>
      <c r="C4439" t="s">
        <v>18</v>
      </c>
      <c r="D4439">
        <v>0</v>
      </c>
      <c r="E4439">
        <v>0</v>
      </c>
      <c r="F4439">
        <v>0</v>
      </c>
      <c r="G4439">
        <v>0</v>
      </c>
      <c r="H4439">
        <v>0</v>
      </c>
      <c r="I4439" s="3">
        <f t="shared" si="248"/>
        <v>0</v>
      </c>
      <c r="J4439" s="3">
        <f t="shared" si="249"/>
        <v>30</v>
      </c>
      <c r="K4439" s="3">
        <f t="shared" si="250"/>
        <v>-30</v>
      </c>
      <c r="L4439" s="3" t="str">
        <f t="shared" si="251"/>
        <v>CRÍTICO</v>
      </c>
      <c r="N4439">
        <v>100</v>
      </c>
      <c r="O4439">
        <v>38.269230769230766</v>
      </c>
    </row>
    <row r="4440" spans="1:15" hidden="1" x14ac:dyDescent="0.25">
      <c r="A4440" s="11">
        <v>46142</v>
      </c>
      <c r="B4440" t="s">
        <v>32</v>
      </c>
      <c r="C4440" t="s">
        <v>23</v>
      </c>
      <c r="D4440">
        <v>32</v>
      </c>
      <c r="E4440">
        <v>23</v>
      </c>
      <c r="F4440">
        <v>4.1399999999999997</v>
      </c>
      <c r="G4440">
        <v>0</v>
      </c>
      <c r="H4440">
        <v>0</v>
      </c>
      <c r="I4440" s="3">
        <f t="shared" si="248"/>
        <v>23</v>
      </c>
      <c r="J4440" s="3">
        <f t="shared" si="249"/>
        <v>9</v>
      </c>
      <c r="K4440" s="3">
        <f t="shared" si="250"/>
        <v>14</v>
      </c>
      <c r="L4440" s="3" t="str">
        <f t="shared" si="251"/>
        <v>MUITO BOM</v>
      </c>
      <c r="N4440">
        <v>100</v>
      </c>
      <c r="O4440">
        <v>27.368421052631579</v>
      </c>
    </row>
    <row r="4441" spans="1:15" hidden="1" x14ac:dyDescent="0.25">
      <c r="A4441" s="11">
        <v>46142</v>
      </c>
      <c r="B4441" t="s">
        <v>33</v>
      </c>
      <c r="C4441" t="s">
        <v>16</v>
      </c>
      <c r="D4441">
        <v>38</v>
      </c>
      <c r="E4441">
        <v>38</v>
      </c>
      <c r="F4441">
        <v>15.02</v>
      </c>
      <c r="G4441">
        <v>0</v>
      </c>
      <c r="H4441">
        <v>0</v>
      </c>
      <c r="I4441" s="3">
        <f t="shared" si="248"/>
        <v>38</v>
      </c>
      <c r="J4441" s="3">
        <f t="shared" si="249"/>
        <v>24</v>
      </c>
      <c r="K4441" s="3">
        <f t="shared" si="250"/>
        <v>14</v>
      </c>
      <c r="L4441" s="3" t="str">
        <f t="shared" si="251"/>
        <v>MUITO BOM</v>
      </c>
      <c r="N4441">
        <v>97.83</v>
      </c>
      <c r="O4441">
        <v>28.131868131868131</v>
      </c>
    </row>
    <row r="4442" spans="1:15" hidden="1" x14ac:dyDescent="0.25">
      <c r="A4442" s="11">
        <v>46142</v>
      </c>
      <c r="B4442" t="s">
        <v>34</v>
      </c>
      <c r="C4442" t="s">
        <v>18</v>
      </c>
      <c r="D4442">
        <v>29</v>
      </c>
      <c r="E4442">
        <v>26</v>
      </c>
      <c r="F4442">
        <v>15.07</v>
      </c>
      <c r="G4442">
        <v>0</v>
      </c>
      <c r="H4442">
        <v>0</v>
      </c>
      <c r="I4442" s="3">
        <f t="shared" si="248"/>
        <v>26</v>
      </c>
      <c r="J4442" s="3">
        <f t="shared" si="249"/>
        <v>30</v>
      </c>
      <c r="K4442" s="3">
        <f t="shared" si="250"/>
        <v>-4</v>
      </c>
      <c r="L4442" s="3" t="str">
        <f t="shared" si="251"/>
        <v>ATENÇÃO</v>
      </c>
      <c r="N4442">
        <v>99.26</v>
      </c>
      <c r="O4442">
        <v>29.57198443579767</v>
      </c>
    </row>
    <row r="4443" spans="1:15" hidden="1" x14ac:dyDescent="0.25">
      <c r="A4443" s="11">
        <v>46142</v>
      </c>
      <c r="B4443" t="s">
        <v>35</v>
      </c>
      <c r="C4443" t="s">
        <v>16</v>
      </c>
      <c r="D4443">
        <v>42</v>
      </c>
      <c r="E4443">
        <v>42</v>
      </c>
      <c r="F4443">
        <v>16.41</v>
      </c>
      <c r="G4443">
        <v>0</v>
      </c>
      <c r="H4443">
        <v>0</v>
      </c>
      <c r="I4443" s="3">
        <f t="shared" ref="I4443:I4470" si="252">E4443+G4443+H4443</f>
        <v>42</v>
      </c>
      <c r="J4443" s="3">
        <f t="shared" ref="J4443:J4470" si="253"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24</v>
      </c>
      <c r="K4443" s="3">
        <f t="shared" ref="K4443:K4470" si="254">I4443-J4443</f>
        <v>18</v>
      </c>
      <c r="L4443" s="3" t="str">
        <f t="shared" ref="L4443:L4470" si="255">IF(K4443&lt;-5,"CRÍTICO",IF(K4443&lt;0,"ATENÇÃO",IF(K4443&lt;=5,"OPORTUNO","MUITO BOM")))</f>
        <v>MUITO BOM</v>
      </c>
      <c r="N4443">
        <v>99.19</v>
      </c>
      <c r="O4443">
        <v>29.462365591397852</v>
      </c>
    </row>
    <row r="4444" spans="1:15" hidden="1" x14ac:dyDescent="0.25">
      <c r="A4444" s="11">
        <v>46167</v>
      </c>
      <c r="B4444" t="s">
        <v>36</v>
      </c>
      <c r="C4444" t="s">
        <v>20</v>
      </c>
      <c r="D4444">
        <v>0</v>
      </c>
      <c r="E4444">
        <v>0</v>
      </c>
      <c r="F4444">
        <v>0</v>
      </c>
      <c r="G4444">
        <v>0</v>
      </c>
      <c r="H4444">
        <v>0</v>
      </c>
      <c r="I4444" s="3">
        <f t="shared" si="252"/>
        <v>0</v>
      </c>
      <c r="J4444" s="3">
        <f t="shared" si="253"/>
        <v>0</v>
      </c>
      <c r="K4444" s="3">
        <f t="shared" si="254"/>
        <v>0</v>
      </c>
      <c r="L4444" s="3" t="str">
        <f t="shared" si="255"/>
        <v>OPORTUNO</v>
      </c>
    </row>
    <row r="4445" spans="1:15" hidden="1" x14ac:dyDescent="0.25">
      <c r="A4445" s="11">
        <v>46142</v>
      </c>
      <c r="B4445" t="s">
        <v>37</v>
      </c>
      <c r="C4445" t="s">
        <v>16</v>
      </c>
      <c r="D4445">
        <v>25</v>
      </c>
      <c r="E4445">
        <v>25</v>
      </c>
      <c r="F4445">
        <v>18.5</v>
      </c>
      <c r="G4445">
        <v>0</v>
      </c>
      <c r="H4445">
        <v>0</v>
      </c>
      <c r="I4445" s="3">
        <f t="shared" si="252"/>
        <v>25</v>
      </c>
      <c r="J4445" s="3">
        <f t="shared" si="253"/>
        <v>24</v>
      </c>
      <c r="K4445" s="3">
        <f t="shared" si="254"/>
        <v>1</v>
      </c>
      <c r="L4445" s="3" t="str">
        <f t="shared" si="255"/>
        <v>OPORTUNO</v>
      </c>
      <c r="N4445">
        <v>100</v>
      </c>
      <c r="O4445">
        <v>27.941176470588239</v>
      </c>
    </row>
    <row r="4446" spans="1:15" hidden="1" x14ac:dyDescent="0.25">
      <c r="A4446" s="11">
        <v>46142</v>
      </c>
      <c r="B4446" t="s">
        <v>38</v>
      </c>
      <c r="C4446" t="s">
        <v>18</v>
      </c>
      <c r="D4446">
        <v>47</v>
      </c>
      <c r="E4446">
        <v>42</v>
      </c>
      <c r="F4446">
        <v>12.14</v>
      </c>
      <c r="G4446">
        <v>0</v>
      </c>
      <c r="H4446">
        <v>0</v>
      </c>
      <c r="I4446" s="3">
        <f t="shared" si="252"/>
        <v>42</v>
      </c>
      <c r="J4446" s="3">
        <f t="shared" si="253"/>
        <v>30</v>
      </c>
      <c r="K4446" s="3">
        <f t="shared" si="254"/>
        <v>12</v>
      </c>
      <c r="L4446" s="3" t="str">
        <f t="shared" si="255"/>
        <v>MUITO BOM</v>
      </c>
      <c r="N4446">
        <v>99.57</v>
      </c>
      <c r="O4446">
        <v>29.913294797687861</v>
      </c>
    </row>
    <row r="4447" spans="1:15" hidden="1" x14ac:dyDescent="0.25">
      <c r="A4447" s="11">
        <v>46142</v>
      </c>
      <c r="B4447" t="s">
        <v>39</v>
      </c>
      <c r="C4447" t="s">
        <v>18</v>
      </c>
      <c r="D4447">
        <v>0</v>
      </c>
      <c r="E4447">
        <v>0</v>
      </c>
      <c r="F4447">
        <v>0</v>
      </c>
      <c r="G4447">
        <v>0</v>
      </c>
      <c r="H4447">
        <v>0</v>
      </c>
      <c r="I4447" s="3">
        <f t="shared" si="252"/>
        <v>0</v>
      </c>
      <c r="J4447" s="3">
        <f t="shared" si="253"/>
        <v>30</v>
      </c>
      <c r="K4447" s="3">
        <f t="shared" si="254"/>
        <v>-30</v>
      </c>
      <c r="L4447" s="3" t="str">
        <f t="shared" si="255"/>
        <v>CRÍTICO</v>
      </c>
      <c r="N4447">
        <v>95.65</v>
      </c>
      <c r="O4447">
        <v>31.081081081081081</v>
      </c>
    </row>
    <row r="4448" spans="1:15" hidden="1" x14ac:dyDescent="0.25">
      <c r="A4448" s="11">
        <v>46142</v>
      </c>
      <c r="B4448" t="s">
        <v>40</v>
      </c>
      <c r="C4448" t="s">
        <v>16</v>
      </c>
      <c r="D4448">
        <v>21</v>
      </c>
      <c r="E4448">
        <v>16</v>
      </c>
      <c r="F4448">
        <v>11.48</v>
      </c>
      <c r="G4448">
        <v>0</v>
      </c>
      <c r="H4448">
        <v>0</v>
      </c>
      <c r="I4448" s="3">
        <f t="shared" si="252"/>
        <v>16</v>
      </c>
      <c r="J4448" s="3">
        <f t="shared" si="253"/>
        <v>24</v>
      </c>
      <c r="K4448" s="3">
        <f t="shared" si="254"/>
        <v>-8</v>
      </c>
      <c r="L4448" s="3" t="str">
        <f t="shared" si="255"/>
        <v>CRÍTICO</v>
      </c>
      <c r="N4448">
        <v>98.81</v>
      </c>
      <c r="O4448">
        <v>26.256983240223459</v>
      </c>
    </row>
    <row r="4449" spans="1:15" hidden="1" x14ac:dyDescent="0.25">
      <c r="A4449" s="11">
        <v>46142</v>
      </c>
      <c r="B4449" t="s">
        <v>41</v>
      </c>
      <c r="C4449" t="s">
        <v>18</v>
      </c>
      <c r="D4449">
        <v>0</v>
      </c>
      <c r="E4449">
        <v>0</v>
      </c>
      <c r="F4449">
        <v>0</v>
      </c>
      <c r="G4449">
        <v>0</v>
      </c>
      <c r="H4449">
        <v>0</v>
      </c>
      <c r="I4449" s="3">
        <f t="shared" si="252"/>
        <v>0</v>
      </c>
      <c r="J4449" s="3">
        <f t="shared" si="253"/>
        <v>30</v>
      </c>
      <c r="K4449" s="3">
        <f t="shared" si="254"/>
        <v>-30</v>
      </c>
      <c r="L4449" s="3" t="str">
        <f t="shared" si="255"/>
        <v>CRÍTICO</v>
      </c>
      <c r="N4449">
        <v>0</v>
      </c>
      <c r="O4449">
        <v>0</v>
      </c>
    </row>
    <row r="4450" spans="1:15" hidden="1" x14ac:dyDescent="0.25">
      <c r="A4450" s="11">
        <v>46142</v>
      </c>
      <c r="B4450" t="s">
        <v>42</v>
      </c>
      <c r="C4450" t="s">
        <v>43</v>
      </c>
      <c r="D4450">
        <v>19</v>
      </c>
      <c r="E4450">
        <v>17</v>
      </c>
      <c r="F4450">
        <v>19.12</v>
      </c>
      <c r="G4450">
        <v>0</v>
      </c>
      <c r="H4450">
        <v>0</v>
      </c>
      <c r="I4450" s="3">
        <f t="shared" si="252"/>
        <v>17</v>
      </c>
      <c r="J4450" s="3">
        <f t="shared" si="253"/>
        <v>17</v>
      </c>
      <c r="K4450" s="3">
        <f t="shared" si="254"/>
        <v>0</v>
      </c>
      <c r="L4450" s="3" t="str">
        <f t="shared" si="255"/>
        <v>OPORTUNO</v>
      </c>
      <c r="N4450">
        <v>97.17</v>
      </c>
      <c r="O4450">
        <v>28.81844380403458</v>
      </c>
    </row>
    <row r="4451" spans="1:15" hidden="1" x14ac:dyDescent="0.25">
      <c r="A4451" s="11">
        <v>46142</v>
      </c>
      <c r="B4451" t="s">
        <v>44</v>
      </c>
      <c r="C4451" t="s">
        <v>18</v>
      </c>
      <c r="D4451">
        <v>0</v>
      </c>
      <c r="E4451">
        <v>0</v>
      </c>
      <c r="F4451">
        <v>0</v>
      </c>
      <c r="G4451">
        <v>0</v>
      </c>
      <c r="H4451">
        <v>0</v>
      </c>
      <c r="I4451" s="3">
        <f t="shared" si="252"/>
        <v>0</v>
      </c>
      <c r="J4451" s="3">
        <f t="shared" si="253"/>
        <v>30</v>
      </c>
      <c r="K4451" s="3">
        <f t="shared" si="254"/>
        <v>-30</v>
      </c>
      <c r="L4451" s="3" t="str">
        <f t="shared" si="255"/>
        <v>CRÍTICO</v>
      </c>
      <c r="N4451">
        <v>96.81</v>
      </c>
      <c r="O4451">
        <v>48.018648018648022</v>
      </c>
    </row>
    <row r="4452" spans="1:15" hidden="1" x14ac:dyDescent="0.25">
      <c r="A4452" s="11">
        <v>46142</v>
      </c>
      <c r="B4452" t="s">
        <v>45</v>
      </c>
      <c r="C4452" t="s">
        <v>43</v>
      </c>
      <c r="D4452">
        <v>22</v>
      </c>
      <c r="E4452">
        <v>21</v>
      </c>
      <c r="F4452">
        <v>17.260000000000002</v>
      </c>
      <c r="G4452">
        <v>0</v>
      </c>
      <c r="H4452">
        <v>0</v>
      </c>
      <c r="I4452" s="3">
        <f t="shared" si="252"/>
        <v>21</v>
      </c>
      <c r="J4452" s="3">
        <f t="shared" si="253"/>
        <v>17</v>
      </c>
      <c r="K4452" s="3">
        <f t="shared" si="254"/>
        <v>4</v>
      </c>
      <c r="L4452" s="3" t="str">
        <f t="shared" si="255"/>
        <v>OPORTUNO</v>
      </c>
      <c r="N4452">
        <v>98.15</v>
      </c>
      <c r="O4452">
        <v>27.1551724137931</v>
      </c>
    </row>
    <row r="4453" spans="1:15" hidden="1" x14ac:dyDescent="0.25">
      <c r="A4453" s="11">
        <v>46142</v>
      </c>
      <c r="B4453" t="s">
        <v>46</v>
      </c>
      <c r="C4453" t="s">
        <v>18</v>
      </c>
      <c r="D4453">
        <v>31</v>
      </c>
      <c r="E4453">
        <v>29</v>
      </c>
      <c r="F4453">
        <v>13.5</v>
      </c>
      <c r="G4453">
        <v>0</v>
      </c>
      <c r="H4453">
        <v>0</v>
      </c>
      <c r="I4453" s="3">
        <f t="shared" si="252"/>
        <v>29</v>
      </c>
      <c r="J4453" s="3">
        <f t="shared" si="253"/>
        <v>30</v>
      </c>
      <c r="K4453" s="3">
        <f t="shared" si="254"/>
        <v>-1</v>
      </c>
      <c r="L4453" s="3" t="str">
        <f t="shared" si="255"/>
        <v>ATENÇÃO</v>
      </c>
      <c r="N4453">
        <v>99.15</v>
      </c>
      <c r="O4453">
        <v>27.370689655172409</v>
      </c>
    </row>
    <row r="4454" spans="1:15" hidden="1" x14ac:dyDescent="0.25">
      <c r="A4454" s="11">
        <v>46142</v>
      </c>
      <c r="B4454" t="s">
        <v>47</v>
      </c>
      <c r="C4454" t="s">
        <v>16</v>
      </c>
      <c r="D4454">
        <v>18</v>
      </c>
      <c r="E4454">
        <v>17</v>
      </c>
      <c r="F4454">
        <v>21.44</v>
      </c>
      <c r="G4454">
        <v>0</v>
      </c>
      <c r="H4454">
        <v>0</v>
      </c>
      <c r="I4454" s="3">
        <f t="shared" si="252"/>
        <v>17</v>
      </c>
      <c r="J4454" s="3">
        <f t="shared" si="253"/>
        <v>24</v>
      </c>
      <c r="K4454" s="3">
        <f t="shared" si="254"/>
        <v>-7</v>
      </c>
      <c r="L4454" s="3" t="str">
        <f t="shared" si="255"/>
        <v>CRÍTICO</v>
      </c>
      <c r="N4454">
        <v>99.17</v>
      </c>
      <c r="O4454">
        <v>29.75206611570248</v>
      </c>
    </row>
    <row r="4455" spans="1:15" hidden="1" x14ac:dyDescent="0.25">
      <c r="A4455" s="11">
        <v>46142</v>
      </c>
      <c r="B4455" t="s">
        <v>48</v>
      </c>
      <c r="C4455" t="s">
        <v>16</v>
      </c>
      <c r="D4455">
        <v>0</v>
      </c>
      <c r="E4455">
        <v>0</v>
      </c>
      <c r="F4455">
        <v>0</v>
      </c>
      <c r="G4455">
        <v>0</v>
      </c>
      <c r="H4455">
        <v>0</v>
      </c>
      <c r="I4455" s="3">
        <f t="shared" si="252"/>
        <v>0</v>
      </c>
      <c r="J4455" s="3">
        <f t="shared" si="253"/>
        <v>24</v>
      </c>
      <c r="K4455" s="3">
        <f t="shared" si="254"/>
        <v>-24</v>
      </c>
      <c r="L4455" s="3" t="str">
        <f t="shared" si="255"/>
        <v>CRÍTICO</v>
      </c>
      <c r="N4455">
        <v>98.73</v>
      </c>
      <c r="O4455">
        <v>28.961748633879779</v>
      </c>
    </row>
    <row r="4456" spans="1:15" hidden="1" x14ac:dyDescent="0.25">
      <c r="A4456" s="11">
        <v>46142</v>
      </c>
      <c r="B4456" t="s">
        <v>49</v>
      </c>
      <c r="C4456" t="s">
        <v>18</v>
      </c>
      <c r="D4456">
        <v>0</v>
      </c>
      <c r="E4456">
        <v>0</v>
      </c>
      <c r="F4456">
        <v>0</v>
      </c>
      <c r="G4456">
        <v>0</v>
      </c>
      <c r="H4456">
        <v>0</v>
      </c>
      <c r="I4456" s="3">
        <f t="shared" si="252"/>
        <v>0</v>
      </c>
      <c r="J4456" s="3">
        <f t="shared" si="253"/>
        <v>30</v>
      </c>
      <c r="K4456" s="3">
        <f t="shared" si="254"/>
        <v>-30</v>
      </c>
      <c r="L4456" s="3" t="str">
        <f t="shared" si="255"/>
        <v>CRÍTICO</v>
      </c>
      <c r="N4456">
        <v>88.68</v>
      </c>
      <c r="O4456">
        <v>22.03389830508474</v>
      </c>
    </row>
    <row r="4457" spans="1:15" hidden="1" x14ac:dyDescent="0.25">
      <c r="A4457" s="11">
        <v>46142</v>
      </c>
      <c r="B4457" t="s">
        <v>50</v>
      </c>
      <c r="C4457" t="s">
        <v>20</v>
      </c>
      <c r="D4457">
        <v>30</v>
      </c>
      <c r="E4457">
        <v>28</v>
      </c>
      <c r="F4457">
        <v>16.54</v>
      </c>
      <c r="G4457">
        <v>0</v>
      </c>
      <c r="H4457">
        <v>0</v>
      </c>
      <c r="I4457" s="3">
        <f t="shared" si="252"/>
        <v>28</v>
      </c>
      <c r="J4457" s="3">
        <f t="shared" si="253"/>
        <v>20</v>
      </c>
      <c r="K4457" s="3">
        <f t="shared" si="254"/>
        <v>8</v>
      </c>
      <c r="L4457" s="3" t="str">
        <f t="shared" si="255"/>
        <v>MUITO BOM</v>
      </c>
      <c r="N4457">
        <v>97.37</v>
      </c>
      <c r="O4457">
        <v>25.76530612244898</v>
      </c>
    </row>
    <row r="4458" spans="1:15" hidden="1" x14ac:dyDescent="0.25">
      <c r="A4458" s="11">
        <v>46142</v>
      </c>
      <c r="B4458" t="s">
        <v>51</v>
      </c>
      <c r="C4458" t="s">
        <v>23</v>
      </c>
      <c r="D4458">
        <v>80</v>
      </c>
      <c r="E4458">
        <v>46</v>
      </c>
      <c r="F4458">
        <v>5.0599999999999996</v>
      </c>
      <c r="G4458">
        <v>0</v>
      </c>
      <c r="H4458">
        <v>0</v>
      </c>
      <c r="I4458" s="3">
        <f t="shared" si="252"/>
        <v>46</v>
      </c>
      <c r="J4458" s="3">
        <f t="shared" si="253"/>
        <v>9</v>
      </c>
      <c r="K4458" s="3">
        <f t="shared" si="254"/>
        <v>37</v>
      </c>
      <c r="L4458" s="3" t="str">
        <f t="shared" si="255"/>
        <v>MUITO BOM</v>
      </c>
      <c r="N4458">
        <v>100</v>
      </c>
      <c r="O4458">
        <v>25</v>
      </c>
    </row>
    <row r="4459" spans="1:15" hidden="1" x14ac:dyDescent="0.25">
      <c r="A4459" s="11">
        <v>46142</v>
      </c>
      <c r="B4459" t="s">
        <v>52</v>
      </c>
      <c r="C4459" t="s">
        <v>18</v>
      </c>
      <c r="D4459">
        <v>15</v>
      </c>
      <c r="E4459">
        <v>13</v>
      </c>
      <c r="F4459">
        <v>11.57</v>
      </c>
      <c r="G4459">
        <v>0</v>
      </c>
      <c r="H4459">
        <v>0</v>
      </c>
      <c r="I4459" s="3">
        <f t="shared" si="252"/>
        <v>13</v>
      </c>
      <c r="J4459" s="3">
        <f t="shared" si="253"/>
        <v>30</v>
      </c>
      <c r="K4459" s="3">
        <f t="shared" si="254"/>
        <v>-17</v>
      </c>
      <c r="L4459" s="3" t="str">
        <f t="shared" si="255"/>
        <v>CRÍTICO</v>
      </c>
      <c r="N4459">
        <v>100</v>
      </c>
      <c r="O4459">
        <v>23.9870340356564</v>
      </c>
    </row>
    <row r="4460" spans="1:15" hidden="1" x14ac:dyDescent="0.25">
      <c r="A4460" s="11">
        <v>46142</v>
      </c>
      <c r="B4460" t="s">
        <v>53</v>
      </c>
      <c r="C4460" t="s">
        <v>18</v>
      </c>
      <c r="D4460">
        <v>35</v>
      </c>
      <c r="E4460">
        <v>34</v>
      </c>
      <c r="F4460">
        <v>14.14</v>
      </c>
      <c r="G4460">
        <v>0</v>
      </c>
      <c r="H4460">
        <v>0</v>
      </c>
      <c r="I4460" s="3">
        <f t="shared" si="252"/>
        <v>34</v>
      </c>
      <c r="J4460" s="3">
        <f t="shared" si="253"/>
        <v>30</v>
      </c>
      <c r="K4460" s="3">
        <f t="shared" si="254"/>
        <v>4</v>
      </c>
      <c r="L4460" s="3" t="str">
        <f t="shared" si="255"/>
        <v>OPORTUNO</v>
      </c>
      <c r="N4460">
        <v>95.49</v>
      </c>
      <c r="O4460">
        <v>28.16901408450704</v>
      </c>
    </row>
    <row r="4461" spans="1:15" hidden="1" x14ac:dyDescent="0.25">
      <c r="A4461" s="11">
        <v>46142</v>
      </c>
      <c r="B4461" t="s">
        <v>54</v>
      </c>
      <c r="C4461" t="s">
        <v>23</v>
      </c>
      <c r="D4461">
        <v>19</v>
      </c>
      <c r="E4461">
        <v>17</v>
      </c>
      <c r="F4461">
        <v>24.14</v>
      </c>
      <c r="G4461">
        <v>0</v>
      </c>
      <c r="H4461">
        <v>0</v>
      </c>
      <c r="I4461" s="3">
        <f t="shared" si="252"/>
        <v>17</v>
      </c>
      <c r="J4461" s="3">
        <f t="shared" si="253"/>
        <v>9</v>
      </c>
      <c r="K4461" s="3">
        <f t="shared" si="254"/>
        <v>8</v>
      </c>
      <c r="L4461" s="3" t="str">
        <f t="shared" si="255"/>
        <v>MUITO BOM</v>
      </c>
      <c r="N4461">
        <v>100</v>
      </c>
      <c r="O4461">
        <v>23.77622377622378</v>
      </c>
    </row>
    <row r="4462" spans="1:15" hidden="1" x14ac:dyDescent="0.25">
      <c r="A4462" s="11">
        <v>46142</v>
      </c>
      <c r="B4462" t="s">
        <v>55</v>
      </c>
      <c r="C4462" t="s">
        <v>43</v>
      </c>
      <c r="D4462">
        <v>36</v>
      </c>
      <c r="E4462">
        <v>20</v>
      </c>
      <c r="F4462">
        <v>9.19</v>
      </c>
      <c r="G4462">
        <v>0</v>
      </c>
      <c r="H4462">
        <v>0</v>
      </c>
      <c r="I4462" s="3">
        <f t="shared" si="252"/>
        <v>20</v>
      </c>
      <c r="J4462" s="3">
        <f t="shared" si="253"/>
        <v>17</v>
      </c>
      <c r="K4462" s="3">
        <f t="shared" si="254"/>
        <v>3</v>
      </c>
      <c r="L4462" s="3" t="str">
        <f t="shared" si="255"/>
        <v>OPORTUNO</v>
      </c>
      <c r="N4462">
        <v>96.15</v>
      </c>
      <c r="O4462">
        <v>24.045801526717561</v>
      </c>
    </row>
    <row r="4463" spans="1:15" hidden="1" x14ac:dyDescent="0.25">
      <c r="A4463" s="11">
        <v>46142</v>
      </c>
      <c r="B4463" t="s">
        <v>56</v>
      </c>
      <c r="C4463" t="s">
        <v>16</v>
      </c>
      <c r="D4463">
        <v>31</v>
      </c>
      <c r="E4463">
        <v>27</v>
      </c>
      <c r="F4463">
        <v>15.42</v>
      </c>
      <c r="G4463">
        <v>0</v>
      </c>
      <c r="H4463">
        <v>0</v>
      </c>
      <c r="I4463" s="3">
        <f t="shared" si="252"/>
        <v>27</v>
      </c>
      <c r="J4463" s="3">
        <f t="shared" si="253"/>
        <v>24</v>
      </c>
      <c r="K4463" s="3">
        <f t="shared" si="254"/>
        <v>3</v>
      </c>
      <c r="L4463" s="3" t="str">
        <f t="shared" si="255"/>
        <v>OPORTUNO</v>
      </c>
      <c r="N4463">
        <v>99.02</v>
      </c>
      <c r="O4463">
        <v>34.797297297297298</v>
      </c>
    </row>
    <row r="4464" spans="1:15" hidden="1" x14ac:dyDescent="0.25">
      <c r="A4464" s="11">
        <v>46142</v>
      </c>
      <c r="B4464" t="s">
        <v>57</v>
      </c>
      <c r="C4464" t="s">
        <v>43</v>
      </c>
      <c r="D4464">
        <v>19</v>
      </c>
      <c r="E4464">
        <v>19</v>
      </c>
      <c r="F4464">
        <v>20.079999999999998</v>
      </c>
      <c r="G4464">
        <v>0</v>
      </c>
      <c r="H4464">
        <v>0</v>
      </c>
      <c r="I4464" s="3">
        <f t="shared" si="252"/>
        <v>19</v>
      </c>
      <c r="J4464" s="3">
        <f t="shared" si="253"/>
        <v>17</v>
      </c>
      <c r="K4464" s="3">
        <f t="shared" si="254"/>
        <v>2</v>
      </c>
      <c r="L4464" s="3" t="str">
        <f t="shared" si="255"/>
        <v>OPORTUNO</v>
      </c>
      <c r="N4464">
        <v>98.84</v>
      </c>
      <c r="O4464">
        <v>31.5018315018315</v>
      </c>
    </row>
    <row r="4465" spans="1:15" hidden="1" x14ac:dyDescent="0.25">
      <c r="A4465" s="11">
        <v>46142</v>
      </c>
      <c r="B4465" t="s">
        <v>58</v>
      </c>
      <c r="C4465" t="s">
        <v>43</v>
      </c>
      <c r="D4465">
        <v>15</v>
      </c>
      <c r="E4465">
        <v>13</v>
      </c>
      <c r="F4465">
        <v>13.59</v>
      </c>
      <c r="G4465">
        <v>0</v>
      </c>
      <c r="H4465">
        <v>0</v>
      </c>
      <c r="I4465" s="3">
        <f t="shared" si="252"/>
        <v>13</v>
      </c>
      <c r="J4465" s="3">
        <f t="shared" si="253"/>
        <v>17</v>
      </c>
      <c r="K4465" s="3">
        <f t="shared" si="254"/>
        <v>-4</v>
      </c>
      <c r="L4465" s="3" t="str">
        <f t="shared" si="255"/>
        <v>ATENÇÃO</v>
      </c>
      <c r="N4465">
        <v>100</v>
      </c>
      <c r="O4465">
        <v>34.666666666666671</v>
      </c>
    </row>
    <row r="4466" spans="1:15" hidden="1" x14ac:dyDescent="0.25">
      <c r="A4466" s="11">
        <v>46142</v>
      </c>
      <c r="B4466" t="s">
        <v>59</v>
      </c>
      <c r="C4466" t="s">
        <v>23</v>
      </c>
      <c r="D4466">
        <v>18</v>
      </c>
      <c r="E4466">
        <v>17</v>
      </c>
      <c r="F4466">
        <v>28.41</v>
      </c>
      <c r="G4466">
        <v>0</v>
      </c>
      <c r="H4466">
        <v>0</v>
      </c>
      <c r="I4466" s="3">
        <f t="shared" si="252"/>
        <v>17</v>
      </c>
      <c r="J4466" s="3">
        <f t="shared" si="253"/>
        <v>9</v>
      </c>
      <c r="K4466" s="3">
        <f t="shared" si="254"/>
        <v>8</v>
      </c>
      <c r="L4466" s="3" t="str">
        <f t="shared" si="255"/>
        <v>MUITO BOM</v>
      </c>
      <c r="N4466">
        <v>94.12</v>
      </c>
      <c r="O4466">
        <v>32.799999999999997</v>
      </c>
    </row>
    <row r="4467" spans="1:15" hidden="1" x14ac:dyDescent="0.25">
      <c r="A4467" s="11">
        <v>46142</v>
      </c>
      <c r="B4467" t="s">
        <v>60</v>
      </c>
      <c r="C4467" t="s">
        <v>20</v>
      </c>
      <c r="D4467">
        <v>27</v>
      </c>
      <c r="E4467">
        <v>24</v>
      </c>
      <c r="F4467">
        <v>15.08</v>
      </c>
      <c r="G4467">
        <v>0</v>
      </c>
      <c r="H4467">
        <v>0</v>
      </c>
      <c r="I4467" s="3">
        <f t="shared" si="252"/>
        <v>24</v>
      </c>
      <c r="J4467" s="3">
        <f t="shared" si="253"/>
        <v>20</v>
      </c>
      <c r="K4467" s="3">
        <f t="shared" si="254"/>
        <v>4</v>
      </c>
      <c r="L4467" s="3" t="str">
        <f t="shared" si="255"/>
        <v>OPORTUNO</v>
      </c>
      <c r="N4467">
        <v>98.32</v>
      </c>
      <c r="O4467">
        <v>26.618705035971221</v>
      </c>
    </row>
    <row r="4468" spans="1:15" hidden="1" x14ac:dyDescent="0.25">
      <c r="A4468" s="11">
        <v>46142</v>
      </c>
      <c r="B4468" t="s">
        <v>61</v>
      </c>
      <c r="C4468" t="s">
        <v>18</v>
      </c>
      <c r="D4468">
        <v>36</v>
      </c>
      <c r="E4468">
        <v>33</v>
      </c>
      <c r="F4468">
        <v>18.2</v>
      </c>
      <c r="G4468">
        <v>0</v>
      </c>
      <c r="H4468">
        <v>0</v>
      </c>
      <c r="I4468" s="3">
        <f t="shared" si="252"/>
        <v>33</v>
      </c>
      <c r="J4468" s="3">
        <f t="shared" si="253"/>
        <v>30</v>
      </c>
      <c r="K4468" s="3">
        <f t="shared" si="254"/>
        <v>3</v>
      </c>
      <c r="L4468" s="3" t="str">
        <f t="shared" si="255"/>
        <v>OPORTUNO</v>
      </c>
      <c r="N4468">
        <v>100</v>
      </c>
      <c r="O4468">
        <v>31.135531135531139</v>
      </c>
    </row>
    <row r="4469" spans="1:15" hidden="1" x14ac:dyDescent="0.25">
      <c r="A4469" s="11">
        <v>46142</v>
      </c>
      <c r="B4469" t="s">
        <v>62</v>
      </c>
      <c r="C4469" t="s">
        <v>20</v>
      </c>
      <c r="D4469">
        <v>10</v>
      </c>
      <c r="E4469">
        <v>10</v>
      </c>
      <c r="F4469">
        <v>23.27</v>
      </c>
      <c r="G4469">
        <v>0</v>
      </c>
      <c r="H4469">
        <v>0</v>
      </c>
      <c r="I4469" s="3">
        <f t="shared" si="252"/>
        <v>10</v>
      </c>
      <c r="J4469" s="3">
        <f t="shared" si="253"/>
        <v>20</v>
      </c>
      <c r="K4469" s="3">
        <f t="shared" si="254"/>
        <v>-10</v>
      </c>
      <c r="L4469" s="3" t="str">
        <f t="shared" si="255"/>
        <v>CRÍTICO</v>
      </c>
      <c r="N4469">
        <v>100</v>
      </c>
      <c r="O4469">
        <v>26.027397260273968</v>
      </c>
    </row>
    <row r="4470" spans="1:15" hidden="1" x14ac:dyDescent="0.25">
      <c r="A4470" s="11">
        <v>46142</v>
      </c>
      <c r="B4470" t="s">
        <v>63</v>
      </c>
      <c r="C4470" t="s">
        <v>18</v>
      </c>
      <c r="D4470">
        <v>10</v>
      </c>
      <c r="E4470">
        <v>10</v>
      </c>
      <c r="F4470">
        <v>20.23</v>
      </c>
      <c r="G4470">
        <v>0</v>
      </c>
      <c r="H4470">
        <v>0</v>
      </c>
      <c r="I4470" s="3">
        <f t="shared" si="252"/>
        <v>10</v>
      </c>
      <c r="J4470" s="3">
        <f t="shared" si="253"/>
        <v>30</v>
      </c>
      <c r="K4470" s="3">
        <f t="shared" si="254"/>
        <v>-20</v>
      </c>
      <c r="L4470" s="3" t="str">
        <f t="shared" si="255"/>
        <v>CRÍTICO</v>
      </c>
      <c r="N4470">
        <v>99.21</v>
      </c>
      <c r="O4470">
        <v>24.937027707808561</v>
      </c>
    </row>
  </sheetData>
  <autoFilter ref="A1:O4470" xr:uid="{00000000-0009-0000-0000-000000000000}">
    <filterColumn colId="0">
      <filters>
        <dateGroupItem year="2026" month="2" dateTimeGrouping="month"/>
        <dateGroupItem year="2026" month="3" dateTimeGrouping="month"/>
      </filters>
    </filterColumn>
    <sortState xmlns:xlrd2="http://schemas.microsoft.com/office/spreadsheetml/2017/richdata2" ref="A19:O4444">
      <sortCondition ref="A1:A447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B18" t="s">
        <v>84</v>
      </c>
      <c r="C18" t="s">
        <v>35</v>
      </c>
    </row>
    <row r="19" spans="1:3" x14ac:dyDescent="0.25">
      <c r="A19" t="s">
        <v>64</v>
      </c>
      <c r="B19" t="s">
        <v>85</v>
      </c>
      <c r="C19" t="s">
        <v>86</v>
      </c>
    </row>
    <row r="20" spans="1:3" x14ac:dyDescent="0.25">
      <c r="A20" t="s">
        <v>36</v>
      </c>
      <c r="B20" t="s">
        <v>87</v>
      </c>
      <c r="C20" t="s">
        <v>36</v>
      </c>
    </row>
    <row r="21" spans="1:3" x14ac:dyDescent="0.25">
      <c r="A21" t="s">
        <v>37</v>
      </c>
      <c r="B21" t="s">
        <v>88</v>
      </c>
      <c r="C21" t="s">
        <v>37</v>
      </c>
    </row>
    <row r="22" spans="1:3" x14ac:dyDescent="0.25">
      <c r="A22" t="s">
        <v>38</v>
      </c>
      <c r="B22" t="s">
        <v>89</v>
      </c>
      <c r="C22" t="s">
        <v>38</v>
      </c>
    </row>
    <row r="23" spans="1:3" x14ac:dyDescent="0.25">
      <c r="A23" t="s">
        <v>39</v>
      </c>
      <c r="B23" t="s">
        <v>90</v>
      </c>
      <c r="C23" t="s">
        <v>39</v>
      </c>
    </row>
    <row r="24" spans="1:3" x14ac:dyDescent="0.25">
      <c r="A24" t="s">
        <v>40</v>
      </c>
      <c r="B24" t="s">
        <v>91</v>
      </c>
      <c r="C24" t="s">
        <v>40</v>
      </c>
    </row>
    <row r="25" spans="1:3" x14ac:dyDescent="0.25">
      <c r="A25" t="s">
        <v>41</v>
      </c>
      <c r="B25" t="s">
        <v>92</v>
      </c>
      <c r="C25" t="s">
        <v>93</v>
      </c>
    </row>
    <row r="26" spans="1:3" x14ac:dyDescent="0.25">
      <c r="A26" t="s">
        <v>42</v>
      </c>
      <c r="B26" t="s">
        <v>94</v>
      </c>
      <c r="C26" t="s">
        <v>42</v>
      </c>
    </row>
    <row r="27" spans="1:3" x14ac:dyDescent="0.25">
      <c r="A27" t="s">
        <v>44</v>
      </c>
      <c r="B27" t="s">
        <v>95</v>
      </c>
      <c r="C27" t="s">
        <v>44</v>
      </c>
    </row>
    <row r="28" spans="1:3" x14ac:dyDescent="0.25">
      <c r="A28" t="s">
        <v>46</v>
      </c>
      <c r="B28" t="s">
        <v>96</v>
      </c>
      <c r="C28" t="s">
        <v>46</v>
      </c>
    </row>
    <row r="29" spans="1:3" x14ac:dyDescent="0.25">
      <c r="A29" t="s">
        <v>45</v>
      </c>
      <c r="B29" t="s">
        <v>97</v>
      </c>
      <c r="C29" t="s">
        <v>45</v>
      </c>
    </row>
    <row r="30" spans="1:3" x14ac:dyDescent="0.25">
      <c r="A30" t="s">
        <v>47</v>
      </c>
      <c r="B30" t="s">
        <v>98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99</v>
      </c>
      <c r="C32" t="s">
        <v>49</v>
      </c>
    </row>
    <row r="33" spans="1:3" x14ac:dyDescent="0.25">
      <c r="A33" t="s">
        <v>50</v>
      </c>
      <c r="B33" t="s">
        <v>100</v>
      </c>
      <c r="C33" t="s">
        <v>101</v>
      </c>
    </row>
    <row r="34" spans="1:3" x14ac:dyDescent="0.25">
      <c r="A34" t="s">
        <v>51</v>
      </c>
      <c r="B34" t="s">
        <v>102</v>
      </c>
      <c r="C34" t="s">
        <v>51</v>
      </c>
    </row>
    <row r="35" spans="1:3" x14ac:dyDescent="0.25">
      <c r="A35" t="s">
        <v>52</v>
      </c>
      <c r="B35" t="s">
        <v>103</v>
      </c>
      <c r="C35" t="s">
        <v>52</v>
      </c>
    </row>
    <row r="36" spans="1:3" x14ac:dyDescent="0.25">
      <c r="A36" t="s">
        <v>53</v>
      </c>
      <c r="B36" t="s">
        <v>104</v>
      </c>
      <c r="C36" t="s">
        <v>105</v>
      </c>
    </row>
    <row r="37" spans="1:3" x14ac:dyDescent="0.25">
      <c r="A37" t="s">
        <v>54</v>
      </c>
      <c r="B37" t="s">
        <v>106</v>
      </c>
      <c r="C37" t="s">
        <v>107</v>
      </c>
    </row>
    <row r="38" spans="1:3" x14ac:dyDescent="0.25">
      <c r="A38" t="s">
        <v>55</v>
      </c>
      <c r="B38" t="s">
        <v>55</v>
      </c>
      <c r="C38" t="s">
        <v>108</v>
      </c>
    </row>
    <row r="39" spans="1:3" x14ac:dyDescent="0.25">
      <c r="A39" t="s">
        <v>56</v>
      </c>
      <c r="B39" t="s">
        <v>109</v>
      </c>
      <c r="C39" t="s">
        <v>56</v>
      </c>
    </row>
    <row r="40" spans="1:3" x14ac:dyDescent="0.25">
      <c r="A40" t="s">
        <v>57</v>
      </c>
      <c r="B40" t="s">
        <v>110</v>
      </c>
      <c r="C40" t="s">
        <v>111</v>
      </c>
    </row>
    <row r="41" spans="1:3" x14ac:dyDescent="0.25">
      <c r="A41" t="s">
        <v>58</v>
      </c>
      <c r="B41" t="s">
        <v>112</v>
      </c>
      <c r="C41" t="s">
        <v>58</v>
      </c>
    </row>
    <row r="42" spans="1:3" x14ac:dyDescent="0.25">
      <c r="A42" t="s">
        <v>59</v>
      </c>
      <c r="B42" t="s">
        <v>113</v>
      </c>
      <c r="C42" t="s">
        <v>59</v>
      </c>
    </row>
    <row r="43" spans="1:3" x14ac:dyDescent="0.25">
      <c r="A43" t="s">
        <v>60</v>
      </c>
      <c r="B43" t="s">
        <v>114</v>
      </c>
      <c r="C43" t="s">
        <v>115</v>
      </c>
    </row>
    <row r="44" spans="1:3" x14ac:dyDescent="0.25">
      <c r="A44" t="s">
        <v>61</v>
      </c>
      <c r="B44" t="s">
        <v>116</v>
      </c>
      <c r="C44" t="s">
        <v>61</v>
      </c>
    </row>
    <row r="45" spans="1:3" x14ac:dyDescent="0.25">
      <c r="A45" t="s">
        <v>62</v>
      </c>
      <c r="B45" t="s">
        <v>117</v>
      </c>
      <c r="C45" t="s">
        <v>62</v>
      </c>
    </row>
    <row r="46" spans="1:3" x14ac:dyDescent="0.25">
      <c r="A46" t="s">
        <v>63</v>
      </c>
      <c r="B46" t="s">
        <v>118</v>
      </c>
      <c r="C46" t="s">
        <v>63</v>
      </c>
    </row>
    <row r="47" spans="1:3" x14ac:dyDescent="0.25">
      <c r="A47" t="s">
        <v>119</v>
      </c>
      <c r="B47" t="s">
        <v>92</v>
      </c>
    </row>
    <row r="48" spans="1:3" x14ac:dyDescent="0.25">
      <c r="A48" t="s">
        <v>120</v>
      </c>
      <c r="B48" t="s">
        <v>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2026-05-26T18:16:34Z</dcterms:modified>
</cp:coreProperties>
</file>